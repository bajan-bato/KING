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kingict-my.sharepoint.com/personal/tina_borojevic_king-ict_cloud/Documents/Documents/Projekti/20 CARNET 58S2 G1 i 58S3 G2/Plan/"/>
    </mc:Choice>
  </mc:AlternateContent>
  <xr:revisionPtr revIDLastSave="30" documentId="8_{478D23E6-BFE0-4188-BCF6-5D968F05D8BD}" xr6:coauthVersionLast="47" xr6:coauthVersionMax="47" xr10:uidLastSave="{7187401B-9D68-41A1-AF73-9CF0AF34ECD4}"/>
  <bookViews>
    <workbookView xWindow="-120" yWindow="-120" windowWidth="29040" windowHeight="15720" firstSheet="2" activeTab="11" xr2:uid="{00000000-000D-0000-FFFF-FFFF00000000}"/>
  </bookViews>
  <sheets>
    <sheet name="23,3.G1" sheetId="1" r:id="rId1"/>
    <sheet name="30.3.G1" sheetId="2" r:id="rId2"/>
    <sheet name="7.4. G1" sheetId="3" r:id="rId3"/>
    <sheet name="13.4 G1" sheetId="4" r:id="rId4"/>
    <sheet name="Isporuka G1" sheetId="5" r:id="rId5"/>
    <sheet name="G1_ planiranje" sheetId="6" r:id="rId6"/>
    <sheet name="23.3.G2" sheetId="7" r:id="rId7"/>
    <sheet name="30.3.G2" sheetId="8" r:id="rId8"/>
    <sheet name="7.4. G2" sheetId="9" r:id="rId9"/>
    <sheet name="13.4 G2 " sheetId="10" r:id="rId10"/>
    <sheet name="Isporuka G2" sheetId="11" r:id="rId11"/>
    <sheet name="G2_ planiranje" sheetId="12" r:id="rId12"/>
    <sheet name="Kontakti_i_adrese_po_ustanovi" sheetId="13" r:id="rId13"/>
    <sheet name="Pregled_po_ustanovi" sheetId="14" r:id="rId14"/>
  </sheets>
  <definedNames>
    <definedName name="_xlnm._FilterDatabase" localSheetId="5" hidden="1">'G1_ planiranje'!$B$2:$T$817</definedName>
    <definedName name="_xlnm._FilterDatabase" localSheetId="11" hidden="1">'G2_ planiranje'!$A$2:$XFB$649</definedName>
    <definedName name="_xlnm.Print_Area" localSheetId="5">'G1_ planiranje'!$A$1:$S$817</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18" i="6" l="1"/>
  <c r="G614" i="12" l="1"/>
  <c r="G596" i="12"/>
  <c r="G560" i="12"/>
  <c r="G519" i="12"/>
  <c r="G468" i="12"/>
  <c r="G401" i="12"/>
  <c r="G359" i="12"/>
  <c r="G311" i="12"/>
  <c r="G251" i="12"/>
  <c r="G182" i="12"/>
  <c r="G650" i="12" s="1"/>
  <c r="G155" i="12"/>
  <c r="G152" i="12"/>
  <c r="G109" i="12"/>
  <c r="G72" i="12"/>
  <c r="G30" i="12"/>
  <c r="G3" i="12"/>
  <c r="F133" i="11"/>
  <c r="F82" i="10"/>
  <c r="F89" i="8"/>
  <c r="F89" i="7"/>
  <c r="G751" i="6"/>
  <c r="G711" i="6"/>
  <c r="G655" i="6"/>
  <c r="G604" i="6"/>
  <c r="G546" i="6"/>
  <c r="G515" i="6"/>
  <c r="G499" i="6"/>
  <c r="P498" i="6"/>
  <c r="P497" i="6"/>
  <c r="P496" i="6"/>
  <c r="P495" i="6"/>
  <c r="P494" i="6"/>
  <c r="P493" i="6"/>
  <c r="P492" i="6"/>
  <c r="P491" i="6"/>
  <c r="P490" i="6"/>
  <c r="P489" i="6"/>
  <c r="P488" i="6"/>
  <c r="P487" i="6"/>
  <c r="P486" i="6"/>
  <c r="P485" i="6"/>
  <c r="P484" i="6"/>
  <c r="P483" i="6"/>
  <c r="P482" i="6"/>
  <c r="P481" i="6"/>
  <c r="P480" i="6"/>
  <c r="P479" i="6"/>
  <c r="P478" i="6"/>
  <c r="P477" i="6"/>
  <c r="P476" i="6"/>
  <c r="P475" i="6"/>
  <c r="P474" i="6"/>
  <c r="P473" i="6"/>
  <c r="P472" i="6"/>
  <c r="P471" i="6"/>
  <c r="P470" i="6"/>
  <c r="P469" i="6"/>
  <c r="P468" i="6"/>
  <c r="P466" i="6"/>
  <c r="G466" i="6"/>
  <c r="P465" i="6"/>
  <c r="P464" i="6"/>
  <c r="P463" i="6"/>
  <c r="P462" i="6"/>
  <c r="P461" i="6"/>
  <c r="P460" i="6"/>
  <c r="P459" i="6"/>
  <c r="P458" i="6"/>
  <c r="P457" i="6"/>
  <c r="P456" i="6"/>
  <c r="P455" i="6"/>
  <c r="P454" i="6"/>
  <c r="P453" i="6"/>
  <c r="P452" i="6"/>
  <c r="P451" i="6"/>
  <c r="P450" i="6"/>
  <c r="P449" i="6"/>
  <c r="P448" i="6"/>
  <c r="P447" i="6"/>
  <c r="P446" i="6"/>
  <c r="P445" i="6"/>
  <c r="P444" i="6"/>
  <c r="P443" i="6"/>
  <c r="P442" i="6"/>
  <c r="P441" i="6"/>
  <c r="P440" i="6"/>
  <c r="P439" i="6"/>
  <c r="P438" i="6"/>
  <c r="P437" i="6"/>
  <c r="P436" i="6"/>
  <c r="P435" i="6"/>
  <c r="P434" i="6"/>
  <c r="P433" i="6"/>
  <c r="P432" i="6"/>
  <c r="P431" i="6"/>
  <c r="P430" i="6"/>
  <c r="P429" i="6"/>
  <c r="P428" i="6"/>
  <c r="P427" i="6"/>
  <c r="P426" i="6"/>
  <c r="P425" i="6"/>
  <c r="P424" i="6"/>
  <c r="P423" i="6"/>
  <c r="P422" i="6"/>
  <c r="P421" i="6"/>
  <c r="P420" i="6"/>
  <c r="G419" i="6"/>
  <c r="G393" i="6"/>
  <c r="G361" i="6"/>
  <c r="G325" i="6"/>
  <c r="G259" i="6"/>
  <c r="G243" i="6"/>
  <c r="G208" i="6"/>
  <c r="G165" i="6"/>
  <c r="G147" i="6"/>
  <c r="G128" i="6"/>
  <c r="G99" i="6"/>
  <c r="G47" i="6"/>
  <c r="G28" i="6"/>
  <c r="G19" i="6"/>
  <c r="G8" i="6"/>
  <c r="G3" i="6"/>
  <c r="G137" i="5"/>
  <c r="F117" i="4"/>
  <c r="F114" i="2"/>
  <c r="G66" i="1"/>
</calcChain>
</file>

<file path=xl/sharedStrings.xml><?xml version="1.0" encoding="utf-8"?>
<sst xmlns="http://schemas.openxmlformats.org/spreadsheetml/2006/main" count="25922" uniqueCount="1784">
  <si>
    <t>Details for Sum of Kom. - Isporuka na lokaciju : 3/23/2026, Tip opreme : Multimedijska oprema - Bežični mikrofonski sustav  (+)</t>
  </si>
  <si>
    <t>PPZ</t>
  </si>
  <si>
    <t>Evid. liste</t>
  </si>
  <si>
    <t>Otpremnica</t>
  </si>
  <si>
    <t>ID</t>
  </si>
  <si>
    <t>Ustanove</t>
  </si>
  <si>
    <t xml:space="preserve">Tip opreme </t>
  </si>
  <si>
    <t>Kom.</t>
  </si>
  <si>
    <t>Lokacija</t>
  </si>
  <si>
    <t>Ime i prezime</t>
  </si>
  <si>
    <t>Kontakt broj</t>
  </si>
  <si>
    <t>e-mail</t>
  </si>
  <si>
    <t>Matična adresa</t>
  </si>
  <si>
    <t>Adresa/e isporuke</t>
  </si>
  <si>
    <t>OIB</t>
  </si>
  <si>
    <t>Isporuka status</t>
  </si>
  <si>
    <t xml:space="preserve">Isporuka na lokaciju </t>
  </si>
  <si>
    <t>Montaža
start</t>
  </si>
  <si>
    <t>Montaža
finish</t>
  </si>
  <si>
    <t xml:space="preserve">Instalacija </t>
  </si>
  <si>
    <t xml:space="preserve">Održavanje </t>
  </si>
  <si>
    <t>133</t>
  </si>
  <si>
    <t>Fakultet elektrotehnike, strojarstva i brodogradnje u Splitu</t>
  </si>
  <si>
    <t>Multimedijska oprema - Stolno računalo za postprodukciju</t>
  </si>
  <si>
    <t>Split</t>
  </si>
  <si>
    <t>Zvonimir Torba</t>
  </si>
  <si>
    <t>+385 91 4305 724</t>
  </si>
  <si>
    <t>torba@fesb.hr</t>
  </si>
  <si>
    <t>R. Boškovića 32</t>
  </si>
  <si>
    <t>R. Boškovića 32, 21000 Split</t>
  </si>
  <si>
    <t>857144221</t>
  </si>
  <si>
    <t>King</t>
  </si>
  <si>
    <t>2a
2b</t>
  </si>
  <si>
    <t>80086775 (2a)
 80086776 (2b)</t>
  </si>
  <si>
    <t>131</t>
  </si>
  <si>
    <t>Fakultet organizacije i informatike</t>
  </si>
  <si>
    <t>Varaždin</t>
  </si>
  <si>
    <t>Mario Harjač</t>
  </si>
  <si>
    <t>097 610 1011</t>
  </si>
  <si>
    <t>maharjac@foi.unizg.hr</t>
  </si>
  <si>
    <t>Pavlinska Ulica 2</t>
  </si>
  <si>
    <t>Pavlinska ulica 2, Varaždin
Ulica Petra Preradovića 15, Varaždin</t>
  </si>
  <si>
    <t>2024882310</t>
  </si>
  <si>
    <t>149</t>
  </si>
  <si>
    <t>Medicinski fakultet u Splitu</t>
  </si>
  <si>
    <t>Dalibor Gabela</t>
  </si>
  <si>
    <t>091-1557942</t>
  </si>
  <si>
    <t>helpdesk@mefst.hr</t>
  </si>
  <si>
    <t>Šoltanska 2</t>
  </si>
  <si>
    <t>Šoltanska 2A, Split</t>
  </si>
  <si>
    <t>2879747067</t>
  </si>
  <si>
    <t>132</t>
  </si>
  <si>
    <t>Pravni fakultet u Splitu</t>
  </si>
  <si>
    <t>Juraj Saratlija</t>
  </si>
  <si>
    <t>0996935026</t>
  </si>
  <si>
    <t>juraj.saratlija@pravst.hr</t>
  </si>
  <si>
    <t>Ulica Domovinskog Rata 8</t>
  </si>
  <si>
    <t>Domovinskog rata 8, Split</t>
  </si>
  <si>
    <t>3541568700</t>
  </si>
  <si>
    <t>3689</t>
  </si>
  <si>
    <t>Hrvatsko katoličko sveučilište</t>
  </si>
  <si>
    <t>Zagreb</t>
  </si>
  <si>
    <t>Nikola Barba</t>
  </si>
  <si>
    <t>099 6081 436</t>
  </si>
  <si>
    <t>nikola.barba@unicath.hr</t>
  </si>
  <si>
    <t>Ilica 244B</t>
  </si>
  <si>
    <t>Ilica 244, 10000 Zagreb</t>
  </si>
  <si>
    <t>7730927366</t>
  </si>
  <si>
    <t>1918</t>
  </si>
  <si>
    <t>Tehničko veleučilište u Zagrebu</t>
  </si>
  <si>
    <t>Ivan Rajković</t>
  </si>
  <si>
    <t>+385998153651</t>
  </si>
  <si>
    <t>ivan.rajkovic@tvz.hr</t>
  </si>
  <si>
    <t>Vrbik 8</t>
  </si>
  <si>
    <t>8814003451</t>
  </si>
  <si>
    <t>368</t>
  </si>
  <si>
    <t>Sveučilište u Zadru</t>
  </si>
  <si>
    <t>Zadar</t>
  </si>
  <si>
    <t>Ivan Nimac</t>
  </si>
  <si>
    <t>095/826-5888</t>
  </si>
  <si>
    <t>inimac@unizd.hr</t>
  </si>
  <si>
    <t>Ulica Mihovila Pavlinovića 1</t>
  </si>
  <si>
    <t>Obala kralja Petra Krešimira IV. Br. 2, 23000 Zadar</t>
  </si>
  <si>
    <t>10839679016</t>
  </si>
  <si>
    <t>Senso</t>
  </si>
  <si>
    <t>3409</t>
  </si>
  <si>
    <t>Fakultet turizma i ruralnog razvoja u Požegi</t>
  </si>
  <si>
    <t>Požega</t>
  </si>
  <si>
    <t>Ivan Reponj</t>
  </si>
  <si>
    <t>0989389348</t>
  </si>
  <si>
    <t>ireponj@ftrr.hr</t>
  </si>
  <si>
    <t>Vukovarska 17</t>
  </si>
  <si>
    <t>Vukovarska 17, Požega</t>
  </si>
  <si>
    <t>11614501047</t>
  </si>
  <si>
    <t>198</t>
  </si>
  <si>
    <t>Geotehnički fakultet</t>
  </si>
  <si>
    <t>Darko Šprem</t>
  </si>
  <si>
    <t>091 408 9012</t>
  </si>
  <si>
    <t>darko.sprem@gfv.hr</t>
  </si>
  <si>
    <t>Hallerova Aleja 7</t>
  </si>
  <si>
    <t>Hallerova aleja 7, Varaždin</t>
  </si>
  <si>
    <t>16146181375</t>
  </si>
  <si>
    <t>3986</t>
  </si>
  <si>
    <t>Muzička akademija</t>
  </si>
  <si>
    <t>Petra Mitrović</t>
  </si>
  <si>
    <t>0914810222</t>
  </si>
  <si>
    <t>pmitrovic@muza.hr</t>
  </si>
  <si>
    <t>Trg Republike Hrvatske 12</t>
  </si>
  <si>
    <t>18422925218</t>
  </si>
  <si>
    <t>4660</t>
  </si>
  <si>
    <t>Fakultet zdravstvenih studija</t>
  </si>
  <si>
    <t>Rijeka</t>
  </si>
  <si>
    <t>Vedran Ćurković</t>
  </si>
  <si>
    <t>091 / 9536547</t>
  </si>
  <si>
    <t>vedran.curkovic@uniri.hr</t>
  </si>
  <si>
    <t>Viktora Cara Emina 5</t>
  </si>
  <si>
    <t>19213484918</t>
  </si>
  <si>
    <t>4919</t>
  </si>
  <si>
    <t>Prirodoslovno-matematički fakultet u Splitu</t>
  </si>
  <si>
    <t>Doris Knego</t>
  </si>
  <si>
    <t>098 9394211,</t>
  </si>
  <si>
    <t>doris.knego@pmfst.hr</t>
  </si>
  <si>
    <t>R. Boškovića 33</t>
  </si>
  <si>
    <t>Ruđera Boškovića 33</t>
  </si>
  <si>
    <t>20858497843</t>
  </si>
  <si>
    <t>536</t>
  </si>
  <si>
    <t>Veleučilište "Lavoslav Ružička" u Vukovaru</t>
  </si>
  <si>
    <t>Vukovar</t>
  </si>
  <si>
    <t>IGOR BILANDŽIĆ</t>
  </si>
  <si>
    <t>091-444-6885</t>
  </si>
  <si>
    <t>Igor.bilandzic@vevu.hr</t>
  </si>
  <si>
    <t>Županijska 50</t>
  </si>
  <si>
    <t>BLAGE ZADRE 2, VUKOVAR</t>
  </si>
  <si>
    <t>21720825730</t>
  </si>
  <si>
    <t>4914</t>
  </si>
  <si>
    <t>Pomorski fakultet u Splitu</t>
  </si>
  <si>
    <t>Romaldo Singolo</t>
  </si>
  <si>
    <t>091 155 9622</t>
  </si>
  <si>
    <t>romi@pfst.hr</t>
  </si>
  <si>
    <t>R. Boškovića 37</t>
  </si>
  <si>
    <t>Ruđera Boškovića 37, Split</t>
  </si>
  <si>
    <t>24624257529</t>
  </si>
  <si>
    <t>185</t>
  </si>
  <si>
    <t>Grafički fakultet, Zagreb</t>
  </si>
  <si>
    <t>Marko Maričević</t>
  </si>
  <si>
    <t>0915193488</t>
  </si>
  <si>
    <t>marko.maricevic@grf.hr</t>
  </si>
  <si>
    <t>Getaldićeva Ulica 2</t>
  </si>
  <si>
    <t>Getaldićeva 2, Zagreb</t>
  </si>
  <si>
    <t>25564990903</t>
  </si>
  <si>
    <t>168</t>
  </si>
  <si>
    <t>Pravni fakultet Osijek</t>
  </si>
  <si>
    <t>Osijek</t>
  </si>
  <si>
    <t>Bruno Bakarić</t>
  </si>
  <si>
    <t>031/224-508</t>
  </si>
  <si>
    <t>bbakaric@pravos.hr</t>
  </si>
  <si>
    <t>Ulica Stjepana Radića 13</t>
  </si>
  <si>
    <t>Stjepana Radića 17</t>
  </si>
  <si>
    <t>26416570803</t>
  </si>
  <si>
    <t>205</t>
  </si>
  <si>
    <t>Fakultet filozofije i religijskih znanosti</t>
  </si>
  <si>
    <t>Mikolaj Martinjak</t>
  </si>
  <si>
    <t>0989478881</t>
  </si>
  <si>
    <t>mika@ffrz.hr</t>
  </si>
  <si>
    <t>Jordanovac 110</t>
  </si>
  <si>
    <t>26975482530</t>
  </si>
  <si>
    <t>130</t>
  </si>
  <si>
    <t>Fakultet političkih znanosti</t>
  </si>
  <si>
    <t>Kristian Došen</t>
  </si>
  <si>
    <t>091 7888 474</t>
  </si>
  <si>
    <t>kristian.dosen@fpzg.hr</t>
  </si>
  <si>
    <t>Ulica Ivana Lepušića 6</t>
  </si>
  <si>
    <t>Lepušićeva 6, 10000 Zagreb</t>
  </si>
  <si>
    <t>28011548575</t>
  </si>
  <si>
    <t>3637</t>
  </si>
  <si>
    <t>Fakultet za odgojne i obrazovne znanosti</t>
  </si>
  <si>
    <t>Krunoslav Kurilj</t>
  </si>
  <si>
    <t>0991616166</t>
  </si>
  <si>
    <t>kkurilj@foozos.hr</t>
  </si>
  <si>
    <t>Ulica Cara Hadrijana 10</t>
  </si>
  <si>
    <t>Cara Hadrijana 10, 31 000 Osijek – NASTAVNA ZGRADA</t>
  </si>
  <si>
    <t>28082679513</t>
  </si>
  <si>
    <t>250</t>
  </si>
  <si>
    <t>Veleučilište u Rijeci</t>
  </si>
  <si>
    <t>Davorin Tadić</t>
  </si>
  <si>
    <t>091 332 1308</t>
  </si>
  <si>
    <t>dtadic@veleri.hr</t>
  </si>
  <si>
    <t>Trpimirova 2</t>
  </si>
  <si>
    <t>Vukovarska 58, Rijeka</t>
  </si>
  <si>
    <t>29573709870</t>
  </si>
  <si>
    <t>5713</t>
  </si>
  <si>
    <t>Sveučilište u Splitu</t>
  </si>
  <si>
    <t>Petra Musap</t>
  </si>
  <si>
    <t>0991639750</t>
  </si>
  <si>
    <t>petra.musap@unist.hr</t>
  </si>
  <si>
    <t>R. Boškovića 31</t>
  </si>
  <si>
    <t>Poljana kraljice Jelene 1, Split</t>
  </si>
  <si>
    <t>29845096215</t>
  </si>
  <si>
    <t>1972</t>
  </si>
  <si>
    <t>Sveučilište u Slavonskom Brodu</t>
  </si>
  <si>
    <t>Slavonski Brod</t>
  </si>
  <si>
    <t>Damir Lulić</t>
  </si>
  <si>
    <t>0981771615</t>
  </si>
  <si>
    <t>dlulic@unisb.hr</t>
  </si>
  <si>
    <t>Trg "Ivana Brlić Mažuranić" 2</t>
  </si>
  <si>
    <t>Ulica 108. brigade ZNG 36</t>
  </si>
  <si>
    <t>33027834374</t>
  </si>
  <si>
    <t>3340</t>
  </si>
  <si>
    <t>Edukacijsko-rehabilitacijski fakultet</t>
  </si>
  <si>
    <t>Ivan Cerovec</t>
  </si>
  <si>
    <t>01/2457510</t>
  </si>
  <si>
    <t>ivan.cerovec@erf.unizg.hr</t>
  </si>
  <si>
    <t>Borongajska Cesta 83F</t>
  </si>
  <si>
    <t>Zagreb, Borongajska c.83f</t>
  </si>
  <si>
    <t>34967762426</t>
  </si>
  <si>
    <t>267</t>
  </si>
  <si>
    <t>Katolički bogoslovni fakultet, Split</t>
  </si>
  <si>
    <t>Željko Matas</t>
  </si>
  <si>
    <t>097 7094175</t>
  </si>
  <si>
    <t>zmatas@kbf-st.hr</t>
  </si>
  <si>
    <t>Zrinjsko-Frankopanska 19</t>
  </si>
  <si>
    <t>Zrinjsko-Frankopanska 19, Split</t>
  </si>
  <si>
    <t>36149548625</t>
  </si>
  <si>
    <t>140</t>
  </si>
  <si>
    <t>Veterinarski fakultet, Zagreb</t>
  </si>
  <si>
    <t>Marko Poletto</t>
  </si>
  <si>
    <t>099/4928854</t>
  </si>
  <si>
    <t>pmarko@vef.unizg.hr</t>
  </si>
  <si>
    <t>Ulica Vjekoslava Heinzela 55</t>
  </si>
  <si>
    <t>Ulica Vjekoslava Heinzela 55, 10000 Zagreb</t>
  </si>
  <si>
    <t>36389528408</t>
  </si>
  <si>
    <t>219</t>
  </si>
  <si>
    <t>Sveučilište u Zagrebu</t>
  </si>
  <si>
    <t xml:space="preserve">Siniša Vlahović
</t>
  </si>
  <si>
    <t xml:space="preserve">098 268 472
</t>
  </si>
  <si>
    <t xml:space="preserve">svlahovic@unizg.hr
</t>
  </si>
  <si>
    <t>Trg Republike Hrvatske 14</t>
  </si>
  <si>
    <t xml:space="preserve">Ulica Radoslava Cimermana 88, 10000 Zagreb
</t>
  </si>
  <si>
    <t>36612267447</t>
  </si>
  <si>
    <t>3545</t>
  </si>
  <si>
    <t>Umjetnička akademija u Splitu</t>
  </si>
  <si>
    <t>Branimir Džaja</t>
  </si>
  <si>
    <t>091-2600324</t>
  </si>
  <si>
    <t>branimir.dzaja@umas.hr</t>
  </si>
  <si>
    <t>Zagrebačka 3</t>
  </si>
  <si>
    <t>Fausta Vrančića 19</t>
  </si>
  <si>
    <t>38960125358</t>
  </si>
  <si>
    <t>141</t>
  </si>
  <si>
    <t>Arhitektonski fakultet</t>
  </si>
  <si>
    <t xml:space="preserve">
Emil Flatz</t>
  </si>
  <si>
    <t xml:space="preserve">
38598302567</t>
  </si>
  <si>
    <t xml:space="preserve">
eflatz@arhitekt.hr</t>
  </si>
  <si>
    <t>Kačićeva Ulica 26</t>
  </si>
  <si>
    <t xml:space="preserve">
Frankopanska 12</t>
  </si>
  <si>
    <t>42061107444</t>
  </si>
  <si>
    <t>177</t>
  </si>
  <si>
    <t>Tekstilno-tehnološki fakultet</t>
  </si>
  <si>
    <t>Srđan Cvetanović</t>
  </si>
  <si>
    <t xml:space="preserve">095 8000 204
</t>
  </si>
  <si>
    <t xml:space="preserve">djani@ttf.hr
</t>
  </si>
  <si>
    <t>Prilaz Baruna Filipovića 28A</t>
  </si>
  <si>
    <t xml:space="preserve">Prilaz baruna Filipovića 28a
</t>
  </si>
  <si>
    <t>43097527965</t>
  </si>
  <si>
    <t>122</t>
  </si>
  <si>
    <t>Geodetski fakultet</t>
  </si>
  <si>
    <t>Marijo Seničić</t>
  </si>
  <si>
    <t>099 533 7842</t>
  </si>
  <si>
    <t>marijo.senicic@geof.unizg.hr</t>
  </si>
  <si>
    <t>Kačićeva 26, 10000 Zagreb</t>
  </si>
  <si>
    <t>43594593297</t>
  </si>
  <si>
    <t>165</t>
  </si>
  <si>
    <t>Medicinski fakultet u Zagrebu</t>
  </si>
  <si>
    <t>Mirza Žižak</t>
  </si>
  <si>
    <t>091-595-2783</t>
  </si>
  <si>
    <t>mirza.zizak@mef.hr</t>
  </si>
  <si>
    <t>Šalata 3</t>
  </si>
  <si>
    <t xml:space="preserve">
Šalata 2</t>
  </si>
  <si>
    <t>45001686598</t>
  </si>
  <si>
    <t>146</t>
  </si>
  <si>
    <t>Prehrambeno-biotehnološki fakultet</t>
  </si>
  <si>
    <t>Ana Vukelić</t>
  </si>
  <si>
    <t>0915677600</t>
  </si>
  <si>
    <t>avukelic@pbf.hr</t>
  </si>
  <si>
    <t>Pierottijeva Ulica 6</t>
  </si>
  <si>
    <t>Pierottijeva 6</t>
  </si>
  <si>
    <t>47824453867</t>
  </si>
  <si>
    <t>210</t>
  </si>
  <si>
    <t>Katolički bogoslovni fakultet, Zagreb</t>
  </si>
  <si>
    <t>Taras Barščevski</t>
  </si>
  <si>
    <t>+385(91)5335.699</t>
  </si>
  <si>
    <t>taras.barscevski@kbf.unizg.hr</t>
  </si>
  <si>
    <t>Vlaška Ulica 38</t>
  </si>
  <si>
    <t>Vlaška 38</t>
  </si>
  <si>
    <t>48987767944</t>
  </si>
  <si>
    <t>245</t>
  </si>
  <si>
    <t>Zdravstveno veleučilište</t>
  </si>
  <si>
    <t>Ozren Digula
Kristijan Zbiljski</t>
  </si>
  <si>
    <t>0914595855
0914595858</t>
  </si>
  <si>
    <t>ozren.digula@zvu.hr
kristijan.zbiljski@zvu.hr</t>
  </si>
  <si>
    <t>Mlinarska Cesta 38</t>
  </si>
  <si>
    <t>Mlinarska cesta 38</t>
  </si>
  <si>
    <t>50952646228</t>
  </si>
  <si>
    <t>215</t>
  </si>
  <si>
    <t>Akademija dramske umjetnosti</t>
  </si>
  <si>
    <t>Ivan Šetin</t>
  </si>
  <si>
    <t>0981839338</t>
  </si>
  <si>
    <t>isetin@adu.hr</t>
  </si>
  <si>
    <t>Trg Republike Hrvatske 5</t>
  </si>
  <si>
    <t xml:space="preserve">Trg Republike Hrvatske 5
</t>
  </si>
  <si>
    <t>52097842295</t>
  </si>
  <si>
    <t>125</t>
  </si>
  <si>
    <t>Ekonomski fakultet u Osijeku</t>
  </si>
  <si>
    <t>Damir Kovačević</t>
  </si>
  <si>
    <t>385912244189</t>
  </si>
  <si>
    <t>damir.kovacevic@efos.hr</t>
  </si>
  <si>
    <t>Trg Ljudevita Gaja 7</t>
  </si>
  <si>
    <t>Trg Ljudevita Gaja 7, Osijek</t>
  </si>
  <si>
    <t>52778515544</t>
  </si>
  <si>
    <t>1939</t>
  </si>
  <si>
    <t>Akademija primijenjenih umjetnosti</t>
  </si>
  <si>
    <t>Aljoša Brajdić</t>
  </si>
  <si>
    <t>099/2217114</t>
  </si>
  <si>
    <t>aljosa.brajdic@apuri.uniri.hr</t>
  </si>
  <si>
    <t>Slavka Krautzeka 83</t>
  </si>
  <si>
    <t>Slavka Krautzeka 83, 51000 Rijeka</t>
  </si>
  <si>
    <t>55704161999</t>
  </si>
  <si>
    <t>275</t>
  </si>
  <si>
    <t>Fakultet primijenjene matematike i informatike</t>
  </si>
  <si>
    <t>Petar Taler</t>
  </si>
  <si>
    <t>091 224 1039</t>
  </si>
  <si>
    <t>petar@mathos.hr</t>
  </si>
  <si>
    <t>Trg Ljudevita Gaja 6</t>
  </si>
  <si>
    <t>Trg Lj. Gaja 6, Osijek</t>
  </si>
  <si>
    <t>56597320763</t>
  </si>
  <si>
    <t>138</t>
  </si>
  <si>
    <t>Fakultet elektrotehnike i računarstva</t>
  </si>
  <si>
    <t>Denis Hernaut</t>
  </si>
  <si>
    <t>+385 91 604 3920</t>
  </si>
  <si>
    <t>denis.hernaut@fer.hr</t>
  </si>
  <si>
    <t>Unska Ulica 3</t>
  </si>
  <si>
    <t xml:space="preserve">Vukovarska 39, Zagreb
</t>
  </si>
  <si>
    <t>57029260362</t>
  </si>
  <si>
    <t>3430</t>
  </si>
  <si>
    <t>Kineziološki fakultet u Splitu</t>
  </si>
  <si>
    <t>Ante Krolo</t>
  </si>
  <si>
    <t>+385 95 903 76 48</t>
  </si>
  <si>
    <t>ante@kifst.hr</t>
  </si>
  <si>
    <t>Teslina 6</t>
  </si>
  <si>
    <t>Teslina 10</t>
  </si>
  <si>
    <t>57848936921</t>
  </si>
  <si>
    <t>181</t>
  </si>
  <si>
    <t>Filozofski fakultet Osijek</t>
  </si>
  <si>
    <t>Zoltan Juhas</t>
  </si>
  <si>
    <t>091/ 2549 157</t>
  </si>
  <si>
    <t>zoli@ffos.hr</t>
  </si>
  <si>
    <t>Ulica Lorenza Jägera 9</t>
  </si>
  <si>
    <t>58868871646</t>
  </si>
  <si>
    <t>232</t>
  </si>
  <si>
    <t>Veleučilište u Šibeniku</t>
  </si>
  <si>
    <t>Šibenik</t>
  </si>
  <si>
    <t>Jakov Serajlić</t>
  </si>
  <si>
    <t>38598845215</t>
  </si>
  <si>
    <t>jserajlic@vus.hr</t>
  </si>
  <si>
    <t>Trg A. Hebranga 11</t>
  </si>
  <si>
    <t>Trg Andrije Hebrang 11, 22000 Šibenik</t>
  </si>
  <si>
    <t>61727512157</t>
  </si>
  <si>
    <t>3554</t>
  </si>
  <si>
    <t>Sveučilište Jurja Dobrile u Puli</t>
  </si>
  <si>
    <t>Pula</t>
  </si>
  <si>
    <t>Dario Kukuljan</t>
  </si>
  <si>
    <t>0993777446</t>
  </si>
  <si>
    <t>dkukuljan@unipu.hr</t>
  </si>
  <si>
    <t>Zagrebačka Ulica 30</t>
  </si>
  <si>
    <t>Alda Negrija 6</t>
  </si>
  <si>
    <t>61738073226</t>
  </si>
  <si>
    <t>221</t>
  </si>
  <si>
    <t>Sveučilište u Rijeci</t>
  </si>
  <si>
    <t>Marko Roža</t>
  </si>
  <si>
    <t>051/265-873</t>
  </si>
  <si>
    <t>marko.roza@uniri.hr</t>
  </si>
  <si>
    <t>Trg Braće Mažuranića 10</t>
  </si>
  <si>
    <t>Radmile Matejčić 2; 51000 Rijeka</t>
  </si>
  <si>
    <t>64218323816</t>
  </si>
  <si>
    <t>150</t>
  </si>
  <si>
    <t>Stomatološki fakultet</t>
  </si>
  <si>
    <t>Dario Đurasović</t>
  </si>
  <si>
    <t>091 4802 130</t>
  </si>
  <si>
    <t>dario@sfzg.hr</t>
  </si>
  <si>
    <t>Gundulićeva Ulica 5</t>
  </si>
  <si>
    <t>Gundulićeva 5, Zagreb</t>
  </si>
  <si>
    <t>70221464726</t>
  </si>
  <si>
    <t>1907</t>
  </si>
  <si>
    <t>Filozofski fakultet u Rijeci</t>
  </si>
  <si>
    <t>Boris Ružić</t>
  </si>
  <si>
    <t>0915765999</t>
  </si>
  <si>
    <t>bruzic@uniri.hr</t>
  </si>
  <si>
    <t>Sveučilišna Avenija 4</t>
  </si>
  <si>
    <t>Sveučilišna avenija 4, 51000 Rijeka</t>
  </si>
  <si>
    <t>70505505759</t>
  </si>
  <si>
    <t>6229</t>
  </si>
  <si>
    <t>Kineziološki fakultet Osijek</t>
  </si>
  <si>
    <t>Matija Karapetrić</t>
  </si>
  <si>
    <t>0915053478</t>
  </si>
  <si>
    <t>matija.karapetric@kifos.hr</t>
  </si>
  <si>
    <t>Drinska 16A</t>
  </si>
  <si>
    <t xml:space="preserve">Drinska 16a, 31000 Osijek
</t>
  </si>
  <si>
    <t>70788591483</t>
  </si>
  <si>
    <t>184</t>
  </si>
  <si>
    <t>Fakultet kemijskog inženjerstva i tehnologije</t>
  </si>
  <si>
    <t>Igor Horaček</t>
  </si>
  <si>
    <t>091/722-0837</t>
  </si>
  <si>
    <t>igor@fkit.hr</t>
  </si>
  <si>
    <t>Trg Marka Marulića 19</t>
  </si>
  <si>
    <t xml:space="preserve">
Savska cesta 41, zgrada Zagrepčanka, 2.kat</t>
  </si>
  <si>
    <t>71259740533</t>
  </si>
  <si>
    <t>113</t>
  </si>
  <si>
    <t>Veleučilište u Križevcima</t>
  </si>
  <si>
    <t>Križevci</t>
  </si>
  <si>
    <t>Andreas Mađerić</t>
  </si>
  <si>
    <t>048 279 196</t>
  </si>
  <si>
    <t>amaderic@vguk.hr</t>
  </si>
  <si>
    <t>Ulica Milislava Demerca 1</t>
  </si>
  <si>
    <t>Milislava Demerca 1, 48260 Križevci</t>
  </si>
  <si>
    <t>75480885018</t>
  </si>
  <si>
    <t>169</t>
  </si>
  <si>
    <t>Pomorski fakultet u Rijeci</t>
  </si>
  <si>
    <t>Izv. prof. dr. sc. Jasmin Ćelić</t>
  </si>
  <si>
    <t>0912546777</t>
  </si>
  <si>
    <t>jasmin.celic@uniri.hr</t>
  </si>
  <si>
    <t>Studentska 2</t>
  </si>
  <si>
    <t>76722145702</t>
  </si>
  <si>
    <t>222</t>
  </si>
  <si>
    <t>Sveučilište Josipa Jurja Strossmayera u Osijeku</t>
  </si>
  <si>
    <t>Tatjana Šajatović</t>
  </si>
  <si>
    <t> +38598871499</t>
  </si>
  <si>
    <t>tsajatovic@kemija.unios.hr</t>
  </si>
  <si>
    <t>Trg Sv. Trojstva 3</t>
  </si>
  <si>
    <t>Cara Hadrijana 8/A</t>
  </si>
  <si>
    <t>78808975734</t>
  </si>
  <si>
    <t>5717</t>
  </si>
  <si>
    <t>Fakultet za dentalnu medicinu i zdravstvo Osijek</t>
  </si>
  <si>
    <t xml:space="preserve">Andrija Ljubičić
</t>
  </si>
  <si>
    <t xml:space="preserve">091 2241 423
</t>
  </si>
  <si>
    <t xml:space="preserve">andrija.ljubicic@fdmz.hr
</t>
  </si>
  <si>
    <t>Crkvena Ulica 21</t>
  </si>
  <si>
    <t xml:space="preserve">Crkvena 21
</t>
  </si>
  <si>
    <t>83830458507</t>
  </si>
  <si>
    <t>316</t>
  </si>
  <si>
    <t>Ekonomski fakultet u Splitu</t>
  </si>
  <si>
    <t>Ante Denić</t>
  </si>
  <si>
    <t>(+385)915683877</t>
  </si>
  <si>
    <t>dante@efst.hr</t>
  </si>
  <si>
    <t>Cvite Fiskovića 5</t>
  </si>
  <si>
    <t>Cvite Fiskovića 5, Split</t>
  </si>
  <si>
    <t>84477684422</t>
  </si>
  <si>
    <t>172</t>
  </si>
  <si>
    <t>Građevinski fakultet u Rijeci</t>
  </si>
  <si>
    <t>Elvis Žic</t>
  </si>
  <si>
    <t>0915038578</t>
  </si>
  <si>
    <t>elvis.zic@uniri.hr</t>
  </si>
  <si>
    <t>Ulica Radmile Matejčić 3</t>
  </si>
  <si>
    <t>Ulica Radmile Matejčić 3, 51000 Rijeka</t>
  </si>
  <si>
    <t>92037849504</t>
  </si>
  <si>
    <t>199</t>
  </si>
  <si>
    <t>Fakultet elektrotehnike, računarstva i informacijskih tehnologija Osijek</t>
  </si>
  <si>
    <t>Mario Miloloza</t>
  </si>
  <si>
    <t>0912246140</t>
  </si>
  <si>
    <t>mario.miloloza@ferit.hr</t>
  </si>
  <si>
    <t>Ulica Kneza Trpimira 2B</t>
  </si>
  <si>
    <t>Cara Hadrijana 10b, Osijek</t>
  </si>
  <si>
    <t>95494259952</t>
  </si>
  <si>
    <t>281</t>
  </si>
  <si>
    <t>Učiteljski fakultet u Rijeci</t>
  </si>
  <si>
    <t>Danka Jurjević</t>
  </si>
  <si>
    <t>265-877</t>
  </si>
  <si>
    <t>danka.jurjevic@uniri.hr</t>
  </si>
  <si>
    <t>Sveučilišna Avenija 6</t>
  </si>
  <si>
    <t>96996385705</t>
  </si>
  <si>
    <t>147</t>
  </si>
  <si>
    <t>Medicinski fakultet u Rijeci</t>
  </si>
  <si>
    <t>Teo Brusić
Zoran Vučinić</t>
  </si>
  <si>
    <t>098/338-182
091/1651-230</t>
  </si>
  <si>
    <t>teo.brusic@medri.uniri.hr
zoran.vucinic@medri.uniri.hr</t>
  </si>
  <si>
    <t>Braće Branchetta 20</t>
  </si>
  <si>
    <t xml:space="preserve">Rijeka, B. Branchetta 20
</t>
  </si>
  <si>
    <t>98164324541</t>
  </si>
  <si>
    <t>158</t>
  </si>
  <si>
    <t>Fakultet agrobiotehničkih znanosti Osijek</t>
  </si>
  <si>
    <t>Ivan Rebekić</t>
  </si>
  <si>
    <t>099 304 6109</t>
  </si>
  <si>
    <t>irebekic@fazos.hr</t>
  </si>
  <si>
    <t>Ulica Vladimira Preloga 1</t>
  </si>
  <si>
    <t>Vladimira Preloga 1, 31000 Osijek</t>
  </si>
  <si>
    <t>98816779821</t>
  </si>
  <si>
    <t>3324</t>
  </si>
  <si>
    <t>Fakultet hrvatskih studija</t>
  </si>
  <si>
    <t>Dario Knežić</t>
  </si>
  <si>
    <t>0917615616</t>
  </si>
  <si>
    <t>dknezic@fhs.unizg.hr</t>
  </si>
  <si>
    <t>Borongajska Cesta 83D</t>
  </si>
  <si>
    <t>Borongajska cesta 83d, Zagreb</t>
  </si>
  <si>
    <t>99454315441</t>
  </si>
  <si>
    <t>203</t>
  </si>
  <si>
    <t>Rudarsko-geološko-naftni fakultet</t>
  </si>
  <si>
    <t>Marijan Galjar</t>
  </si>
  <si>
    <t>098 855 676</t>
  </si>
  <si>
    <t>marijan.galjar@rgn.hr</t>
  </si>
  <si>
    <t>99534693762</t>
  </si>
  <si>
    <t>206</t>
  </si>
  <si>
    <t>MUP, Policijska akademija "Prvi hrvatski redarstvenik", Veleučilište kriminalistike i javne sigurnosti</t>
  </si>
  <si>
    <t>Davor Štrk</t>
  </si>
  <si>
    <t>099 3136 671</t>
  </si>
  <si>
    <t>dstrk@fkz.hr</t>
  </si>
  <si>
    <t>Avenija Gojka Šuška 1</t>
  </si>
  <si>
    <t>Av. Gojka Šuška 1, Zagreb</t>
  </si>
  <si>
    <t>36162371878</t>
  </si>
  <si>
    <t>4589</t>
  </si>
  <si>
    <t>Sveučilište obrane i sigurnosti "Dr. Franjo Tuđman"</t>
  </si>
  <si>
    <t>Predrag Šinko</t>
  </si>
  <si>
    <t>095/205-2570</t>
  </si>
  <si>
    <t>predrag.sinko@sois-ft.hr</t>
  </si>
  <si>
    <t>Ilica 256B</t>
  </si>
  <si>
    <t>Ilica 256B, obj. 58</t>
  </si>
  <si>
    <t>36752094474</t>
  </si>
  <si>
    <t>Details for Sum of Kom. - Isporuka na lokaciju : 3/30/2026, Tip opreme : Multimedijska oprema - Bežični mikrofonski sustav  (+)</t>
  </si>
  <si>
    <t>Multimedijska oprema - Zvučnik s objedinjenim mikrofonom(speakerphone) i kamerom </t>
  </si>
  <si>
    <t>Trg Republike Hrvatske 5, Zagreb</t>
  </si>
  <si>
    <t>Multimedijska oprema - Profesionalna web kamera</t>
  </si>
  <si>
    <t xml:space="preserve">Matija Prahin
</t>
  </si>
  <si>
    <t xml:space="preserve">385919845267
</t>
  </si>
  <si>
    <t xml:space="preserve">mprahin@arhitekt.hr
</t>
  </si>
  <si>
    <t>Kačićeva 26</t>
  </si>
  <si>
    <t>Emil Flatz</t>
  </si>
  <si>
    <t>38598302567</t>
  </si>
  <si>
    <t>eflatz@arhitekt.hr</t>
  </si>
  <si>
    <t>Frankopanska 12</t>
  </si>
  <si>
    <t>290</t>
  </si>
  <si>
    <t>Ekonomski fakultet, Rijeka</t>
  </si>
  <si>
    <t>TEDI KOLANOVIĆ</t>
  </si>
  <si>
    <t>091 604 47 89</t>
  </si>
  <si>
    <t>tedi.kolanovic@efri.uniri.hr</t>
  </si>
  <si>
    <t>Ivana Filipovića 4</t>
  </si>
  <si>
    <t>26093119930</t>
  </si>
  <si>
    <t>Vukovarska 39, Zagreb</t>
  </si>
  <si>
    <t>163</t>
  </si>
  <si>
    <t>Fakultet građevinarstva, arhitekture i geodezije u Splitu</t>
  </si>
  <si>
    <t>Alen Domazet</t>
  </si>
  <si>
    <t>091 568 5994</t>
  </si>
  <si>
    <t>adomazet@gradst.hr</t>
  </si>
  <si>
    <t>Matice Hrvatske 15</t>
  </si>
  <si>
    <t>Matice hrvatske 15, 21000 Split</t>
  </si>
  <si>
    <t>83615500218</t>
  </si>
  <si>
    <t>Trg Marka Marulića 20, Zagreb, podrum</t>
  </si>
  <si>
    <t>Pavlinska ulica 2, Varaždin</t>
  </si>
  <si>
    <t>191</t>
  </si>
  <si>
    <t>Fakultet prometnih znanosti</t>
  </si>
  <si>
    <t>Dario Kužić</t>
  </si>
  <si>
    <t>385994988065</t>
  </si>
  <si>
    <t xml:space="preserve"> dkuzic@fpz.unizg.hr</t>
  </si>
  <si>
    <t>Ulica Lavoslava Vukelića 4</t>
  </si>
  <si>
    <t>Borongajska cesta 83a</t>
  </si>
  <si>
    <t>25410051374</t>
  </si>
  <si>
    <t>153</t>
  </si>
  <si>
    <t>Fakultet šumarstva i drvne tehnologije</t>
  </si>
  <si>
    <t>Mihael Šutalo</t>
  </si>
  <si>
    <t>099/2717915</t>
  </si>
  <si>
    <t>msutalo@sumfak.hr</t>
  </si>
  <si>
    <t>Svetošimunska Cesta 23</t>
  </si>
  <si>
    <t>Svetošimunska cesta 23</t>
  </si>
  <si>
    <t>7699719217</t>
  </si>
  <si>
    <t>Crkvena 21</t>
  </si>
  <si>
    <t>174</t>
  </si>
  <si>
    <t>Fakultet za menadžment u turizmu i ugostiteljstvu</t>
  </si>
  <si>
    <t>Ika</t>
  </si>
  <si>
    <t>Davor Mijolović</t>
  </si>
  <si>
    <t>098-292-104</t>
  </si>
  <si>
    <t>davor.mijolovic@fthm.hr</t>
  </si>
  <si>
    <t>Primorska 46</t>
  </si>
  <si>
    <t>Primorska 46, 51410  Opatija</t>
  </si>
  <si>
    <t>85799845149</t>
  </si>
  <si>
    <t>121</t>
  </si>
  <si>
    <t>Farmaceutsko - biokemijski fakultet</t>
  </si>
  <si>
    <t>Mate Galić</t>
  </si>
  <si>
    <t>098806500</t>
  </si>
  <si>
    <t>mate.galic@pharma.unizg.hr</t>
  </si>
  <si>
    <t>Ulica Ante Kovačića 1</t>
  </si>
  <si>
    <t>Domagojeva 2</t>
  </si>
  <si>
    <t>14509285435</t>
  </si>
  <si>
    <t>5769</t>
  </si>
  <si>
    <t>Filozofski fakultet u Splitu</t>
  </si>
  <si>
    <t>Slaven Kušljić</t>
  </si>
  <si>
    <t>021 545545, 091 4443745</t>
  </si>
  <si>
    <t>slaven@ffst.hr</t>
  </si>
  <si>
    <t>Poljička Cesta 35</t>
  </si>
  <si>
    <t>Poljička cesta 35</t>
  </si>
  <si>
    <t>98004523293</t>
  </si>
  <si>
    <t>186</t>
  </si>
  <si>
    <t>Filozofski fakultet u Zagrebu</t>
  </si>
  <si>
    <t>Boris Beker</t>
  </si>
  <si>
    <t>098/211-765</t>
  </si>
  <si>
    <t>bbeker@ffzg.hr</t>
  </si>
  <si>
    <t>Ulica Ivana Lučića 3</t>
  </si>
  <si>
    <t>Ivana Lučića 3</t>
  </si>
  <si>
    <t>90633715804</t>
  </si>
  <si>
    <t>161</t>
  </si>
  <si>
    <t>Građevinski fakultet, Zagreb</t>
  </si>
  <si>
    <t>Sead Berberović</t>
  </si>
  <si>
    <t>0915226263</t>
  </si>
  <si>
    <t>sead.berberovic@grad.unizg.hr</t>
  </si>
  <si>
    <t>Kačićeva 26, Zagreb</t>
  </si>
  <si>
    <t>62924153420</t>
  </si>
  <si>
    <t>4917</t>
  </si>
  <si>
    <t>Kemijsko-tehnološki fakultet u Splitu</t>
  </si>
  <si>
    <t>Domagoj Vučica</t>
  </si>
  <si>
    <t>091/1265-486</t>
  </si>
  <si>
    <t>domagoj@ktf-split.hr</t>
  </si>
  <si>
    <t>R. Boškovića 35</t>
  </si>
  <si>
    <t>99401575594</t>
  </si>
  <si>
    <t>136</t>
  </si>
  <si>
    <t>Kineziološki fakultet u Zagrebu</t>
  </si>
  <si>
    <t>Stipe Gorenjak</t>
  </si>
  <si>
    <t>091 3658 600</t>
  </si>
  <si>
    <t>stipe.gorenjak@kif.unizg.hr</t>
  </si>
  <si>
    <t>Horvaćanski Zavoj 15</t>
  </si>
  <si>
    <t>Horvaćanski zavoj 15</t>
  </si>
  <si>
    <t>25329931628</t>
  </si>
  <si>
    <t>137</t>
  </si>
  <si>
    <t>Medicinski fakultet Osijek</t>
  </si>
  <si>
    <t>Bojan Tovjanin</t>
  </si>
  <si>
    <t>0912241440</t>
  </si>
  <si>
    <t>btovjanin@mefos.hr</t>
  </si>
  <si>
    <t>Ulica Josipa Huttlera 4</t>
  </si>
  <si>
    <t>Josipa Huttlera 4</t>
  </si>
  <si>
    <t>16214165873</t>
  </si>
  <si>
    <t>Rijeka, B. Branchetta 20</t>
  </si>
  <si>
    <t>3482</t>
  </si>
  <si>
    <t>Međimursko veleučilište u Čakovcu</t>
  </si>
  <si>
    <t>Čakovec</t>
  </si>
  <si>
    <t>Željko Hrebak</t>
  </si>
  <si>
    <t>098710398</t>
  </si>
  <si>
    <t>zhrebak@mev.hr</t>
  </si>
  <si>
    <t>Ulica Bana Josipa Jelačića 22A</t>
  </si>
  <si>
    <t>Ul. bana Josipa Jelačića 22a</t>
  </si>
  <si>
    <t>31444990605</t>
  </si>
  <si>
    <t>188</t>
  </si>
  <si>
    <t>Nacionalna i sveučilišna knjižnica</t>
  </si>
  <si>
    <t>Boris Rončević</t>
  </si>
  <si>
    <t>099 5327723</t>
  </si>
  <si>
    <t>broncevic@nsk.hr</t>
  </si>
  <si>
    <t>Ul. Hrvatske Bratske Zajednice 4</t>
  </si>
  <si>
    <t>NSK - Ul. Hrvatske Bratske Zajednice 4</t>
  </si>
  <si>
    <t>173</t>
  </si>
  <si>
    <t>Pravni fakultet u Rijeci</t>
  </si>
  <si>
    <t>Siniša Lončarić</t>
  </si>
  <si>
    <t>0913011188</t>
  </si>
  <si>
    <t>sloncaric@pravri.uniri.hr</t>
  </si>
  <si>
    <t>Hahlić 6</t>
  </si>
  <si>
    <t>Hahlić 6, Rijeka</t>
  </si>
  <si>
    <t>43767699965</t>
  </si>
  <si>
    <t>170</t>
  </si>
  <si>
    <t>Prehrambeno-tehnološki fakultet Osijek</t>
  </si>
  <si>
    <t>Dražen Marček</t>
  </si>
  <si>
    <t>098/9674947</t>
  </si>
  <si>
    <t>dmarcek@ptfos.hr</t>
  </si>
  <si>
    <t>Franje Kuhača 18</t>
  </si>
  <si>
    <t>F. Kuhača 18</t>
  </si>
  <si>
    <t>96371000697</t>
  </si>
  <si>
    <t>469</t>
  </si>
  <si>
    <t>Prirodoslovno-matematički fakultet, Zagreb</t>
  </si>
  <si>
    <t>Davor Pintar</t>
  </si>
  <si>
    <t>385998227236</t>
  </si>
  <si>
    <t>davor.pintar@dekanat.pmf.hr</t>
  </si>
  <si>
    <t>Horvatovac 102A</t>
  </si>
  <si>
    <t>28163265527</t>
  </si>
  <si>
    <t>Krunoslav Komugović</t>
  </si>
  <si>
    <t>385915058109</t>
  </si>
  <si>
    <t>krunoslav.komugovic@pmf.hr</t>
  </si>
  <si>
    <t>Bijenička cesta 30</t>
  </si>
  <si>
    <t>Tomica Bunjevac</t>
  </si>
  <si>
    <t> +385913568984</t>
  </si>
  <si>
    <t>tbunjevac@fizika.unios.hr</t>
  </si>
  <si>
    <t xml:space="preserve"> Trg Ljudevita Gaja 6</t>
  </si>
  <si>
    <t>Alda Negrija 6, Pila</t>
  </si>
  <si>
    <t>632a
632b
632c</t>
  </si>
  <si>
    <t>Linda Petričić,  Nicole Tomišić 
Marko Roža</t>
  </si>
  <si>
    <t>091 165 1207, 0922875203
051/265-873</t>
  </si>
  <si>
    <t>ntomisic@fdmri.uniri.hr linda.petricic@fdmri.uniri.hr
marko.roza@uniri.hr</t>
  </si>
  <si>
    <t>Krešimirova 40/42, 51000 Rijeak 3 kom.
Radmile Matejčić 2; 51000 Rijeka 7 kom.</t>
  </si>
  <si>
    <t>716a
716b
716c
716d
716e
716f
716g
716h</t>
  </si>
  <si>
    <t>Marko Pilić / Josip Crnjac
Dalibor Bulić
Maja Krželj
Ivan Vuko
Marin Gudelj
Prosper Radonić
Ivan Tavra
Petra Musap</t>
  </si>
  <si>
    <t>0919840020 (Pilić), 0981980136 (Crnjac)
021 564815, 0915462104
0911556771
0914348101
0913344165
0995556003
097 6063920
0991639750</t>
  </si>
  <si>
    <t>mpilic@forenzika.unist.hr, jcrnjac@forenzika.unist.hr
dalibor.bulic@fzz.unist.hr
maja.krzelj@more.unist.hr
ivan.vuko@svkst.hr
marin@oss.unist.hr
pradonic@medils.unist.hr
itavra@unist.hr
petra.musap@unist.hr</t>
  </si>
  <si>
    <t>Ruđera Boškovića 33, Split  2 kom.
Ruđera Boškovića 35, Split 1 kom.
Ruđera Boškovića 37, Split  2 kom.
Ruđera Boškovića 31, Split, 1 kom.
Kopilica 21, Split  1 kom.
Meštrovićevo šetalište 45, Split  1 kom.
Zrinsko Frankopanska 38, Split  1 kom.
Poljana kraljice Jelene 1, Split  1 kom.</t>
  </si>
  <si>
    <t xml:space="preserve">Leida Rizvan
</t>
  </si>
  <si>
    <t xml:space="preserve">0914433905
</t>
  </si>
  <si>
    <t xml:space="preserve">leida.rizvan@unist.hr
</t>
  </si>
  <si>
    <t>Ruđera Boškovića 31, Split</t>
  </si>
  <si>
    <t>Marin Šperanda</t>
  </si>
  <si>
    <t>091 906 6882</t>
  </si>
  <si>
    <t>marin.speranda@caas.unizg.hr</t>
  </si>
  <si>
    <t>Don Frana Bulića 4, 20000 Dubrovnik (CAAS)</t>
  </si>
  <si>
    <t>615a
615b</t>
  </si>
  <si>
    <t>Siniša Vlahović
Marin Šperanda</t>
  </si>
  <si>
    <t>098 268 472
091 906 6882</t>
  </si>
  <si>
    <t>svlahovic@unizg.hr
marin.speranda@caas.unizg.hr</t>
  </si>
  <si>
    <t>Ulica Radoslava Cimermana 88, 10000 Zagreb 2 kom.
Don Frana Bulića 4, 20000 Dubrovnik (CAAS) 1 kom.</t>
  </si>
  <si>
    <t>154</t>
  </si>
  <si>
    <t>Tehnički fakultet, Rijeka</t>
  </si>
  <si>
    <t>Daniel Maratović</t>
  </si>
  <si>
    <t>095/9064710</t>
  </si>
  <si>
    <t>daniel.maratovic@riteh.uniri.hr</t>
  </si>
  <si>
    <t>Vukovarska 58</t>
  </si>
  <si>
    <t>Vukovarska 58, HR-51000 Rijeka</t>
  </si>
  <si>
    <t>46319717480</t>
  </si>
  <si>
    <t>Glagoljaška 18a, Gripe</t>
  </si>
  <si>
    <t>1944</t>
  </si>
  <si>
    <t>Veleučilište "Nikola Tesla" u Gospiću</t>
  </si>
  <si>
    <t>Gospić</t>
  </si>
  <si>
    <t>Mile Vičić</t>
  </si>
  <si>
    <t>098675984</t>
  </si>
  <si>
    <t>mvicic@velegs-nikolatesla.hr</t>
  </si>
  <si>
    <t>Ulica Bana Ivana Karlovića 16</t>
  </si>
  <si>
    <t>Ulica bana Ivana Karlovića 16</t>
  </si>
  <si>
    <t>42552392522</t>
  </si>
  <si>
    <t>601a
601b</t>
  </si>
  <si>
    <t>3385</t>
  </si>
  <si>
    <t>Veleučilište Hrvatsko zagorje Krapina</t>
  </si>
  <si>
    <t>Krapina</t>
  </si>
  <si>
    <t>Nikola Kanišk</t>
  </si>
  <si>
    <t>099/5246985</t>
  </si>
  <si>
    <t>nikola.kaniski@vhzk.hr</t>
  </si>
  <si>
    <t>Šetalište Hrvatskog Narodnog Preporoda 6</t>
  </si>
  <si>
    <t>Trg S. Radića 8</t>
  </si>
  <si>
    <t>16465214888</t>
  </si>
  <si>
    <t>1963</t>
  </si>
  <si>
    <t>Veleučilište u Karlovcu</t>
  </si>
  <si>
    <t>Karlovac</t>
  </si>
  <si>
    <t>Marko Štedul</t>
  </si>
  <si>
    <t>098-9919-742</t>
  </si>
  <si>
    <t>marko.stedul@vuka.hr</t>
  </si>
  <si>
    <t>Ivana Meštrovića 10</t>
  </si>
  <si>
    <t>J. J. Strossmayera 9</t>
  </si>
  <si>
    <t>62820859976</t>
  </si>
  <si>
    <t>3795</t>
  </si>
  <si>
    <t>Veleučilište u Virovitici</t>
  </si>
  <si>
    <t>Virovitica</t>
  </si>
  <si>
    <t>Enes Ciriković</t>
  </si>
  <si>
    <t>0989225600</t>
  </si>
  <si>
    <t>enes.cirikovic@vuv.hr</t>
  </si>
  <si>
    <t>Ulica Matije Gupca 78</t>
  </si>
  <si>
    <t>Matije Gupca 78, 33000 Virovitica</t>
  </si>
  <si>
    <t>46576407858</t>
  </si>
  <si>
    <t>Details for Sum of Kom. - Isporuka na lokaciju : 4/7/2026, Tip opreme : Multimedijska oprema - Bežični mikrofonski sustav  (+)</t>
  </si>
  <si>
    <t>ELO</t>
  </si>
  <si>
    <t>531a
531b</t>
  </si>
  <si>
    <t>Multimedijska oprema - Projektor s projekcijskim platnom Tip 3 </t>
  </si>
  <si>
    <t>Trg Republike Hrvatske 5
Frankopanska 22</t>
  </si>
  <si>
    <t>AVC/Senco</t>
  </si>
  <si>
    <t>Multimedijska oprema - Projektor s projekcijskim platnom Tip 2 </t>
  </si>
  <si>
    <t>Frankopanska 22, Zagreb</t>
  </si>
  <si>
    <t>214</t>
  </si>
  <si>
    <t>Akademija likovnih umjetnosti</t>
  </si>
  <si>
    <t>Goran Hoić</t>
  </si>
  <si>
    <t>099/2550-825</t>
  </si>
  <si>
    <t>goran.hoic@alu.unizg.hr</t>
  </si>
  <si>
    <t>Ilica 85</t>
  </si>
  <si>
    <t>95847257607</t>
  </si>
  <si>
    <t xml:space="preserve">Multimedijska oprema - Fotoaparat s opremom </t>
  </si>
  <si>
    <t>152</t>
  </si>
  <si>
    <t>Ekonomski fakultet - Zagreb</t>
  </si>
  <si>
    <t>Davorin Axmann</t>
  </si>
  <si>
    <t>098271569</t>
  </si>
  <si>
    <t>daxmann@efzg.hr</t>
  </si>
  <si>
    <t>Trg Johna Fitzgeralda Kennedyja 6</t>
  </si>
  <si>
    <t>Trg J.F. Kennedyja 6</t>
  </si>
  <si>
    <t>27208467122</t>
  </si>
  <si>
    <t xml:space="preserve">450a
</t>
  </si>
  <si>
    <t>Multimedijska oprema - Projektor s projekcijskim platnom Tip 1 </t>
  </si>
  <si>
    <t>463a
463b</t>
  </si>
  <si>
    <t>Kneza Trpimira 2b, Osijek 2 kom.
Cara Hadrijana 10b, Osijek 1 kom.</t>
  </si>
  <si>
    <t>Prijenosni set za online prijenos i snimanje</t>
  </si>
  <si>
    <t>Ivana Lučića 3, Zagreb</t>
  </si>
  <si>
    <t>208</t>
  </si>
  <si>
    <t>Katolički bogoslovni fakultet u Đakovu</t>
  </si>
  <si>
    <t>Đakovo</t>
  </si>
  <si>
    <t>Marin Ivanišić</t>
  </si>
  <si>
    <t>091 224 3413</t>
  </si>
  <si>
    <t>marin.ivanisic@djkbf.hr</t>
  </si>
  <si>
    <t>P. Preradovića 17</t>
  </si>
  <si>
    <t>Petra Preradovića 17, Đakovo</t>
  </si>
  <si>
    <t>5384220316</t>
  </si>
  <si>
    <t>Drinska 16a, 31000 Osijek</t>
  </si>
  <si>
    <t>Šalata 2</t>
  </si>
  <si>
    <t>?</t>
  </si>
  <si>
    <t xml:space="preserve">453
</t>
  </si>
  <si>
    <t>151</t>
  </si>
  <si>
    <t>Pravni fakultet u Zagrebu</t>
  </si>
  <si>
    <t>Krunoslav Fučkor
Lada Uzorinac</t>
  </si>
  <si>
    <t>091 522 0721 (Krunoslav Fučkor)
091 504 9730 (Lada Uzorinac)</t>
  </si>
  <si>
    <t>krunoslav.fuckor@pravo.hr
lada.uzorinac@pravo.hr</t>
  </si>
  <si>
    <t>Marulićev trg 19,  Zagreb</t>
  </si>
  <si>
    <t>38583303160</t>
  </si>
  <si>
    <t>4497</t>
  </si>
  <si>
    <t>Sveučilište Sjever</t>
  </si>
  <si>
    <t>Koprivnica</t>
  </si>
  <si>
    <t>Branimir Kolman</t>
  </si>
  <si>
    <t>091 244 0130</t>
  </si>
  <si>
    <t>bkolman@unin.hr</t>
  </si>
  <si>
    <t>Trg Dr. Žarka Dolinara 1</t>
  </si>
  <si>
    <t>Ulica 104 brigade 3, VŽ</t>
  </si>
  <si>
    <t>59624928052</t>
  </si>
  <si>
    <t>3990</t>
  </si>
  <si>
    <t>Sveučilište u Dubrovniku</t>
  </si>
  <si>
    <t>Dubrovnik</t>
  </si>
  <si>
    <t>Stjepo Hladilo</t>
  </si>
  <si>
    <t>0919322586</t>
  </si>
  <si>
    <t>stjepo.hladilo@unidu.hr</t>
  </si>
  <si>
    <t>Branitelja Dubrovnika 41</t>
  </si>
  <si>
    <t>Branitelja Dubrovnika 41, Dubrovnik</t>
  </si>
  <si>
    <t>1338491514</t>
  </si>
  <si>
    <t>513a
513b
513c</t>
  </si>
  <si>
    <t>Branitelja Dubrovnika 41, Dubrovnik 3 kom.
Ćira Carića 4, Dubrovnik 1 kom.
Lapadska obala Nojka Marinovića 7, Dubrovnik 2 kom.</t>
  </si>
  <si>
    <t>778a
778b</t>
  </si>
  <si>
    <t>Marko Roža
Jasenko Mandura</t>
  </si>
  <si>
    <t>051/265-873
+385959017650</t>
  </si>
  <si>
    <t>marko.roza@uniri.hr
jasenko.mandura@uniri.hr</t>
  </si>
  <si>
    <t>Radmile Matejčić 2; 51000 Rijeka
Trg braće Mažuranića 10; 51000 Rijeka</t>
  </si>
  <si>
    <t>761a
761b</t>
  </si>
  <si>
    <t>Antonija Žaja Čičak
Petra Musap</t>
  </si>
  <si>
    <t>0914433913
0991639750</t>
  </si>
  <si>
    <t>antonija.zaja@unist.hr
petra.musap@unist.hr</t>
  </si>
  <si>
    <t xml:space="preserve">R. Boškovića 31, Split
</t>
  </si>
  <si>
    <t>Ruđera Boškovića 31, Split
Poljana kraljice Jelene 1, Split</t>
  </si>
  <si>
    <t xml:space="preserve">Ivana Delistović Duić
</t>
  </si>
  <si>
    <t xml:space="preserve">098/654-710
</t>
  </si>
  <si>
    <t xml:space="preserve">idelistov@unizd.hr
</t>
  </si>
  <si>
    <t xml:space="preserve">Dr. Franje Tuđmana 24, 23000 Zadar </t>
  </si>
  <si>
    <t>765a
765b</t>
  </si>
  <si>
    <t>Ulica Radoslava Cimermana 88, 10000 Zagreb
Don Frana Bulića 4, 20000 Dubrovnik (CAAS)</t>
  </si>
  <si>
    <t xml:space="preserve">Filip Samoščanec
</t>
  </si>
  <si>
    <t xml:space="preserve">0993047438
</t>
  </si>
  <si>
    <t xml:space="preserve">filip.samoscanec@tvz.hr
</t>
  </si>
  <si>
    <t>Konavoska 2</t>
  </si>
  <si>
    <t>Igor Paljug</t>
  </si>
  <si>
    <t>+385 95 245 6555</t>
  </si>
  <si>
    <t xml:space="preserve">igor.paljug@tvz.hr
</t>
  </si>
  <si>
    <t>Holjevčeva 15</t>
  </si>
  <si>
    <t>Prilaz baruna Filipovića 28a</t>
  </si>
  <si>
    <t>Stjepan Šalković</t>
  </si>
  <si>
    <t>091/7895599</t>
  </si>
  <si>
    <t>stjepan.salkovic@vhzk.hr</t>
  </si>
  <si>
    <t>Šetalište hrv. nar. prep. 6 (SŠ  Krapina)</t>
  </si>
  <si>
    <t>Details for Sum of Kom. - Isporuka na lokaciju : 4/13/2026, Tip opreme : Multimedijska oprema - Bežični mikrofonski sustav  (+)</t>
  </si>
  <si>
    <t>Multimedijska oprema - Kamera</t>
  </si>
  <si>
    <t>Multimedijska oprema - Bežični mikrofonski sustav </t>
  </si>
  <si>
    <t>Multimedijska oprema - Rasvjeta </t>
  </si>
  <si>
    <t>Multimedijska oprema - Mali stalak za kameru</t>
  </si>
  <si>
    <t>L</t>
  </si>
  <si>
    <t>Ulica Petra Preradovića 15, Varaždin</t>
  </si>
  <si>
    <t>182</t>
  </si>
  <si>
    <t>Metalurški fakultet</t>
  </si>
  <si>
    <t>Sisak</t>
  </si>
  <si>
    <t>Goran Šljivić</t>
  </si>
  <si>
    <t>0981785148</t>
  </si>
  <si>
    <t>sljivic@simet.hr</t>
  </si>
  <si>
    <t>Aleja Narodnih Heroja 3</t>
  </si>
  <si>
    <t>Sisak, Aleja narodnih heroja 3</t>
  </si>
  <si>
    <t>48006703414</t>
  </si>
  <si>
    <t>Albert Oswald</t>
  </si>
  <si>
    <t> +385912241400</t>
  </si>
  <si>
    <t>oswald@unios.hr</t>
  </si>
  <si>
    <t>Trg. Sv. Trojstva 3</t>
  </si>
  <si>
    <t>Unin 3 - Ulica Jurja Križanića 31 b, VŽ</t>
  </si>
  <si>
    <t>217a
217b</t>
  </si>
  <si>
    <t>Nikola Marijanović
Branimir Kolman</t>
  </si>
  <si>
    <t>0994028339
091 244 0130</t>
  </si>
  <si>
    <t>nmarijanovic@unin.hr
bkolman@unin.hr</t>
  </si>
  <si>
    <t>Trg dr. Žarka dolinara 1, Koprivnica  3 kom.
Ulica 104 brigade 3, VŽ  3 kom.</t>
  </si>
  <si>
    <t>051/265-884</t>
  </si>
  <si>
    <t xml:space="preserve">Radmile Matejčić 2; 51000 Rijeka  </t>
  </si>
  <si>
    <t>662a
662b
662c
662d
662e</t>
  </si>
  <si>
    <t>Leida Rizvan
Dalibor Bulić
Maja Krželj
Prosper Radonić
Ivan Vuko</t>
  </si>
  <si>
    <t>0914433905
021 564815, 0915462104
0913344165
0995556003
0914348101</t>
  </si>
  <si>
    <t>leida.rizvan@unist.hr
dalibor.bulic@fzz.unist.hr
maja.krzelj@more.unist.hr
pradonic@medils.unist.hr
ivan.vuko@svkst.hr</t>
  </si>
  <si>
    <t>Ruđera Boškovića 31, Split 2 kom.
Ruđera Boškovića 35, Split 1 kom.
Ruđera Boškovića 31, Split, 1 kom.
Meštrovićevo šetalište 45, Split 1 kom.
Ruđera Boškovića 31, Split, 1 kom.</t>
  </si>
  <si>
    <t>421a
421b
421c</t>
  </si>
  <si>
    <t>Petra Marić
Petra Musap
Mirko Šalinović</t>
  </si>
  <si>
    <t>0913210792
0991639750
O98 9895758</t>
  </si>
  <si>
    <t>pmaric@unist.hr
petra.musap@unist.hr
msalinovic@unist.hr</t>
  </si>
  <si>
    <t>Ruđera Boškovića 31, Split 1 kom.
Poljana kraljice Jelene 1, Split  2 kom.
Franjevački put 1, Makarska  1 kom.</t>
  </si>
  <si>
    <t>665a
665b</t>
  </si>
  <si>
    <t>Ulica Radoslava Cimermana 88, 10000 Zagreb</t>
  </si>
  <si>
    <t>187</t>
  </si>
  <si>
    <t>Učiteljski fakultet, Zagreb</t>
  </si>
  <si>
    <t>Sandi Homolak (Zagreb)</t>
  </si>
  <si>
    <t>091 619 5223</t>
  </si>
  <si>
    <t>informatika.zagreb@ufzg.hr</t>
  </si>
  <si>
    <t>Savska cesta 77, 10000 Zagreb</t>
  </si>
  <si>
    <t>72226488129</t>
  </si>
  <si>
    <t>530</t>
  </si>
  <si>
    <t>Veleučilište "Marko Marulić" u Kninu</t>
  </si>
  <si>
    <t>Knin</t>
  </si>
  <si>
    <t>Marko Meštrović</t>
  </si>
  <si>
    <t>022/664-451</t>
  </si>
  <si>
    <t>mmestrovic@veleknin.hr</t>
  </si>
  <si>
    <t>Krešimirova 30</t>
  </si>
  <si>
    <t>Krešimirova 30, Knin</t>
  </si>
  <si>
    <t>13664089430</t>
  </si>
  <si>
    <t>Ozren Digula, Kristijan Zbiljski</t>
  </si>
  <si>
    <t>0914595855, 0914595858</t>
  </si>
  <si>
    <t>ozren.digula@zvu.hr, kristijan.zbiljski@zvu.hr</t>
  </si>
  <si>
    <t>(All)</t>
  </si>
  <si>
    <t>Sum of Kom.</t>
  </si>
  <si>
    <t>Column Labels</t>
  </si>
  <si>
    <t>Row Labels</t>
  </si>
  <si>
    <t>(blank)</t>
  </si>
  <si>
    <t>Grand Total</t>
  </si>
  <si>
    <t>Akademija za umjetnost i kulturu u Osijeku</t>
  </si>
  <si>
    <t>Građevinski i arhitektonski fakultet Osijek</t>
  </si>
  <si>
    <t>Agronomski fakultet</t>
  </si>
  <si>
    <t>Fakultet strojarstva i brodogradnje</t>
  </si>
  <si>
    <t>Komentar</t>
  </si>
  <si>
    <t>Studio za snimanje Tip-A</t>
  </si>
  <si>
    <t>Savska cesta 41, zgrada Zagrepčanka, 2.kat</t>
  </si>
  <si>
    <t>Studio za snimanje Tip-A s blesimetrom</t>
  </si>
  <si>
    <t>72a
72b</t>
  </si>
  <si>
    <t>Ivan Nimac
Ivana Delistović Duić</t>
  </si>
  <si>
    <t>095/826-5888
098/654-710</t>
  </si>
  <si>
    <t>inimac@unizd.hr
idelistov@unizd.hr</t>
  </si>
  <si>
    <t>Obala kralja Petra Krešimira IV. Br. 2, 23000 Zadar 1 kom.
Dr. Franje Tuđmana 24, 23000 Zadar 1 kom.</t>
  </si>
  <si>
    <t>Krešimirova 20, Knin</t>
  </si>
  <si>
    <t>75a
75b</t>
  </si>
  <si>
    <t>Trg dr. Žarka dolinara 1, Koprivnica   1 kom.
Ulica Jurja Križanića 31b, Varaždin  1 kom.</t>
  </si>
  <si>
    <t>Studio za snimanje Tip-B1</t>
  </si>
  <si>
    <t>AVC</t>
  </si>
  <si>
    <t>Zvonimir Adamović</t>
  </si>
  <si>
    <t>098/445-233</t>
  </si>
  <si>
    <t>zadamovic@unizd.hr</t>
  </si>
  <si>
    <t>Dr. A. Starčevića 12, 53000 Gospić</t>
  </si>
  <si>
    <t>Studio za snimanje Tip-B2</t>
  </si>
  <si>
    <t xml:space="preserve">Ivan Rajković
</t>
  </si>
  <si>
    <t xml:space="preserve">+385998153651
</t>
  </si>
  <si>
    <t xml:space="preserve">ivan.rajkovic@tvz.hr
</t>
  </si>
  <si>
    <t>Krešimir Pinjatela</t>
  </si>
  <si>
    <t>091/558-1986</t>
  </si>
  <si>
    <t>kpinjatel22@unizd.hr</t>
  </si>
  <si>
    <t>Trg kneza Višeslava 9, 23000 Zadar</t>
  </si>
  <si>
    <t>180</t>
  </si>
  <si>
    <t>Andrija Levanić</t>
  </si>
  <si>
    <t>091 6168 288</t>
  </si>
  <si>
    <t>andrija.levanic@fsb.unizg.hr</t>
  </si>
  <si>
    <t>Ulica Ivana Lučića 5</t>
  </si>
  <si>
    <t>Ivana Lučića 5 (istočna zgrada)</t>
  </si>
  <si>
    <t>22910368449</t>
  </si>
  <si>
    <t xml:space="preserve">Petra Musap
</t>
  </si>
  <si>
    <t xml:space="preserve">0991639750
</t>
  </si>
  <si>
    <t xml:space="preserve">petra.musap@unist.hr
</t>
  </si>
  <si>
    <t>Hrvojeva 2, samo isporuka nema montaže</t>
  </si>
  <si>
    <t>Teslina 12</t>
  </si>
  <si>
    <t>Nikola Marijanović</t>
  </si>
  <si>
    <t xml:space="preserve">0994028339
</t>
  </si>
  <si>
    <t>nmarijanovic@unin.hr</t>
  </si>
  <si>
    <t>Trg dr. Žarka dolinara 1, Koprivnica</t>
  </si>
  <si>
    <t>3927</t>
  </si>
  <si>
    <t>Luka Cvenić</t>
  </si>
  <si>
    <t>099 312 6187</t>
  </si>
  <si>
    <t>luka.cvenic@aukos.hr</t>
  </si>
  <si>
    <t>Ulica Kralja Petra Svačića 1F</t>
  </si>
  <si>
    <t>Trg Sv. Trojstva 3, Osijek</t>
  </si>
  <si>
    <t>60277424315</t>
  </si>
  <si>
    <t xml:space="preserve">Albert Oswald
</t>
  </si>
  <si>
    <t xml:space="preserve">+385912241400
</t>
  </si>
  <si>
    <t xml:space="preserve">oswald@unios.hr
</t>
  </si>
  <si>
    <t>113a
113b
113c
113d
113e</t>
  </si>
  <si>
    <t>Ivan Rajković
Nenad Habek
Filip Samoščanec
Igor Paljug
Barbara Idžan</t>
  </si>
  <si>
    <t>+385998153651
+385911316382
0993047438
+385 95 245 6555
+385 99 529 0050</t>
  </si>
  <si>
    <t>ivan.rajkovic@tvz.hr
nenad.habek@tvz.hr
filip.samoscanec@tvz.hr
igor.paljug@tvz.hr
barbara.idzan@tvz.hr</t>
  </si>
  <si>
    <t>Vrbik 8 2 kom.
Borongajska 83E 1 kom.
Konavoska 2 1 kom.
Holjevčeva 15 1 kom.
Brozova 6a 1 kom.</t>
  </si>
  <si>
    <t>Obala kralja Petra Krešimira IV. Br. 2, 23000 Zadar, ID-215</t>
  </si>
  <si>
    <t>123a
123b
123c
123d
123e</t>
  </si>
  <si>
    <t>Maja Krželj
Marin Gudelj
Ivan Tavra
Petra Musap
Mirko Šalinović</t>
  </si>
  <si>
    <t>0911556771
0913344165
097 6063920
0991639750
O98 9895758</t>
  </si>
  <si>
    <t>maja.krzelj@more.unist.hr
marin@oss.unist.hr
itavra@unist.hr
petra.musap@unist.hr
msalinovic@unist.hr</t>
  </si>
  <si>
    <t>Ruđera Boškovića 31, Split 1 kom.
Kopilica 21, Split  1 kom.
Zrinsko Frankopanska 38, Split 1 kom.
Poljana kraljice Jelene 1, Split  2 kom.
Franjevački put 1, Makarska  1 kom.</t>
  </si>
  <si>
    <t>Fausta Vrančića 17A</t>
  </si>
  <si>
    <t>J. Knifera 1 ( bivša K.P. Svačića 1/f, Osijek)</t>
  </si>
  <si>
    <t xml:space="preserve">Radmile Matejčić 2; 51000 Rijeka </t>
  </si>
  <si>
    <t>143a
143b</t>
  </si>
  <si>
    <t>Sandi Homolak (Zagreb)
Igor Šalamun (Čakovec)</t>
  </si>
  <si>
    <t>091 619 5223
091 5011 277</t>
  </si>
  <si>
    <t>informatika.zagreb@ufzg.hr
igor.salamun@ufzg.hr</t>
  </si>
  <si>
    <t>Savska Cesta 77</t>
  </si>
  <si>
    <t>Savska cesta 77, 10000 Zagreb
Ul. dr. Ante Starčevića 55, 40000, Čakovec</t>
  </si>
  <si>
    <t>145a
145b
145c</t>
  </si>
  <si>
    <t>Tatjana Šajatović
Tomica Bunjevac
Albert Oswald</t>
  </si>
  <si>
    <t xml:space="preserve"> +38598871499
+385913568984
+385912241400</t>
  </si>
  <si>
    <t>tsajatovic@kemija.unios.hr
tbunjevac@fizika.unios.hr
oswald@unios.hr</t>
  </si>
  <si>
    <t>Cara Hadrijana 8/A 1 kom.
 Trg Ljudevita Gaja 6. 1 kom.
Trg Sv. Trojstva 3. 1 kom.</t>
  </si>
  <si>
    <t>Prezentacijska dvorana Tip-A</t>
  </si>
  <si>
    <t>160a
160b</t>
  </si>
  <si>
    <t>Vrbik - Hrvoje Matešić
Konavoska - Filip Samoščnaec</t>
  </si>
  <si>
    <t>+385992692210 - Hrvoje
0993047438 Filip</t>
  </si>
  <si>
    <t>hrvoje.matesic@tvz.hr
filip.samoscanec@tvz.hr</t>
  </si>
  <si>
    <t xml:space="preserve">Vrbik 8 5 kom
Konavoska 2  5 kom. </t>
  </si>
  <si>
    <t>161a
161b
161c</t>
  </si>
  <si>
    <t>Ivan Nimac
Ivana Delistović Duić
Ivan Nimac</t>
  </si>
  <si>
    <t>095/826-5888
098/654-710
095/826-5888</t>
  </si>
  <si>
    <t>inimac@unizd.hr
idelistov@unizd.hr
inimac@unizd.hr</t>
  </si>
  <si>
    <t>Obala kralja Petra Krešimira IV. Br. 2, 23000 Zadar 2 kom.
Dr. Franje Tuđmana 24, 23000 Zadar 1 kom.
Mihovila Pavlinovića 1, 23000 Zadar 1 kom.</t>
  </si>
  <si>
    <t>Ante Kovačića 1</t>
  </si>
  <si>
    <t>167a
167b</t>
  </si>
  <si>
    <t>Marko Pilić / Josip Crnjac
Mirko Šalinović</t>
  </si>
  <si>
    <t>0919840020 (Pilić), 0981980136 (Crnjac)
O98 9895758</t>
  </si>
  <si>
    <t>mpilic@forenzika.unist.hr, jcrnjac@forenzika.unist.hr
msalinovic@unist.hr</t>
  </si>
  <si>
    <t>Franjevački put 1, Makarska
Ruđera Boškovića 33, Split</t>
  </si>
  <si>
    <t>Trg I.B.Mažuranić 2</t>
  </si>
  <si>
    <t>202</t>
  </si>
  <si>
    <t>Juaj Mihanović</t>
  </si>
  <si>
    <t>098 9684 080</t>
  </si>
  <si>
    <t>jmihanovic@agr.hr</t>
  </si>
  <si>
    <t>Svetošimunska Cesta 25</t>
  </si>
  <si>
    <t>Svetošimunska 25</t>
  </si>
  <si>
    <t>76023745044</t>
  </si>
  <si>
    <t>179a
179b</t>
  </si>
  <si>
    <t>Albert Oswald
Tomica Bunjevac</t>
  </si>
  <si>
    <t>+385912241400
+385913568984</t>
  </si>
  <si>
    <t>oswald@unios.hr
tbunjevac@fizika.unios.hr</t>
  </si>
  <si>
    <t>Trg. Sv. Trojstva 3  4 kom.
Trg Ljudevita Gaja 6  1 kom.</t>
  </si>
  <si>
    <t>Rade Lukić</t>
  </si>
  <si>
    <t>091 2241 511</t>
  </si>
  <si>
    <t>rade.lukic@fdmz.hr</t>
  </si>
  <si>
    <t>Bana J. Jelačića 19A, Orahovica</t>
  </si>
  <si>
    <t>Prezentacijska dvorana Tip-B</t>
  </si>
  <si>
    <t>186a
186b</t>
  </si>
  <si>
    <t>Branitelja Dubrovnika 41, Dubrovnik 7 kom.
Lapadska obala Nojka Marinovića 7, Dubrovnik 2 kom.</t>
  </si>
  <si>
    <t>Mario Dakić</t>
  </si>
  <si>
    <t>385912524419</t>
  </si>
  <si>
    <t xml:space="preserve">mdakic@geog.pmf.hr
</t>
  </si>
  <si>
    <t>Trg Marka Marulića 19/II</t>
  </si>
  <si>
    <t xml:space="preserve">Linda Petričić, Nicole Tomišić </t>
  </si>
  <si>
    <t>091 165 1207, 0922875203</t>
  </si>
  <si>
    <t>ntomisic@fdmri.uniri.hr linda.petricic@fdmri.uniri.hr</t>
  </si>
  <si>
    <t>Krešimirova 40/42, 51000 Rijeak</t>
  </si>
  <si>
    <t>198a
198b</t>
  </si>
  <si>
    <t>Drinska 16a, 31000 Osijek 2 kom.
Woodrova Wilsona 2, 31000 Osijek 1 kom.</t>
  </si>
  <si>
    <t>199a
199b
199c</t>
  </si>
  <si>
    <t>Albert Oswald
Tomica Bunjevac
Tatjana Šajatović</t>
  </si>
  <si>
    <t>+385912241400
+385913568984
+38598871499</t>
  </si>
  <si>
    <t>oswald@unios.hr
tbunjevac@fizika.unios.hr
tsajatovic@kemija.unios.hr</t>
  </si>
  <si>
    <t xml:space="preserve">Trg. Sv. Trojstva 3  3 kom.
Trg Ljudevita Gaja 6  4 kom.
Cara Hadrijana 8/A  3 kom. </t>
  </si>
  <si>
    <t>Multimedijska oprema - PTZ Kamera</t>
  </si>
  <si>
    <t>232a
232b
232c</t>
  </si>
  <si>
    <t>Leida Rizvan
Dalibor Bulić
Petra Musap</t>
  </si>
  <si>
    <t>0914433905
021 564815, 0915462104
0991639750</t>
  </si>
  <si>
    <t>leida.rizvan@unist.hr
dalibor.bulic@fzz.unist.hr
petra.musap@unist.hr</t>
  </si>
  <si>
    <t>Ruđera Boškovića 31, Split¸ 4 kom.
Ruđera Boškovića 35, Split¸ 1 kom.
Poljana kraljice Jelene 1, Split  1 kom.</t>
  </si>
  <si>
    <t>236a
236b</t>
  </si>
  <si>
    <t>242a
242b</t>
  </si>
  <si>
    <t>Trg Republike Hrvatske 5, Zagreb
Frankopanska 22, Zagreb</t>
  </si>
  <si>
    <t>250a
250b</t>
  </si>
  <si>
    <t>Jasenko Mandura
Aleksandar Živanović</t>
  </si>
  <si>
    <t>+385959017650
0989616845</t>
  </si>
  <si>
    <t>jasenko.mandura@uniri.hr
aleksandar.zivanovic@uniri.hr</t>
  </si>
  <si>
    <t>Trg braće Mažuranića 10; 51000 Rijeka 3 kom.
Palača Moise; Zagrad 6; 51557 Cres 2 kom.</t>
  </si>
  <si>
    <t>Rijeka, B. Branchetta 20
ima dva kontakta nije greška, jedna je adresa</t>
  </si>
  <si>
    <t>Multimedijska oprema - Usmjereni/shotgun mikrofon </t>
  </si>
  <si>
    <t>272a
272b</t>
  </si>
  <si>
    <t>Matija Prahin</t>
  </si>
  <si>
    <t>385919845267</t>
  </si>
  <si>
    <t>mprahin@arhitekt.hr</t>
  </si>
  <si>
    <t>286a
286b</t>
  </si>
  <si>
    <t>Drinska 16a, 31000 Osijek
Woodrova Wilsona 2, 31000 Osijek</t>
  </si>
  <si>
    <t>Multimedijska oprema - Telepromter </t>
  </si>
  <si>
    <t>Petra Marić</t>
  </si>
  <si>
    <t>0913210792</t>
  </si>
  <si>
    <t>pmaric@unist.hr</t>
  </si>
  <si>
    <t>306a
396b</t>
  </si>
  <si>
    <t>Trg dr. Žarka dolinara 1, Koprivnica  1 kom.
Ulica 104 brigade 3, VŽ  2 kom.</t>
  </si>
  <si>
    <t>Multimedijska oprema - Memorijski prijenosni set </t>
  </si>
  <si>
    <t>5499</t>
  </si>
  <si>
    <t>Krešimir Pavelić, univ. mag .ing. comp.</t>
  </si>
  <si>
    <t>385912240766</t>
  </si>
  <si>
    <t>kreso@gfos.hr</t>
  </si>
  <si>
    <t>Ulica Vladimira Preloga 3</t>
  </si>
  <si>
    <t>Ulica Vladimira Preloga 3, 31000, Osijek</t>
  </si>
  <si>
    <t>4150850819</t>
  </si>
  <si>
    <t>331a
331b
331c</t>
  </si>
  <si>
    <t>Ruđera Boškovića 31, Split 2 kom.
Poljana kraljice Jelene 1, Split  3 kom.
Franjevački put 1, Makarska  1 kom.</t>
  </si>
  <si>
    <t>337a
337b</t>
  </si>
  <si>
    <t>Glagoljaška 18a, Gripe
Fausta Vrančića 19</t>
  </si>
  <si>
    <t>Vukovarska 39, Zagrebž</t>
  </si>
  <si>
    <t>350a
350b</t>
  </si>
  <si>
    <t>Trg dr. Žarka dolinara 1, Koprivnica 8 kom.
Ulica 104 brigade 3, VŽ 5 kom.</t>
  </si>
  <si>
    <t xml:space="preserve">Barbara Šestan 
</t>
  </si>
  <si>
    <t xml:space="preserve">051584884 
</t>
  </si>
  <si>
    <t xml:space="preserve">barbara.sestan@uniri.hr
</t>
  </si>
  <si>
    <t>362a
362b</t>
  </si>
  <si>
    <t>Tomica Bunjevac
Albert Oswald</t>
  </si>
  <si>
    <t xml:space="preserve"> +385913568984
+385912241400</t>
  </si>
  <si>
    <t>tbunjevac@fizika.unios.hr
oswald@unios.hr</t>
  </si>
  <si>
    <t xml:space="preserve"> Trg Ljudevita Gaja 6 6 kom.
Trg. Sv. Trojstva 3 2 kom.</t>
  </si>
  <si>
    <t>Multimedijska oprema - Podcast mikrofon </t>
  </si>
  <si>
    <t>386a
386b</t>
  </si>
  <si>
    <t>Petra Marić
Petra Musap</t>
  </si>
  <si>
    <t>0913210792
0991639750</t>
  </si>
  <si>
    <t>pmaric@unist.hr
petra.musap@unist.hr</t>
  </si>
  <si>
    <t>Ruđera Boškovića 31, Split 1 kom.
Poljana kraljice Jelene 1, Split  3 kom.</t>
  </si>
  <si>
    <t>400a
400b</t>
  </si>
  <si>
    <t>Linda Petričić, Nicole Tomišić 
Danka Jurjević</t>
  </si>
  <si>
    <t>091 165 1207, 0922875203
0922875203</t>
  </si>
  <si>
    <t>ntomisic@fdmri.uniri.hr linda.petricic@fdmri.uniri.hr
danka.jurjevic@uniri.hr</t>
  </si>
  <si>
    <t>Krešimirova 40/42, 51000 Rijeak 7 kom.
Radmile Matejčić 2; 51000 Rijeka 3 kom.</t>
  </si>
  <si>
    <t>443a
443b</t>
  </si>
  <si>
    <t>Branitelja Dubrovnika 41, Dubrovnik 2 kom.
Ćira Carića 4, Dubrovnik 5 kom.</t>
  </si>
  <si>
    <t>Stjepana Radića 13</t>
  </si>
  <si>
    <t xml:space="preserve">450b
</t>
  </si>
  <si>
    <t>Matije Gupca 24</t>
  </si>
  <si>
    <t>456a
456b</t>
  </si>
  <si>
    <t>Trg dr. Žarka dolinara 1, Koprivnica  4 kom.
Ulica 104 brigade 3, VŽ  4 kom.</t>
  </si>
  <si>
    <t>457a
457b</t>
  </si>
  <si>
    <t>Danka Jurjević
Aleksandar Živanović</t>
  </si>
  <si>
    <t>051/265-884
0989616845</t>
  </si>
  <si>
    <t>danka.jurjevic@uniri.hr
aleksandar.zivanovic@uniri.hr</t>
  </si>
  <si>
    <t>Radmile Matejčić 2; 51000 Rijeka 2 kom.
Palača Moise; Zagrad 6; 51557 Cres 1 kom.</t>
  </si>
  <si>
    <t>464a
464b</t>
  </si>
  <si>
    <t>Ilica 85  5 kom. 
Zamenhofova 14 1 kom.</t>
  </si>
  <si>
    <t>486a
486b
486c
486d</t>
  </si>
  <si>
    <t>Marko Pilić / Josip Crnjac
Maja Krželj
Marin Gudelj
Romaldo Singolo / Danijel Bartulović</t>
  </si>
  <si>
    <t>0919840020 (Pilić), 0981980136 (Crnjac)
0911556771
0913344165
0911559622(Singolo), 0992127517(Bartulović)</t>
  </si>
  <si>
    <t>mpilic@forenzika.unist.hr, jcrnjac@forenzika.unist.hr
maja.krzelj@more.unist.hr
marin@oss.unist.hr
romaldo.singolo@pfst.hr, dbartulovic@pfst.hr</t>
  </si>
  <si>
    <t>Ruđera Boškovića 33, Split 3 kom.
Ruđera Boškovića 37, Split 3 kom.
Kopilica 21, Split 4 kom.
Ruđera Boškovića 33, Split 2 kom.</t>
  </si>
  <si>
    <t>490a
490b</t>
  </si>
  <si>
    <t>Zagrebačka 3
Glagoljaška 18a, Gripe</t>
  </si>
  <si>
    <t>Kneza Trpimira 2b, Osijek</t>
  </si>
  <si>
    <t>511a
511b</t>
  </si>
  <si>
    <t>Teo Brusić, Zoran Vučinić
Sanjin Kučar</t>
  </si>
  <si>
    <t>098/338-182, 091/1651-230
091/447-8437</t>
  </si>
  <si>
    <t>teo.brusic@medri.uniri.hr, zoran.vucinic@medri.uniri.hr
Sanjin.kucar@kbc-rijeka.hr</t>
  </si>
  <si>
    <t>Rijeka, B. Branchetta 20 4 kom.
KBCRI lokacija Rijeka, 1 komad</t>
  </si>
  <si>
    <t>528a
528b</t>
  </si>
  <si>
    <t>Leida Rizvan
Marin Gudelj</t>
  </si>
  <si>
    <t>0914433905
0913344165</t>
  </si>
  <si>
    <t>leida.rizvan@unist.hr
marin@oss.unist.hr</t>
  </si>
  <si>
    <t>Ruđera Boškovića 31, Split  1 kom.
Kopilica 21, Split 1 kom.</t>
  </si>
  <si>
    <t>Ulica 108. brigade ZNG 32</t>
  </si>
  <si>
    <t>Preradovićeva 30, Pula</t>
  </si>
  <si>
    <t>Trg. Sv. Trojstva 3.</t>
  </si>
  <si>
    <t xml:space="preserve">Multimedijska oprema - Veliki stalak za kameru ili telepromter </t>
  </si>
  <si>
    <t>Ćira Carića 4, Dubrovnik</t>
  </si>
  <si>
    <t>570a
570b
570c</t>
  </si>
  <si>
    <t>Marin Gudelj
Dalibor Bulić
Petra Musap</t>
  </si>
  <si>
    <t>0913344165
021 564815, 0915462104
0991639750</t>
  </si>
  <si>
    <t>marin@oss.unist.hr
dalibor.bulic@fzz.unist.hr
petra.musap@unist.hr</t>
  </si>
  <si>
    <t>Kopilica 21, Split 1 kom.
Ruđera Boškovića 35, Split¸ 1 kom.
Poljana kraljice Jelene 1, Split  1 kom.</t>
  </si>
  <si>
    <t>1</t>
  </si>
  <si>
    <t>Greška dvije 2a i 2b ELO, potpisane i predane, trebala je biti jedna</t>
  </si>
  <si>
    <t>63a
63b</t>
  </si>
  <si>
    <t>Nikola Kaniški
Stjepan Šalković</t>
  </si>
  <si>
    <t>099/5246985
091/7895599</t>
  </si>
  <si>
    <t>nikola.kaniski@vhzk.hr
stjepan.salkovic@vhzk.hr</t>
  </si>
  <si>
    <t>Trg S. Radića 8
Šetalište hrv. nar. prep. 6 (SŠ  Krapina)</t>
  </si>
  <si>
    <t>R. Boškovića 31, Split</t>
  </si>
  <si>
    <t>Zrinsko-Frankopanska 19</t>
  </si>
  <si>
    <t>Zrinsko-Frankopanska 19, Split</t>
  </si>
  <si>
    <t>Details for Sum of Kom. - Isporuka na lokaciju : 3/23/2026, Tip opreme : Cjelovito rješenje za simultano prevođenje (+)</t>
  </si>
  <si>
    <t xml:space="preserve">384a
384b
</t>
  </si>
  <si>
    <t>Multimedijska oprema - Prezentacijski ekran (s uključenim stalkom) </t>
  </si>
  <si>
    <t>Ilica 85  6 kom. 
Zamenhofova 14  1 kom.</t>
  </si>
  <si>
    <t>Multimedijska oprema - Motorizirani stalak za zaslone </t>
  </si>
  <si>
    <t>351a
351b</t>
  </si>
  <si>
    <t>Cara Hadrijana 10E</t>
  </si>
  <si>
    <t>Schrottova 39</t>
  </si>
  <si>
    <t>Trg Svetog Trojstva 3</t>
  </si>
  <si>
    <t>Krunoslav Fučkor</t>
  </si>
  <si>
    <t>091 522 0721</t>
  </si>
  <si>
    <t>krunoslav.fuckor@pravo.hr</t>
  </si>
  <si>
    <t>PMF, Odjel za geografiju, Marulićev trg 19 Zagreb</t>
  </si>
  <si>
    <t xml:space="preserve">380a
380b
</t>
  </si>
  <si>
    <t>Tatjana Šajatović
Tomica Bunjevac</t>
  </si>
  <si>
    <t xml:space="preserve"> +38598871499
+385913568984</t>
  </si>
  <si>
    <t>tsajatovic@kemija.unios.hr
tbunjevac@fizika.unios.hr</t>
  </si>
  <si>
    <t>Cara Hadrijana 8/A 1x kom KEMIJA Kampus
 Trg Ljudevita Gaja 6. 2x kom FIZIKA</t>
  </si>
  <si>
    <t xml:space="preserve">336a
336b
336c
</t>
  </si>
  <si>
    <t>Tatjana Šajatović
Mario Dunić
Albert Oswald</t>
  </si>
  <si>
    <t xml:space="preserve"> +38598871499
+385989345208
+385912241400</t>
  </si>
  <si>
    <t>tsajatovic@kemija.unios.hr
mdunic@biologija.unios.hr
oswald@unios.hr</t>
  </si>
  <si>
    <t>Cara Hadrijana 8/A 2x kom KEMIJA Kampus
Cara Hadrijana 8/A 2x kom BIOLOGIJA Kampus
Trg Sv. Trojstva 3. 5x kom Rektorat</t>
  </si>
  <si>
    <t>376a
376b
376c</t>
  </si>
  <si>
    <t>Alda Negrija 6    4 om.
Preradovićeva 30  1 kom.
Zagrebačka 30  1 kom.</t>
  </si>
  <si>
    <t>331a
331b
331c
331d</t>
  </si>
  <si>
    <t>Alda Negrija 6   10 kom.
Preradovićeva 30  2 kom.
Zagrebačka 30  2  kom.
Rovinjska 14  1 kom.</t>
  </si>
  <si>
    <t>Radmile Matejčić 2; 51000 Rijeka 1 kom.</t>
  </si>
  <si>
    <t>333a
333b
333c</t>
  </si>
  <si>
    <t>Aleksandar Živanović
Marko Roža
Jasenko Mandura</t>
  </si>
  <si>
    <t>0989616845
051/265-873
+385959017650</t>
  </si>
  <si>
    <t>aleksandar.zivanovic@uniri.hr
marko.roza@uniri.hr
jasenko.mandura@uniri.hr</t>
  </si>
  <si>
    <t>Palača Moise; Zagrad 6; 51557 Cres 1 kom.
Radmile Matejčić 10;  51000 Rijeka 13 kom.
Trg braće Mažuranića 10; 51000 Rijeka 1 kom.</t>
  </si>
  <si>
    <t xml:space="preserve"> Ivana Gundulića 20A</t>
  </si>
  <si>
    <t>362a
362b
362c
362d</t>
  </si>
  <si>
    <t>Marin Gudelj
Dalibor Bulić
Petra Musap
Ivan Vuko</t>
  </si>
  <si>
    <t>0913344165
021 564815, 0915462104
0991639750
0914348101</t>
  </si>
  <si>
    <t>marin@oss.unist.hr
dalibor.bulic@fzz.unist.hr
petra.musap@unist.hr
ivan.vuko@svkst.hr</t>
  </si>
  <si>
    <t>Kopilica 21, Split 1 kom.
Ruđera Boškovića 35, Split   2 kom.
Poljana kraljice Jelene 1, Split
Ruđera Boškovića 31, Split  5 kom.</t>
  </si>
  <si>
    <t>315a
315b
315c
315d</t>
  </si>
  <si>
    <t xml:space="preserve">Petra Marić
Dalibor Bulić
Maja Krželj
Ivan Tavra
</t>
  </si>
  <si>
    <t>0913210792
021 564815, 0915462104
0911556771
097 6063920</t>
  </si>
  <si>
    <t>pmaric@unist.hr
dalibor.bulic@fzz.unist.hr
maja.krzelj@more.unist.hr
itavra@unist.hr</t>
  </si>
  <si>
    <t>Ruđera Boškovića 31, Split   1 kom.
Ruđera Boškovića 35, Split  1 kom.
Ruđera Boškovića 37, Split  3 kom.
Zrinsko Frankopanska 38, Split  1 kom.</t>
  </si>
  <si>
    <t>308a
308b
308c
308d</t>
  </si>
  <si>
    <t>Ivan Nimac
Ivana Delistović Duić
Krešimir Pinjatela
Zvonimir Adamović</t>
  </si>
  <si>
    <t>095/826-5888
098/654-710
091/558-1986
098/445-233</t>
  </si>
  <si>
    <t>inimac@unizd.hr
idelistov@unizd.hr
kpinjatel22@unizd.hr
zadamovic@unizd.hr</t>
  </si>
  <si>
    <t>Obala kralja Petra Krešimira IV. Br. 2, 23000 Zadar -4  kom.
Dr. Franje Tuđmana 24, 23000 Zadar - 2 kom.
Splitska 1, 23000 Zadar 1 kom.
Dr. A. Starčevića 12, 53000 Gospić 1 kom.</t>
  </si>
  <si>
    <t xml:space="preserve">318a
318b
</t>
  </si>
  <si>
    <t>Ulica Radoslava Cimermana 88, 10000 Zagreb 2 kom.
Don Frana Bulića 4, 20000 Dubrovnik (CAAS) 3 kom.</t>
  </si>
  <si>
    <t xml:space="preserve">351
</t>
  </si>
  <si>
    <t>319a
319b</t>
  </si>
  <si>
    <t>Marulićev trg 19 Zagreb  13 kom..
Trg Republike Hrvatske 3, Zagreb  3 kom.</t>
  </si>
  <si>
    <t>374a
374b</t>
  </si>
  <si>
    <t>Trg dr. Žarka dolinara 1, Koprivnica 5kom.
Ulica 104 brigade 3, VŽ 5 kom. 5 kom.</t>
  </si>
  <si>
    <t>363a
363b
363c
363d
363e
363f
363g
363h</t>
  </si>
  <si>
    <t>Trg I.B.Mažuranić 2, 4 kom.
Ivana Gundulića 20A, 3 kom.
Ivana Gundulića 20, 2 kom.
Zgrada 4, Matije Gupca 24, 2 kom.
Zgrada 7, Ulica 108. brigade ZNG 20, 1kom.
Zgrada 7, Ulica 108. brigade ZNG 28, 1 kom.
Zgrada 7, Ulica 108. brigade ZNG 32, 3 kom.
Zgrada 7, Ulica 108. brigade ZNG 36, 2 kom.</t>
  </si>
  <si>
    <t>Details for Sum of Kom. - Isporuka na lokaciju : 4/7/2026, Tip opreme : Cjelovito rješenje za simultano prevođenje (+)</t>
  </si>
  <si>
    <t xml:space="preserve">569
</t>
  </si>
  <si>
    <t>Multimedijska oprema - Video mikser </t>
  </si>
  <si>
    <t>446a
446b</t>
  </si>
  <si>
    <t>Multimedijska oprema - Zvučnici </t>
  </si>
  <si>
    <t>Ilica 85   7 kom. 
Zamenhofova 14  1 kom.</t>
  </si>
  <si>
    <t>Multimedijska oprema - Zvučnici</t>
  </si>
  <si>
    <t>440a
440b</t>
  </si>
  <si>
    <t xml:space="preserve"> Trg Ljudevita Gaja 6  1 kom.
Trg. Sv. Trojstva 3   6 kom.</t>
  </si>
  <si>
    <t>573a
573b</t>
  </si>
  <si>
    <t>Trg dr. Žarka dolinara 1, Koprivnica 2 kom.
Ulica 104 brigade 3, VŽ 1 kom.</t>
  </si>
  <si>
    <t>430a
430b</t>
  </si>
  <si>
    <t>Trg dr. Žarka dolinara 1, Koprivnica 5 kom.
Ulica 104 brigade 3, VŽ 10 kom.</t>
  </si>
  <si>
    <t>Jasenko Mandura</t>
  </si>
  <si>
    <t>+385959017650</t>
  </si>
  <si>
    <t>jasenko.mandura@uniri.hr</t>
  </si>
  <si>
    <t>Trg braće Mažuranića 10; 51000 Rijeka</t>
  </si>
  <si>
    <t>434a
434b</t>
  </si>
  <si>
    <t xml:space="preserve">Danka Jurjević
Aleksandar Živanović
</t>
  </si>
  <si>
    <t xml:space="preserve">051/265-884
0989616845
</t>
  </si>
  <si>
    <t xml:space="preserve">danka.jurjevic@uniri.hr
aleksandar.zivanovic@uniri.hr
</t>
  </si>
  <si>
    <t xml:space="preserve">Radmile Matejčić 2; 51000 Rijeka 4 kom.
Palača Moise; Zagrad 6; 51557 Cres 1 kom.
</t>
  </si>
  <si>
    <t>412a
412b</t>
  </si>
  <si>
    <t>Ivan Vuko
Maja Krželj</t>
  </si>
  <si>
    <t>0914348101
0911556771</t>
  </si>
  <si>
    <t>ivan.vuko@svkst.hr
maja.krzelj@more.unist.hr</t>
  </si>
  <si>
    <t>Ruđera Boškovića 31, Split  1 kom.
Ruđera Boškovića 37, Split  3 kom.</t>
  </si>
  <si>
    <t>416a
416b</t>
  </si>
  <si>
    <t>437a
437b
437c</t>
  </si>
  <si>
    <t>Sandi Homolak (Zagreb)
Igor Šalamun (Čakovec)
Tomislav Stanković (Petrinja)</t>
  </si>
  <si>
    <t>091 619 5223
091 5011 277
099 2174 465</t>
  </si>
  <si>
    <t>informatika.zagreb@ufzg.hr
igor.salamun@ufzg.hr
tomislav.stankovic@ufzg.hr</t>
  </si>
  <si>
    <t xml:space="preserve">Savska cesta 77, 10000 Zagreb 1 kom.
Ul. dr. Ante Starčevića 55, 40000, Čakovec 1 kom.
44250 Petrinja, Trg Matice hrvatske 12 1 kom. </t>
  </si>
  <si>
    <t>Details for Sum of Kom. - Isporuka na lokaciju : 4/13/2026, Tip opreme : Cjelovito rješenje za simultano prevođenje (+)</t>
  </si>
  <si>
    <t>Multimedijska oprema - Interaktivni prezentacijski zaslon Tip-1</t>
  </si>
  <si>
    <t>Svetošimunska 25, Zagreb</t>
  </si>
  <si>
    <t>Multimedijska oprema - Eksterna kartica za prihvat i obradu video/audio signala </t>
  </si>
  <si>
    <t>Multimedijska oprema - Interaktivni prezentacijski zaslon Tip-2</t>
  </si>
  <si>
    <t>190a
190b</t>
  </si>
  <si>
    <t>Miroslav Puljiz
Dario Kužić</t>
  </si>
  <si>
    <t>385992529898
385994988065</t>
  </si>
  <si>
    <t>mpuljiz@fpz.unizg.hr
 dkuzic@fpz.unizg.hr</t>
  </si>
  <si>
    <t>Vukelićeva 4   1 kom. 
Borongajska cesta 83a  9 kom.</t>
  </si>
  <si>
    <t>152a
152b</t>
  </si>
  <si>
    <t>Borongajska cesta 83a 1 kom.
Borongajska cesta 83f 1 kom.</t>
  </si>
  <si>
    <t>230a
230b</t>
  </si>
  <si>
    <t>Ivana Lučića 3  29 kom.
Ivana Lučića 6  1 kom.</t>
  </si>
  <si>
    <t>163a
163b</t>
  </si>
  <si>
    <t>Trg dr. Žarka dolinara 1, Koprivnica 10 kom.
Ulica 104 brigade 3, VŽ 5 kom.</t>
  </si>
  <si>
    <t>Mirko Šalinović</t>
  </si>
  <si>
    <t>O98 9895758</t>
  </si>
  <si>
    <t>msalinovic@unist.hr</t>
  </si>
  <si>
    <t>Franjevački put 1, Makarska</t>
  </si>
  <si>
    <t>197a
197b
197c
197d
197e
197f</t>
  </si>
  <si>
    <t>Marko Pilić / Josip Crnjac
Dalibor Bulić
Maja Krželj
Ivan Tavra
Ivan Vuko
Mirko Šalinović</t>
  </si>
  <si>
    <t>0919840020 (Pilić), 0981980136 (Crnjac)
021 564815, 0915462104
0911556771
097 6063920
0914348101
O98 9895758</t>
  </si>
  <si>
    <t>mpilic@forenzika.unist.hr, jcrnjac@forenzika.unist.hr
dalibor.bulic@fzz.unist.hr
maja.krzelj@more.unist.hr
itavra@unist.hr
ivan.vuko@svkst.hr
msalinovic@unist.hr</t>
  </si>
  <si>
    <t>Ruđera Boškovića 33, Split   2 kom.
Ruđera Boškovića 35, Split   11 kom.
Ruđera Boškovića 31, Split  1 kom.
Zrinsko Frankopanska 38, Split  1 kom.
Ruđera Boškovića 31, Split  2 kom.
Franjevački put 1, Makarska 1 kom.</t>
  </si>
  <si>
    <t>154a
154b</t>
  </si>
  <si>
    <t>Petra Marić
Dalibor Bulić</t>
  </si>
  <si>
    <t>0913210792
021 564815, 0915462104</t>
  </si>
  <si>
    <t>pmaric@unist.hr
dalibor.bulic@fzz.unist.hr</t>
  </si>
  <si>
    <t>Ruđera Boškovića 31, Split
Ruđera Boškovića 35, Split</t>
  </si>
  <si>
    <t>205a
205b</t>
  </si>
  <si>
    <t>Agata Vinčić
Srđan Cvetanović</t>
  </si>
  <si>
    <t>091 531 2624
095 8000 204</t>
  </si>
  <si>
    <t>avincic@ttf.hr
djani@ttf.hr</t>
  </si>
  <si>
    <t>Hallerova aleja 6c, Varaždin 1 kom.
Prilaz baruna Filipovića 28a  2 kom.</t>
  </si>
  <si>
    <t>Sandra Flinčec Grgac</t>
  </si>
  <si>
    <t>091 644 4200</t>
  </si>
  <si>
    <t xml:space="preserve">sflincec@ttf.hr
</t>
  </si>
  <si>
    <t>Savska 16/9</t>
  </si>
  <si>
    <t>164 a
164 b</t>
  </si>
  <si>
    <t>Ivana Meštrovića 10  4 kom.
J. J. Strossmayera 9  2 kom.</t>
  </si>
  <si>
    <t>Hibridna multimedijska dvorana Tip-A</t>
  </si>
  <si>
    <t>3a
3b
3c</t>
  </si>
  <si>
    <t>Holjevčeva Igor Paljug
Borongaj Nenad Habek
Konavoska Filip Samoščanec</t>
  </si>
  <si>
    <t>+385911316382 - Nenad
0993047438 Filip
+385 95 245 6555 Igor</t>
  </si>
  <si>
    <t>filip.samoscanec@tvz.hr
igor.paljug@tvz.hr
nenad.habek@tvz.hr</t>
  </si>
  <si>
    <t>Borongajska 83E  2 kom.
Konavoska 2 1 kom.
Holjevčeva 15 1 kom.</t>
  </si>
  <si>
    <t>4a
4b
4c
4d</t>
  </si>
  <si>
    <t>Ivan Nimac
Ivana Delistović Duić
Ivana Delistović Duić
Ivan Nimac</t>
  </si>
  <si>
    <t xml:space="preserve">095/826-5888
098/654-710
</t>
  </si>
  <si>
    <t xml:space="preserve">inimac@unizd.hr
idelistov@unizd.hr
</t>
  </si>
  <si>
    <t>Obala kralja Petra Krešimira IV. Br. 2, 23000 Zadar - 1 kom.
Dr. Franje Tuđmana 24, 23000 Zadar - 1 kom.
Splitska 1, 23000 Zadar 1 kom.
Ruđera Boškovića 5, 23000 Zadar 1 kom.</t>
  </si>
  <si>
    <t>1xHoljevčeva 15</t>
  </si>
  <si>
    <t>Miroslav Puljiz</t>
  </si>
  <si>
    <t>385992529898</t>
  </si>
  <si>
    <t>mpuljiz@fpz.unizg.hr</t>
  </si>
  <si>
    <t>Vukelićeva 4</t>
  </si>
  <si>
    <t>10a
10b</t>
  </si>
  <si>
    <t>Marin Gudelj
Petra Musap</t>
  </si>
  <si>
    <t>0913344165
0991639750</t>
  </si>
  <si>
    <t>marin@oss.unist.hr
petra.musap@unist.hr</t>
  </si>
  <si>
    <t>Kopilica 21, Split 1 kom.
Hrvojeva 2, Split 1 kom.  samo isporuka nema montaže</t>
  </si>
  <si>
    <t>20a
20b</t>
  </si>
  <si>
    <t>Trg dr. Žarka dolinara 1, Koprivnica 2 kom.
Ulica 104 brigade 3, VŽ 2 kom.</t>
  </si>
  <si>
    <t>21a
21b</t>
  </si>
  <si>
    <t>Alda Negrija 6, Pula 
Preradovićeva 1, Pula</t>
  </si>
  <si>
    <t>24a
24b
24c</t>
  </si>
  <si>
    <t>Savska cesta 77, 10000 Zagreb  1kom.
Ul. dr. Ante Starčevića 55, 40000, Čakovec 1 kom
44250 Petrinja, Trg Matice hrvatske 12 1 kom.</t>
  </si>
  <si>
    <t>Hibridna multimedijska dvorana Tip-B</t>
  </si>
  <si>
    <t>28a
28b
28c
28d</t>
  </si>
  <si>
    <t>Branitelja Dubrovnika 41, Dubrovnik 2 kom.
Ćira Carića 4, Dubrovnik 1 kom.
Lapadska obala Nojka Marinovića 7, Dubrovnik 2 kom.
Bistrina 3, Stupa 1 kom.</t>
  </si>
  <si>
    <t>31a
31b</t>
  </si>
  <si>
    <t xml:space="preserve">Ivan Nimac
Ivana Delistović Duić
</t>
  </si>
  <si>
    <t>Obala kralja Petra Krešimira IV. Br. 2, 23000 Zadar - 1 kom.
Dr. Franje Tuđmana 24, 23000 Zadar - 2 kom.</t>
  </si>
  <si>
    <t>34a
34b</t>
  </si>
  <si>
    <t>Ivana Lučića 5 (istočna zgrada) 1 kom.
Ivana Lučića 1 (sjeverna zgrada) 1 kom.</t>
  </si>
  <si>
    <t>39a
39b
39c</t>
  </si>
  <si>
    <t>Marin Gudelj
Prosper Radonić
Leida Rizvan</t>
  </si>
  <si>
    <t>0913344165
0995556003
0914433905</t>
  </si>
  <si>
    <t>marin@oss.unist.hr
pradonic@medils.unist.hr
leida.rizvan@unist.hr</t>
  </si>
  <si>
    <t>Kopilica 21, Split 1 kom.
Meštrovićevo šetalište 45, Split 1 kom.
Ruđera Boškovića 31, Split   1 kom.</t>
  </si>
  <si>
    <t>Ul. bana Josipa Jelačića 22f</t>
  </si>
  <si>
    <t>54a
54b
54c</t>
  </si>
  <si>
    <t>Danka Jurjević
Aleksandar Živanović
Jasenko Mandura</t>
  </si>
  <si>
    <t>051/265-884
0989616845
+385959017650</t>
  </si>
  <si>
    <t>danka.jurjevic@uniri.hr
aleksandar.zivanovic@uniri.hr
jasenko.mandura@uniri.hr</t>
  </si>
  <si>
    <t>Radmile Matejčić 2; 51000 Rijeka 6 kom.
Palača Moise; Zagrad 6; 51557 Cres 1 kom.
Trg braće Mažuranića 10; 51000 Rijeka 1 kom.</t>
  </si>
  <si>
    <t>58a
58b</t>
  </si>
  <si>
    <t>Tatjana Šajatović, Mario Dunić
Tomica Bunjevac</t>
  </si>
  <si>
    <t xml:space="preserve"> +38598871499, +385989345208
+385913568984</t>
  </si>
  <si>
    <t>tsajatovic@kemija.unios.hr, mdunic@biologija.unios.hr
tbunjevac@fizika.unios.hr</t>
  </si>
  <si>
    <t>Cara Hadrijana 8/A 3 kom.
Trg Ljudevita Gaja 6. 1 kom.</t>
  </si>
  <si>
    <t xml:space="preserve"> Trg Ljudevita Gaja 6.</t>
  </si>
  <si>
    <t>Hibridna multimedijska dvorana Tip-C</t>
  </si>
  <si>
    <t>68a
68b
68c</t>
  </si>
  <si>
    <t>Branitelja Dubrovnika 41, Dubrovnik 1 kom.
Ćira Carića 4, Dubrovnik 1 kom.
Lapadska obala Nojka Marinovića 7, Dubrovnik 1 kom.</t>
  </si>
  <si>
    <t>Nikola Kaniški</t>
  </si>
  <si>
    <t xml:space="preserve">099/5246985
</t>
  </si>
  <si>
    <t xml:space="preserve">nikola.kaniski@vhzk.hr
</t>
  </si>
  <si>
    <t>Borongajska cesta 83f</t>
  </si>
  <si>
    <t xml:space="preserve">Igor Surla
</t>
  </si>
  <si>
    <t xml:space="preserve">385924385009
</t>
  </si>
  <si>
    <t>igor.surla@pmf.hr</t>
  </si>
  <si>
    <t>Rooseveltov trg 6</t>
  </si>
  <si>
    <t>79a
79b
79c</t>
  </si>
  <si>
    <t>Ivan Vuko
Maja Krželj
Jadranka Vrsalović</t>
  </si>
  <si>
    <t>0914348101
0911556771
0915462104</t>
  </si>
  <si>
    <t>ivan.vuko@svkst.hr
maja.krzelj@more.unist.hr
jadranka.vrsalovic@fzz.unist.hr</t>
  </si>
  <si>
    <t>Ruđera Boškovića 31, Split 1 kom.
Ruđera Boškovića 37, Split  1 kom.
Ruđera Boškovića 35, Split 1 kom.</t>
  </si>
  <si>
    <t xml:space="preserve">83
</t>
  </si>
  <si>
    <t>Marulićev trg 19 Zagreb</t>
  </si>
  <si>
    <t>Šalata 3b</t>
  </si>
  <si>
    <t>88a
88b
88c</t>
  </si>
  <si>
    <t>Mlinarska cesta 38 1 kom..
Ksaver 201 1 kom.
Ksaver 209  1 kom.</t>
  </si>
  <si>
    <t>92a
92b
92c</t>
  </si>
  <si>
    <t>Alda Negrija 6   4 kom.
Preradovićeva 30  1 kom.
Zagrebačka 30  1 kom.</t>
  </si>
  <si>
    <t>93a
93b</t>
  </si>
  <si>
    <t>Linda Petričić, Nicole Tomišić 
Marko Roža</t>
  </si>
  <si>
    <t>Krešimirova 40/42, 51000 Rijeak 3 kom.
Radmile Matejčić 2; 51000 Rijeka 3 kom.</t>
  </si>
  <si>
    <t>95a
95b</t>
  </si>
  <si>
    <t>Tatjana Šajatović
Albert Oswald</t>
  </si>
  <si>
    <t xml:space="preserve"> +38598871499
+385912241400</t>
  </si>
  <si>
    <t>tsajatovic@kemija.unios.hr
mdunic@biologija.unios.hr</t>
  </si>
  <si>
    <t>Cara Hadrijana 8/A 1 kom.
Trg Ljudevita Gaja 6  3 kom.</t>
  </si>
  <si>
    <t>99a
99b</t>
  </si>
  <si>
    <t>Ivana Lučića 3
Ivana Lučića 6</t>
  </si>
  <si>
    <t>Multifunkcionalni sustav za udaljeno spajanje</t>
  </si>
  <si>
    <t>104a
104b</t>
  </si>
  <si>
    <t xml:space="preserve">Ćira Carića 4, Dubrovnik  3 kom. 
Bistrina 3, Stupa 1 kom. </t>
  </si>
  <si>
    <t>106a
106b
106c
106d
106e</t>
  </si>
  <si>
    <t>Filip Samoščanec Konavoska
Igor Paljug - Holjevčeva
Nenad Habek Borongaj
Barbara Idžan Brozova
Hrvoje Matešić</t>
  </si>
  <si>
    <t>+385992692210 - Hrvoje
+385911316382 - Nenad
0993047438 Filip
+385 95 245 6555 Igor
+385 99 529 0050 - Barbara</t>
  </si>
  <si>
    <t>filip.samoscanec@tvz.hr
igor.paljug@tvz.hr
nenad.habek@tvz.hr
barabara.idzan@tvz.hr
hrvoje.matesic@tvz.hr</t>
  </si>
  <si>
    <t>Konavoska 2   1 kom.
Holjevčeva 15 1 kom. 
Vrbik 8 1 kom. 
Borongajska 83E kampus  1 kom.
Brozova 6a 1 kom.</t>
  </si>
  <si>
    <t>107a
107b</t>
  </si>
  <si>
    <t xml:space="preserve">Ivan Nimac
Tomislav Sruk
</t>
  </si>
  <si>
    <t xml:space="preserve">095/826-5888
099/544-2586
</t>
  </si>
  <si>
    <t xml:space="preserve">inimac@unizd.hr
tsruk@unizd.hr
</t>
  </si>
  <si>
    <t>Obala kralja Petra Krešimira IV. Br. 2, 23000 Zadar - 1 kom.
Šime Vitasovića 1, 23000 Zada - 1 kom.</t>
  </si>
  <si>
    <t>116a
116b
116c
116d</t>
  </si>
  <si>
    <t>Marin Gudelj
Ivan Tavra
Prosper Radonić
Marko Pilić / Josip Crnjac</t>
  </si>
  <si>
    <t>0913344165
097 6063920
0995556003
0919840020 (Pilić), 0981980136 (Crnjac)</t>
  </si>
  <si>
    <t>marin@oss.unist.hr
itavra@unist.hr
pradonic@medils.unist.hr
mpilic@forenzika.unist.hr, jcrnjac@forenzika.unist.hr</t>
  </si>
  <si>
    <t>Kopilica 21, Split 1 kom.
Zrinsko Frankopanska 38, Split 1 kom.
Meštrovićevo šetalište 45, Split 1 kom.
Ruđera Boškovića 33, Split   2 kom. 1 kom.</t>
  </si>
  <si>
    <t>117a
117b</t>
  </si>
  <si>
    <t>Ul. bana Josipa Jelačića 22a
Ul. bana Josipa Jelačića 22f</t>
  </si>
  <si>
    <t>Ivana Gundulića 20A</t>
  </si>
  <si>
    <t>125a
125b</t>
  </si>
  <si>
    <t>Mlinarska cesta 38
Ksaver 209</t>
  </si>
  <si>
    <t>Miramarska cesta 20 - dvorana Martinovka</t>
  </si>
  <si>
    <t>129a
129b</t>
  </si>
  <si>
    <t>Teslina 6
Teslina 10</t>
  </si>
  <si>
    <t>131a
131b
131c</t>
  </si>
  <si>
    <t>133a
133b
133c
133d</t>
  </si>
  <si>
    <t>Linda Petričić, Nicole Tomišić 
Marko Roža
Jasenko Mandura
Aleksandar Živanović</t>
  </si>
  <si>
    <t>091 165 1207, 0922875203
051/265-873
+385959017650
0989616845</t>
  </si>
  <si>
    <t>ntomisic@fdmri.uniri.hr linda.petricic@fdmri.uniri.hr
marko.roza@uniri.hr
jasenko.mandura@uniri.hr
aleksandar.zivanovic@uniri.hr</t>
  </si>
  <si>
    <t>Krešimirova 40/42, 51000 Rijeak 1 kom.
Radmile Matejčić 2; 51000 Rijeka 3 kom.
Trg braće Mažuranića 10; 51000 Rijeka 2 kom.
Palača Moise; Zagrad 6; 51557 Cres 1 kom.</t>
  </si>
  <si>
    <t xml:space="preserve">Woodrova Wilsona 2, 31000 Osijek
</t>
  </si>
  <si>
    <t xml:space="preserve">Trg Marka Marulića 20, Zagreb, podrum
</t>
  </si>
  <si>
    <t>138a
138b</t>
  </si>
  <si>
    <t>Mario Dunić
Albert Oswald</t>
  </si>
  <si>
    <t xml:space="preserve"> +385989345208
+385912241400</t>
  </si>
  <si>
    <t>mdunic@biologija.unios.hr
oswald@unios.hr</t>
  </si>
  <si>
    <t>Cara Hadrijana 8/A 1 kom.
Trg Sv. Trojstva 3. 4x kom.</t>
  </si>
  <si>
    <t>Cjelovito rješenje za simultano prevođenje</t>
  </si>
  <si>
    <t>Alda Negrija 6, Pula</t>
  </si>
  <si>
    <t>166a
166b</t>
  </si>
  <si>
    <t>Krešimirova 40/42, 51000 Rijeak 1 kom.
Radmile Matejčić 2; 51000 Rijeka 5 kom.</t>
  </si>
  <si>
    <t xml:space="preserve">Drinska 16a, 31000 Osijek
Woodrova Wilsona 2, 31000 Osijek
</t>
  </si>
  <si>
    <t>Tatjana Šajatović, Mario Dunić</t>
  </si>
  <si>
    <t xml:space="preserve">  +38598871499, +38598871499</t>
  </si>
  <si>
    <t>tsajatovic@kemija.unios.hr, mdunic@biologija.unios.hr</t>
  </si>
  <si>
    <t>Cara Hadrijana 8/A 4x kom.</t>
  </si>
  <si>
    <t>182a
182b
182c
182d</t>
  </si>
  <si>
    <t>Obala kralja Petra Krešimira IV. Br. 2, 23000 Zadar - 4 kom.
Dr. Franje Tuđmana 24, 23000 Zadar - 2 kom.
Splitska 1, 23000 Zadar 1 kom.
Dr. A. Starčevića 12, 53000 Gospić 1 kom.</t>
  </si>
  <si>
    <t xml:space="preserve">186
</t>
  </si>
  <si>
    <t>201a
201b</t>
  </si>
  <si>
    <t>202a
202b</t>
  </si>
  <si>
    <t>212a
212b</t>
  </si>
  <si>
    <t>Mlinarska cesta 38 4 kom.
Ksaver 209 5 kom.</t>
  </si>
  <si>
    <t>216a
216b</t>
  </si>
  <si>
    <t>Teslina 10   2 kom.
Teslina 6   2 kom.</t>
  </si>
  <si>
    <t>Trg dr. Žarka dolinara 1, Koprivnica 10 kom.
Ulica 104 brigade 3, VŽ 10 kom.</t>
  </si>
  <si>
    <t>219a
219b
219c
219d</t>
  </si>
  <si>
    <t>226a
226b</t>
  </si>
  <si>
    <t>Cara Hadrijana 8/A 3 kom.
Trg Sv. Trojstva 3. 2 kom.</t>
  </si>
  <si>
    <t>Multimedijska oprema - OPS računalo </t>
  </si>
  <si>
    <t>249a
249b
249c
249d</t>
  </si>
  <si>
    <t>258a
258b
258c
258d
258e
258f</t>
  </si>
  <si>
    <t>Petra Marić
Marko Pilić / Josip Crnjac
Dalibor Bulić
Maja Krželj
Ivan Tavra
Ivan Vuko</t>
  </si>
  <si>
    <t>0913210792
0919840020 (Pilić), 0981980136 (Crnjac)
021 564815, 0915462104
0911556771
097 6063920
0914348101</t>
  </si>
  <si>
    <t>pmaric@unist.hr
mpilic@forenzika.unist.hr, jcrnjac@forenzika.unist.hr
dalibor.bulic@fzz.unist.hr
maja.krzelj@more.unist.hr
itavra@unist.hr
ivan.vuko@svkst.hr</t>
  </si>
  <si>
    <t>Ruđera Boškovića 31, Split   1 kom.
Ruđera Boškovića 33, Split  2 kom.
Ruđera Boškovića 35, Split  12 kom.
Ruđera Boškovića 37, Split  1 kom.
Zrinsko Frankopanska 38, Split  1 kom.
Ruđera Boškovića 31, Split  2 kom.</t>
  </si>
  <si>
    <t>262a
262b</t>
  </si>
  <si>
    <t>Ulica Radoslava Cimermana 88, 10000 Zagreb 8 kom.
Don Frana Bulića 4, 20000 Dubrovnik (CAAS) 3 kom.</t>
  </si>
  <si>
    <t>263a
263b</t>
  </si>
  <si>
    <t>266a
266b
266c</t>
  </si>
  <si>
    <t>Sandra Flinčec Grgac
Srđan Cvetanović
Agata Vinčić</t>
  </si>
  <si>
    <t>091 644 4200
095 8000 204
091 531 2624</t>
  </si>
  <si>
    <t xml:space="preserve">sflincec@ttf.hr
djani@ttf.hr
avincic@ttf.hr
</t>
  </si>
  <si>
    <t>Savska 16/9  1 Kom.
Prilaz baruna Filipovića 28a  2 kom.
Hallerova aleja 6c  1 kom.</t>
  </si>
  <si>
    <t>274a
274b</t>
  </si>
  <si>
    <t>Tatjana Šajatović, Mario Dunić
Albert Oswald</t>
  </si>
  <si>
    <t xml:space="preserve"> +38598871499 , +385989345208
+385912241400</t>
  </si>
  <si>
    <t>tsajatovic@kemija.unios.hr, mdunic@biologija.unios.hr
oswald@unios.hr</t>
  </si>
  <si>
    <t>Cara Hadrijana 8/A  4 kom. 
Trg Sv. Trojstva 3. 1 kom.</t>
  </si>
  <si>
    <t>Ruđera Boškovića 31, Split   1 kom.
Ruđera Boškovića 35, Split  1 kom.
Ruđera Boškovića 31, Split  3 kom.
Zrinsko Frankopanska 38, Split  1 kom.</t>
  </si>
  <si>
    <t>Tu je bilo kriva adresa isporuke R. Boškovića 37 a treba biti 31, kontakt osoba i broj komada 3 je dobra</t>
  </si>
  <si>
    <t>Samo 318a 1</t>
  </si>
  <si>
    <t>Tu je greškom ptišlo 16 kom. na jednu adresu Trg Republike Hrvatske 3</t>
  </si>
  <si>
    <t>Samo 333a 1</t>
  </si>
  <si>
    <t>Krivo, treba na više lokacija, poslano Margiću točno</t>
  </si>
  <si>
    <t>Krivo, treba na dvije lokacije, poslano Margiću točno</t>
  </si>
  <si>
    <t>Samo 380b 1</t>
  </si>
  <si>
    <t>Multimedijska oprema - Audio mikser </t>
  </si>
  <si>
    <t>Maja Krželj</t>
  </si>
  <si>
    <t>0911556771</t>
  </si>
  <si>
    <t>maja.krzelj@more.unist.hr</t>
  </si>
  <si>
    <t>475a
475b</t>
  </si>
  <si>
    <t>Ulica Radoslava Cimermana 88, 10000 Zagreb 2 kom.
Don Frana Bulića 4, 20000 Dubrovnik (CAAS) 2 kom.</t>
  </si>
  <si>
    <t xml:space="preserve">484
</t>
  </si>
  <si>
    <t xml:space="preserve">488
</t>
  </si>
  <si>
    <t>501a
501b</t>
  </si>
  <si>
    <t>Ilica 85 5 kom. 
Zamenhofova 14 1 kom.</t>
  </si>
  <si>
    <t>569</t>
  </si>
  <si>
    <t>Multimedijska oprema - USB preklopnik </t>
  </si>
  <si>
    <t>Edukacijski set za obuku upravljanja dronom i zračnog snimanja</t>
  </si>
  <si>
    <t>Matija Prahin
Emil Flatz</t>
  </si>
  <si>
    <t>Mario Dunić</t>
  </si>
  <si>
    <t> +385989345208</t>
  </si>
  <si>
    <t>mdunic@biologija.unios.hr</t>
  </si>
  <si>
    <t>NAZIV</t>
  </si>
  <si>
    <t>MATIČNA ADRESA</t>
  </si>
  <si>
    <t>MJESTO</t>
  </si>
  <si>
    <t>Adresa isporuke</t>
  </si>
  <si>
    <t>Kontakt osoba za isporuku i implementaciju opreme</t>
  </si>
  <si>
    <t>Unnamed: 7</t>
  </si>
  <si>
    <t>Unnamed: 8</t>
  </si>
  <si>
    <t>Unnamed: 9</t>
  </si>
  <si>
    <t xml:space="preserve">Komentari
</t>
  </si>
  <si>
    <t>kontakt broj</t>
  </si>
  <si>
    <t>Link na mapu s detaljima</t>
  </si>
  <si>
    <t>Frankopanska 22</t>
  </si>
  <si>
    <t>dio opreme se neće moći odmah montirati zbog obnove; nisu sigurni hoće li obnova biti gotova do kraja 6.mj, ali će nas obavijestiti</t>
  </si>
  <si>
    <t>Zamenhofova 14</t>
  </si>
  <si>
    <t>u tablici naveli da će se možda dio opreme morati skladištiti</t>
  </si>
  <si>
    <t>dio će skladištiti, detaljnije u tablici</t>
  </si>
  <si>
    <t>Ivana Lučića 1 (sjeverna zgrada)</t>
  </si>
  <si>
    <t>Andrija Ljubičić</t>
  </si>
  <si>
    <t>091 2241 423</t>
  </si>
  <si>
    <t>andrija.ljubicic@fdmz.hr</t>
  </si>
  <si>
    <t>Ivana Lučića 6</t>
  </si>
  <si>
    <t>nove projektore bi montirali oni naknadno jer im stari još rade, detaljnije u tablici</t>
  </si>
  <si>
    <t xml:space="preserve">Ulica Vladimira Preloga 3, 31000, Osijek </t>
  </si>
  <si>
    <t>Woodrova Wilsona 2, 31000 Osijek, Drinska 16a, 31000 Osijek</t>
  </si>
  <si>
    <t>Teo Brusić</t>
  </si>
  <si>
    <t>098/338-182</t>
  </si>
  <si>
    <t>teo.brusic@medri.uniri.hr</t>
  </si>
  <si>
    <t>KBCRI lokacija Rijeka</t>
  </si>
  <si>
    <t>MUP-VELEUČILIŠTE KRIMINALISTIKE I JAVNE SIGURNOSTI</t>
  </si>
  <si>
    <t>Trg Republike Hrvatske 3</t>
  </si>
  <si>
    <t>mdakic@geog.pmf.hr</t>
  </si>
  <si>
    <t>Igor Surla</t>
  </si>
  <si>
    <t>385924385009</t>
  </si>
  <si>
    <t>mole da se jedan dio za kemiju montira naknadno, kada se pravni iseli iz njihovih prostorija</t>
  </si>
  <si>
    <t>Preradovićeva 1</t>
  </si>
  <si>
    <t>Preradovićeva 30</t>
  </si>
  <si>
    <t>Zagrebačka 30</t>
  </si>
  <si>
    <t>Rovinjska 14</t>
  </si>
  <si>
    <t>Sveučilište obrane i sigurnosti "Dr. Franjo Tuđman" ili Hrvatsko vojno učilište dr. Franjo Tuđman Ministarstva obrane RH</t>
  </si>
  <si>
    <t>Sveučilište obrane i sigurnosti Dr. Franjo Tuđman</t>
  </si>
  <si>
    <t>Zrinsko-frankopanska 207a</t>
  </si>
  <si>
    <t>Luka Mihanović</t>
  </si>
  <si>
    <t>098 581565</t>
  </si>
  <si>
    <t>luka.mihanovic@sois-ft.hr</t>
  </si>
  <si>
    <t>Trg dr. Žarka dolinara 1</t>
  </si>
  <si>
    <t xml:space="preserve">Nikola Marijanović </t>
  </si>
  <si>
    <t>0994028339</t>
  </si>
  <si>
    <t>Ulica Jurja Križanića 31b, VŽ</t>
  </si>
  <si>
    <t>ulica 104 brigade 3, VŽ</t>
  </si>
  <si>
    <t>Lapadska obala Nojka Marinovića 7, Dubrovnik</t>
  </si>
  <si>
    <t>Bistrina 3, Stupa</t>
  </si>
  <si>
    <t>jedan interaktivni ne bi sad montirali na zid i jedan projektor ne, detaljnije u tablici</t>
  </si>
  <si>
    <t>Radmile Matejčić 2; 51000 Rijeka (Rektorat -kampus , Matematika, Botehnologija, Inovlab)</t>
  </si>
  <si>
    <t>Radmile Matejčić 2; 51000 Rijeka(Informatika i Fizika)</t>
  </si>
  <si>
    <t>051/265-883</t>
  </si>
  <si>
    <t>Radmile Matejčić 2; 51000 Rijeka (logopedija)</t>
  </si>
  <si>
    <t>Barbara Šestan </t>
  </si>
  <si>
    <t>051584884 </t>
  </si>
  <si>
    <t>barbara.sestan@uniri.hr</t>
  </si>
  <si>
    <t>Krešimirova 40/42, 51000 Rijeka</t>
  </si>
  <si>
    <t>Linda Petričić</t>
  </si>
  <si>
    <t>091 165 1207</t>
  </si>
  <si>
    <t>linda.petricic@fdmri.uniri.hr</t>
  </si>
  <si>
    <t>Zagrad 6; 51557 Cres (Palača Moise)</t>
  </si>
  <si>
    <t>Aleksandar Živanović</t>
  </si>
  <si>
    <t>0989616845</t>
  </si>
  <si>
    <t xml:space="preserve"> aleksandar.zivanovic@uniri.hr</t>
  </si>
  <si>
    <t>Zgrada 1, Trg I.B.Mažuranić 2</t>
  </si>
  <si>
    <t>Zgrada 2, Ivana Gundulića 20A</t>
  </si>
  <si>
    <t>Zgrada 3, Ivana Gundulića 20</t>
  </si>
  <si>
    <t>Zgrada 4, Matije Gupca 24</t>
  </si>
  <si>
    <t>Zgrada 6, Ulica 108. brigade ZNG 20</t>
  </si>
  <si>
    <t>Zgrada 7, Ulica 108. brigade ZNG 20</t>
  </si>
  <si>
    <t>Zgrada 8, Ulica 108. brigade ZNG 28</t>
  </si>
  <si>
    <t>Zgrada 9, Ulica 108. brigade ZNG 32</t>
  </si>
  <si>
    <t>Zgrada 10, Ulica 108. brigade ZNG 36</t>
  </si>
  <si>
    <t>Leida Rizvan</t>
  </si>
  <si>
    <t>0914433905</t>
  </si>
  <si>
    <t>leida.rizvan@unist.hr</t>
  </si>
  <si>
    <t>Ruđera Boškovića 33, Split</t>
  </si>
  <si>
    <t>Marko Pilić / Josip Crnjac</t>
  </si>
  <si>
    <t>0919840020 (Pilić), 0981980136 (Crnjac)</t>
  </si>
  <si>
    <t>mpilic@forenzika.unist.hr, jcrnjac@forenzika.unist.hr</t>
  </si>
  <si>
    <t>Ruđera Boškovića 35, Split</t>
  </si>
  <si>
    <t>Dalibor Bulić</t>
  </si>
  <si>
    <t>021 564815</t>
  </si>
  <si>
    <t>dalibor.bulic@fzz.unist.hr</t>
  </si>
  <si>
    <t>Hrvojeva 2</t>
  </si>
  <si>
    <t>čeka se obnova</t>
  </si>
  <si>
    <t>tražili odgodu montaže dva seta, detalji u tablici</t>
  </si>
  <si>
    <t>Kopilica 21, Split</t>
  </si>
  <si>
    <t>Marin Gudelj</t>
  </si>
  <si>
    <t>0913344165</t>
  </si>
  <si>
    <t>marin@oss.unist.hr</t>
  </si>
  <si>
    <t>Meštrovićevo šetalište 45, Split</t>
  </si>
  <si>
    <t>Prosper Radonić</t>
  </si>
  <si>
    <t>0995556003</t>
  </si>
  <si>
    <t>pradonic@medils.unist.hr</t>
  </si>
  <si>
    <t>Zrinsko Frankopanska 38, Split</t>
  </si>
  <si>
    <t>Ivan Tavra</t>
  </si>
  <si>
    <t>097 6063920</t>
  </si>
  <si>
    <t>itavra@unist.hr</t>
  </si>
  <si>
    <t>Dr. Franje Tuđmana 24, 23000 Zadar</t>
  </si>
  <si>
    <t>Ivana Delistović Duić</t>
  </si>
  <si>
    <t>098/654-710</t>
  </si>
  <si>
    <t>idelistov@unizd.hr</t>
  </si>
  <si>
    <t>Ruđera Boškovića 5, 23000 Zadar</t>
  </si>
  <si>
    <t>Splitska 1, 23000 Zadar</t>
  </si>
  <si>
    <t>Mihovila Pavlinovića 1, 23000 Zadar</t>
  </si>
  <si>
    <t>Šime Vitasovića 1, 23000 Zadar</t>
  </si>
  <si>
    <t>Tomislav Sruk</t>
  </si>
  <si>
    <t>099/544-2586</t>
  </si>
  <si>
    <t>tsruk@unizd.hr</t>
  </si>
  <si>
    <t xml:space="preserve">Siniša Vlahović </t>
  </si>
  <si>
    <t>098 268 472</t>
  </si>
  <si>
    <t>svlahovic@unizg.hr</t>
  </si>
  <si>
    <t xml:space="preserve">Marin Šperanda 
</t>
  </si>
  <si>
    <t>Borongajska 83E</t>
  </si>
  <si>
    <t>Nenad Habek</t>
  </si>
  <si>
    <t>+385911316382</t>
  </si>
  <si>
    <t>nenad.habek@tvz.hr</t>
  </si>
  <si>
    <t>Filip Samoščanec</t>
  </si>
  <si>
    <t>0993047438</t>
  </si>
  <si>
    <t>filip.samoscanec@tvz.hr</t>
  </si>
  <si>
    <t>igor.paljug@tvz.hr</t>
  </si>
  <si>
    <t>Brozova 6a</t>
  </si>
  <si>
    <t>Hrvoje Matešić</t>
  </si>
  <si>
    <t>+385992692210</t>
  </si>
  <si>
    <t>hrvoje.matesic@tvz.hr</t>
  </si>
  <si>
    <t>095 8000 204</t>
  </si>
  <si>
    <t>djani@ttf.hr</t>
  </si>
  <si>
    <t>navode da se oprema  staroj zgradi može montirati privremeno, dok im ne krene obnova - detaljnije na ShP</t>
  </si>
  <si>
    <t>sflincec@ttf.hr</t>
  </si>
  <si>
    <t>Hallerova aleja 6c, VAraždin</t>
  </si>
  <si>
    <t>Agata Vinčić</t>
  </si>
  <si>
    <t>091 531 2624</t>
  </si>
  <si>
    <t>avincic@ttf.hr</t>
  </si>
  <si>
    <t>Ul. dr. Ante Starčevića 55, 40000, Čakovec</t>
  </si>
  <si>
    <t>Igor Šalamun (Čakovec)</t>
  </si>
  <si>
    <t>091 5011 277</t>
  </si>
  <si>
    <t>igor.salamun@ufzg.hr</t>
  </si>
  <si>
    <t>44250 Petrinja, Trg Matice hrvatske 12</t>
  </si>
  <si>
    <t>Tomislav Stanković (Petrinja)</t>
  </si>
  <si>
    <t>099 2174 465</t>
  </si>
  <si>
    <t>tomislav.stankovic@ufzg.hr</t>
  </si>
  <si>
    <t xml:space="preserve">Fausta Vrančića 17A </t>
  </si>
  <si>
    <t>Veleučilište Lavoslav Ružička u Vukovaru</t>
  </si>
  <si>
    <t>Veleučilište Marko Marulić u Kninu</t>
  </si>
  <si>
    <t>Veleučilište Nikola Tesla u Gospiću</t>
  </si>
  <si>
    <t>Ozren Digula</t>
  </si>
  <si>
    <t>0914595855</t>
  </si>
  <si>
    <t>ozren.digula@zvu.hr</t>
  </si>
  <si>
    <t>Ksaver 201</t>
  </si>
  <si>
    <t>Ksaver 209</t>
  </si>
  <si>
    <t>Naziv ustanove</t>
  </si>
  <si>
    <t>Mjesto</t>
  </si>
  <si>
    <t>Broj adresa</t>
  </si>
  <si>
    <t>Ivan Šetin
Ivan Šetin</t>
  </si>
  <si>
    <t>0981839338
0981839338</t>
  </si>
  <si>
    <t>isetin@adu.hr
isetin@adu.hr</t>
  </si>
  <si>
    <t>Ilica 85
Zamenhofova 14</t>
  </si>
  <si>
    <t>Goran Hoić
Goran Hoić</t>
  </si>
  <si>
    <t>099/2550-825
099/2550-825</t>
  </si>
  <si>
    <t>goran.hoic@alu.unizg.hr
goran.hoic@alu.unizg.hr</t>
  </si>
  <si>
    <t>J. Knifera 1 ( bivša K.P. Svačića 1/f, Osijek)
Trg Sv. Trojstva 3, Osijek</t>
  </si>
  <si>
    <t>Luka Cvenić
Luka Cvenić</t>
  </si>
  <si>
    <t>099 312 6187
099 312 6187</t>
  </si>
  <si>
    <t>luka.cvenic@aukos.hr
luka.cvenic@aukos.hr</t>
  </si>
  <si>
    <t>Kačićeva 26
Frankopanska 12</t>
  </si>
  <si>
    <t>385919845267
38598302567</t>
  </si>
  <si>
    <t>mprahin@arhitekt.hr
eflatz@arhitekt.hr</t>
  </si>
  <si>
    <t>Vukovarska 39, Zagreb
Miramarska cesta 20 - dvorana Martinovka</t>
  </si>
  <si>
    <t>Denis Hernaut
Denis Hernaut</t>
  </si>
  <si>
    <t>+385 91 604 3920
+385 91 604 3920</t>
  </si>
  <si>
    <t>denis.hernaut@fer.hr
denis.hernaut@fer.hr</t>
  </si>
  <si>
    <t>Kneza Trpimira 2b, Osijek
Cara Hadrijana 10b, Osijek</t>
  </si>
  <si>
    <t>Mario Miloloza
Mario Miloloza</t>
  </si>
  <si>
    <t>0912246140
0912246140</t>
  </si>
  <si>
    <t>mario.miloloza@ferit.hr
mario.miloloza@ferit.hr</t>
  </si>
  <si>
    <t>Trg Marka Marulića 20, Zagreb, podrum
Savska cesta 41, zgrada Zagrepčanka, 2.kat</t>
  </si>
  <si>
    <t>Igor Horaček
Igor Horaček</t>
  </si>
  <si>
    <t>091/722-0837
091/722-0837</t>
  </si>
  <si>
    <t>igor@fkit.hr
igor@fkit.hr</t>
  </si>
  <si>
    <t>Mario Harjač
Mario Harjač</t>
  </si>
  <si>
    <t>097 610 1011
097 610 1011</t>
  </si>
  <si>
    <t>maharjac@foi.unizg.hr
maharjac@foi.unizg.hr</t>
  </si>
  <si>
    <t>Vukelićeva 4
Borongajska cesta 83a
Borongajska cesta 83f</t>
  </si>
  <si>
    <t>Miroslav Puljiz
Miroslav Puljiz
Miroslav Puljiz</t>
  </si>
  <si>
    <t>385992529898
385992529898
385992529898</t>
  </si>
  <si>
    <t>mpuljiz@fpz.unizg.hr
mpuljiz@fpz.unizg.hr
mpuljiz@fpz.unizg.hr</t>
  </si>
  <si>
    <t>Ivana Lučića 5 (istočna zgrada)
Ivana Lučića 1 (sjeverna zgrada)</t>
  </si>
  <si>
    <t>Andrija Levanić
Andrija Levanić</t>
  </si>
  <si>
    <t>091 6168 288
091 6168 288</t>
  </si>
  <si>
    <t>andrija.levanic@fsb.unizg.hr
andrija.levanic@fsb.unizg.hr</t>
  </si>
  <si>
    <t>Crkvena 21
Bana J. Jelačića 19A, Orahovica
Cara Hadrijana 10E</t>
  </si>
  <si>
    <t>Andrija Ljubičić
Rade Lukić
Andrija Ljubičić</t>
  </si>
  <si>
    <t>091 2241 423
091 2241 511
091 2241 423</t>
  </si>
  <si>
    <t>andrija.ljubicic@fdmz.hr
rade.lukic@fdmz.hr
andrija.ljubicic@fdmz.hr</t>
  </si>
  <si>
    <t>Ante Kovačića 1
Domagojeva 2
Schrottova 39</t>
  </si>
  <si>
    <t>Mate Galić
Mate Galić
Mate Galić</t>
  </si>
  <si>
    <t>098806500
098806500
098806500</t>
  </si>
  <si>
    <t>mate.galic@pharma.unizg.hr
mate.galic@pharma.unizg.hr
mate.galic@pharma.unizg.hr</t>
  </si>
  <si>
    <t>Boris Beker
Boris Beker</t>
  </si>
  <si>
    <t>098/211-765
098/211-765</t>
  </si>
  <si>
    <t>bbeker@ffzg.hr
bbeker@ffzg.hr</t>
  </si>
  <si>
    <t>Drinska 16a, 31000 Osijek
Woodrova Wilsona 2, 31000 Osijek, Drinska 16a, 31000 Osijek</t>
  </si>
  <si>
    <t>Matija Karapetrić
Matija Karapetrić</t>
  </si>
  <si>
    <t>0915053478
0915053478</t>
  </si>
  <si>
    <t>matija.karapetric@kifos.hr
matija.karapetric@kifos.hr</t>
  </si>
  <si>
    <t>Ante Krolo
Ante Krolo</t>
  </si>
  <si>
    <t>+385 95 903 76 48
+385 95 903 76 48</t>
  </si>
  <si>
    <t>ante@kifst.hr
ante@kifst.hr</t>
  </si>
  <si>
    <t>Rijeka, B. Branchetta 20
KBCRI lokacija Rijeka</t>
  </si>
  <si>
    <t>Teo Brusić
Teo Brusić</t>
  </si>
  <si>
    <t>098/338-182
098/338-182</t>
  </si>
  <si>
    <t>teo.brusic@medri.uniri.hr
teo.brusic@medri.uniri.hr</t>
  </si>
  <si>
    <t>Šalata 3
Šalata 2</t>
  </si>
  <si>
    <t>Mirza Žižak
Mirza Žižak</t>
  </si>
  <si>
    <t>091-595-2783
091-595-2783</t>
  </si>
  <si>
    <t>mirza.zizak@mef.hr
mirza.zizak@mef.hr</t>
  </si>
  <si>
    <t>Željko Hrebak
Željko Hrebak</t>
  </si>
  <si>
    <t>098710398
098710398</t>
  </si>
  <si>
    <t>zhrebak@mev.hr
zhrebak@mev.hr</t>
  </si>
  <si>
    <t>Stjepana Radića 13
Stjepana Radića 17
Trg Svetog Trojstva 3</t>
  </si>
  <si>
    <t>Bruno Bakarić
Bruno Bakarić
Bruno Bakarić</t>
  </si>
  <si>
    <t>031/224-508
031/224-508
031/224-508</t>
  </si>
  <si>
    <t>bbakaric@pravos.hr
bbakaric@pravos.hr
bbakaric@pravos.hr</t>
  </si>
  <si>
    <t>Trg Republike Hrvatske 3
PMF, Odjel za geografiju, Marulićev trg 19 Zagreb</t>
  </si>
  <si>
    <t>Krunoslav Fučkor
Krunoslav Fučkor</t>
  </si>
  <si>
    <t>091 522 0721
091 522 0721</t>
  </si>
  <si>
    <t>krunoslav.fuckor@pravo.hr
krunoslav.fuckor@pravo.hr</t>
  </si>
  <si>
    <t>Horvatovac 102A
Trg Marka Marulića 19/II
Rooseveltov trg 6
Bijenička cesta 30</t>
  </si>
  <si>
    <t>Davor Pintar
Mario Dakić
Igor Surla
Krunoslav Komugović</t>
  </si>
  <si>
    <t>385998227236
385912524419
385924385009
385915058109</t>
  </si>
  <si>
    <t>davor.pintar@dekanat.pmf.hr
mdakic@geog.pmf.hr
igor.surla@pmf.hr
krunoslav.komugovic@pmf.hr</t>
  </si>
  <si>
    <t>Trg. Sv. Trojstva 3
Trg Ljudevita Gaja 6
Cara Hadrijana 8/A</t>
  </si>
  <si>
    <t>Alda Negrija 6
Preradovićeva 1
Preradovićeva 30
Zagrebačka 30
Rovinjska 14</t>
  </si>
  <si>
    <t>Dario Kukuljan
Dario Kukuljan
Dario Kukuljan
Dario Kukuljan
Dario Kukuljan</t>
  </si>
  <si>
    <t>0993777446
0993777446
0993777446
0993777446
0993777446</t>
  </si>
  <si>
    <t>dkukuljan@unipu.hr
dkukuljan@unipu.hr
dkukuljan@unipu.hr
dkukuljan@unipu.hr
dkukuljan@unipu.hr</t>
  </si>
  <si>
    <t>Ilica 256B, obj. 58
Zrinsko-frankopanska 207a</t>
  </si>
  <si>
    <t>Predrag Šinko
Luka Mihanović</t>
  </si>
  <si>
    <t>095/205-2570
098 581565</t>
  </si>
  <si>
    <t>predrag.sinko@sois-ft.hr
luka.mihanovic@sois-ft.hr</t>
  </si>
  <si>
    <t>Trg dr. Žarka dolinara 1
Ulica Jurja Križanića 31b, VŽ
ulica 104 brigade 3, VŽ</t>
  </si>
  <si>
    <t>Nikola Marijanović
Branimir Kolman
Nikola Marijanović</t>
  </si>
  <si>
    <t>0994028339
091 244 0130
0994028339</t>
  </si>
  <si>
    <t>nmarijanovic@unin.hr
bkolman@unin.hr
nmarijanovic@unin.hr</t>
  </si>
  <si>
    <t>Branitelja Dubrovnika 41, Dubrovnik
Ćira Carića 4, Dubrovnik
Lapadska obala Nojka Marinovića 7, Dubrovnik
Bistrina 3, Stupa</t>
  </si>
  <si>
    <t>Stjepo Hladilo
Stjepo Hladilo
Stjepo Hladilo
Stjepo Hladilo</t>
  </si>
  <si>
    <t>0919322586
0919322586
0919322586
0919322586</t>
  </si>
  <si>
    <t>stjepo.hladilo@unidu.hr
stjepo.hladilo@unidu.hr
stjepo.hladilo@unidu.hr
stjepo.hladilo@unidu.hr</t>
  </si>
  <si>
    <t>Trg braće Mažuranića 10; 51000 Rijeka
Radmile Matejčić 2; 51000 Rijeka (Rektorat -kampus , Matematika, Botehnologija, Inovlab)
Radmile Matejčić 2; 51000 Rijeka(Informatika i Fizika)
Radmile Matejčić 2; 51000 Rijeka (logopedija)
Krešimirova 40/42, 51000 Rijeka
Zagrad 6; 51557 Cres (Palača Moise)</t>
  </si>
  <si>
    <t>Jasenko Mandura
Marko Roža
Danka Jurjević
Barbara Šestan
Linda Petričić
Aleksandar Živanović</t>
  </si>
  <si>
    <t xml:space="preserve">
051/265-873
051/265-883
051584884
091 165 1207
0989616845</t>
  </si>
  <si>
    <t>jasenko.mandura@uniri.hr
marko.roza@uniri.hr
danka.jurjevic@uniri.hr
barbara.sestan@uniri.hr
linda.petricic@fdmri.uniri.hr
aleksandar.zivanovic@uniri.hr</t>
  </si>
  <si>
    <t>Zgrada 1, Trg I.B.Mažuranić 2
Zgrada 2, Ivana Gundulića 20A
Zgrada 3, Ivana Gundulića 20
Zgrada 4, Matije Gupca 24
Zgrada 6, Ulica 108. brigade ZNG 20
Zgrada 7, Ulica 108. brigade ZNG 20
Zgrada 8, Ulica 108. brigade ZNG 28
Zgrada 9, Ulica 108. brigade ZNG 32
Zgrada 10, Ulica 108. brigade ZNG 36</t>
  </si>
  <si>
    <t>Damir Lulić
Damir Lulić
Damir Lulić
Damir Lulić
Damir Lulić
Damir Lulić
Damir Lulić
Damir Lulić
Damir Lulić</t>
  </si>
  <si>
    <t>0981771615
0981771615
0981771615
0981771615
0981771615
0981771615
0981771615
0981771615
0981771615</t>
  </si>
  <si>
    <t>dlulic@unisb.hr
dlulic@unisb.hr
dlulic@unisb.hr
dlulic@unisb.hr
dlulic@unisb.hr
dlulic@unisb.hr
dlulic@unisb.hr
dlulic@unisb.hr
dlulic@unisb.hr</t>
  </si>
  <si>
    <t>Ruđera Boškovića 31, Split
Ruđera Boškovića 33, Split
Ruđera Boškovića 35, Split
Ruđera Boškovića 37, Split
Hrvojeva 2
Kopilica 21, Split
Meštrovićevo šetalište 45, Split
Zrinsko Frankopanska 38, Split
Poljana kraljice Jelene 1, Split
Franjevački put 1, Makarska</t>
  </si>
  <si>
    <t>Leida Rizvan
Marko Pilić / Josip Crnjac
Dalibor Bulić
Maja Krželj
čeka se obnova
Marin Gudelj
Prosper Radonić
Ivan Tavra
Petra Musap
Mirko Šalinović</t>
  </si>
  <si>
    <t>0914433905
0919840020 (Pilić), 0981980136 (Crnjac)
021 564815
0911556771
čeka se obnova
0913344165
0995556003
097 6063920
0991639750
O98 9895758</t>
  </si>
  <si>
    <t>leida.rizvan@unist.hr
mpilic@forenzika.unist.hr, jcrnjac@forenzika.unist.hr
dalibor.bulic@fzz.unist.hr
maja.krzelj@more.unist.hr
čeka se obnova
marin@oss.unist.hr
pradonic@medils.unist.hr
itavra@unist.hr
petra.musap@unist.hr
msalinovic@unist.hr</t>
  </si>
  <si>
    <t>Obala kralja Petra Krešimira IV. Br. 2, 23000 Zadar
Dr. Franje Tuđmana 24, 23000 Zadar
Dr. A. Starčevića 12, 53000 Gospić
Trg kneza Višeslava 9, 23000 Zadar
Ruđera Boškovića 5, 23000 Zadar
Splitska 1, 23000 Zadar
Mihovila Pavlinovića 1, 23000 Zadar
Šime Vitasovića 1, 23000 Zadar</t>
  </si>
  <si>
    <t>Ivan Nimac
Ivana Delistović Duić
Zvonimir Adamović
Krešimir Pinjatela
Ivan Nimac
Ivana Delistović Duić
Ivan Nimac
Tomislav Sruk</t>
  </si>
  <si>
    <t>095/826-5888
098/654-710
098/445-233
091/558-1986
095/826-5888
098/654-710
095/826-5888
099/544-2586</t>
  </si>
  <si>
    <t>inimac@unizd.hr
idelistov@unizd.hr
zadamovic@unizd.hr
kpinjatel22@unizd.hr
zadamovic@unizd.hr
idelistov@unizd.hr
inimac@unizd.hr
tsruk@unizd.hr</t>
  </si>
  <si>
    <t>Vrbik 8
Borongajska 83E
Konavoska 2
Holjevčeva 15
Brozova 6a</t>
  </si>
  <si>
    <t>Ivan Rajković
Nenad Habek
Filip Samoščanec
Igor Paljug
Hrvoje Matešić</t>
  </si>
  <si>
    <t>+385998153651
+385911316382
0993047438
+385 95 245 6555
+385992692210</t>
  </si>
  <si>
    <t>ivan.rajkovic@tvz.hr
nenad.habek@tvz.hr
filip.samoscanec@tvz.hr
igor.paljug@tvz.hr
hrvoje.matesic@tvz.hr</t>
  </si>
  <si>
    <t>Prilaz baruna Filipovića 28a
Savska 16/9
Hallerova aleja 6c</t>
  </si>
  <si>
    <t>Srđan Cvetanović
Sandra Flinčec Grgac
Agata Vinčić</t>
  </si>
  <si>
    <t>095 8000 204
091 644 4200
091 531 2624</t>
  </si>
  <si>
    <t>djani@ttf.hr
sflincec@ttf.hr
avincic@ttf.hr</t>
  </si>
  <si>
    <t>Zagrebačka 3
Glagoljaška 18a, Gripe
Fausta Vrančića 19
Fausta Vrančića 17A</t>
  </si>
  <si>
    <t>Branimir Džaja
Branimir Džaja
Branimir Džaja
Branimir Džaja</t>
  </si>
  <si>
    <t>091-2600324
091-2600324
091-2600324
091-2600324</t>
  </si>
  <si>
    <t>branimir.dzaja@umas.hr
branimir.dzaja@umas.hr
branimir.dzaja@umas.hr
branimir.dzaja@umas.hr</t>
  </si>
  <si>
    <t>Savska cesta 77, 10000 Zagreb
Ul. dr. Ante Starčevića 55, 40000, Čakovec
44250 Petrinja, Trg Matice hrvatske 12</t>
  </si>
  <si>
    <t>Krešimirova 20, Knin
Krešimirova 30, Knin</t>
  </si>
  <si>
    <t>Marko Meštrović
Marko Meštrović</t>
  </si>
  <si>
    <t>022/664-451
022/664-451</t>
  </si>
  <si>
    <t>mmestrovic@veleknin.hr
mmestrovic@veleknin.hr</t>
  </si>
  <si>
    <t>Ivana Meštrovića 10
J. J. Strossmayera 9</t>
  </si>
  <si>
    <t>Marko Štedul
Marko Štedul</t>
  </si>
  <si>
    <t>098-9919-742
098-9919-742</t>
  </si>
  <si>
    <t>marko.stedul@vuka.hr
marko.stedul@vuka.hr</t>
  </si>
  <si>
    <t>Mlinarska cesta 38
Ksaver 201
Ksaver 209</t>
  </si>
  <si>
    <t>Ozren Digula
Ozren Digula
Ozren Digula</t>
  </si>
  <si>
    <t>0914595855
0914595855
0914595855</t>
  </si>
  <si>
    <t>ozren.digula@zvu.hr
ozren.digula@zvu.hr
ozren.digula@zvu.hr</t>
  </si>
  <si>
    <t>64</t>
  </si>
  <si>
    <t>Radmile Matejčić 2;  51000 Rijeka 14 kom.
Palača Moise; Zagrad 6; 51557 Cres 1 kom.
Trg braće Mažuranića 10; 51000 Rijeka 1 kom.</t>
  </si>
  <si>
    <t xml:space="preserve">Ovdje 1 nije otišao na TRg Mažuranića 10, trebalo bi prebaciti </t>
  </si>
  <si>
    <t>Samo 362a,
362b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</si>
</sst>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23" x14ac:knownFonts="1">
    <font>
      <sz val="11"/>
      <color theme="1"/>
      <name val="Aptos Narrow"/>
      <family val="2"/>
      <charset val="238"/>
      <scheme val="minor"/>
    </font>
    <font>
      <b/>
      <sz val="11"/>
      <color rgb="FFFA7D00"/>
      <name val="Aptos Narrow"/>
      <family val="2"/>
      <charset val="238"/>
      <scheme val="minor"/>
    </font>
    <font>
      <b/>
      <sz val="11"/>
      <color rgb="FF000000"/>
      <name val="Arial"/>
      <family val="2"/>
      <charset val="238"/>
    </font>
    <font>
      <sz val="11"/>
      <color rgb="FF000000"/>
      <name val="Arial"/>
      <family val="2"/>
      <charset val="238"/>
    </font>
    <font>
      <sz val="11"/>
      <color rgb="FF000000"/>
      <name val="Aptos Narrow"/>
      <family val="2"/>
    </font>
    <font>
      <sz val="11"/>
      <name val="Aptos Narrow"/>
      <family val="2"/>
    </font>
    <font>
      <sz val="11"/>
      <color rgb="FF000000"/>
      <name val="Aptos Narrow"/>
      <family val="2"/>
    </font>
    <font>
      <sz val="10"/>
      <color theme="1"/>
      <name val="Aptos Narrow"/>
      <family val="2"/>
      <scheme val="minor"/>
    </font>
    <font>
      <sz val="10"/>
      <color theme="1"/>
      <name val="Aptos Narrow"/>
      <family val="2"/>
      <scheme val="minor"/>
    </font>
    <font>
      <sz val="11"/>
      <name val="Aptos Narrow"/>
      <family val="2"/>
      <charset val="238"/>
      <scheme val="minor"/>
    </font>
    <font>
      <sz val="10"/>
      <color rgb="FF000000"/>
      <name val="Arial"/>
      <family val="2"/>
      <charset val="238"/>
    </font>
    <font>
      <b/>
      <sz val="11"/>
      <color rgb="FFFFFFFF"/>
      <name val="Aptos Narrow"/>
      <family val="2"/>
    </font>
    <font>
      <b/>
      <sz val="11"/>
      <name val="Aptos Narrow"/>
      <family val="2"/>
    </font>
    <font>
      <sz val="11"/>
      <color rgb="FF000000"/>
      <name val="Aptos Narrow"/>
      <family val="2"/>
      <scheme val="minor"/>
    </font>
    <font>
      <b/>
      <sz val="11"/>
      <color theme="1"/>
      <name val="Aptos Narrow"/>
      <family val="2"/>
      <charset val="238"/>
      <scheme val="minor"/>
    </font>
    <font>
      <u/>
      <sz val="11"/>
      <color theme="10"/>
      <name val="Aptos Narrow"/>
      <family val="2"/>
      <charset val="238"/>
      <scheme val="minor"/>
    </font>
    <font>
      <sz val="11"/>
      <color theme="1"/>
      <name val="Aptos Narrow"/>
      <family val="2"/>
      <scheme val="minor"/>
    </font>
    <font>
      <u/>
      <sz val="11"/>
      <color theme="10"/>
      <name val="Aptos Narrow"/>
      <family val="2"/>
      <scheme val="minor"/>
    </font>
    <font>
      <b/>
      <sz val="11"/>
      <color theme="1"/>
      <name val="Aptos Narrow"/>
      <family val="2"/>
      <scheme val="minor"/>
    </font>
    <font>
      <b/>
      <sz val="11"/>
      <name val="Aptos Narrow"/>
      <family val="2"/>
      <charset val="238"/>
      <scheme val="minor"/>
    </font>
    <font>
      <b/>
      <sz val="14"/>
      <color theme="0"/>
      <name val="Aptos Narrow"/>
      <family val="2"/>
      <charset val="238"/>
      <scheme val="minor"/>
    </font>
    <font>
      <b/>
      <sz val="14"/>
      <color theme="0"/>
      <name val="Arial"/>
      <family val="2"/>
      <charset val="238"/>
    </font>
    <font>
      <b/>
      <i/>
      <sz val="14"/>
      <color theme="0"/>
      <name val="Arial"/>
      <family val="2"/>
      <charset val="238"/>
    </font>
  </fonts>
  <fills count="10">
    <fill>
      <patternFill patternType="none"/>
    </fill>
    <fill>
      <patternFill patternType="gray125"/>
    </fill>
    <fill>
      <patternFill patternType="solid">
        <fgColor rgb="FFF2F2F2"/>
      </patternFill>
    </fill>
    <fill>
      <patternFill patternType="solid">
        <fgColor rgb="FF1F4E78"/>
      </patternFill>
    </fill>
    <fill>
      <patternFill patternType="solid">
        <fgColor rgb="FFFFF2CC"/>
      </patternFill>
    </fill>
    <fill>
      <patternFill patternType="solid">
        <fgColor rgb="FFD9EAF7"/>
      </patternFill>
    </fill>
    <fill>
      <patternFill patternType="solid">
        <fgColor rgb="FFFFC000"/>
        <bgColor indexed="64"/>
      </patternFill>
    </fill>
    <fill>
      <patternFill patternType="solid">
        <fgColor theme="7" tint="0.79998168889431442"/>
        <bgColor indexed="64"/>
      </patternFill>
    </fill>
    <fill>
      <patternFill patternType="solid">
        <fgColor theme="4"/>
        <bgColor indexed="64"/>
      </patternFill>
    </fill>
    <fill>
      <patternFill patternType="solid">
        <fgColor rgb="FFFFE8B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right/>
      <top/>
      <bottom style="thin">
        <color rgb="FFD9D9D9"/>
      </bottom>
      <diagonal/>
    </border>
    <border>
      <left/>
      <right style="thin">
        <color indexed="64"/>
      </right>
      <top style="thin">
        <color indexed="64"/>
      </top>
      <bottom style="thin">
        <color indexed="64"/>
      </bottom>
      <diagonal/>
    </border>
  </borders>
  <cellStyleXfs count="6">
    <xf numFmtId="0" fontId="0" fillId="0" borderId="0"/>
    <xf numFmtId="0" fontId="1" fillId="2" borderId="1"/>
    <xf numFmtId="0" fontId="13" fillId="0" borderId="0"/>
    <xf numFmtId="0" fontId="15" fillId="0" borderId="0"/>
    <xf numFmtId="0" fontId="16" fillId="0" borderId="0"/>
    <xf numFmtId="0" fontId="17" fillId="0" borderId="0"/>
  </cellStyleXfs>
  <cellXfs count="89">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12" fillId="5" borderId="0" xfId="0" applyFont="1" applyFill="1" applyAlignment="1">
      <alignment vertical="center" wrapText="1"/>
    </xf>
    <xf numFmtId="0" fontId="11" fillId="3" borderId="3" xfId="0" applyFont="1" applyFill="1" applyBorder="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0" fontId="0" fillId="4" borderId="0" xfId="0" applyFill="1" applyAlignment="1">
      <alignment vertical="top" wrapText="1"/>
    </xf>
    <xf numFmtId="49" fontId="0" fillId="4" borderId="0" xfId="0" applyNumberFormat="1" applyFill="1" applyAlignment="1">
      <alignment vertical="top" wrapText="1"/>
    </xf>
    <xf numFmtId="0" fontId="0" fillId="0" borderId="0" xfId="0" applyAlignment="1">
      <alignment wrapText="1"/>
    </xf>
    <xf numFmtId="0" fontId="14" fillId="0" borderId="0" xfId="0" applyFont="1"/>
    <xf numFmtId="0" fontId="18" fillId="6" borderId="0" xfId="0" applyFont="1" applyFill="1" applyAlignment="1">
      <alignment horizontal="center"/>
    </xf>
    <xf numFmtId="0" fontId="18" fillId="0" borderId="0" xfId="0" applyFont="1" applyAlignment="1">
      <alignment horizontal="center"/>
    </xf>
    <xf numFmtId="0" fontId="18" fillId="0" borderId="0" xfId="0" applyFont="1" applyAlignment="1">
      <alignment horizontal="center" wrapText="1"/>
    </xf>
    <xf numFmtId="0" fontId="0" fillId="0" borderId="0" xfId="0" applyAlignment="1">
      <alignment vertical="top"/>
    </xf>
    <xf numFmtId="0" fontId="0" fillId="0" borderId="0" xfId="0" applyAlignment="1">
      <alignment horizontal="center" vertical="top"/>
    </xf>
    <xf numFmtId="0" fontId="9" fillId="0" borderId="0" xfId="0" applyFont="1" applyAlignment="1">
      <alignment vertical="top"/>
    </xf>
    <xf numFmtId="164" fontId="9" fillId="0" borderId="0" xfId="0" applyNumberFormat="1" applyFont="1" applyAlignment="1">
      <alignment horizontal="right" vertical="top"/>
    </xf>
    <xf numFmtId="0" fontId="0" fillId="0" borderId="0" xfId="0" applyAlignment="1">
      <alignment horizontal="right" vertical="top"/>
    </xf>
    <xf numFmtId="0" fontId="0" fillId="0" borderId="0" xfId="0" applyAlignment="1">
      <alignment horizontal="left" vertical="top"/>
    </xf>
    <xf numFmtId="0" fontId="20" fillId="8" borderId="0" xfId="0" applyFont="1" applyFill="1" applyAlignment="1">
      <alignment horizontal="center" vertical="center"/>
    </xf>
    <xf numFmtId="0" fontId="21" fillId="8" borderId="2" xfId="0" applyFont="1" applyFill="1" applyBorder="1" applyAlignment="1">
      <alignment horizontal="center" vertical="center" wrapText="1"/>
    </xf>
    <xf numFmtId="0" fontId="21" fillId="8" borderId="2" xfId="0" applyFont="1" applyFill="1" applyBorder="1" applyAlignment="1">
      <alignment horizontal="left" vertical="center" wrapText="1"/>
    </xf>
    <xf numFmtId="164" fontId="21" fillId="8" borderId="2" xfId="0" applyNumberFormat="1" applyFont="1" applyFill="1" applyBorder="1" applyAlignment="1">
      <alignment horizontal="center" vertical="center" wrapText="1"/>
    </xf>
    <xf numFmtId="0" fontId="22" fillId="8" borderId="2" xfId="0" applyFont="1" applyFill="1" applyBorder="1" applyAlignment="1">
      <alignment horizontal="center" vertical="center" wrapText="1"/>
    </xf>
    <xf numFmtId="0" fontId="14" fillId="7" borderId="0" xfId="0" applyFont="1" applyFill="1" applyAlignment="1">
      <alignment vertical="top"/>
    </xf>
    <xf numFmtId="0" fontId="2" fillId="7" borderId="2" xfId="0" applyFont="1" applyFill="1" applyBorder="1" applyAlignment="1">
      <alignment vertical="top" wrapText="1"/>
    </xf>
    <xf numFmtId="0" fontId="2" fillId="7" borderId="2" xfId="0" applyFont="1" applyFill="1" applyBorder="1" applyAlignment="1">
      <alignment horizontal="center" vertical="top" wrapText="1"/>
    </xf>
    <xf numFmtId="1" fontId="2" fillId="7" borderId="2" xfId="0" applyNumberFormat="1" applyFont="1" applyFill="1" applyBorder="1" applyAlignment="1">
      <alignment horizontal="left" vertical="top" wrapText="1"/>
    </xf>
    <xf numFmtId="0" fontId="14" fillId="7" borderId="2" xfId="0" applyFont="1" applyFill="1" applyBorder="1" applyAlignment="1">
      <alignment horizontal="right" vertical="top"/>
    </xf>
    <xf numFmtId="1" fontId="2" fillId="7" borderId="2" xfId="0" applyNumberFormat="1" applyFont="1" applyFill="1" applyBorder="1" applyAlignment="1">
      <alignment horizontal="center" vertical="top" wrapText="1"/>
    </xf>
    <xf numFmtId="0" fontId="0" fillId="7" borderId="0" xfId="0" applyFill="1" applyAlignment="1">
      <alignment vertical="top"/>
    </xf>
    <xf numFmtId="1" fontId="3" fillId="7" borderId="2" xfId="0" applyNumberFormat="1" applyFont="1" applyFill="1" applyBorder="1" applyAlignment="1">
      <alignment horizontal="left" vertical="top" wrapText="1"/>
    </xf>
    <xf numFmtId="0" fontId="3" fillId="7" borderId="2" xfId="0" applyFont="1" applyFill="1" applyBorder="1" applyAlignment="1">
      <alignment vertical="top" wrapText="1"/>
    </xf>
    <xf numFmtId="0" fontId="0" fillId="7" borderId="2" xfId="0" applyFill="1" applyBorder="1" applyAlignment="1">
      <alignment horizontal="right" vertical="top"/>
    </xf>
    <xf numFmtId="0" fontId="9" fillId="0" borderId="0" xfId="0" applyFont="1" applyAlignment="1">
      <alignment horizontal="right" vertical="top"/>
    </xf>
    <xf numFmtId="164" fontId="3" fillId="7" borderId="2" xfId="0" applyNumberFormat="1" applyFont="1" applyFill="1" applyBorder="1" applyAlignment="1">
      <alignment horizontal="right" vertical="top" wrapText="1"/>
    </xf>
    <xf numFmtId="164" fontId="3" fillId="7" borderId="2" xfId="0" applyNumberFormat="1" applyFont="1" applyFill="1" applyBorder="1" applyAlignment="1">
      <alignment horizontal="left" vertical="top" wrapText="1"/>
    </xf>
    <xf numFmtId="0" fontId="0" fillId="7" borderId="2" xfId="0" applyFill="1" applyBorder="1" applyAlignment="1">
      <alignment horizontal="left" vertical="top"/>
    </xf>
    <xf numFmtId="0" fontId="21" fillId="8" borderId="4" xfId="0" applyFont="1" applyFill="1" applyBorder="1" applyAlignment="1">
      <alignment horizontal="center" vertical="center" wrapText="1"/>
    </xf>
    <xf numFmtId="0" fontId="0" fillId="7" borderId="2" xfId="0" applyFill="1" applyBorder="1" applyAlignment="1">
      <alignment vertical="top"/>
    </xf>
    <xf numFmtId="0" fontId="1" fillId="7" borderId="2" xfId="1" applyFill="1" applyBorder="1" applyAlignment="1">
      <alignment vertical="top" wrapText="1"/>
    </xf>
    <xf numFmtId="0" fontId="1" fillId="7" borderId="2" xfId="1" applyFill="1" applyBorder="1" applyAlignment="1">
      <alignment horizontal="left" vertical="top" wrapText="1"/>
    </xf>
    <xf numFmtId="0" fontId="3" fillId="7" borderId="2" xfId="0" applyFont="1" applyFill="1" applyBorder="1" applyAlignment="1">
      <alignment horizontal="left" vertical="top" wrapText="1"/>
    </xf>
    <xf numFmtId="0" fontId="14" fillId="7" borderId="2" xfId="0" applyFont="1" applyFill="1" applyBorder="1" applyAlignment="1">
      <alignment vertical="top"/>
    </xf>
    <xf numFmtId="0" fontId="19" fillId="7" borderId="2" xfId="0" applyFont="1" applyFill="1" applyBorder="1" applyAlignment="1">
      <alignment vertical="top"/>
    </xf>
    <xf numFmtId="0" fontId="19" fillId="7" borderId="2" xfId="0" applyFont="1" applyFill="1" applyBorder="1" applyAlignment="1">
      <alignment horizontal="right" vertical="top"/>
    </xf>
    <xf numFmtId="0" fontId="9" fillId="7" borderId="2" xfId="0" applyFont="1" applyFill="1" applyBorder="1" applyAlignment="1">
      <alignment vertical="top"/>
    </xf>
    <xf numFmtId="0" fontId="9" fillId="7" borderId="2" xfId="0" applyFont="1" applyFill="1" applyBorder="1" applyAlignment="1">
      <alignment horizontal="right" vertical="top"/>
    </xf>
    <xf numFmtId="49" fontId="5" fillId="7" borderId="2" xfId="0" applyNumberFormat="1" applyFont="1" applyFill="1" applyBorder="1" applyAlignment="1">
      <alignment vertical="top" wrapText="1"/>
    </xf>
    <xf numFmtId="0" fontId="2" fillId="7" borderId="2" xfId="0" applyFont="1" applyFill="1" applyBorder="1" applyAlignment="1">
      <alignment horizontal="left" vertical="top" wrapText="1"/>
    </xf>
    <xf numFmtId="0" fontId="0" fillId="9" borderId="2" xfId="0" applyFill="1" applyBorder="1" applyAlignment="1">
      <alignment vertical="top"/>
    </xf>
    <xf numFmtId="49" fontId="5" fillId="9" borderId="2" xfId="0" applyNumberFormat="1" applyFont="1" applyFill="1" applyBorder="1" applyAlignment="1">
      <alignment vertical="top" wrapText="1"/>
    </xf>
    <xf numFmtId="0" fontId="10" fillId="9" borderId="2" xfId="0" applyFont="1" applyFill="1" applyBorder="1" applyAlignment="1">
      <alignment vertical="top" wrapText="1"/>
    </xf>
    <xf numFmtId="1" fontId="0" fillId="9" borderId="2" xfId="0" applyNumberFormat="1" applyFill="1" applyBorder="1" applyAlignment="1">
      <alignment horizontal="center" vertical="top" wrapText="1"/>
    </xf>
    <xf numFmtId="0" fontId="5" fillId="9" borderId="2" xfId="0" applyFont="1" applyFill="1" applyBorder="1" applyAlignment="1">
      <alignment vertical="top"/>
    </xf>
    <xf numFmtId="49" fontId="5" fillId="9" borderId="2" xfId="0" applyNumberFormat="1" applyFont="1" applyFill="1" applyBorder="1" applyAlignment="1">
      <alignment horizontal="left" vertical="top" wrapText="1"/>
    </xf>
    <xf numFmtId="164" fontId="5" fillId="9" borderId="2" xfId="0" applyNumberFormat="1" applyFont="1" applyFill="1" applyBorder="1" applyAlignment="1">
      <alignment horizontal="right" vertical="top"/>
    </xf>
    <xf numFmtId="0" fontId="3" fillId="9" borderId="2" xfId="0" applyFont="1" applyFill="1" applyBorder="1" applyAlignment="1">
      <alignment vertical="top" wrapText="1"/>
    </xf>
    <xf numFmtId="0" fontId="0" fillId="9" borderId="2" xfId="0" applyFill="1" applyBorder="1" applyAlignment="1">
      <alignment horizontal="right" vertical="top"/>
    </xf>
    <xf numFmtId="0" fontId="0" fillId="9" borderId="0" xfId="0" applyFill="1" applyAlignment="1">
      <alignment vertical="top"/>
    </xf>
    <xf numFmtId="0" fontId="7" fillId="9" borderId="2" xfId="0" applyFont="1" applyFill="1" applyBorder="1" applyAlignment="1">
      <alignment horizontal="center" vertical="top"/>
    </xf>
    <xf numFmtId="0" fontId="0" fillId="9" borderId="2" xfId="0" applyFill="1" applyBorder="1" applyAlignment="1">
      <alignment horizontal="left" vertical="top"/>
    </xf>
    <xf numFmtId="0" fontId="0" fillId="9" borderId="2" xfId="0" applyFill="1" applyBorder="1" applyAlignment="1">
      <alignment vertical="top" wrapText="1"/>
    </xf>
    <xf numFmtId="1" fontId="0" fillId="9" borderId="2" xfId="0" applyNumberFormat="1" applyFill="1" applyBorder="1" applyAlignment="1">
      <alignment horizontal="center" vertical="top"/>
    </xf>
    <xf numFmtId="0" fontId="4" fillId="9" borderId="2" xfId="0" applyFont="1" applyFill="1" applyBorder="1" applyAlignment="1">
      <alignment horizontal="left" vertical="top" wrapText="1"/>
    </xf>
    <xf numFmtId="0" fontId="0" fillId="9" borderId="2" xfId="0" applyFill="1" applyBorder="1"/>
    <xf numFmtId="0" fontId="4" fillId="9" borderId="2" xfId="2" applyFont="1" applyFill="1" applyBorder="1" applyAlignment="1">
      <alignment horizontal="left" vertical="top" wrapText="1"/>
    </xf>
    <xf numFmtId="0" fontId="8" fillId="9" borderId="2" xfId="0" applyFont="1" applyFill="1" applyBorder="1" applyAlignment="1">
      <alignment horizontal="center" vertical="top"/>
    </xf>
    <xf numFmtId="0" fontId="6" fillId="9" borderId="2" xfId="0" applyFont="1" applyFill="1" applyBorder="1" applyAlignment="1">
      <alignment horizontal="left" vertical="top" wrapText="1"/>
    </xf>
    <xf numFmtId="0" fontId="0" fillId="9" borderId="0" xfId="0" applyFill="1"/>
    <xf numFmtId="0" fontId="0" fillId="9" borderId="2" xfId="0" applyFill="1" applyBorder="1" applyAlignment="1">
      <alignment horizontal="left" vertical="top" wrapText="1"/>
    </xf>
    <xf numFmtId="164" fontId="5" fillId="9" borderId="2" xfId="0" applyNumberFormat="1" applyFont="1" applyFill="1" applyBorder="1" applyAlignment="1">
      <alignment vertical="top"/>
    </xf>
    <xf numFmtId="49" fontId="0" fillId="9" borderId="2" xfId="0" applyNumberFormat="1" applyFill="1" applyBorder="1" applyAlignment="1">
      <alignment vertical="top" wrapText="1"/>
    </xf>
    <xf numFmtId="49" fontId="15" fillId="9" borderId="2" xfId="3" applyNumberFormat="1" applyFill="1" applyBorder="1" applyAlignment="1">
      <alignment vertical="top" wrapText="1"/>
    </xf>
    <xf numFmtId="16" fontId="5" fillId="9" borderId="2" xfId="0" applyNumberFormat="1" applyFont="1" applyFill="1" applyBorder="1" applyAlignment="1">
      <alignment vertical="top"/>
    </xf>
    <xf numFmtId="0" fontId="3" fillId="9" borderId="2" xfId="0" applyFont="1" applyFill="1" applyBorder="1" applyAlignment="1">
      <alignment horizontal="center" vertical="top" wrapText="1"/>
    </xf>
    <xf numFmtId="0" fontId="0" fillId="6" borderId="0" xfId="0" applyFill="1" applyAlignment="1">
      <alignment wrapText="1"/>
    </xf>
    <xf numFmtId="0" fontId="15" fillId="0" borderId="0" xfId="3"/>
    <xf numFmtId="0" fontId="21" fillId="8" borderId="0" xfId="0" applyFont="1" applyFill="1" applyAlignment="1">
      <alignment horizontal="center" vertical="center" wrapText="1"/>
    </xf>
    <xf numFmtId="0" fontId="21" fillId="8" borderId="0" xfId="0" applyFont="1" applyFill="1" applyAlignment="1">
      <alignment horizontal="left" vertical="center" wrapText="1"/>
    </xf>
    <xf numFmtId="164" fontId="21" fillId="8" borderId="0" xfId="0" applyNumberFormat="1" applyFont="1" applyFill="1" applyAlignment="1">
      <alignment horizontal="center" vertical="center" wrapText="1"/>
    </xf>
    <xf numFmtId="0" fontId="22" fillId="8" borderId="0" xfId="0" applyFont="1" applyFill="1" applyAlignment="1">
      <alignment horizontal="center" vertical="center" wrapText="1"/>
    </xf>
    <xf numFmtId="0" fontId="7" fillId="9" borderId="2" xfId="0" applyFont="1" applyFill="1" applyBorder="1" applyAlignment="1">
      <alignment horizontal="center" vertical="top" wrapText="1"/>
    </xf>
    <xf numFmtId="164" fontId="5" fillId="9" borderId="0" xfId="0" applyNumberFormat="1" applyFont="1" applyFill="1" applyAlignment="1">
      <alignment horizontal="right" vertical="top"/>
    </xf>
    <xf numFmtId="16" fontId="0" fillId="0" borderId="0" xfId="0" applyNumberFormat="1"/>
    <xf numFmtId="10" fontId="0" fillId="0" borderId="0" xfId="0" applyNumberFormat="1"/>
  </cellXfs>
  <cellStyles count="6">
    <cellStyle name="Calculation" xfId="1" builtinId="22"/>
    <cellStyle name="Hyperlink" xfId="3" builtinId="8"/>
    <cellStyle name="Hyperlink 2" xfId="5" xr:uid="{00000000-0005-0000-0000-000005000000}"/>
    <cellStyle name="Normal" xfId="0" builtinId="0"/>
    <cellStyle name="Normal 2" xfId="4" xr:uid="{00000000-0005-0000-0000-000004000000}"/>
    <cellStyle name="Normalno 2" xfId="2" xr:uid="{00000000-0005-0000-0000-000002000000}"/>
  </cellStyles>
  <dxfs count="26">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numFmt numFmtId="19" formatCode="d/m/yyyy"/>
    </dxf>
    <dxf>
      <numFmt numFmtId="19" formatCode="d/m/yyyy"/>
    </dxf>
    <dxf>
      <numFmt numFmtId="19" formatCode="d/m/yyyy"/>
    </dxf>
    <dxf>
      <numFmt numFmtId="19" formatCode="d/m/yyyy"/>
    </dxf>
    <dxf>
      <numFmt numFmtId="19" formatCode="d/m/yyyy"/>
    </dxf>
    <dxf>
      <numFmt numFmtId="19" formatCode="d/m/yyyy"/>
    </dxf>
    <dxf>
      <numFmt numFmtId="19" formatCode="d/m/yyyy"/>
    </dxf>
    <dxf>
      <numFmt numFmtId="19" formatCode="d/m/yyyy"/>
    </dxf>
    <dxf>
      <numFmt numFmtId="19" formatCode="d/m/yyyy"/>
    </dxf>
    <dxf>
      <numFmt numFmtId="19" formatCode="d/m/yyyy"/>
    </dxf>
    <dxf>
      <numFmt numFmtId="19" formatCode="d/m/yyyy"/>
    </dxf>
    <dxf>
      <numFmt numFmtId="19" formatCode="d/m/yyyy"/>
    </dxf>
    <dxf>
      <fill>
        <patternFill>
          <fgColor indexed="64"/>
          <bgColor indexed="65"/>
        </patternFill>
      </fill>
    </dxf>
    <dxf>
      <fill>
        <patternFill>
          <fgColor indexed="64"/>
          <bgColor auto="1"/>
        </patternFill>
      </fill>
    </dxf>
    <dxf>
      <numFmt numFmtId="19" formatCode="d/m/yyyy"/>
    </dxf>
    <dxf>
      <numFmt numFmtId="19" formatCode="d/m/yyyy"/>
    </dxf>
    <dxf>
      <fill>
        <patternFill>
          <fgColor indexed="64"/>
          <bgColor auto="1"/>
        </patternFill>
      </fill>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na Borojević" refreshedDate="46120.794549305552" createdVersion="8" refreshedVersion="8" minRefreshableVersion="3" recordCount="815" xr:uid="{00000000-000A-0000-FFFF-FFFF00000000}">
  <cacheSource type="worksheet">
    <worksheetSource ref="B2:S817" sheet="G1_ planiranje"/>
  </cacheSource>
  <cacheFields count="20">
    <cacheField name="PPZ" numFmtId="0">
      <sharedItems containsBlank="1"/>
    </cacheField>
    <cacheField name="ELO" numFmtId="0">
      <sharedItems containsBlank="1" containsMixedTypes="1" containsNumber="1" containsInteger="1" minValue="1" maxValue="790"/>
    </cacheField>
    <cacheField name="ID" numFmtId="0">
      <sharedItems containsBlank="1"/>
    </cacheField>
    <cacheField name="Tip opreme " numFmtId="0">
      <sharedItems count="24">
        <s v="Studio za snimanje Tip-A"/>
        <s v="Studio za snimanje Tip-A s blesimetrom"/>
        <s v="Studio za snimanje Tip-B1"/>
        <s v="Studio za snimanje Tip-B2"/>
        <s v="Prijenosni set za online prijenos i snimanje"/>
        <s v="Prezentacijska dvorana Tip-A"/>
        <s v="Prezentacijska dvorana Tip-B"/>
        <s v="Multimedijska oprema - Kamera"/>
        <s v="Multimedijska oprema - PTZ Kamera"/>
        <s v="Multimedijska oprema - Usmjereni/shotgun mikrofon "/>
        <s v="Multimedijska oprema - Telepromter "/>
        <s v="Multimedijska oprema - Memorijski prijenosni set "/>
        <s v="Multimedijska oprema - Podcast mikrofon "/>
        <s v="Multimedijska oprema - Rasvjeta "/>
        <s v="Multimedijska oprema - Projektor s projekcijskim platnom Tip 1 "/>
        <s v="Multimedijska oprema - Projektor s projekcijskim platnom Tip 2 "/>
        <s v="Multimedijska oprema - Projektor s projekcijskim platnom Tip 3 "/>
        <s v="Multimedijska oprema - Mali stalak za kameru"/>
        <s v="Multimedijska oprema - Veliki stalak za kameru ili telepromter "/>
        <s v="Multimedijska oprema - Profesionalna web kamera"/>
        <s v="Multimedijska oprema - Bežični mikrofonski sustav "/>
        <s v="Multimedijska oprema - Zvučnik s objedinjenim mikrofonom(speakerphone) i kamerom "/>
        <s v="Multimedijska oprema - Fotoaparat s opremom "/>
        <s v="Multimedijska oprema - Stolno računalo za postprodukciju"/>
      </sharedItems>
    </cacheField>
    <cacheField name="Ustanove" numFmtId="0">
      <sharedItems containsBlank="1" count="98">
        <m/>
        <s v="Farmaceutsko - biokemijski fakultet"/>
        <s v="Veleučilište u Virovitici"/>
        <s v="Fakultet kemijskog inženjerstva i tehnologije"/>
        <s v="Nacionalna i sveučilišna knjižnica"/>
        <s v="Hrvatsko katoličko sveučilište"/>
        <s v="Sveučilište u Zadru"/>
        <s v="Veleučilište &quot;Marko Marulić&quot; u Kninu"/>
        <s v="Veleučilište &quot;Nikola Tesla&quot; u Gospiću"/>
        <s v="Sveučilište Sjever"/>
        <s v="Sveučilište Jurja Dobrile u Puli"/>
        <s v="Sveučilište u Rijeci"/>
        <s v="Stomatološki fakultet"/>
        <s v="Veleučilište u Križevcima"/>
        <s v="Sveučilište obrane i sigurnosti &quot;Dr. Franjo Tuđman&quot;"/>
        <s v="Geotehnički fakultet"/>
        <s v="Pomorski fakultet u Splitu"/>
        <s v="Veleučilište u Rijeci"/>
        <s v="Akademija dramske umjetnosti"/>
        <s v="Veleučilište u Šibeniku"/>
        <s v="Ekonomski fakultet u Splitu"/>
        <s v="Fakultet agrobiotehničkih znanosti Osijek"/>
        <s v="Katolički bogoslovni fakultet u Đakovu"/>
        <s v="Tehničko veleučilište u Zagrebu"/>
        <s v="Fakultet turizma i ruralnog razvoja u Požegi"/>
        <s v="Veleučilište &quot;Lavoslav Ružička&quot; u Vukovaru"/>
        <s v="Fakultet strojarstva i brodogradnje"/>
        <s v="Sveučilište u Splitu"/>
        <s v="Sveučilište u Zagrebu"/>
        <s v="Umjetnička akademija u Splitu"/>
        <s v="Arhitektonski fakultet"/>
        <s v="Katolički bogoslovni fakultet, Zagreb"/>
        <s v="Akademija za umjetnost i kulturu u Osijeku"/>
        <s v="Sveučilište Josipa Jurja Strossmayera u Osijeku"/>
        <s v="Fakultet hrvatskih studija"/>
        <s v="MUP, Policijska akademija &quot;Prvi hrvatski redarstvenik&quot;, Veleučilište kriminalistike i javne sigurnosti"/>
        <s v="Fakultet elektrotehnike, strojarstva i brodogradnje u Splitu"/>
        <s v="Sveučilište u Dubrovniku"/>
        <s v="Medicinski fakultet u Splitu"/>
        <s v="Pravni fakultet u Splitu"/>
        <s v="Fakultet šumarstva i drvne tehnologije"/>
        <s v="Veleučilište Hrvatsko zagorje Krapina"/>
        <s v="Prirodoslovno-matematički fakultet u Splitu"/>
        <s v="Grafički fakultet, Zagreb"/>
        <s v="Fakultet filozofije i religijskih znanosti"/>
        <s v="Fakultet političkih znanosti"/>
        <s v="Međimursko veleučilište u Čakovcu"/>
        <s v="Sveučilište u Slavonskom Brodu"/>
        <s v="Edukacijsko-rehabilitacijski fakultet"/>
        <s v="Geodetski fakultet"/>
        <s v="Tehnički fakultet, Rijeka"/>
        <s v="Metalurški fakultet"/>
        <s v="Zdravstveno veleučilište"/>
        <s v="Kineziološki fakultet u Splitu"/>
        <s v="Građevinski fakultet, Zagreb"/>
        <s v="Kineziološki fakultet Osijek"/>
        <s v="Učiteljski fakultet, Zagreb"/>
        <s v="Pomorski fakultet u Rijeci"/>
        <s v="Fakultet građevinarstva, arhitekture i geodezije u Splitu"/>
        <s v="Fakultet za dentalnu medicinu i zdravstvo Osijek"/>
        <s v="Filozofski fakultet u Zagrebu"/>
        <s v="Fakultet elektrotehnike, računarstva i informacijskih tehnologija Osijek"/>
        <s v="Akademija likovnih umjetnosti"/>
        <s v="Učiteljski fakultet u Rijeci"/>
        <s v="Filozofski fakultet u Splitu"/>
        <s v="Rudarsko-geološko-naftni fakultet"/>
        <s v="Fakultet organizacije i informatike"/>
        <s v="Medicinski fakultet Osijek"/>
        <s v="Muzička akademija"/>
        <s v="Fakultet zdravstvenih studija"/>
        <s v="Prehrambeno-biotehnološki fakultet"/>
        <s v="Fakultet elektrotehnike i računarstva"/>
        <s v="Veleučilište u Karlovcu"/>
        <s v="Agronomski fakultet"/>
        <s v="Prehrambeno-tehnološki fakultet Osijek"/>
        <s v="Prirodoslovno-matematički fakultet, Zagreb"/>
        <s v="Akademija primijenjenih umjetnosti"/>
        <s v="Pravni fakultet Osijek"/>
        <s v="Tekstilno-tehnološki fakultet"/>
        <s v="Medicinski fakultet u Zagrebu"/>
        <s v="Filozofski fakultet Osijek"/>
        <s v="Fakultet za odgojne i obrazovne znanosti"/>
        <s v="Katolički bogoslovni fakultet, Split"/>
        <s v="Veterinarski fakultet, Zagreb"/>
        <s v="Ekonomski fakultet u Osijeku"/>
        <s v="Fakultet primijenjene matematike i informatike"/>
        <s v="Fakultet za menadžment u turizmu i ugostiteljstvu"/>
        <s v="Medicinski fakultet u Rijeci"/>
        <s v="Fakultet prometnih znanosti"/>
        <s v="Pravni fakultet u Rijeci"/>
        <s v="Građevinski i arhitektonski fakultet Osijek"/>
        <s v="Kineziološki fakultet u Zagrebu"/>
        <s v="Ekonomski fakultet, Rijeka"/>
        <s v="Ekonomski fakultet - Zagreb"/>
        <s v="Filozofski fakultet u Rijeci"/>
        <s v="Građevinski fakultet u Rijeci"/>
        <s v="Kemijsko-tehnološki fakultet u Splitu"/>
        <s v="Pravni fakultet u Zagrebu"/>
      </sharedItems>
    </cacheField>
    <cacheField name="Kom." numFmtId="0">
      <sharedItems containsSemiMixedTypes="0" containsString="0" containsNumber="1" containsInteger="1" minValue="1" maxValue="249"/>
    </cacheField>
    <cacheField name="Lokacija" numFmtId="0">
      <sharedItems containsBlank="1" count="24">
        <m/>
        <s v="Zagreb"/>
        <s v="Virovitica"/>
        <s v="Zadar"/>
        <s v="Knin"/>
        <s v="Gospić"/>
        <s v="Koprivnica"/>
        <s v="Pula"/>
        <s v="Rijeka"/>
        <s v="Križevci"/>
        <s v="Varaždin"/>
        <s v="Split"/>
        <s v="Šibenik"/>
        <s v="Osijek"/>
        <s v="Đakovo"/>
        <s v="Požega"/>
        <s v="Vukovar"/>
        <s v="Dubrovnik"/>
        <s v="Krapina"/>
        <s v="Čakovec"/>
        <s v="Slavonski Brod"/>
        <s v="Sisak"/>
        <s v="Karlovac"/>
        <s v="Ika"/>
      </sharedItems>
    </cacheField>
    <cacheField name="Ime i prezime" numFmtId="0">
      <sharedItems containsBlank="1"/>
    </cacheField>
    <cacheField name="Kontakt broj" numFmtId="0">
      <sharedItems containsBlank="1"/>
    </cacheField>
    <cacheField name="e-mail" numFmtId="0">
      <sharedItems containsBlank="1"/>
    </cacheField>
    <cacheField name="Matična adresa" numFmtId="0">
      <sharedItems containsBlank="1"/>
    </cacheField>
    <cacheField name="Adresa/e isporuke" numFmtId="0">
      <sharedItems containsBlank="1" longText="1"/>
    </cacheField>
    <cacheField name="OIB" numFmtId="0">
      <sharedItems containsBlank="1"/>
    </cacheField>
    <cacheField name="Isporuka na lokaciju " numFmtId="0">
      <sharedItems containsNonDate="0" containsDate="1" containsString="0" containsBlank="1" minDate="2026-03-23T00:00:00" maxDate="2026-05-26T00:00:00" count="12">
        <m/>
        <d v="2026-04-20T00:00:00"/>
        <d v="2026-05-11T00:00:00"/>
        <d v="2026-04-07T00:00:00"/>
        <d v="2026-04-27T00:00:00"/>
        <d v="2026-04-13T00:00:00"/>
        <d v="2026-05-18T00:00:00"/>
        <d v="2026-05-25T00:00:00"/>
        <d v="2026-03-30T00:00:00"/>
        <d v="2026-03-23T00:00:00"/>
        <d v="2026-05-20T00:00:00" u="1"/>
        <d v="2026-04-01T00:00:00" u="1"/>
      </sharedItems>
      <fieldGroup par="19"/>
    </cacheField>
    <cacheField name="Montaža_x000a_start" numFmtId="0">
      <sharedItems containsDate="1" containsString="0" containsBlank="1" containsMixedTypes="1" minDate="2026-04-14T00:00:00" maxDate="2026-05-05T00:00:00"/>
    </cacheField>
    <cacheField name="Montaža_x000a_finish" numFmtId="0">
      <sharedItems containsNonDate="0" containsString="0" containsBlank="1"/>
    </cacheField>
    <cacheField name="Instalacija " numFmtId="0">
      <sharedItems containsBlank="1"/>
    </cacheField>
    <cacheField name="Održavanje " numFmtId="0">
      <sharedItems containsBlank="1"/>
    </cacheField>
    <cacheField name="Days (Isporuka na lokaciju )" numFmtId="0" databaseField="0">
      <fieldGroup base="13">
        <rangePr groupBy="days" startDate="2026-03-23T00:00:00" endDate="2026-05-26T00:00:00"/>
        <groupItems count="368">
          <s v="&lt;23.3.2026"/>
          <s v="1.sij"/>
          <s v="2.sij"/>
          <s v="3.sij"/>
          <s v="4.sij"/>
          <s v="5.sij"/>
          <s v="6.sij"/>
          <s v="7.sij"/>
          <s v="8.sij"/>
          <s v="9.sij"/>
          <s v="10.sij"/>
          <s v="11.sij"/>
          <s v="12.sij"/>
          <s v="13.sij"/>
          <s v="14.sij"/>
          <s v="15.sij"/>
          <s v="16.sij"/>
          <s v="17.sij"/>
          <s v="18.sij"/>
          <s v="19.sij"/>
          <s v="20.sij"/>
          <s v="21.sij"/>
          <s v="22.sij"/>
          <s v="23.sij"/>
          <s v="24.sij"/>
          <s v="25.sij"/>
          <s v="26.sij"/>
          <s v="27.sij"/>
          <s v="28.sij"/>
          <s v="29.sij"/>
          <s v="30.sij"/>
          <s v="31.sij"/>
          <s v="1.vlj"/>
          <s v="2.vlj"/>
          <s v="3.vlj"/>
          <s v="4.vlj"/>
          <s v="5.vlj"/>
          <s v="6.vlj"/>
          <s v="7.vlj"/>
          <s v="8.vlj"/>
          <s v="9.vlj"/>
          <s v="10.vlj"/>
          <s v="11.vlj"/>
          <s v="12.vlj"/>
          <s v="13.vlj"/>
          <s v="14.vlj"/>
          <s v="15.vlj"/>
          <s v="16.vlj"/>
          <s v="17.vlj"/>
          <s v="18.vlj"/>
          <s v="19.vlj"/>
          <s v="20.vlj"/>
          <s v="21.vlj"/>
          <s v="22.vlj"/>
          <s v="23.vlj"/>
          <s v="24.vlj"/>
          <s v="25.vlj"/>
          <s v="26.vlj"/>
          <s v="27.vlj"/>
          <s v="28.vlj"/>
          <s v="29.vlj"/>
          <s v="1.ožu"/>
          <s v="2.ožu"/>
          <s v="3.ožu"/>
          <s v="4.ožu"/>
          <s v="5.ožu"/>
          <s v="6.ožu"/>
          <s v="7.ožu"/>
          <s v="8.ožu"/>
          <s v="9.ožu"/>
          <s v="10.ožu"/>
          <s v="11.ožu"/>
          <s v="12.ožu"/>
          <s v="13.ožu"/>
          <s v="14.ožu"/>
          <s v="15.ožu"/>
          <s v="16.ožu"/>
          <s v="17.ožu"/>
          <s v="18.ožu"/>
          <s v="19.ožu"/>
          <s v="20.ožu"/>
          <s v="21.ožu"/>
          <s v="22.ožu"/>
          <s v="23.ožu"/>
          <s v="24.ožu"/>
          <s v="25.ožu"/>
          <s v="26.ožu"/>
          <s v="27.ožu"/>
          <s v="28.ožu"/>
          <s v="29.ožu"/>
          <s v="30.ožu"/>
          <s v="31.ožu"/>
          <s v="1.tra"/>
          <s v="2.tra"/>
          <s v="3.tra"/>
          <s v="4.tra"/>
          <s v="5.tra"/>
          <s v="6.tra"/>
          <s v="7.tra"/>
          <s v="8.tra"/>
          <s v="9.tra"/>
          <s v="10.tra"/>
          <s v="11.tra"/>
          <s v="12.tra"/>
          <s v="13.tra"/>
          <s v="14.tra"/>
          <s v="15.tra"/>
          <s v="16.tra"/>
          <s v="17.tra"/>
          <s v="18.tra"/>
          <s v="19.tra"/>
          <s v="20.tra"/>
          <s v="21.tra"/>
          <s v="22.tra"/>
          <s v="23.tra"/>
          <s v="24.tra"/>
          <s v="25.tra"/>
          <s v="26.tra"/>
          <s v="27.tra"/>
          <s v="28.tra"/>
          <s v="29.tra"/>
          <s v="30.tra"/>
          <s v="1.svi"/>
          <s v="2.svi"/>
          <s v="3.svi"/>
          <s v="4.svi"/>
          <s v="5.svi"/>
          <s v="6.svi"/>
          <s v="7.svi"/>
          <s v="8.svi"/>
          <s v="9.svi"/>
          <s v="10.svi"/>
          <s v="11.svi"/>
          <s v="12.svi"/>
          <s v="13.svi"/>
          <s v="14.svi"/>
          <s v="15.svi"/>
          <s v="16.svi"/>
          <s v="17.svi"/>
          <s v="18.svi"/>
          <s v="19.svi"/>
          <s v="20.svi"/>
          <s v="21.svi"/>
          <s v="22.svi"/>
          <s v="23.svi"/>
          <s v="24.svi"/>
          <s v="25.svi"/>
          <s v="26.svi"/>
          <s v="27.svi"/>
          <s v="28.svi"/>
          <s v="29.svi"/>
          <s v="30.svi"/>
          <s v="31.svi"/>
          <s v="1.lip"/>
          <s v="2.lip"/>
          <s v="3.lip"/>
          <s v="4.lip"/>
          <s v="5.lip"/>
          <s v="6.lip"/>
          <s v="7.lip"/>
          <s v="8.lip"/>
          <s v="9.lip"/>
          <s v="10.lip"/>
          <s v="11.lip"/>
          <s v="12.lip"/>
          <s v="13.lip"/>
          <s v="14.lip"/>
          <s v="15.lip"/>
          <s v="16.lip"/>
          <s v="17.lip"/>
          <s v="18.lip"/>
          <s v="19.lip"/>
          <s v="20.lip"/>
          <s v="21.lip"/>
          <s v="22.lip"/>
          <s v="23.lip"/>
          <s v="24.lip"/>
          <s v="25.lip"/>
          <s v="26.lip"/>
          <s v="27.lip"/>
          <s v="28.lip"/>
          <s v="29.lip"/>
          <s v="30.lip"/>
          <s v="1.srp"/>
          <s v="2.srp"/>
          <s v="3.srp"/>
          <s v="4.srp"/>
          <s v="5.srp"/>
          <s v="6.srp"/>
          <s v="7.srp"/>
          <s v="8.srp"/>
          <s v="9.srp"/>
          <s v="10.srp"/>
          <s v="11.srp"/>
          <s v="12.srp"/>
          <s v="13.srp"/>
          <s v="14.srp"/>
          <s v="15.srp"/>
          <s v="16.srp"/>
          <s v="17.srp"/>
          <s v="18.srp"/>
          <s v="19.srp"/>
          <s v="20.srp"/>
          <s v="21.srp"/>
          <s v="22.srp"/>
          <s v="23.srp"/>
          <s v="24.srp"/>
          <s v="25.srp"/>
          <s v="26.srp"/>
          <s v="27.srp"/>
          <s v="28.srp"/>
          <s v="29.srp"/>
          <s v="30.srp"/>
          <s v="31.srp"/>
          <s v="1.kol"/>
          <s v="2.kol"/>
          <s v="3.kol"/>
          <s v="4.kol"/>
          <s v="5.kol"/>
          <s v="6.kol"/>
          <s v="7.kol"/>
          <s v="8.kol"/>
          <s v="9.kol"/>
          <s v="10.kol"/>
          <s v="11.kol"/>
          <s v="12.kol"/>
          <s v="13.kol"/>
          <s v="14.kol"/>
          <s v="15.kol"/>
          <s v="16.kol"/>
          <s v="17.kol"/>
          <s v="18.kol"/>
          <s v="19.kol"/>
          <s v="20.kol"/>
          <s v="21.kol"/>
          <s v="22.kol"/>
          <s v="23.kol"/>
          <s v="24.kol"/>
          <s v="25.kol"/>
          <s v="26.kol"/>
          <s v="27.kol"/>
          <s v="28.kol"/>
          <s v="29.kol"/>
          <s v="30.kol"/>
          <s v="31.kol"/>
          <s v="1.ruj"/>
          <s v="2.ruj"/>
          <s v="3.ruj"/>
          <s v="4.ruj"/>
          <s v="5.ruj"/>
          <s v="6.ruj"/>
          <s v="7.ruj"/>
          <s v="8.ruj"/>
          <s v="9.ruj"/>
          <s v="10.ruj"/>
          <s v="11.ruj"/>
          <s v="12.ruj"/>
          <s v="13.ruj"/>
          <s v="14.ruj"/>
          <s v="15.ruj"/>
          <s v="16.ruj"/>
          <s v="17.ruj"/>
          <s v="18.ruj"/>
          <s v="19.ruj"/>
          <s v="20.ruj"/>
          <s v="21.ruj"/>
          <s v="22.ruj"/>
          <s v="23.ruj"/>
          <s v="24.ruj"/>
          <s v="25.ruj"/>
          <s v="26.ruj"/>
          <s v="27.ruj"/>
          <s v="28.ruj"/>
          <s v="29.ruj"/>
          <s v="30.ruj"/>
          <s v="1.lis"/>
          <s v="2.lis"/>
          <s v="3.lis"/>
          <s v="4.lis"/>
          <s v="5.lis"/>
          <s v="6.lis"/>
          <s v="7.lis"/>
          <s v="8.lis"/>
          <s v="9.lis"/>
          <s v="10.lis"/>
          <s v="11.lis"/>
          <s v="12.lis"/>
          <s v="13.lis"/>
          <s v="14.lis"/>
          <s v="15.lis"/>
          <s v="16.lis"/>
          <s v="17.lis"/>
          <s v="18.lis"/>
          <s v="19.lis"/>
          <s v="20.lis"/>
          <s v="21.lis"/>
          <s v="22.lis"/>
          <s v="23.lis"/>
          <s v="24.lis"/>
          <s v="25.lis"/>
          <s v="26.lis"/>
          <s v="27.lis"/>
          <s v="28.lis"/>
          <s v="29.lis"/>
          <s v="30.lis"/>
          <s v="31.lis"/>
          <s v="1.stu"/>
          <s v="2.stu"/>
          <s v="3.stu"/>
          <s v="4.stu"/>
          <s v="5.stu"/>
          <s v="6.stu"/>
          <s v="7.stu"/>
          <s v="8.stu"/>
          <s v="9.stu"/>
          <s v="10.stu"/>
          <s v="11.stu"/>
          <s v="12.stu"/>
          <s v="13.stu"/>
          <s v="14.stu"/>
          <s v="15.stu"/>
          <s v="16.stu"/>
          <s v="17.stu"/>
          <s v="18.stu"/>
          <s v="19.stu"/>
          <s v="20.stu"/>
          <s v="21.stu"/>
          <s v="22.stu"/>
          <s v="23.stu"/>
          <s v="24.stu"/>
          <s v="25.stu"/>
          <s v="26.stu"/>
          <s v="27.stu"/>
          <s v="28.stu"/>
          <s v="29.stu"/>
          <s v="30.stu"/>
          <s v="1.pro"/>
          <s v="2.pro"/>
          <s v="3.pro"/>
          <s v="4.pro"/>
          <s v="5.pro"/>
          <s v="6.pro"/>
          <s v="7.pro"/>
          <s v="8.pro"/>
          <s v="9.pro"/>
          <s v="10.pro"/>
          <s v="11.pro"/>
          <s v="12.pro"/>
          <s v="13.pro"/>
          <s v="14.pro"/>
          <s v="15.pro"/>
          <s v="16.pro"/>
          <s v="17.pro"/>
          <s v="18.pro"/>
          <s v="19.pro"/>
          <s v="20.pro"/>
          <s v="21.pro"/>
          <s v="22.pro"/>
          <s v="23.pro"/>
          <s v="24.pro"/>
          <s v="25.pro"/>
          <s v="26.pro"/>
          <s v="27.pro"/>
          <s v="28.pro"/>
          <s v="29.pro"/>
          <s v="30.pro"/>
          <s v="31.pro"/>
          <s v="&gt;26.5.2026"/>
        </groupItems>
      </fieldGroup>
    </cacheField>
    <cacheField name="Months (Isporuka na lokaciju )" numFmtId="0" databaseField="0">
      <fieldGroup base="13">
        <rangePr groupBy="months" startDate="2026-03-23T00:00:00" endDate="2026-05-26T00:00:00"/>
        <groupItems count="14">
          <s v="&lt;23.3.2026"/>
          <s v="sij"/>
          <s v="vlj"/>
          <s v="ožu"/>
          <s v="tra"/>
          <s v="svi"/>
          <s v="lip"/>
          <s v="srp"/>
          <s v="kol"/>
          <s v="ruj"/>
          <s v="lis"/>
          <s v="stu"/>
          <s v="pro"/>
          <s v="&gt;26.5.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na Borojević" refreshedDate="46121.577570138892" createdVersion="8" refreshedVersion="8" minRefreshableVersion="3" recordCount="647" xr:uid="{00000000-000A-0000-FFFF-FFFF01000000}">
  <cacheSource type="worksheet">
    <worksheetSource ref="B2:S649" sheet="G2_ planiranje"/>
  </cacheSource>
  <cacheFields count="18">
    <cacheField name="PPZ" numFmtId="0">
      <sharedItems containsNonDate="0" containsString="0" containsBlank="1"/>
    </cacheField>
    <cacheField name="ELO" numFmtId="0">
      <sharedItems containsBlank="1" containsMixedTypes="1" containsNumber="1" containsInteger="1" minValue="1" maxValue="632"/>
    </cacheField>
    <cacheField name="ID" numFmtId="0">
      <sharedItems containsBlank="1"/>
    </cacheField>
    <cacheField name="Tip opreme " numFmtId="0">
      <sharedItems count="19">
        <s v="Hibridna multimedijska dvorana Tip-A"/>
        <s v="Hibridna multimedijska dvorana Tip-B"/>
        <s v="Hibridna multimedijska dvorana Tip-C"/>
        <s v="Multifunkcionalni sustav za udaljeno spajanje"/>
        <s v="Cjelovito rješenje za simultano prevođenje"/>
        <s v="Multimedijska oprema - Interaktivni prezentacijski zaslon Tip-1"/>
        <s v="Multimedijska oprema - Interaktivni prezentacijski zaslon Tip-2"/>
        <s v="Multimedijska oprema - OPS računalo "/>
        <s v="Multimedijska oprema - Motorizirani stalak za zaslone "/>
        <s v="Multimedijska oprema - Prezentacijski ekran (s uključenim stalkom) "/>
        <s v="Multimedijska oprema - Zvučnici "/>
        <s v="Multimedijska oprema - Zvučnici"/>
        <s v="Multimedijska oprema - Audio mikser "/>
        <s v="Multimedijska oprema - Eksterna kartica za prihvat i obradu video/audio signala "/>
        <s v="Multimedijska oprema - Video mikser "/>
        <s v="Multimedijska oprema - USB preklopnik "/>
        <s v="Edukacijski set za obuku upravljanja dronom i zračnog snimanja"/>
        <s v="Prezentacijska oprema i edukacijski set za obuku upravljanja dronom i zračna snimanja" u="1"/>
        <s v="Multimedijska oprema - Motorizani stalak za zaslone " u="1"/>
      </sharedItems>
    </cacheField>
    <cacheField name="Ustanove" numFmtId="0">
      <sharedItems containsBlank="1" count="98">
        <m/>
        <s v="Pravni fakultet u Splitu"/>
        <s v="Hrvatsko katoličko sveučilište"/>
        <s v="Tehničko veleučilište u Zagrebu"/>
        <s v="Sveučilište u Zadru"/>
        <s v="Medicinski fakultet Osijek"/>
        <s v="Kineziološki fakultet u Zagrebu"/>
        <s v="Fakultet prometnih znanosti"/>
        <s v="Grafički fakultet, Zagreb"/>
        <s v="Veleučilište u Rijeci"/>
        <s v="Sveučilište u Splitu"/>
        <s v="Sveučilište u Slavonskom Brodu"/>
        <s v="Katolički bogoslovni fakultet, Split"/>
        <s v="Veterinarski fakultet, Zagreb"/>
        <s v="Arhitektonski fakultet"/>
        <s v="Veleučilište &quot;Nikola Tesla&quot; u Gospiću"/>
        <s v="Tekstilno-tehnološki fakultet"/>
        <s v="Medicinski fakultet u Zagrebu"/>
        <s v="Akademija primijenjenih umjetnosti"/>
        <s v="Fakultet elektrotehnike i računarstva"/>
        <s v="Sveučilište Sjever"/>
        <s v="Sveučilište Jurja Dobrile u Puli"/>
        <s v="Filozofski fakultet u Rijeci"/>
        <s v="Fakultet kemijskog inženjerstva i tehnologije"/>
        <s v="Učiteljski fakultet, Zagreb"/>
        <s v="Fakultet hrvatskih studija"/>
        <s v="MUP, Policijska akademija &quot;Prvi hrvatski redarstvenik&quot;, Veleučilište kriminalistike i javne sigurnosti"/>
        <s v="Fakultet elektrotehnike, strojarstva i brodogradnje u Splitu"/>
        <s v="Sveučilište u Dubrovniku"/>
        <s v="Medicinski fakultet u Splitu"/>
        <s v="Građevinski i arhitektonski fakultet Osijek"/>
        <s v="Fakultet turizma i ruralnog razvoja u Požegi"/>
        <s v="Fakultet zdravstvenih studija"/>
        <s v="Fakultet strojarstva i brodogradnje"/>
        <s v="Ekonomski fakultet, Rijeka"/>
        <s v="Pravni fakultet Osijek"/>
        <s v="Prirodoslovno-matematički fakultet, Zagreb"/>
        <s v="Međimursko veleučilište u Čakovcu"/>
        <s v="Edukacijsko-rehabilitacijski fakultet"/>
        <s v="Geodetski fakultet"/>
        <s v="Tehnički fakultet, Rijeka"/>
        <s v="Prehrambeno-biotehnološki fakultet"/>
        <s v="Zdravstveno veleučilište"/>
        <s v="Fakultet primijenjene matematike i informatike"/>
        <s v="Kineziološki fakultet u Splitu"/>
        <s v="Akademija za umjetnost i kulturu u Osijeku"/>
        <s v="Veleučilište u Šibeniku"/>
        <s v="Veleučilište u Karlovcu"/>
        <s v="Sveučilište u Rijeci"/>
        <s v="Kineziološki fakultet Osijek"/>
        <s v="Agronomski fakultet"/>
        <s v="Pomorski fakultet u Rijeci"/>
        <s v="Sveučilište Josipa Jurja Strossmayera u Osijeku"/>
        <s v="Fakultet za dentalnu medicinu i zdravstvo Osijek"/>
        <s v="Građevinski fakultet u Rijeci"/>
        <s v="Fakultet elektrotehnike, računarstva i informacijskih tehnologija Osijek"/>
        <s v="Akademija likovnih umjetnosti"/>
        <s v="Prehrambeno-tehnološki fakultet Osijek"/>
        <s v="Učiteljski fakultet u Rijeci"/>
        <s v="Fakultet agrobiotehničkih znanosti Osijek"/>
        <s v="Kemijsko-tehnološki fakultet u Splitu"/>
        <s v="Sveučilište obrane i sigurnosti &quot;Dr. Franjo Tuđman&quot;"/>
        <s v="Fakultet šumarstva i drvne tehnologije"/>
        <s v="Farmaceutsko - biokemijski fakultet"/>
        <s v="Veleučilište Hrvatsko zagorje Krapina"/>
        <s v="Muzička akademija"/>
        <s v="Prirodoslovno-matematički fakultet u Splitu"/>
        <s v="Fakultet filozofije i religijskih znanosti"/>
        <s v="Fakultet političkih znanosti"/>
        <s v="Pravni fakultet u Zagrebu"/>
        <s v="Pravni fakultet u Rijeci"/>
        <s v="Metalurški fakultet"/>
        <s v="Ekonomski fakultet u Osijeku"/>
        <s v="Filozofski fakultet Osijek"/>
        <s v="Fakultet građevinarstva, arhitekture i geodezije u Splitu"/>
        <s v="Fakultet za menadžment u turizmu i ugostiteljstvu"/>
        <s v="Filozofski fakultet u Zagrebu"/>
        <s v="Medicinski fakultet u Rijeci"/>
        <s v="Rudarsko-geološko-naftni fakultet"/>
        <s v="Veleučilište &quot;Marko Marulić&quot; u Kninu"/>
        <s v="Veleučilište &quot;Lavoslav Ružička&quot; u Vukovaru"/>
        <s v="Katolički bogoslovni fakultet, Zagreb"/>
        <s v="Nacionalna i sveučilišna knjižnica"/>
        <s v="Veleučilište u Virovitici"/>
        <s v="Građevinski fakultet, Zagreb"/>
        <s v="Fakultet organizacije i informatike"/>
        <s v="Geotehnički fakultet"/>
        <s v="Sveučilište u Zagrebu"/>
        <s v="Umjetnička akademija u Splitu"/>
        <s v="Akademija dramske umjetnosti"/>
        <s v="Stomatološki fakultet"/>
        <s v="Veleučilište u Križevcima"/>
        <s v="Ekonomski fakultet u Splitu"/>
        <s v="Filozofski fakultet u Splitu"/>
        <s v="Katolički bogoslovni fakultet u Đakovu"/>
        <s v="Pomorski fakultet u Splitu"/>
        <s v="Ekonomski fakultet - Zagreb"/>
        <s v="Fakultet za odgojne i obrazovne znanosti"/>
      </sharedItems>
    </cacheField>
    <cacheField name="Kom." numFmtId="0">
      <sharedItems containsSemiMixedTypes="0" containsString="0" containsNumber="1" containsInteger="1" minValue="1" maxValue="325"/>
    </cacheField>
    <cacheField name="Lokacija" numFmtId="0">
      <sharedItems containsBlank="1" count="24">
        <m/>
        <s v="Split"/>
        <s v="Zagreb"/>
        <s v="Zadar"/>
        <s v="Osijek"/>
        <s v="Rijeka"/>
        <s v="Slavonski Brod"/>
        <s v="Gospić"/>
        <s v="Koprivnica"/>
        <s v="Pula"/>
        <s v="Dubrovnik"/>
        <s v="Požega"/>
        <s v="Čakovec"/>
        <s v="Šibenik"/>
        <s v="Karlovac"/>
        <s v="Krapina"/>
        <s v="Sisak"/>
        <s v="Ika"/>
        <s v="Knin"/>
        <s v="Vukovar"/>
        <s v="Virovitica"/>
        <s v="Varaždin"/>
        <s v="Križevci"/>
        <s v="Đakovo"/>
      </sharedItems>
    </cacheField>
    <cacheField name="Ime i prezime" numFmtId="0">
      <sharedItems containsBlank="1"/>
    </cacheField>
    <cacheField name="Kontakt broj" numFmtId="0">
      <sharedItems containsBlank="1" containsMixedTypes="1" containsNumber="1" containsInteger="1" minValue="385913568984" maxValue="385913568984"/>
    </cacheField>
    <cacheField name="e-mail" numFmtId="0">
      <sharedItems containsBlank="1"/>
    </cacheField>
    <cacheField name="Matična adresa" numFmtId="0">
      <sharedItems containsBlank="1"/>
    </cacheField>
    <cacheField name="Adresa/e isporuke" numFmtId="0">
      <sharedItems containsBlank="1" longText="1"/>
    </cacheField>
    <cacheField name="OIB" numFmtId="0">
      <sharedItems containsBlank="1"/>
    </cacheField>
    <cacheField name="Isporuka na lokaciju " numFmtId="0">
      <sharedItems containsNonDate="0" containsDate="1" containsString="0" containsBlank="1" minDate="2026-03-23T00:00:00" maxDate="2026-06-09T00:00:00" count="14">
        <m/>
        <d v="2026-04-27T00:00:00"/>
        <d v="2026-05-11T00:00:00"/>
        <d v="2026-04-20T00:00:00"/>
        <d v="2026-06-08T00:00:00"/>
        <d v="2026-04-13T00:00:00"/>
        <d v="2026-05-18T00:00:00"/>
        <d v="2026-03-23T00:00:00"/>
        <d v="2026-04-07T00:00:00"/>
        <d v="2026-03-30T00:00:00"/>
        <d v="2026-05-04T00:00:00"/>
        <d v="2026-05-16T00:00:00" u="1"/>
        <d v="2026-05-25T00:00:00" u="1"/>
        <d v="2026-04-11T00:00:00" u="1"/>
      </sharedItems>
    </cacheField>
    <cacheField name="Montaža_x000a_start" numFmtId="0">
      <sharedItems containsNonDate="0" containsString="0" containsBlank="1"/>
    </cacheField>
    <cacheField name="Montaža_x000a_finish" numFmtId="0">
      <sharedItems containsNonDate="0" containsString="0" containsBlank="1"/>
    </cacheField>
    <cacheField name="Instalacija " numFmtId="0">
      <sharedItems containsBlank="1"/>
    </cacheField>
    <cacheField name="Održavanje "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815">
  <r>
    <m/>
    <m/>
    <m/>
    <x v="0"/>
    <x v="0"/>
    <n v="4"/>
    <x v="0"/>
    <m/>
    <m/>
    <m/>
    <m/>
    <m/>
    <m/>
    <x v="0"/>
    <m/>
    <m/>
    <s v="King"/>
    <m/>
  </r>
  <r>
    <m/>
    <n v="67"/>
    <s v="121"/>
    <x v="0"/>
    <x v="1"/>
    <n v="1"/>
    <x v="1"/>
    <s v="Mate Galić"/>
    <s v="098806500"/>
    <s v="mate.galic@pharma.unizg.hr"/>
    <s v="Ulica Ante Kovačića 1"/>
    <s v="Domagojeva 2"/>
    <s v="14509285435"/>
    <x v="1"/>
    <m/>
    <m/>
    <s v="King"/>
    <s v="Senso"/>
  </r>
  <r>
    <m/>
    <n v="68"/>
    <s v="3795"/>
    <x v="0"/>
    <x v="2"/>
    <n v="1"/>
    <x v="2"/>
    <s v="Enes Ciriković"/>
    <s v="0989225600"/>
    <s v="enes.cirikovic@vuv.hr"/>
    <s v="Ulica Matije Gupca 78"/>
    <s v="Matije Gupca 78, 33000 Virovitica"/>
    <s v="46576407858"/>
    <x v="1"/>
    <m/>
    <m/>
    <s v="King"/>
    <s v="Senso"/>
  </r>
  <r>
    <m/>
    <n v="69"/>
    <s v="184"/>
    <x v="0"/>
    <x v="3"/>
    <n v="1"/>
    <x v="1"/>
    <s v="Igor Horaček"/>
    <s v="091/722-0837"/>
    <s v="igor@fkit.hr"/>
    <s v="Trg Marka Marulića 19"/>
    <s v="Savska cesta 41, zgrada Zagrepčanka, 2.kat"/>
    <s v="71259740533"/>
    <x v="1"/>
    <m/>
    <m/>
    <s v="King"/>
    <s v="Senso"/>
  </r>
  <r>
    <m/>
    <n v="70"/>
    <s v="188"/>
    <x v="0"/>
    <x v="4"/>
    <n v="1"/>
    <x v="1"/>
    <s v="Boris Rončević"/>
    <s v="099 5327723"/>
    <s v="broncevic@nsk.hr"/>
    <s v="Ul. Hrvatske Bratske Zajednice 4"/>
    <s v="NSK - Ul. Hrvatske Bratske Zajednice 4"/>
    <m/>
    <x v="1"/>
    <m/>
    <m/>
    <s v="King"/>
    <s v="?"/>
  </r>
  <r>
    <m/>
    <m/>
    <m/>
    <x v="1"/>
    <x v="0"/>
    <n v="13"/>
    <x v="0"/>
    <m/>
    <m/>
    <m/>
    <m/>
    <m/>
    <m/>
    <x v="0"/>
    <m/>
    <m/>
    <s v="King"/>
    <m/>
  </r>
  <r>
    <m/>
    <n v="71"/>
    <s v="3689"/>
    <x v="1"/>
    <x v="5"/>
    <n v="1"/>
    <x v="1"/>
    <s v="Nikola Barba"/>
    <s v="099 6081 436"/>
    <s v="nikola.barba@unicath.hr"/>
    <s v="Ilica 244B"/>
    <s v="Ilica 244, 10000 Zagreb"/>
    <s v="7730927366"/>
    <x v="1"/>
    <m/>
    <m/>
    <s v="King"/>
    <s v="King"/>
  </r>
  <r>
    <m/>
    <s v="72a_x000a_72b"/>
    <s v="368"/>
    <x v="1"/>
    <x v="6"/>
    <n v="2"/>
    <x v="3"/>
    <s v="Ivan Nimac_x000a_Ivana Delistović Duić"/>
    <s v="095/826-5888_x000a_098/654-710"/>
    <s v="inimac@unizd.hr_x000a_idelistov@unizd.hr"/>
    <s v="Ulica Mihovila Pavlinovića 1"/>
    <s v="Obala kralja Petra Krešimira IV. Br. 2, 23000 Zadar 1 kom._x000a_Dr. Franje Tuđmana 24, 23000 Zadar 1 kom."/>
    <s v="10839679016"/>
    <x v="1"/>
    <m/>
    <m/>
    <s v="King"/>
    <s v="Senso"/>
  </r>
  <r>
    <m/>
    <n v="73"/>
    <s v="530"/>
    <x v="1"/>
    <x v="7"/>
    <n v="1"/>
    <x v="4"/>
    <s v="Marko Meštrović"/>
    <s v="022/664-451"/>
    <s v="mmestrovic@veleknin.hr"/>
    <s v="Krešimirova 30"/>
    <s v="Krešimirova 20, Knin"/>
    <s v="13664089430"/>
    <x v="1"/>
    <m/>
    <m/>
    <s v="King"/>
    <s v="King"/>
  </r>
  <r>
    <m/>
    <n v="74"/>
    <s v="1944"/>
    <x v="1"/>
    <x v="8"/>
    <n v="1"/>
    <x v="5"/>
    <s v="Mile Vičić"/>
    <s v="098675984"/>
    <s v="mvicic@velegs-nikolatesla.hr"/>
    <s v="Ulica Bana Ivana Karlovića 16"/>
    <s v="Ulica bana Ivana Karlovića 16"/>
    <s v="42552392522"/>
    <x v="1"/>
    <m/>
    <m/>
    <s v="King"/>
    <s v="King"/>
  </r>
  <r>
    <m/>
    <s v="75a_x000a_75b"/>
    <s v="4497"/>
    <x v="1"/>
    <x v="9"/>
    <n v="2"/>
    <x v="6"/>
    <s v="Nikola Marijanović_x000a_Branimir Kolman"/>
    <s v="0994028339_x000a_091 244 0130"/>
    <s v="nmarijanovic@unin.hr_x000a_bkolman@unin.hr"/>
    <s v="Trg Dr. Žarka Dolinara 1"/>
    <s v="Trg dr. Žarka dolinara 1, Koprivnica   1 kom._x000a_Ulica Jurja Križanića 31b, Varaždin  1 kom."/>
    <s v="59624928052"/>
    <x v="1"/>
    <m/>
    <m/>
    <s v="King"/>
    <s v="Senso"/>
  </r>
  <r>
    <m/>
    <n v="76"/>
    <s v="3554"/>
    <x v="1"/>
    <x v="10"/>
    <n v="1"/>
    <x v="7"/>
    <s v="Dario Kukuljan"/>
    <s v="0993777446"/>
    <s v="dkukuljan@unipu.hr"/>
    <s v="Zagrebačka Ulica 30"/>
    <s v="Alda Negrija 6, Pila"/>
    <s v="61738073226"/>
    <x v="1"/>
    <m/>
    <m/>
    <s v="King"/>
    <s v="Senso"/>
  </r>
  <r>
    <m/>
    <n v="77"/>
    <s v="221"/>
    <x v="1"/>
    <x v="11"/>
    <n v="1"/>
    <x v="8"/>
    <s v="Marko Roža"/>
    <s v="051/265-873"/>
    <s v="marko.roza@uniri.hr"/>
    <s v="Trg Braće Mažuranića 10"/>
    <s v="Radmile Matejčić 2; 51000 Rijeka"/>
    <s v="64218323816"/>
    <x v="1"/>
    <m/>
    <m/>
    <s v="King"/>
    <s v="King"/>
  </r>
  <r>
    <m/>
    <n v="78"/>
    <s v="150"/>
    <x v="1"/>
    <x v="12"/>
    <n v="1"/>
    <x v="1"/>
    <s v="Dario Đurasović"/>
    <s v="091 4802 130"/>
    <s v="dario@sfzg.hr"/>
    <s v="Gundulićeva Ulica 5"/>
    <s v="Gundulićeva 5, Zagreb"/>
    <s v="70221464726"/>
    <x v="1"/>
    <m/>
    <m/>
    <s v="King"/>
    <s v="Senso"/>
  </r>
  <r>
    <m/>
    <n v="79"/>
    <s v="113"/>
    <x v="1"/>
    <x v="13"/>
    <n v="1"/>
    <x v="9"/>
    <s v="Andreas Mađerić"/>
    <s v="048 279 196"/>
    <s v="amaderic@vguk.hr"/>
    <s v="Ulica Milislava Demerca 1"/>
    <s v="Milislava Demerca 1, 48260 Križevci"/>
    <s v="75480885018"/>
    <x v="1"/>
    <m/>
    <m/>
    <s v="King"/>
    <s v="King"/>
  </r>
  <r>
    <m/>
    <n v="80"/>
    <s v="4589"/>
    <x v="1"/>
    <x v="14"/>
    <n v="2"/>
    <x v="1"/>
    <s v="Predrag Šinko"/>
    <s v="095/205-2570"/>
    <s v="predrag.sinko@sois-ft.hr"/>
    <s v="Ilica 256B"/>
    <s v="Ilica 256B, obj. 58"/>
    <s v="36752094474"/>
    <x v="1"/>
    <m/>
    <m/>
    <s v="King"/>
    <s v="King"/>
  </r>
  <r>
    <m/>
    <m/>
    <m/>
    <x v="2"/>
    <x v="0"/>
    <n v="8"/>
    <x v="0"/>
    <m/>
    <m/>
    <m/>
    <m/>
    <m/>
    <m/>
    <x v="0"/>
    <m/>
    <m/>
    <s v="AVC"/>
    <m/>
  </r>
  <r>
    <m/>
    <n v="81"/>
    <s v="368"/>
    <x v="2"/>
    <x v="6"/>
    <n v="1"/>
    <x v="3"/>
    <s v="Zvonimir Adamović"/>
    <s v="098/445-233"/>
    <s v="zadamovic@unizd.hr"/>
    <s v="Ulica Mihovila Pavlinovića 1"/>
    <s v="Dr. A. Starčevića 12, 53000 Gospić"/>
    <s v="10839679016"/>
    <x v="1"/>
    <m/>
    <m/>
    <s v="AVC"/>
    <s v="Senso"/>
  </r>
  <r>
    <m/>
    <n v="82"/>
    <s v="198"/>
    <x v="2"/>
    <x v="15"/>
    <n v="1"/>
    <x v="10"/>
    <s v="Darko Šprem"/>
    <s v="091 408 9012"/>
    <s v="darko.sprem@gfv.hr"/>
    <s v="Hallerova Aleja 7"/>
    <s v="Hallerova aleja 7, Varaždin"/>
    <s v="16146181375"/>
    <x v="1"/>
    <m/>
    <m/>
    <s v="AVC"/>
    <s v="King"/>
  </r>
  <r>
    <m/>
    <n v="83"/>
    <s v="4914"/>
    <x v="2"/>
    <x v="16"/>
    <n v="1"/>
    <x v="11"/>
    <s v="Romaldo Singolo"/>
    <s v="091 155 9622"/>
    <s v="romi@pfst.hr"/>
    <s v="R. Boškovića 37"/>
    <s v="Ruđera Boškovića 37, Split"/>
    <s v="24624257529"/>
    <x v="1"/>
    <m/>
    <m/>
    <s v="AVC"/>
    <s v="King"/>
  </r>
  <r>
    <m/>
    <n v="84"/>
    <s v="250"/>
    <x v="2"/>
    <x v="17"/>
    <n v="1"/>
    <x v="8"/>
    <s v="Davorin Tadić"/>
    <s v="091 332 1308"/>
    <s v="dtadic@veleri.hr"/>
    <s v="Trpimirova 2"/>
    <s v="Vukovarska 58, Rijeka"/>
    <s v="29573709870"/>
    <x v="1"/>
    <m/>
    <m/>
    <s v="AVC"/>
    <s v="Senso"/>
  </r>
  <r>
    <m/>
    <n v="85"/>
    <s v="215"/>
    <x v="2"/>
    <x v="18"/>
    <n v="1"/>
    <x v="1"/>
    <s v="Ivan Šetin"/>
    <s v="0981839338"/>
    <s v="isetin@adu.hr"/>
    <s v="Trg Republike Hrvatske 5"/>
    <s v="Trg Republike Hrvatske 5, Zagreb"/>
    <s v="52097842295"/>
    <x v="1"/>
    <m/>
    <m/>
    <s v="AVC"/>
    <s v="Senso"/>
  </r>
  <r>
    <m/>
    <n v="86"/>
    <s v="232"/>
    <x v="2"/>
    <x v="19"/>
    <n v="1"/>
    <x v="12"/>
    <s v="Jakov Serajlić"/>
    <s v="38598845215"/>
    <s v="jserajlic@vus.hr"/>
    <s v="Trg A. Hebranga 11"/>
    <s v="Trg Andrije Hebrang 11, 22000 Šibenik"/>
    <s v="61727512157"/>
    <x v="1"/>
    <m/>
    <m/>
    <s v="AVC"/>
    <s v="Senso"/>
  </r>
  <r>
    <m/>
    <n v="87"/>
    <s v="316"/>
    <x v="2"/>
    <x v="20"/>
    <n v="1"/>
    <x v="11"/>
    <s v="Ante Denić"/>
    <s v="(+385)915683877"/>
    <s v="dante@efst.hr"/>
    <s v="Cvite Fiskovića 5"/>
    <s v="Cvite Fiskovića 5, Split"/>
    <s v="84477684422"/>
    <x v="1"/>
    <m/>
    <m/>
    <s v="AVC"/>
    <s v="King"/>
  </r>
  <r>
    <m/>
    <n v="88"/>
    <s v="158"/>
    <x v="2"/>
    <x v="21"/>
    <n v="1"/>
    <x v="13"/>
    <s v="Ivan Rebekić"/>
    <s v="099 304 6109"/>
    <s v="irebekic@fazos.hr"/>
    <s v="Ulica Vladimira Preloga 1"/>
    <s v="Vladimira Preloga 1, 31000 Osijek"/>
    <s v="98816779821"/>
    <x v="1"/>
    <m/>
    <m/>
    <s v="AVC"/>
    <s v="Senso"/>
  </r>
  <r>
    <m/>
    <m/>
    <m/>
    <x v="3"/>
    <x v="0"/>
    <n v="18"/>
    <x v="0"/>
    <m/>
    <m/>
    <m/>
    <m/>
    <m/>
    <m/>
    <x v="0"/>
    <m/>
    <m/>
    <s v="AVC"/>
    <m/>
  </r>
  <r>
    <m/>
    <n v="89"/>
    <s v="208"/>
    <x v="3"/>
    <x v="22"/>
    <n v="1"/>
    <x v="14"/>
    <s v="Marin Ivanišić"/>
    <s v="091 224 3413"/>
    <s v="marin.ivanisic@djkbf.hr"/>
    <s v="P. Preradovića 17"/>
    <s v="Petra Preradovića 17, Đakovo"/>
    <s v="5384220316"/>
    <x v="1"/>
    <m/>
    <m/>
    <s v="AVC"/>
    <s v="King"/>
  </r>
  <r>
    <m/>
    <n v="90"/>
    <s v="1918"/>
    <x v="3"/>
    <x v="23"/>
    <n v="1"/>
    <x v="1"/>
    <s v="Ivan Rajković_x000a_"/>
    <s v="+385998153651_x000a_"/>
    <s v="ivan.rajkovic@tvz.hr_x000a_"/>
    <s v="Vrbik 8"/>
    <s v="Vrbik 8"/>
    <s v="8814003451"/>
    <x v="1"/>
    <m/>
    <m/>
    <s v="AVC"/>
    <s v="King"/>
  </r>
  <r>
    <m/>
    <n v="91"/>
    <s v="368"/>
    <x v="3"/>
    <x v="6"/>
    <n v="1"/>
    <x v="3"/>
    <s v="Krešimir Pinjatela"/>
    <s v="091/558-1986"/>
    <s v="kpinjatel22@unizd.hr"/>
    <s v="Ulica Mihovila Pavlinovića 1"/>
    <s v="Trg kneza Višeslava 9, 23000 Zadar"/>
    <s v="10839679016"/>
    <x v="1"/>
    <m/>
    <m/>
    <s v="AVC"/>
    <s v="Senso"/>
  </r>
  <r>
    <m/>
    <n v="92"/>
    <s v="3409"/>
    <x v="3"/>
    <x v="24"/>
    <n v="1"/>
    <x v="15"/>
    <s v="Ivan Reponj"/>
    <s v="0989389348"/>
    <s v="ireponj@ftrr.hr"/>
    <s v="Vukovarska 17"/>
    <s v="Vukovarska 17, Požega"/>
    <s v="11614501047"/>
    <x v="1"/>
    <m/>
    <m/>
    <s v="AVC"/>
    <s v="Senso"/>
  </r>
  <r>
    <m/>
    <n v="93"/>
    <s v="536"/>
    <x v="3"/>
    <x v="25"/>
    <n v="1"/>
    <x v="16"/>
    <s v="IGOR BILANDŽIĆ"/>
    <s v="091-444-6885"/>
    <s v="Igor.bilandzic@vevu.hr"/>
    <s v="Županijska 50"/>
    <s v="BLAGE ZADRE 2, VUKOVAR"/>
    <s v="21720825730"/>
    <x v="1"/>
    <m/>
    <m/>
    <s v="AVC"/>
    <s v="Senso"/>
  </r>
  <r>
    <m/>
    <n v="94"/>
    <s v="180"/>
    <x v="3"/>
    <x v="26"/>
    <n v="1"/>
    <x v="1"/>
    <s v="Andrija Levanić"/>
    <s v="091 6168 288"/>
    <s v="andrija.levanic@fsb.unizg.hr"/>
    <s v="Ulica Ivana Lučića 5"/>
    <s v="Ivana Lučića 5 (istočna zgrada)"/>
    <s v="22910368449"/>
    <x v="1"/>
    <m/>
    <m/>
    <s v="AVC"/>
    <s v="King"/>
  </r>
  <r>
    <m/>
    <n v="95"/>
    <s v="5713"/>
    <x v="3"/>
    <x v="27"/>
    <n v="1"/>
    <x v="11"/>
    <s v="Petra Musap_x000a_"/>
    <s v="0991639750_x000a_"/>
    <s v="petra.musap@unist.hr_x000a_"/>
    <s v="R. Boškovića 31"/>
    <s v="Hrvojeva 2, samo isporuka nema montaže"/>
    <s v="29845096215"/>
    <x v="1"/>
    <m/>
    <m/>
    <s v="AVC"/>
    <s v="King"/>
  </r>
  <r>
    <m/>
    <n v="96"/>
    <s v="219"/>
    <x v="3"/>
    <x v="28"/>
    <n v="1"/>
    <x v="1"/>
    <s v="Siniša Vlahović_x000a_"/>
    <s v="098 268 472_x000a_"/>
    <s v="svlahovic@unizg.hr_x000a_"/>
    <s v="Trg Republike Hrvatske 14"/>
    <s v="Ulica Radoslava Cimermana 88, 10000 Zagreb_x000a_"/>
    <s v="36612267447"/>
    <x v="1"/>
    <m/>
    <m/>
    <s v="AVC"/>
    <s v="Senso"/>
  </r>
  <r>
    <m/>
    <n v="97"/>
    <s v="3545"/>
    <x v="3"/>
    <x v="29"/>
    <n v="1"/>
    <x v="11"/>
    <s v="Branimir Džaja"/>
    <s v="091-2600324"/>
    <s v="branimir.dzaja@umas.hr"/>
    <s v="Zagrebačka 3"/>
    <s v="Teslina 12"/>
    <s v="38960125358"/>
    <x v="1"/>
    <m/>
    <m/>
    <s v="AVC"/>
    <s v="King"/>
  </r>
  <r>
    <m/>
    <n v="98"/>
    <s v="141"/>
    <x v="3"/>
    <x v="30"/>
    <n v="1"/>
    <x v="1"/>
    <s v="Emil Flatz"/>
    <s v="38598302567"/>
    <s v="eflatz@arhitekt.hr"/>
    <s v="Kačićeva Ulica 26"/>
    <s v="Frankopanska 12"/>
    <s v="42061107444"/>
    <x v="1"/>
    <m/>
    <m/>
    <s v="AVC"/>
    <s v="Senso"/>
  </r>
  <r>
    <m/>
    <n v="99"/>
    <s v="210"/>
    <x v="3"/>
    <x v="31"/>
    <n v="1"/>
    <x v="1"/>
    <s v="Taras Barščevski"/>
    <s v="+385(91)5335.699"/>
    <s v="taras.barscevski@kbf.unizg.hr"/>
    <s v="Vlaška Ulica 38"/>
    <s v="Vlaška 38"/>
    <s v="48987767944"/>
    <x v="1"/>
    <m/>
    <m/>
    <s v="AVC"/>
    <s v="Senso"/>
  </r>
  <r>
    <m/>
    <n v="100"/>
    <s v="4497"/>
    <x v="3"/>
    <x v="9"/>
    <n v="1"/>
    <x v="6"/>
    <s v="Nikola Marijanović"/>
    <s v="0994028339_x000a_"/>
    <s v="nmarijanovic@unin.hr"/>
    <s v="Trg Dr. Žarka Dolinara 1"/>
    <s v="Trg dr. Žarka dolinara 1, Koprivnica"/>
    <s v="59624928052"/>
    <x v="1"/>
    <m/>
    <m/>
    <s v="AVC"/>
    <s v="Senso"/>
  </r>
  <r>
    <m/>
    <n v="101"/>
    <s v="3927"/>
    <x v="3"/>
    <x v="32"/>
    <n v="1"/>
    <x v="13"/>
    <s v="Luka Cvenić"/>
    <s v="099 312 6187"/>
    <s v="luka.cvenic@aukos.hr"/>
    <s v="Ulica Kralja Petra Svačića 1F"/>
    <s v="Trg Sv. Trojstva 3, Osijek"/>
    <s v="60277424315"/>
    <x v="1"/>
    <m/>
    <m/>
    <s v="AVC"/>
    <s v="Senso"/>
  </r>
  <r>
    <m/>
    <n v="102"/>
    <s v="3554"/>
    <x v="3"/>
    <x v="10"/>
    <n v="1"/>
    <x v="7"/>
    <s v="Dario Kukuljan"/>
    <s v="0993777446"/>
    <s v="dkukuljan@unipu.hr"/>
    <s v="Zagrebačka Ulica 30"/>
    <s v="Alda Negrija 6, Pila"/>
    <s v="61738073226"/>
    <x v="1"/>
    <m/>
    <m/>
    <s v="AVC"/>
    <s v="Senso"/>
  </r>
  <r>
    <m/>
    <n v="103"/>
    <s v="222"/>
    <x v="3"/>
    <x v="33"/>
    <n v="1"/>
    <x v="13"/>
    <s v="Albert Oswald_x000a_"/>
    <s v="+385912241400_x000a_"/>
    <s v="oswald@unios.hr_x000a_"/>
    <s v="Trg Sv. Trojstva 3"/>
    <s v="Trg. Sv. Trojstva 3"/>
    <s v="78808975734"/>
    <x v="1"/>
    <m/>
    <m/>
    <s v="AVC"/>
    <s v="King"/>
  </r>
  <r>
    <m/>
    <n v="104"/>
    <s v="3324"/>
    <x v="3"/>
    <x v="34"/>
    <n v="1"/>
    <x v="1"/>
    <s v="Dario Knežić"/>
    <s v="0917615616"/>
    <s v="dknezic@fhs.unizg.hr"/>
    <s v="Borongajska Cesta 83D"/>
    <s v="Borongajska cesta 83d, Zagreb"/>
    <s v="99454315441"/>
    <x v="1"/>
    <m/>
    <m/>
    <s v="AVC"/>
    <s v="Senso"/>
  </r>
  <r>
    <m/>
    <n v="105"/>
    <s v="206"/>
    <x v="3"/>
    <x v="35"/>
    <n v="1"/>
    <x v="1"/>
    <s v="Davor Štrk"/>
    <s v="099 3136 671"/>
    <s v="dstrk@fkz.hr"/>
    <s v="Avenija Gojka Šuška 1"/>
    <s v="Av. Gojka Šuška 1, Zagreb"/>
    <s v="36162371878"/>
    <x v="1"/>
    <m/>
    <m/>
    <s v="AVC"/>
    <s v="King"/>
  </r>
  <r>
    <m/>
    <n v="106"/>
    <s v="4589"/>
    <x v="3"/>
    <x v="14"/>
    <n v="1"/>
    <x v="1"/>
    <s v="Predrag Šinko"/>
    <s v="095/205-2570"/>
    <s v="predrag.sinko@sois-ft.hr"/>
    <s v="Ilica 256B"/>
    <s v="Ilica 256B, obj. 58"/>
    <s v="36752094474"/>
    <x v="1"/>
    <m/>
    <m/>
    <s v="AVC"/>
    <s v="King"/>
  </r>
  <r>
    <m/>
    <m/>
    <m/>
    <x v="4"/>
    <x v="0"/>
    <n v="75"/>
    <x v="0"/>
    <m/>
    <m/>
    <m/>
    <m/>
    <m/>
    <m/>
    <x v="0"/>
    <m/>
    <m/>
    <s v="King"/>
    <m/>
  </r>
  <r>
    <m/>
    <n v="107"/>
    <s v="133"/>
    <x v="4"/>
    <x v="36"/>
    <n v="1"/>
    <x v="11"/>
    <s v="Zvonimir Torba"/>
    <s v="+385 91 4305 724"/>
    <s v="torba@fesb.hr"/>
    <s v="R. Boškovića 32"/>
    <s v="R. Boškovića 32, 21000 Split"/>
    <s v="857144221"/>
    <x v="1"/>
    <m/>
    <m/>
    <s v="King"/>
    <s v="King"/>
  </r>
  <r>
    <m/>
    <n v="108"/>
    <s v="3990"/>
    <x v="4"/>
    <x v="37"/>
    <n v="1"/>
    <x v="17"/>
    <s v="Stjepo Hladilo"/>
    <s v="0919322586"/>
    <s v="stjepo.hladilo@unidu.hr"/>
    <s v="Branitelja Dubrovnika 41"/>
    <s v="Branitelja Dubrovnika 41, Dubrovnik"/>
    <s v="1338491514"/>
    <x v="2"/>
    <m/>
    <m/>
    <s v="King"/>
    <s v="Senso"/>
  </r>
  <r>
    <m/>
    <n v="109"/>
    <s v="149"/>
    <x v="4"/>
    <x v="38"/>
    <n v="1"/>
    <x v="11"/>
    <s v="Dalibor Gabela"/>
    <s v="091-1557942"/>
    <s v="helpdesk@mefst.hr"/>
    <s v="Šoltanska 2"/>
    <s v="Šoltanska 2A, Split"/>
    <s v="2879747067"/>
    <x v="1"/>
    <m/>
    <m/>
    <s v="King"/>
    <s v="King"/>
  </r>
  <r>
    <m/>
    <n v="110"/>
    <s v="132"/>
    <x v="4"/>
    <x v="39"/>
    <n v="1"/>
    <x v="11"/>
    <s v="Juraj Saratlija"/>
    <s v="0996935026"/>
    <s v="juraj.saratlija@pravst.hr"/>
    <s v="Ulica Domovinskog Rata 8"/>
    <s v="Domovinskog rata 8, Split"/>
    <s v="3541568700"/>
    <x v="1"/>
    <m/>
    <m/>
    <s v="King"/>
    <s v="King"/>
  </r>
  <r>
    <m/>
    <n v="111"/>
    <s v="153"/>
    <x v="4"/>
    <x v="40"/>
    <n v="1"/>
    <x v="1"/>
    <s v="Mihael Šutalo"/>
    <s v="099/2717915"/>
    <s v="msutalo@sumfak.hr"/>
    <s v="Svetošimunska Cesta 23"/>
    <s v="Svetošimunska cesta 23"/>
    <s v="7699719217"/>
    <x v="3"/>
    <m/>
    <m/>
    <s v="King"/>
    <s v="King"/>
  </r>
  <r>
    <m/>
    <n v="112"/>
    <s v="3689"/>
    <x v="4"/>
    <x v="5"/>
    <n v="2"/>
    <x v="1"/>
    <s v="Nikola Barba"/>
    <s v="099 6081 436"/>
    <s v="nikola.barba@unicath.hr"/>
    <s v="Ilica 244B"/>
    <s v="Ilica 244, 10000 Zagreb"/>
    <s v="7730927366"/>
    <x v="3"/>
    <m/>
    <m/>
    <s v="King"/>
    <s v="King"/>
  </r>
  <r>
    <m/>
    <s v="113a_x000a_113b_x000a_113c_x000a_113d_x000a_113e"/>
    <s v="1918"/>
    <x v="4"/>
    <x v="23"/>
    <n v="6"/>
    <x v="1"/>
    <s v="Ivan Rajković_x000a_Nenad Habek_x000a_Filip Samoščanec_x000a_Igor Paljug_x000a_Barbara Idžan"/>
    <s v="+385998153651_x000a_+385911316382_x000a_0993047438_x000a_+385 95 245 6555_x000a_+385 99 529 0050"/>
    <s v="ivan.rajkovic@tvz.hr_x000a_nenad.habek@tvz.hr_x000a_filip.samoscanec@tvz.hr_x000a_igor.paljug@tvz.hr_x000a_barbara.idzan@tvz.hr"/>
    <s v="Vrbik 8"/>
    <s v="Vrbik 8 2 kom._x000a_Borongajska 83E 1 kom._x000a_Konavoska 2 1 kom._x000a_Holjevčeva 15 1 kom._x000a_Brozova 6a 1 kom."/>
    <s v="8814003451"/>
    <x v="1"/>
    <m/>
    <m/>
    <s v="King"/>
    <s v="King"/>
  </r>
  <r>
    <m/>
    <n v="114"/>
    <s v="368"/>
    <x v="4"/>
    <x v="6"/>
    <n v="3"/>
    <x v="3"/>
    <s v="Ivan Nimac"/>
    <s v="095/826-5888"/>
    <s v="inimac@unizd.hr"/>
    <s v="Ulica Mihovila Pavlinovića 1"/>
    <s v="Obala kralja Petra Krešimira IV. Br. 2, 23000 Zadar, ID-215"/>
    <s v="10839679016"/>
    <x v="1"/>
    <m/>
    <m/>
    <s v="King"/>
    <s v="Senso"/>
  </r>
  <r>
    <m/>
    <n v="115"/>
    <s v="121"/>
    <x v="4"/>
    <x v="1"/>
    <n v="1"/>
    <x v="1"/>
    <s v="Mate Galić"/>
    <s v="098806500"/>
    <s v="mate.galic@pharma.unizg.hr"/>
    <s v="Ulica Ante Kovačića 1"/>
    <s v="Domagojeva 2"/>
    <s v="14509285435"/>
    <x v="1"/>
    <m/>
    <m/>
    <s v="King"/>
    <s v="Senso"/>
  </r>
  <r>
    <m/>
    <n v="116"/>
    <s v="3385"/>
    <x v="4"/>
    <x v="41"/>
    <n v="1"/>
    <x v="18"/>
    <s v="Nikola Kanišk"/>
    <s v="099/5246985"/>
    <s v="nikola.kaniski@vhzk.hr"/>
    <s v="Šetalište Hrvatskog Narodnog Preporoda 6"/>
    <s v="Trg S. Radića 8"/>
    <s v="16465214888"/>
    <x v="1"/>
    <m/>
    <m/>
    <s v="King"/>
    <s v="King"/>
  </r>
  <r>
    <m/>
    <n v="117"/>
    <s v="4919"/>
    <x v="4"/>
    <x v="42"/>
    <n v="1"/>
    <x v="11"/>
    <s v="Doris Knego"/>
    <s v="098 9394211,"/>
    <s v="doris.knego@pmfst.hr"/>
    <s v="R. Boškovića 33"/>
    <s v="Ruđera Boškovića 33"/>
    <s v="20858497843"/>
    <x v="1"/>
    <m/>
    <m/>
    <s v="King"/>
    <s v="King"/>
  </r>
  <r>
    <m/>
    <n v="118"/>
    <s v="536"/>
    <x v="4"/>
    <x v="25"/>
    <n v="1"/>
    <x v="16"/>
    <s v="IGOR BILANDŽIĆ"/>
    <s v="091-444-6885"/>
    <s v="Igor.bilandzic@vevu.hr"/>
    <s v="Županijska 50"/>
    <s v="BLAGE ZADRE 2, VUKOVAR"/>
    <s v="21720825730"/>
    <x v="1"/>
    <m/>
    <m/>
    <s v="King"/>
    <s v="Senso"/>
  </r>
  <r>
    <m/>
    <n v="119"/>
    <s v="185"/>
    <x v="4"/>
    <x v="43"/>
    <n v="2"/>
    <x v="1"/>
    <s v="Marko Maričević"/>
    <s v="0915193488"/>
    <s v="marko.maricevic@grf.hr"/>
    <s v="Getaldićeva Ulica 2"/>
    <s v="Getaldićeva 2, Zagreb"/>
    <s v="25564990903"/>
    <x v="1"/>
    <m/>
    <m/>
    <s v="King"/>
    <s v="Senso"/>
  </r>
  <r>
    <m/>
    <n v="120"/>
    <s v="205"/>
    <x v="4"/>
    <x v="44"/>
    <n v="1"/>
    <x v="1"/>
    <s v="Mikolaj Martinjak"/>
    <s v="0989478881"/>
    <s v="mika@ffrz.hr"/>
    <s v="Jordanovac 110"/>
    <s v="Jordanovac 110"/>
    <s v="26975482530"/>
    <x v="1"/>
    <m/>
    <m/>
    <s v="King"/>
    <s v="King"/>
  </r>
  <r>
    <m/>
    <n v="121"/>
    <s v="130"/>
    <x v="4"/>
    <x v="45"/>
    <n v="3"/>
    <x v="1"/>
    <s v="Kristian Došen"/>
    <s v="091 7888 474"/>
    <s v="kristian.dosen@fpzg.hr"/>
    <s v="Ulica Ivana Lepušića 6"/>
    <s v="Lepušićeva 6, 10000 Zagreb"/>
    <s v="28011548575"/>
    <x v="1"/>
    <m/>
    <m/>
    <s v="King"/>
    <s v="Senso"/>
  </r>
  <r>
    <m/>
    <n v="122"/>
    <s v="250"/>
    <x v="4"/>
    <x v="17"/>
    <n v="1"/>
    <x v="8"/>
    <s v="Davorin Tadić"/>
    <s v="091 332 1308"/>
    <s v="dtadic@veleri.hr"/>
    <s v="Trpimirova 2"/>
    <s v="Vukovarska 58, Rijeka"/>
    <s v="29573709870"/>
    <x v="1"/>
    <m/>
    <m/>
    <s v="King"/>
    <s v="Senso"/>
  </r>
  <r>
    <m/>
    <s v="123a_x000a_123b_x000a_123c_x000a_123d_x000a_123e"/>
    <s v="5713"/>
    <x v="4"/>
    <x v="27"/>
    <n v="6"/>
    <x v="11"/>
    <s v="Maja Krželj_x000a_Marin Gudelj_x000a_Ivan Tavra_x000a_Petra Musap_x000a_Mirko Šalinović"/>
    <s v="0911556771_x000a_0913344165_x000a_097 6063920_x000a_0991639750_x000a_O98 9895758"/>
    <s v="maja.krzelj@more.unist.hr_x000a_marin@oss.unist.hr_x000a_itavra@unist.hr_x000a_petra.musap@unist.hr_x000a_msalinovic@unist.hr"/>
    <s v="R. Boškovića 31"/>
    <s v="Ruđera Boškovića 31, Split 1 kom._x000a_Kopilica 21, Split  1 kom._x000a_Zrinsko Frankopanska 38, Split 1 kom._x000a_Poljana kraljice Jelene 1, Split  2 kom._x000a_Franjevački put 1, Makarska  1 kom."/>
    <s v="29845096215"/>
    <x v="1"/>
    <m/>
    <m/>
    <s v="King"/>
    <s v="King"/>
  </r>
  <r>
    <m/>
    <n v="124"/>
    <s v="3482"/>
    <x v="4"/>
    <x v="46"/>
    <n v="1"/>
    <x v="19"/>
    <s v="Željko Hrebak"/>
    <s v="098710398"/>
    <s v="zhrebak@mev.hr"/>
    <s v="Ulica Bana Josipa Jelačića 22A"/>
    <s v="Ul. bana Josipa Jelačića 22a"/>
    <s v="31444990605"/>
    <x v="1"/>
    <m/>
    <m/>
    <s v="King"/>
    <s v="King"/>
  </r>
  <r>
    <m/>
    <n v="125"/>
    <s v="1972"/>
    <x v="4"/>
    <x v="47"/>
    <n v="2"/>
    <x v="20"/>
    <s v="Damir Lulić"/>
    <s v="0981771615"/>
    <s v="dlulic@unisb.hr"/>
    <s v="Trg &quot;Ivana Brlić Mažuranić&quot; 2"/>
    <s v="Ulica 108. brigade ZNG 36"/>
    <s v="33027834374"/>
    <x v="1"/>
    <m/>
    <m/>
    <s v="King"/>
    <s v="Senso"/>
  </r>
  <r>
    <m/>
    <n v="126"/>
    <s v="3340"/>
    <x v="4"/>
    <x v="48"/>
    <n v="1"/>
    <x v="1"/>
    <s v="Ivan Cerovec"/>
    <s v="01/2457510"/>
    <s v="ivan.cerovec@erf.unizg.hr"/>
    <s v="Borongajska Cesta 83F"/>
    <s v="Zagreb, Borongajska c.83f"/>
    <s v="34967762426"/>
    <x v="1"/>
    <m/>
    <m/>
    <s v="King"/>
    <s v="King"/>
  </r>
  <r>
    <m/>
    <n v="127"/>
    <s v="219"/>
    <x v="4"/>
    <x v="28"/>
    <n v="2"/>
    <x v="1"/>
    <s v="Siniša Vlahović_x000a_"/>
    <s v="098 268 472_x000a_"/>
    <s v="svlahovic@unizg.hr_x000a_"/>
    <s v="Trg Republike Hrvatske 14"/>
    <s v="Ulica Radoslava Cimermana 88, 10000 Zagreb"/>
    <s v="36612267447"/>
    <x v="1"/>
    <m/>
    <m/>
    <s v="King"/>
    <s v="Senso"/>
  </r>
  <r>
    <m/>
    <n v="128"/>
    <s v="3545"/>
    <x v="4"/>
    <x v="29"/>
    <n v="1"/>
    <x v="11"/>
    <s v="Branimir Džaja"/>
    <s v="091-2600324"/>
    <s v="branimir.dzaja@umas.hr"/>
    <s v="Zagrebačka 3"/>
    <s v="Fausta Vrančića 17A"/>
    <s v="38960125358"/>
    <x v="1"/>
    <m/>
    <m/>
    <s v="King"/>
    <s v="King"/>
  </r>
  <r>
    <m/>
    <n v="129"/>
    <s v="141"/>
    <x v="4"/>
    <x v="30"/>
    <n v="1"/>
    <x v="1"/>
    <s v="Emil Flatz"/>
    <s v="38598302567"/>
    <s v="eflatz@arhitekt.hr"/>
    <s v="Kačićeva Ulica 26"/>
    <s v="Frankopanska 12"/>
    <s v="42061107444"/>
    <x v="1"/>
    <m/>
    <m/>
    <s v="King"/>
    <s v="Senso"/>
  </r>
  <r>
    <m/>
    <n v="130"/>
    <s v="122"/>
    <x v="4"/>
    <x v="49"/>
    <n v="2"/>
    <x v="1"/>
    <s v="Marijo Seničić"/>
    <s v="099 533 7842"/>
    <s v="marijo.senicic@geof.unizg.hr"/>
    <s v="Kačićeva Ulica 26"/>
    <s v="Kačićeva 26, 10000 Zagreb"/>
    <s v="43594593297"/>
    <x v="1"/>
    <m/>
    <m/>
    <s v="King"/>
    <s v="King"/>
  </r>
  <r>
    <m/>
    <n v="131"/>
    <s v="154"/>
    <x v="4"/>
    <x v="50"/>
    <n v="1"/>
    <x v="8"/>
    <s v="Daniel Maratović"/>
    <s v="095/9064710"/>
    <s v="daniel.maratovic@riteh.uniri.hr"/>
    <s v="Vukovarska 58"/>
    <s v="Vukovarska 58, HR-51000 Rijeka"/>
    <s v="46319717480"/>
    <x v="1"/>
    <m/>
    <m/>
    <s v="King"/>
    <s v="Senso"/>
  </r>
  <r>
    <m/>
    <n v="132"/>
    <s v="182"/>
    <x v="4"/>
    <x v="51"/>
    <n v="1"/>
    <x v="21"/>
    <s v="Goran Šljivić"/>
    <s v="0981785148"/>
    <s v="sljivic@simet.hr"/>
    <s v="Aleja Narodnih Heroja 3"/>
    <s v="Sisak, Aleja narodnih heroja 3"/>
    <s v="48006703414"/>
    <x v="1"/>
    <m/>
    <m/>
    <s v="King"/>
    <s v="King"/>
  </r>
  <r>
    <m/>
    <n v="133"/>
    <s v="210"/>
    <x v="4"/>
    <x v="31"/>
    <n v="1"/>
    <x v="1"/>
    <s v="Taras Barščevski"/>
    <s v="+385(91)5335.699"/>
    <s v="taras.barscevski@kbf.unizg.hr"/>
    <s v="Vlaška Ulica 38"/>
    <s v="Vlaška 38"/>
    <s v="48987767944"/>
    <x v="1"/>
    <m/>
    <m/>
    <s v="King"/>
    <s v="Senso"/>
  </r>
  <r>
    <m/>
    <n v="134"/>
    <s v="245"/>
    <x v="4"/>
    <x v="52"/>
    <n v="1"/>
    <x v="1"/>
    <s v="Ozren Digula, Kristijan Zbiljski"/>
    <s v="0914595855, 0914595858"/>
    <s v="ozren.digula@zvu.hr, kristijan.zbiljski@zvu.hr"/>
    <s v="Mlinarska Cesta 38"/>
    <s v="Mlinarska cesta 38"/>
    <s v="50952646228"/>
    <x v="1"/>
    <m/>
    <m/>
    <s v="King"/>
    <s v="King"/>
  </r>
  <r>
    <m/>
    <n v="135"/>
    <s v="3430"/>
    <x v="4"/>
    <x v="53"/>
    <n v="1"/>
    <x v="11"/>
    <s v="Ante Krolo"/>
    <s v="+385 95 903 76 48"/>
    <s v="ante@kifst.hr"/>
    <s v="Teslina 6"/>
    <s v="Teslina 10"/>
    <s v="57848936921"/>
    <x v="1"/>
    <m/>
    <m/>
    <s v="King"/>
    <s v="King"/>
  </r>
  <r>
    <m/>
    <n v="136"/>
    <s v="4497"/>
    <x v="4"/>
    <x v="9"/>
    <n v="1"/>
    <x v="6"/>
    <s v="Branimir Kolman"/>
    <s v="091 244 0130"/>
    <s v="bkolman@unin.hr"/>
    <s v="Trg Dr. Žarka Dolinara 1"/>
    <s v="Ulica 104 brigade 3, VŽ"/>
    <s v="59624928052"/>
    <x v="1"/>
    <m/>
    <m/>
    <s v="King"/>
    <s v="Senso"/>
  </r>
  <r>
    <m/>
    <n v="137"/>
    <s v="3927"/>
    <x v="4"/>
    <x v="32"/>
    <n v="1"/>
    <x v="13"/>
    <s v="Luka Cvenić"/>
    <s v="099 312 6187"/>
    <s v="luka.cvenic@aukos.hr"/>
    <s v="Ulica Kralja Petra Svačića 1F"/>
    <s v="J. Knifera 1 ( bivša K.P. Svačića 1/f, Osijek)"/>
    <s v="60277424315"/>
    <x v="1"/>
    <m/>
    <m/>
    <s v="King"/>
    <s v="Senso"/>
  </r>
  <r>
    <m/>
    <n v="138"/>
    <s v="3554"/>
    <x v="4"/>
    <x v="10"/>
    <n v="1"/>
    <x v="7"/>
    <s v="Dario Kukuljan"/>
    <s v="0993777446"/>
    <s v="dkukuljan@unipu.hr"/>
    <s v="Zagrebačka Ulica 30"/>
    <s v="Alda Negrija 6, Pila"/>
    <s v="61738073226"/>
    <x v="1"/>
    <m/>
    <m/>
    <s v="King"/>
    <s v="Senso"/>
  </r>
  <r>
    <m/>
    <n v="139"/>
    <s v="161"/>
    <x v="4"/>
    <x v="54"/>
    <n v="1"/>
    <x v="1"/>
    <s v="Sead Berberović"/>
    <s v="0915226263"/>
    <s v="sead.berberovic@grad.unizg.hr"/>
    <s v="Kačićeva Ulica 26"/>
    <s v="Kačićeva 26, Zagreb"/>
    <s v="62924153420"/>
    <x v="1"/>
    <m/>
    <m/>
    <s v="King"/>
    <s v="King"/>
  </r>
  <r>
    <m/>
    <n v="140"/>
    <s v="221"/>
    <x v="4"/>
    <x v="11"/>
    <n v="3"/>
    <x v="8"/>
    <s v="Marko Roža"/>
    <s v="051/265-873"/>
    <s v="marko.roza@uniri.hr"/>
    <s v="Trg Braće Mažuranića 10"/>
    <s v="Radmile Matejčić 2; 51000 Rijeka "/>
    <s v="64218323816"/>
    <x v="1"/>
    <m/>
    <m/>
    <s v="King"/>
    <s v="King"/>
  </r>
  <r>
    <m/>
    <n v="141"/>
    <s v="150"/>
    <x v="4"/>
    <x v="12"/>
    <n v="1"/>
    <x v="1"/>
    <s v="Dario Đurasović"/>
    <s v="091 4802 130"/>
    <s v="dario@sfzg.hr"/>
    <s v="Gundulićeva Ulica 5"/>
    <s v="Gundulićeva 5, Zagreb"/>
    <s v="70221464726"/>
    <x v="1"/>
    <m/>
    <m/>
    <s v="King"/>
    <s v="Senso"/>
  </r>
  <r>
    <m/>
    <n v="142"/>
    <s v="6229"/>
    <x v="4"/>
    <x v="55"/>
    <n v="1"/>
    <x v="13"/>
    <s v="Matija Karapetrić"/>
    <s v="0915053478"/>
    <s v="matija.karapetric@kifos.hr"/>
    <s v="Drinska 16A"/>
    <s v="Drinska 16a, 31000 Osijek"/>
    <s v="70788591483"/>
    <x v="1"/>
    <m/>
    <m/>
    <s v="King"/>
    <s v="Senso"/>
  </r>
  <r>
    <m/>
    <s v="143a_x000a_143b"/>
    <s v="187"/>
    <x v="4"/>
    <x v="56"/>
    <n v="2"/>
    <x v="1"/>
    <s v="Sandi Homolak (Zagreb)_x000a_Igor Šalamun (Čakovec)"/>
    <s v="091 619 5223_x000a_091 5011 277"/>
    <s v="informatika.zagreb@ufzg.hr_x000a_igor.salamun@ufzg.hr"/>
    <s v="Savska Cesta 77"/>
    <s v="Savska cesta 77, 10000 Zagreb_x000a_Ul. dr. Ante Starčevića 55, 40000, Čakovec"/>
    <s v="72226488129"/>
    <x v="1"/>
    <m/>
    <m/>
    <s v="King"/>
    <s v="Senso"/>
  </r>
  <r>
    <m/>
    <n v="144"/>
    <s v="169"/>
    <x v="4"/>
    <x v="57"/>
    <n v="1"/>
    <x v="8"/>
    <s v="Izv. prof. dr. sc. Jasmin Ćelić"/>
    <s v="0912546777"/>
    <s v="jasmin.celic@uniri.hr"/>
    <s v="Studentska 2"/>
    <s v="Studentska 2"/>
    <s v="76722145702"/>
    <x v="1"/>
    <m/>
    <m/>
    <s v="King"/>
    <s v="Senso"/>
  </r>
  <r>
    <m/>
    <s v="145a_x000a_145b_x000a_145c"/>
    <s v="222"/>
    <x v="4"/>
    <x v="33"/>
    <n v="3"/>
    <x v="13"/>
    <s v="Tatjana Šajatović_x000a_Tomica Bunjevac_x000a_Albert Oswald"/>
    <s v=" +38598871499_x000a_+385913568984_x000a_+385912241400"/>
    <s v="tsajatovic@kemija.unios.hr_x000a_tbunjevac@fizika.unios.hr_x000a_oswald@unios.hr"/>
    <s v="Trg Sv. Trojstva 3"/>
    <s v="Cara Hadrijana 8/A 1 kom._x000a_ Trg Ljudevita Gaja 6. 1 kom._x000a_Trg Sv. Trojstva 3. 1 kom."/>
    <s v="78808975734"/>
    <x v="1"/>
    <m/>
    <m/>
    <s v="King"/>
    <s v="King"/>
  </r>
  <r>
    <m/>
    <n v="146"/>
    <s v="163"/>
    <x v="4"/>
    <x v="58"/>
    <n v="1"/>
    <x v="11"/>
    <s v="Alen Domazet"/>
    <s v="091 568 5994"/>
    <s v="adomazet@gradst.hr"/>
    <s v="Matice Hrvatske 15"/>
    <s v="Matice hrvatske 15, 21000 Split"/>
    <s v="83615500218"/>
    <x v="1"/>
    <m/>
    <m/>
    <s v="King"/>
    <s v="King"/>
  </r>
  <r>
    <m/>
    <n v="147"/>
    <s v="5717"/>
    <x v="4"/>
    <x v="59"/>
    <n v="1"/>
    <x v="13"/>
    <s v="Andrija Ljubičić_x000a_"/>
    <s v="091 2241 423_x000a_"/>
    <s v="andrija.ljubicic@fdmz.hr_x000a_"/>
    <s v="Crkvena Ulica 21"/>
    <s v="Crkvena 21"/>
    <s v="83830458507"/>
    <x v="1"/>
    <m/>
    <m/>
    <s v="King"/>
    <s v="King"/>
  </r>
  <r>
    <m/>
    <n v="148"/>
    <s v="186"/>
    <x v="4"/>
    <x v="60"/>
    <n v="1"/>
    <x v="1"/>
    <s v="Boris Beker"/>
    <s v="098/211-765"/>
    <s v="bbeker@ffzg.hr"/>
    <s v="Ulica Ivana Lučića 3"/>
    <s v="Ivana Lučića 3"/>
    <s v="90633715804"/>
    <x v="1"/>
    <m/>
    <m/>
    <s v="King"/>
    <s v="Senso"/>
  </r>
  <r>
    <m/>
    <n v="149"/>
    <s v="199"/>
    <x v="4"/>
    <x v="61"/>
    <n v="1"/>
    <x v="13"/>
    <s v="Mario Miloloza"/>
    <s v="0912246140"/>
    <s v="mario.miloloza@ferit.hr"/>
    <s v="Ulica Kneza Trpimira 2B"/>
    <s v="Cara Hadrijana 10b, Osijek"/>
    <s v="95494259952"/>
    <x v="1"/>
    <m/>
    <m/>
    <s v="King"/>
    <s v="King"/>
  </r>
  <r>
    <m/>
    <n v="150"/>
    <s v="214"/>
    <x v="4"/>
    <x v="62"/>
    <n v="1"/>
    <x v="1"/>
    <s v="Goran Hoić"/>
    <s v="099/2550-825"/>
    <s v="goran.hoic@alu.unizg.hr"/>
    <s v="Ilica 85"/>
    <s v="Ilica 85"/>
    <s v="95847257607"/>
    <x v="1"/>
    <m/>
    <m/>
    <s v="King"/>
    <s v="Senso"/>
  </r>
  <r>
    <m/>
    <n v="151"/>
    <s v="281"/>
    <x v="4"/>
    <x v="63"/>
    <n v="1"/>
    <x v="8"/>
    <s v="Danka Jurjević"/>
    <s v="265-877"/>
    <s v="danka.jurjevic@uniri.hr"/>
    <s v="Sveučilišna Avenija 6"/>
    <s v="Sveučilišna Avenija 6"/>
    <s v="96996385705"/>
    <x v="1"/>
    <m/>
    <m/>
    <s v="King"/>
    <s v="Senso"/>
  </r>
  <r>
    <m/>
    <n v="152"/>
    <s v="5769"/>
    <x v="4"/>
    <x v="64"/>
    <n v="1"/>
    <x v="11"/>
    <s v="Slaven Kušljić"/>
    <s v="021 545545, 091 4443745"/>
    <s v="slaven@ffst.hr"/>
    <s v="Poljička Cesta 35"/>
    <s v="Poljička cesta 35"/>
    <s v="98004523293"/>
    <x v="1"/>
    <m/>
    <m/>
    <s v="King"/>
    <s v="King"/>
  </r>
  <r>
    <m/>
    <n v="153"/>
    <s v="158"/>
    <x v="4"/>
    <x v="21"/>
    <n v="1"/>
    <x v="13"/>
    <s v="Ivan Rebekić"/>
    <s v="099 304 6109"/>
    <s v="irebekic@fazos.hr"/>
    <s v="Ulica Vladimira Preloga 1"/>
    <s v="Vladimira Preloga 1, 31000 Osijek"/>
    <s v="98816779821"/>
    <x v="1"/>
    <m/>
    <m/>
    <s v="King"/>
    <s v="Senso"/>
  </r>
  <r>
    <m/>
    <n v="154"/>
    <s v="3324"/>
    <x v="4"/>
    <x v="34"/>
    <n v="1"/>
    <x v="1"/>
    <s v="Dario Knežić"/>
    <s v="0917615616"/>
    <s v="dknezic@fhs.unizg.hr"/>
    <s v="Borongajska Cesta 83D"/>
    <s v="Borongajska cesta 83d, Zagreb"/>
    <s v="99454315441"/>
    <x v="1"/>
    <m/>
    <m/>
    <s v="King"/>
    <s v="Senso"/>
  </r>
  <r>
    <m/>
    <n v="155"/>
    <s v="203"/>
    <x v="4"/>
    <x v="65"/>
    <n v="1"/>
    <x v="1"/>
    <s v="Marijan Galjar"/>
    <s v="098 855 676"/>
    <s v="marijan.galjar@rgn.hr"/>
    <s v="Pierottijeva Ulica 6"/>
    <s v="Pierottijeva 6"/>
    <s v="99534693762"/>
    <x v="1"/>
    <m/>
    <m/>
    <s v="King"/>
    <s v="Senso"/>
  </r>
  <r>
    <m/>
    <n v="156"/>
    <s v="206"/>
    <x v="4"/>
    <x v="35"/>
    <n v="1"/>
    <x v="1"/>
    <s v="Davor Štrk"/>
    <s v="099 3136 671"/>
    <s v="dstrk@fkz.hr"/>
    <s v="Avenija Gojka Šuška 1"/>
    <s v="Av. Gojka Šuška 1, Zagreb"/>
    <s v="36162371878"/>
    <x v="1"/>
    <m/>
    <m/>
    <s v="King"/>
    <s v="King"/>
  </r>
  <r>
    <m/>
    <n v="157"/>
    <s v="188"/>
    <x v="4"/>
    <x v="4"/>
    <n v="1"/>
    <x v="1"/>
    <s v="Boris Rončević"/>
    <s v="099 5327723"/>
    <s v="broncevic@nsk.hr"/>
    <s v="Ul. Hrvatske Bratske Zajednice 4"/>
    <s v="NSK - Ul. Hrvatske Bratske Zajednice 4"/>
    <m/>
    <x v="1"/>
    <m/>
    <m/>
    <s v="King"/>
    <s v="?"/>
  </r>
  <r>
    <m/>
    <m/>
    <m/>
    <x v="5"/>
    <x v="0"/>
    <n v="77"/>
    <x v="0"/>
    <m/>
    <m/>
    <m/>
    <m/>
    <m/>
    <m/>
    <x v="0"/>
    <m/>
    <m/>
    <s v="King"/>
    <m/>
  </r>
  <r>
    <m/>
    <n v="158"/>
    <s v="131"/>
    <x v="5"/>
    <x v="66"/>
    <n v="2"/>
    <x v="10"/>
    <s v="Mario Harjač"/>
    <s v="097 610 1011"/>
    <s v="maharjac@foi.unizg.hr"/>
    <s v="Pavlinska Ulica 2"/>
    <s v="Ulica Petra Preradovića 15, Varaždin"/>
    <s v="2024882310"/>
    <x v="4"/>
    <m/>
    <m/>
    <s v="King"/>
    <s v="King"/>
  </r>
  <r>
    <m/>
    <n v="159"/>
    <s v="153"/>
    <x v="5"/>
    <x v="40"/>
    <n v="1"/>
    <x v="1"/>
    <s v="Mihael Šutalo"/>
    <s v="099/2717915"/>
    <s v="msutalo@sumfak.hr"/>
    <s v="Svetošimunska Cesta 23"/>
    <s v="Svetošimunska cesta 23"/>
    <s v="7699719217"/>
    <x v="4"/>
    <m/>
    <m/>
    <s v="King"/>
    <s v="King"/>
  </r>
  <r>
    <m/>
    <s v="160a_x000a_160b"/>
    <s v="1918"/>
    <x v="5"/>
    <x v="23"/>
    <n v="10"/>
    <x v="1"/>
    <s v="Vrbik - Hrvoje Matešić_x000a_Konavoska - Filip Samoščnaec"/>
    <s v="+385992692210 - Hrvoje_x000a_0993047438 Filip"/>
    <s v="hrvoje.matesic@tvz.hr_x000a_filip.samoscanec@tvz.hr"/>
    <s v="Vrbik 8"/>
    <s v="Vrbik 8 5 kom_x000a_Konavoska 2  5 kom. "/>
    <s v="8814003451"/>
    <x v="4"/>
    <m/>
    <m/>
    <s v="King"/>
    <s v="King"/>
  </r>
  <r>
    <m/>
    <s v="161a_x000a_161b_x000a_161c"/>
    <s v="368"/>
    <x v="5"/>
    <x v="6"/>
    <n v="4"/>
    <x v="3"/>
    <s v="Ivan Nimac_x000a_Ivana Delistović Duić_x000a_Ivan Nimac"/>
    <s v="095/826-5888_x000a_098/654-710_x000a_095/826-5888"/>
    <s v="inimac@unizd.hr_x000a_idelistov@unizd.hr_x000a_inimac@unizd.hr"/>
    <s v="Ulica Mihovila Pavlinovića 1"/>
    <s v="Obala kralja Petra Krešimira IV. Br. 2, 23000 Zadar 2 kom._x000a_Dr. Franje Tuđmana 24, 23000 Zadar 1 kom._x000a_Mihovila Pavlinovića 1, 23000 Zadar 1 kom."/>
    <s v="10839679016"/>
    <x v="4"/>
    <m/>
    <m/>
    <s v="King"/>
    <s v="Senso"/>
  </r>
  <r>
    <m/>
    <n v="162"/>
    <s v="121"/>
    <x v="5"/>
    <x v="1"/>
    <n v="1"/>
    <x v="1"/>
    <s v="Mate Galić"/>
    <s v="098806500"/>
    <s v="mate.galic@pharma.unizg.hr"/>
    <s v="Ulica Ante Kovačića 1"/>
    <s v="Ante Kovačića 1"/>
    <s v="14509285435"/>
    <x v="4"/>
    <m/>
    <m/>
    <s v="King"/>
    <s v="Senso"/>
  </r>
  <r>
    <m/>
    <n v="163"/>
    <s v="137"/>
    <x v="5"/>
    <x v="67"/>
    <n v="2"/>
    <x v="13"/>
    <s v="Bojan Tovjanin"/>
    <s v="0912241440"/>
    <s v="btovjanin@mefos.hr"/>
    <s v="Ulica Josipa Huttlera 4"/>
    <s v="Josipa Huttlera 4"/>
    <s v="16214165873"/>
    <x v="4"/>
    <m/>
    <m/>
    <s v="King"/>
    <s v="Senso"/>
  </r>
  <r>
    <m/>
    <n v="164"/>
    <s v="3986"/>
    <x v="5"/>
    <x v="68"/>
    <n v="2"/>
    <x v="1"/>
    <s v="Petra Mitrović"/>
    <s v="0914810222"/>
    <s v="pmitrovic@muza.hr"/>
    <s v="Trg Republike Hrvatske 12"/>
    <s v="Trg Republike Hrvatske 12"/>
    <s v="18422925218"/>
    <x v="4"/>
    <m/>
    <m/>
    <s v="King"/>
    <s v="Senso"/>
  </r>
  <r>
    <m/>
    <n v="165"/>
    <s v="4660"/>
    <x v="5"/>
    <x v="69"/>
    <n v="6"/>
    <x v="8"/>
    <s v="Vedran Ćurković"/>
    <s v="091 / 9536547"/>
    <s v="vedran.curkovic@uniri.hr"/>
    <s v="Viktora Cara Emina 5"/>
    <s v="Viktora Cara Emina 5"/>
    <s v="19213484918"/>
    <x v="4"/>
    <m/>
    <m/>
    <s v="King"/>
    <s v="Senso"/>
  </r>
  <r>
    <m/>
    <n v="166"/>
    <s v="250"/>
    <x v="5"/>
    <x v="17"/>
    <n v="1"/>
    <x v="8"/>
    <s v="Davorin Tadić"/>
    <s v="091 332 1308"/>
    <s v="dtadic@veleri.hr"/>
    <s v="Trpimirova 2"/>
    <s v="Vukovarska 58, Rijeka"/>
    <s v="29573709870"/>
    <x v="4"/>
    <m/>
    <m/>
    <s v="King"/>
    <s v="Senso"/>
  </r>
  <r>
    <m/>
    <s v="167a_x000a_167b"/>
    <s v="5713"/>
    <x v="5"/>
    <x v="27"/>
    <n v="2"/>
    <x v="11"/>
    <s v="Marko Pilić / Josip Crnjac_x000a_Mirko Šalinović"/>
    <s v="0919840020 (Pilić), 0981980136 (Crnjac)_x000a_O98 9895758"/>
    <s v="mpilic@forenzika.unist.hr, jcrnjac@forenzika.unist.hr_x000a_msalinovic@unist.hr"/>
    <s v="R. Boškovića 31"/>
    <s v="Franjevački put 1, Makarska_x000a_Ruđera Boškovića 33, Split"/>
    <s v="29845096215"/>
    <x v="4"/>
    <m/>
    <m/>
    <s v="King"/>
    <s v="King"/>
  </r>
  <r>
    <m/>
    <n v="168"/>
    <s v="1972"/>
    <x v="5"/>
    <x v="47"/>
    <n v="7"/>
    <x v="20"/>
    <s v="Damir Lulić"/>
    <s v="0981771615"/>
    <s v="dlulic@unisb.hr"/>
    <s v="Trg &quot;Ivana Brlić Mažuranić&quot; 2"/>
    <s v="Trg I.B.Mažuranić 2"/>
    <s v="33027834374"/>
    <x v="4"/>
    <m/>
    <m/>
    <s v="King"/>
    <s v="Senso"/>
  </r>
  <r>
    <m/>
    <n v="169"/>
    <s v="3340"/>
    <x v="5"/>
    <x v="48"/>
    <n v="3"/>
    <x v="1"/>
    <s v="Ivan Cerovec"/>
    <s v="01/2457510"/>
    <s v="ivan.cerovec@erf.unizg.hr"/>
    <s v="Borongajska Cesta 83F"/>
    <s v="Zagreb, Borongajska c.83f"/>
    <s v="34967762426"/>
    <x v="4"/>
    <m/>
    <m/>
    <s v="King"/>
    <s v="King"/>
  </r>
  <r>
    <m/>
    <n v="170"/>
    <s v="1944"/>
    <x v="5"/>
    <x v="8"/>
    <n v="1"/>
    <x v="5"/>
    <s v="Mile Vičić"/>
    <s v="098675984"/>
    <s v="mvicic@velegs-nikolatesla.hr"/>
    <s v="Ulica Bana Ivana Karlovića 16"/>
    <s v="Ulica bana Ivana Karlovića 16"/>
    <s v="42552392522"/>
    <x v="4"/>
    <m/>
    <m/>
    <s v="King"/>
    <s v="King"/>
  </r>
  <r>
    <m/>
    <n v="171"/>
    <s v="146"/>
    <x v="5"/>
    <x v="70"/>
    <n v="2"/>
    <x v="1"/>
    <s v="Ana Vukelić"/>
    <s v="0915677600"/>
    <s v="avukelic@pbf.hr"/>
    <s v="Pierottijeva Ulica 6"/>
    <s v="Pierottijeva 6"/>
    <s v="47824453867"/>
    <x v="4"/>
    <m/>
    <m/>
    <s v="King"/>
    <s v="King"/>
  </r>
  <r>
    <m/>
    <n v="172"/>
    <s v="138"/>
    <x v="5"/>
    <x v="71"/>
    <n v="2"/>
    <x v="1"/>
    <s v="Denis Hernaut"/>
    <s v="+385 91 604 3920"/>
    <s v="denis.hernaut@fer.hr"/>
    <s v="Unska Ulica 3"/>
    <s v="Vukovarska 39, Zagreb"/>
    <s v="57029260362"/>
    <x v="4"/>
    <m/>
    <m/>
    <s v="King"/>
    <s v="Senso"/>
  </r>
  <r>
    <m/>
    <n v="173"/>
    <s v="4497"/>
    <x v="5"/>
    <x v="9"/>
    <n v="10"/>
    <x v="6"/>
    <s v="Branimir Kolman"/>
    <s v="091 244 0130"/>
    <s v="bkolman@unin.hr"/>
    <s v="Trg Dr. Žarka Dolinara 1"/>
    <s v="Ulica 104 brigade 3, VŽ"/>
    <s v="59624928052"/>
    <x v="4"/>
    <m/>
    <m/>
    <s v="King"/>
    <s v="Senso"/>
  </r>
  <r>
    <m/>
    <n v="174"/>
    <s v="3554"/>
    <x v="5"/>
    <x v="10"/>
    <n v="1"/>
    <x v="7"/>
    <s v="Dario Kukuljan"/>
    <s v="0993777446"/>
    <s v="dkukuljan@unipu.hr"/>
    <s v="Zagrebačka Ulica 30"/>
    <s v="Alda Negrija 6, Pila"/>
    <s v="61738073226"/>
    <x v="4"/>
    <m/>
    <m/>
    <s v="King"/>
    <s v="Senso"/>
  </r>
  <r>
    <m/>
    <n v="175"/>
    <s v="1963"/>
    <x v="5"/>
    <x v="72"/>
    <n v="2"/>
    <x v="22"/>
    <s v="Marko Štedul"/>
    <s v="098-9919-742"/>
    <s v="marko.stedul@vuka.hr"/>
    <s v="Ivana Meštrovića 10"/>
    <s v="J. J. Strossmayera 9"/>
    <s v="62820859976"/>
    <x v="4"/>
    <m/>
    <m/>
    <s v="King"/>
    <s v="Senso"/>
  </r>
  <r>
    <m/>
    <n v="176"/>
    <s v="221"/>
    <x v="5"/>
    <x v="11"/>
    <n v="1"/>
    <x v="8"/>
    <s v="Danka Jurjević"/>
    <s v="051/265-884"/>
    <s v="danka.jurjevic@uniri.hr"/>
    <s v="Trg Braće Mažuranića 10"/>
    <s v="Radmile Matejčić 2; 51000 Rijeka"/>
    <s v="64218323816"/>
    <x v="4"/>
    <m/>
    <m/>
    <s v="King"/>
    <s v="King"/>
  </r>
  <r>
    <m/>
    <n v="177"/>
    <s v="184"/>
    <x v="5"/>
    <x v="3"/>
    <n v="1"/>
    <x v="1"/>
    <s v="Igor Horaček"/>
    <s v="091/722-0837"/>
    <s v="igor@fkit.hr"/>
    <s v="Trg Marka Marulića 19"/>
    <s v="Trg Marka Marulića 20, Zagreb, podrum"/>
    <s v="71259740533"/>
    <x v="4"/>
    <m/>
    <m/>
    <s v="King"/>
    <s v="Senso"/>
  </r>
  <r>
    <m/>
    <n v="178"/>
    <s v="202"/>
    <x v="5"/>
    <x v="73"/>
    <n v="2"/>
    <x v="1"/>
    <s v="Juaj Mihanović"/>
    <s v="098 9684 080"/>
    <s v="jmihanovic@agr.hr"/>
    <s v="Svetošimunska Cesta 25"/>
    <s v="Svetošimunska 25"/>
    <s v="76023745044"/>
    <x v="4"/>
    <m/>
    <m/>
    <s v="King"/>
    <s v="King"/>
  </r>
  <r>
    <m/>
    <s v="179a_x000a_179b"/>
    <s v="222"/>
    <x v="5"/>
    <x v="33"/>
    <n v="5"/>
    <x v="13"/>
    <s v="Albert Oswald_x000a_Tomica Bunjevac"/>
    <s v="+385912241400_x000a_+385913568984"/>
    <s v="oswald@unios.hr_x000a_tbunjevac@fizika.unios.hr"/>
    <s v="Trg Sv. Trojstva 3"/>
    <s v="Trg. Sv. Trojstva 3  4 kom._x000a_Trg Ljudevita Gaja 6  1 kom."/>
    <s v="78808975734"/>
    <x v="4"/>
    <m/>
    <m/>
    <s v="King"/>
    <s v="King"/>
  </r>
  <r>
    <m/>
    <n v="180"/>
    <s v="5717"/>
    <x v="5"/>
    <x v="59"/>
    <n v="1"/>
    <x v="13"/>
    <s v="Rade Lukić"/>
    <s v="091 2241 511"/>
    <s v="rade.lukic@fdmz.hr"/>
    <s v="Crkvena Ulica 21"/>
    <s v="Bana J. Jelačića 19A, Orahovica"/>
    <s v="83830458507"/>
    <x v="4"/>
    <m/>
    <m/>
    <s v="King"/>
    <s v="King"/>
  </r>
  <r>
    <m/>
    <n v="181"/>
    <s v="316"/>
    <x v="5"/>
    <x v="20"/>
    <n v="2"/>
    <x v="11"/>
    <s v="Ante Denić"/>
    <s v="(+385)915683877"/>
    <s v="dante@efst.hr"/>
    <s v="Cvite Fiskovića 5"/>
    <s v="Cvite Fiskovića 5, Split"/>
    <s v="84477684422"/>
    <x v="4"/>
    <m/>
    <m/>
    <s v="King"/>
    <s v="King"/>
  </r>
  <r>
    <m/>
    <n v="182"/>
    <s v="214"/>
    <x v="5"/>
    <x v="62"/>
    <n v="1"/>
    <x v="1"/>
    <s v="Goran Hoić"/>
    <s v="099/2550-825"/>
    <s v="goran.hoic@alu.unizg.hr"/>
    <s v="Ilica 85"/>
    <s v="Ilica 85"/>
    <s v="95847257607"/>
    <x v="4"/>
    <m/>
    <m/>
    <s v="King"/>
    <s v="Senso"/>
  </r>
  <r>
    <m/>
    <n v="183"/>
    <s v="170"/>
    <x v="5"/>
    <x v="74"/>
    <n v="1"/>
    <x v="13"/>
    <s v="Dražen Marček"/>
    <s v="098/9674947"/>
    <s v="dmarcek@ptfos.hr"/>
    <s v="Franje Kuhača 18"/>
    <s v="F. Kuhača 18"/>
    <s v="96371000697"/>
    <x v="4"/>
    <m/>
    <m/>
    <s v="King"/>
    <s v="King"/>
  </r>
  <r>
    <m/>
    <n v="184"/>
    <s v="4589"/>
    <x v="5"/>
    <x v="14"/>
    <n v="3"/>
    <x v="1"/>
    <s v="Predrag Šinko"/>
    <s v="095/205-2570"/>
    <s v="predrag.sinko@sois-ft.hr"/>
    <s v="Ilica 256B"/>
    <s v="Ilica 256B, obj. 58"/>
    <s v="36752094474"/>
    <x v="4"/>
    <m/>
    <m/>
    <s v="King"/>
    <s v="King"/>
  </r>
  <r>
    <m/>
    <n v="185"/>
    <s v="188"/>
    <x v="5"/>
    <x v="4"/>
    <n v="1"/>
    <x v="1"/>
    <s v="Boris Rončević"/>
    <s v="099 5327723"/>
    <s v="broncevic@nsk.hr"/>
    <s v="Ul. Hrvatske Bratske Zajednice 4"/>
    <s v="NSK - Ul. Hrvatske Bratske Zajednice 4"/>
    <m/>
    <x v="4"/>
    <m/>
    <m/>
    <s v="King"/>
    <s v="?"/>
  </r>
  <r>
    <m/>
    <m/>
    <m/>
    <x v="6"/>
    <x v="0"/>
    <n v="49"/>
    <x v="0"/>
    <m/>
    <m/>
    <m/>
    <m/>
    <m/>
    <m/>
    <x v="0"/>
    <m/>
    <m/>
    <s v="King"/>
    <m/>
  </r>
  <r>
    <m/>
    <s v="186a_x000a_186b"/>
    <s v="3990"/>
    <x v="6"/>
    <x v="37"/>
    <n v="9"/>
    <x v="17"/>
    <s v="Stjepo Hladilo"/>
    <s v="0919322586"/>
    <s v="stjepo.hladilo@unidu.hr"/>
    <s v="Branitelja Dubrovnika 41"/>
    <s v="Branitelja Dubrovnika 41, Dubrovnik 7 kom._x000a_Lapadska obala Nojka Marinovića 7, Dubrovnik 2 kom."/>
    <s v="1338491514"/>
    <x v="2"/>
    <m/>
    <m/>
    <s v="King"/>
    <s v="Senso"/>
  </r>
  <r>
    <m/>
    <n v="187"/>
    <s v="153"/>
    <x v="6"/>
    <x v="40"/>
    <n v="5"/>
    <x v="1"/>
    <s v="Mihael Šutalo"/>
    <s v="099/2717915"/>
    <s v="msutalo@sumfak.hr"/>
    <s v="Svetošimunska Cesta 23"/>
    <s v="Svetošimunska cesta 23"/>
    <s v="7699719217"/>
    <x v="4"/>
    <m/>
    <m/>
    <s v="King"/>
    <s v="King"/>
  </r>
  <r>
    <m/>
    <n v="188"/>
    <s v="121"/>
    <x v="6"/>
    <x v="1"/>
    <n v="1"/>
    <x v="1"/>
    <s v="Mate Galić"/>
    <s v="098806500"/>
    <s v="mate.galic@pharma.unizg.hr"/>
    <s v="Ulica Ante Kovačića 1"/>
    <s v="Ante Kovačića 1"/>
    <s v="14509285435"/>
    <x v="4"/>
    <m/>
    <m/>
    <s v="King"/>
    <s v="Senso"/>
  </r>
  <r>
    <m/>
    <n v="189"/>
    <s v="137"/>
    <x v="6"/>
    <x v="67"/>
    <n v="3"/>
    <x v="13"/>
    <s v="Bojan Tovjanin"/>
    <s v="0912241440"/>
    <s v="btovjanin@mefos.hr"/>
    <s v="Ulica Josipa Huttlera 4"/>
    <s v="Josipa Huttlera 4"/>
    <s v="16214165873"/>
    <x v="4"/>
    <m/>
    <m/>
    <s v="King"/>
    <s v="Senso"/>
  </r>
  <r>
    <m/>
    <n v="190"/>
    <s v="4660"/>
    <x v="6"/>
    <x v="69"/>
    <n v="3"/>
    <x v="8"/>
    <s v="Vedran Ćurković"/>
    <s v="091 / 9536547"/>
    <s v="vedran.curkovic@uniri.hr"/>
    <s v="Viktora Cara Emina 5"/>
    <s v="Viktora Cara Emina 5"/>
    <s v="19213484918"/>
    <x v="4"/>
    <m/>
    <m/>
    <s v="King"/>
    <s v="Senso"/>
  </r>
  <r>
    <m/>
    <n v="191"/>
    <s v="469"/>
    <x v="6"/>
    <x v="75"/>
    <n v="1"/>
    <x v="1"/>
    <s v="Mario Dakić"/>
    <s v="385912524419"/>
    <s v="mdakic@geog.pmf.hr_x000a_"/>
    <s v="Horvatovac 102A"/>
    <s v="Trg Marka Marulića 19/II"/>
    <s v="28163265527"/>
    <x v="4"/>
    <m/>
    <m/>
    <s v="King"/>
    <s v="Senso"/>
  </r>
  <r>
    <m/>
    <n v="192"/>
    <s v="3340"/>
    <x v="6"/>
    <x v="48"/>
    <n v="2"/>
    <x v="1"/>
    <s v="Ivan Cerovec"/>
    <s v="01/2457510"/>
    <s v="ivan.cerovec@erf.unizg.hr"/>
    <s v="Borongajska Cesta 83F"/>
    <s v="Zagreb, Borongajska c.83f"/>
    <s v="34967762426"/>
    <x v="4"/>
    <m/>
    <m/>
    <s v="King"/>
    <s v="King"/>
  </r>
  <r>
    <m/>
    <n v="193"/>
    <s v="146"/>
    <x v="6"/>
    <x v="70"/>
    <n v="2"/>
    <x v="1"/>
    <s v="Ana Vukelić"/>
    <s v="0915677600"/>
    <s v="avukelic@pbf.hr"/>
    <s v="Pierottijeva Ulica 6"/>
    <s v="Pierottijeva 6"/>
    <s v="47824453867"/>
    <x v="4"/>
    <m/>
    <m/>
    <s v="King"/>
    <s v="King"/>
  </r>
  <r>
    <m/>
    <n v="194"/>
    <s v="1939"/>
    <x v="6"/>
    <x v="76"/>
    <n v="1"/>
    <x v="8"/>
    <s v="Aljoša Brajdić"/>
    <s v="099/2217114"/>
    <s v="aljosa.brajdic@apuri.uniri.hr"/>
    <s v="Slavka Krautzeka 83"/>
    <s v="Slavka Krautzeka 83, 51000 Rijeka"/>
    <s v="55704161999"/>
    <x v="4"/>
    <m/>
    <m/>
    <s v="King"/>
    <s v="Senso"/>
  </r>
  <r>
    <m/>
    <n v="195"/>
    <s v="138"/>
    <x v="6"/>
    <x v="71"/>
    <n v="3"/>
    <x v="1"/>
    <s v="Denis Hernaut"/>
    <s v="+385 91 604 3920"/>
    <s v="denis.hernaut@fer.hr"/>
    <s v="Unska Ulica 3"/>
    <s v="Vukovarska 39, Zagreb"/>
    <s v="57029260362"/>
    <x v="4"/>
    <m/>
    <m/>
    <s v="King"/>
    <s v="Senso"/>
  </r>
  <r>
    <m/>
    <n v="196"/>
    <s v="3554"/>
    <x v="6"/>
    <x v="10"/>
    <n v="1"/>
    <x v="7"/>
    <s v="Dario Kukuljan"/>
    <s v="0993777446"/>
    <s v="dkukuljan@unipu.hr"/>
    <s v="Zagrebačka Ulica 30"/>
    <s v="Alda Negrija 6, Pila"/>
    <s v="61738073226"/>
    <x v="4"/>
    <m/>
    <m/>
    <s v="King"/>
    <s v="Senso"/>
  </r>
  <r>
    <m/>
    <n v="197"/>
    <s v="221"/>
    <x v="6"/>
    <x v="11"/>
    <n v="1"/>
    <x v="8"/>
    <s v="Linda Petričić, Nicole Tomišić "/>
    <s v="091 165 1207, 0922875203"/>
    <s v="ntomisic@fdmri.uniri.hr linda.petricic@fdmri.uniri.hr"/>
    <s v="Trg Braće Mažuranića 10"/>
    <s v="Krešimirova 40/42, 51000 Rijeak"/>
    <s v="64218323816"/>
    <x v="4"/>
    <m/>
    <m/>
    <s v="King"/>
    <s v="King"/>
  </r>
  <r>
    <m/>
    <s v="198a_x000a_198b"/>
    <s v="6229"/>
    <x v="6"/>
    <x v="55"/>
    <n v="3"/>
    <x v="13"/>
    <s v="Matija Karapetrić"/>
    <s v="0915053478"/>
    <s v="matija.karapetric@kifos.hr"/>
    <s v="Drinska 16A"/>
    <s v="Drinska 16a, 31000 Osijek 2 kom._x000a_Woodrova Wilsona 2, 31000 Osijek 1 kom."/>
    <s v="70788591483"/>
    <x v="4"/>
    <m/>
    <m/>
    <s v="King"/>
    <s v="Senso"/>
  </r>
  <r>
    <m/>
    <s v="199a_x000a_199b_x000a_199c"/>
    <s v="222"/>
    <x v="6"/>
    <x v="33"/>
    <n v="10"/>
    <x v="13"/>
    <s v="Albert Oswald_x000a_Tomica Bunjevac_x000a_Tatjana Šajatović"/>
    <s v="+385912241400_x000a_+385913568984_x000a_+38598871499"/>
    <s v="oswald@unios.hr_x000a_tbunjevac@fizika.unios.hr_x000a_tsajatovic@kemija.unios.hr"/>
    <s v="Trg Sv. Trojstva 3"/>
    <s v="Trg. Sv. Trojstva 3  3 kom._x000a_Trg Ljudevita Gaja 6  4 kom._x000a_Cara Hadrijana 8/A  3 kom. "/>
    <s v="78808975734"/>
    <x v="4"/>
    <m/>
    <m/>
    <s v="King"/>
    <s v="King"/>
  </r>
  <r>
    <m/>
    <n v="200"/>
    <s v="163"/>
    <x v="6"/>
    <x v="58"/>
    <n v="1"/>
    <x v="11"/>
    <s v="Alen Domazet"/>
    <s v="091 568 5994"/>
    <s v="adomazet@gradst.hr"/>
    <s v="Matice Hrvatske 15"/>
    <s v="Matice hrvatske 15, 21000 Split"/>
    <s v="83615500218"/>
    <x v="4"/>
    <m/>
    <m/>
    <s v="King"/>
    <s v="King"/>
  </r>
  <r>
    <m/>
    <n v="201"/>
    <s v="5717"/>
    <x v="6"/>
    <x v="59"/>
    <n v="1"/>
    <x v="13"/>
    <s v="Rade Lukić"/>
    <s v="091 2241 511"/>
    <s v="rade.lukic@fdmz.hr"/>
    <s v="Crkvena Ulica 21"/>
    <s v="Bana J. Jelačića 19A, Orahovica"/>
    <s v="83830458507"/>
    <x v="4"/>
    <m/>
    <m/>
    <s v="King"/>
    <s v="King"/>
  </r>
  <r>
    <m/>
    <n v="202"/>
    <s v="281"/>
    <x v="6"/>
    <x v="63"/>
    <n v="1"/>
    <x v="8"/>
    <s v="Danka Jurjević"/>
    <s v="265-877"/>
    <s v="danka.jurjevic@uniri.hr"/>
    <s v="Sveučilišna Avenija 6"/>
    <s v="Sveučilišna Avenija 6"/>
    <s v="96996385705"/>
    <x v="4"/>
    <m/>
    <m/>
    <s v="King"/>
    <s v="Senso"/>
  </r>
  <r>
    <m/>
    <n v="203"/>
    <s v="203"/>
    <x v="6"/>
    <x v="65"/>
    <n v="1"/>
    <x v="1"/>
    <s v="Marijan Galjar"/>
    <s v="098 855 676"/>
    <s v="marijan.galjar@rgn.hr"/>
    <s v="Pierottijeva Ulica 6"/>
    <s v="Pierottijeva 6"/>
    <s v="99534693762"/>
    <x v="4"/>
    <m/>
    <m/>
    <s v="King"/>
    <s v="Senso"/>
  </r>
  <r>
    <m/>
    <m/>
    <m/>
    <x v="7"/>
    <x v="0"/>
    <n v="32"/>
    <x v="0"/>
    <m/>
    <m/>
    <m/>
    <m/>
    <m/>
    <m/>
    <x v="0"/>
    <m/>
    <m/>
    <m/>
    <m/>
  </r>
  <r>
    <m/>
    <n v="204"/>
    <s v="3990"/>
    <x v="7"/>
    <x v="37"/>
    <n v="1"/>
    <x v="17"/>
    <s v="Stjepo Hladilo"/>
    <s v="0919322586"/>
    <s v="stjepo.hladilo@unidu.hr"/>
    <s v="Branitelja Dubrovnika 41"/>
    <s v="Branitelja Dubrovnika 41, Dubrovnik"/>
    <s v="1338491514"/>
    <x v="5"/>
    <m/>
    <m/>
    <m/>
    <m/>
  </r>
  <r>
    <m/>
    <n v="205"/>
    <s v="3689"/>
    <x v="7"/>
    <x v="5"/>
    <n v="5"/>
    <x v="1"/>
    <s v="Nikola Barba"/>
    <s v="099 6081 436"/>
    <s v="nikola.barba@unicath.hr"/>
    <s v="Ilica 244B"/>
    <s v="Ilica 244, 10000 Zagreb"/>
    <s v="7730927366"/>
    <x v="5"/>
    <m/>
    <m/>
    <m/>
    <m/>
  </r>
  <r>
    <m/>
    <n v="206"/>
    <s v="1918"/>
    <x v="7"/>
    <x v="23"/>
    <n v="4"/>
    <x v="1"/>
    <s v="Ivan Rajković"/>
    <s v="+385998153651"/>
    <s v="ivan.rajkovic@tvz.hr"/>
    <s v="Vrbik 8"/>
    <s v="Vrbik 8"/>
    <s v="8814003451"/>
    <x v="5"/>
    <m/>
    <m/>
    <m/>
    <m/>
  </r>
  <r>
    <m/>
    <n v="207"/>
    <s v="368"/>
    <x v="7"/>
    <x v="6"/>
    <n v="3"/>
    <x v="3"/>
    <s v="Ivan Nimac"/>
    <s v="095/826-5888"/>
    <s v="inimac@unizd.hr"/>
    <s v="Ulica Mihovila Pavlinovića 1"/>
    <s v="Obala kralja Petra Krešimira IV. Br. 2, 23000 Zadar"/>
    <s v="10839679016"/>
    <x v="5"/>
    <m/>
    <m/>
    <m/>
    <m/>
  </r>
  <r>
    <m/>
    <n v="208"/>
    <s v="168"/>
    <x v="7"/>
    <x v="77"/>
    <n v="1"/>
    <x v="13"/>
    <s v="Bruno Bakarić"/>
    <s v="031/224-508"/>
    <s v="bbakaric@pravos.hr"/>
    <s v="Ulica Stjepana Radića 13"/>
    <s v="Stjepana Radića 17"/>
    <s v="26416570803"/>
    <x v="5"/>
    <m/>
    <m/>
    <m/>
    <m/>
  </r>
  <r>
    <m/>
    <n v="209"/>
    <s v="205"/>
    <x v="7"/>
    <x v="44"/>
    <n v="1"/>
    <x v="1"/>
    <s v="Mikolaj Martinjak"/>
    <s v="0989478881"/>
    <s v="mika@ffrz.hr"/>
    <s v="Jordanovac 110"/>
    <s v="Jordanovac 110"/>
    <s v="26975482530"/>
    <x v="5"/>
    <m/>
    <m/>
    <m/>
    <m/>
  </r>
  <r>
    <m/>
    <n v="210"/>
    <s v="130"/>
    <x v="7"/>
    <x v="45"/>
    <n v="1"/>
    <x v="1"/>
    <s v="Kristian Došen"/>
    <s v="091 7888 474"/>
    <s v="kristian.dosen@fpzg.hr"/>
    <s v="Ulica Ivana Lepušića 6"/>
    <s v="Lepušićeva 6, 10000 Zagreb"/>
    <s v="28011548575"/>
    <x v="5"/>
    <m/>
    <m/>
    <m/>
    <m/>
  </r>
  <r>
    <m/>
    <n v="211"/>
    <s v="1972"/>
    <x v="7"/>
    <x v="47"/>
    <n v="1"/>
    <x v="20"/>
    <s v="Damir Lulić"/>
    <s v="0981771615"/>
    <s v="dlulic@unisb.hr"/>
    <s v="Trg &quot;Ivana Brlić Mažuranić&quot; 2"/>
    <s v="Ulica 108. brigade ZNG 36"/>
    <s v="33027834374"/>
    <x v="5"/>
    <m/>
    <m/>
    <m/>
    <m/>
  </r>
  <r>
    <m/>
    <n v="212"/>
    <s v="177"/>
    <x v="7"/>
    <x v="78"/>
    <n v="1"/>
    <x v="1"/>
    <s v="Srđan Cvetanović"/>
    <s v="095 8000 204_x000a_"/>
    <s v="djani@ttf.hr_x000a_"/>
    <s v="Prilaz Baruna Filipovića 28A"/>
    <s v="Prilaz baruna Filipovića 28a"/>
    <s v="43097527965"/>
    <x v="5"/>
    <m/>
    <m/>
    <m/>
    <m/>
  </r>
  <r>
    <m/>
    <n v="213"/>
    <s v="165"/>
    <x v="7"/>
    <x v="79"/>
    <n v="1"/>
    <x v="1"/>
    <s v="Mirza Žižak"/>
    <s v="091-595-2783"/>
    <s v="mirza.zizak@mef.hr"/>
    <s v="Šalata 3"/>
    <s v="Šalata 2"/>
    <s v="45001686598"/>
    <x v="5"/>
    <m/>
    <m/>
    <m/>
    <m/>
  </r>
  <r>
    <m/>
    <n v="214"/>
    <s v="215"/>
    <x v="7"/>
    <x v="18"/>
    <n v="1"/>
    <x v="1"/>
    <s v="Ivan Šetin"/>
    <s v="0981839338"/>
    <s v="isetin@adu.hr"/>
    <s v="Trg Republike Hrvatske 5"/>
    <s v="Trg Republike Hrvatske 5, Zagreb"/>
    <s v="52097842295"/>
    <x v="5"/>
    <m/>
    <m/>
    <m/>
    <m/>
  </r>
  <r>
    <m/>
    <n v="215"/>
    <s v="3430"/>
    <x v="7"/>
    <x v="53"/>
    <n v="1"/>
    <x v="11"/>
    <s v="Ante Krolo"/>
    <s v="+385 95 903 76 48"/>
    <s v="ante@kifst.hr"/>
    <s v="Teslina 6"/>
    <s v="Teslina 10"/>
    <s v="57848936921"/>
    <x v="5"/>
    <m/>
    <m/>
    <m/>
    <m/>
  </r>
  <r>
    <m/>
    <n v="216"/>
    <s v="181"/>
    <x v="7"/>
    <x v="80"/>
    <n v="1"/>
    <x v="13"/>
    <s v="Zoltan Juhas"/>
    <s v="091/ 2549 157"/>
    <s v="zoli@ffos.hr"/>
    <s v="Ulica Lorenza Jägera 9"/>
    <s v="Ulica Lorenza Jägera 9"/>
    <s v="58868871646"/>
    <x v="5"/>
    <m/>
    <m/>
    <m/>
    <m/>
  </r>
  <r>
    <m/>
    <s v="217a_x000a_217b"/>
    <s v="4497"/>
    <x v="7"/>
    <x v="9"/>
    <n v="6"/>
    <x v="6"/>
    <s v="Nikola Marijanović_x000a_Branimir Kolman"/>
    <s v="0994028339_x000a_091 244 0130"/>
    <s v="nmarijanovic@unin.hr_x000a_bkolman@unin.hr"/>
    <s v="Trg Dr. Žarka Dolinara 1"/>
    <s v="Trg dr. Žarka dolinara 1, Koprivnica  3 kom._x000a_Ulica 104 brigade 3, VŽ  3 kom."/>
    <s v="59624928052"/>
    <x v="5"/>
    <m/>
    <m/>
    <m/>
    <m/>
  </r>
  <r>
    <m/>
    <n v="218"/>
    <s v="221"/>
    <x v="7"/>
    <x v="11"/>
    <n v="2"/>
    <x v="8"/>
    <s v="Marko Roža"/>
    <s v="051/265-873"/>
    <s v="marko.roza@uniri.hr"/>
    <s v="Trg Braće Mažuranića 10"/>
    <s v="Radmile Matejčić 2; 51000 Rijeka"/>
    <s v="64218323816"/>
    <x v="5"/>
    <m/>
    <m/>
    <m/>
    <m/>
  </r>
  <r>
    <m/>
    <n v="219"/>
    <s v="150"/>
    <x v="7"/>
    <x v="12"/>
    <n v="1"/>
    <x v="1"/>
    <s v="Dario Đurasović"/>
    <s v="091 4802 130"/>
    <s v="dario@sfzg.hr"/>
    <s v="Gundulićeva Ulica 5"/>
    <s v="Gundulićeva 5, Zagreb"/>
    <s v="70221464726"/>
    <x v="5"/>
    <m/>
    <m/>
    <m/>
    <m/>
  </r>
  <r>
    <m/>
    <n v="220"/>
    <s v="316"/>
    <x v="7"/>
    <x v="20"/>
    <n v="1"/>
    <x v="11"/>
    <s v="Ante Denić"/>
    <s v="(+385)915683877"/>
    <s v="dante@efst.hr"/>
    <s v="Cvite Fiskovića 5"/>
    <s v="Cvite Fiskovića 5, Split"/>
    <s v="84477684422"/>
    <x v="5"/>
    <m/>
    <m/>
    <m/>
    <m/>
  </r>
  <r>
    <m/>
    <m/>
    <m/>
    <x v="8"/>
    <x v="0"/>
    <n v="101"/>
    <x v="0"/>
    <m/>
    <m/>
    <m/>
    <m/>
    <m/>
    <m/>
    <x v="0"/>
    <m/>
    <m/>
    <m/>
    <m/>
  </r>
  <r>
    <m/>
    <n v="221"/>
    <s v="3990"/>
    <x v="8"/>
    <x v="37"/>
    <n v="2"/>
    <x v="17"/>
    <s v="Stjepo Hladilo"/>
    <s v="0919322586"/>
    <s v="stjepo.hladilo@unidu.hr"/>
    <s v="Branitelja Dubrovnika 41"/>
    <s v="Branitelja Dubrovnika 41, Dubrovnik"/>
    <s v="1338491514"/>
    <x v="2"/>
    <m/>
    <m/>
    <m/>
    <m/>
  </r>
  <r>
    <m/>
    <n v="222"/>
    <s v="132"/>
    <x v="8"/>
    <x v="39"/>
    <n v="4"/>
    <x v="11"/>
    <s v="Juraj Saratlija"/>
    <s v="0996935026"/>
    <s v="juraj.saratlija@pravst.hr"/>
    <s v="Ulica Domovinskog Rata 8"/>
    <s v="Domovinskog rata 8, Split"/>
    <s v="3541568700"/>
    <x v="1"/>
    <m/>
    <m/>
    <m/>
    <m/>
  </r>
  <r>
    <m/>
    <n v="223"/>
    <s v="3689"/>
    <x v="8"/>
    <x v="5"/>
    <n v="12"/>
    <x v="1"/>
    <s v="Nikola Barba"/>
    <s v="099 6081 436"/>
    <s v="nikola.barba@unicath.hr"/>
    <s v="Ilica 244B"/>
    <s v="Ilica 244, 10000 Zagreb"/>
    <s v="7730927366"/>
    <x v="1"/>
    <m/>
    <m/>
    <m/>
    <m/>
  </r>
  <r>
    <m/>
    <n v="224"/>
    <s v="368"/>
    <x v="8"/>
    <x v="6"/>
    <n v="9"/>
    <x v="3"/>
    <s v="Ivan Nimac"/>
    <s v="095/826-5888"/>
    <s v="inimac@unizd.hr"/>
    <s v="Ulica Mihovila Pavlinovića 1"/>
    <s v="Obala kralja Petra Krešimira IV. Br. 2, 23000 Zadar"/>
    <s v="10839679016"/>
    <x v="1"/>
    <m/>
    <m/>
    <m/>
    <m/>
  </r>
  <r>
    <m/>
    <n v="225"/>
    <s v="4660"/>
    <x v="8"/>
    <x v="69"/>
    <n v="5"/>
    <x v="8"/>
    <s v="Vedran Ćurković"/>
    <s v="091 / 9536547"/>
    <s v="vedran.curkovic@uniri.hr"/>
    <s v="Viktora Cara Emina 5"/>
    <s v="Viktora Cara Emina 5"/>
    <s v="19213484918"/>
    <x v="1"/>
    <m/>
    <m/>
    <m/>
    <m/>
  </r>
  <r>
    <m/>
    <n v="226"/>
    <s v="4919"/>
    <x v="8"/>
    <x v="42"/>
    <n v="1"/>
    <x v="11"/>
    <s v="Doris Knego"/>
    <s v="098 9394211,"/>
    <s v="doris.knego@pmfst.hr"/>
    <s v="R. Boškovića 33"/>
    <s v="Ruđera Boškovića 33"/>
    <s v="20858497843"/>
    <x v="1"/>
    <m/>
    <m/>
    <m/>
    <m/>
  </r>
  <r>
    <m/>
    <n v="227"/>
    <s v="185"/>
    <x v="8"/>
    <x v="43"/>
    <n v="1"/>
    <x v="1"/>
    <s v="Marko Maričević"/>
    <s v="0915193488"/>
    <s v="marko.maricevic@grf.hr"/>
    <s v="Getaldićeva Ulica 2"/>
    <s v="Getaldićeva 2, Zagreb"/>
    <s v="25564990903"/>
    <x v="1"/>
    <m/>
    <m/>
    <m/>
    <m/>
  </r>
  <r>
    <m/>
    <n v="228"/>
    <s v="205"/>
    <x v="8"/>
    <x v="44"/>
    <n v="1"/>
    <x v="1"/>
    <s v="Mikolaj Martinjak"/>
    <s v="0989478881"/>
    <s v="mika@ffrz.hr"/>
    <s v="Jordanovac 110"/>
    <s v="Jordanovac 110"/>
    <s v="26975482530"/>
    <x v="1"/>
    <m/>
    <m/>
    <m/>
    <m/>
  </r>
  <r>
    <m/>
    <n v="229"/>
    <s v="130"/>
    <x v="8"/>
    <x v="45"/>
    <n v="5"/>
    <x v="1"/>
    <s v="Kristian Došen"/>
    <s v="091 7888 474"/>
    <s v="kristian.dosen@fpzg.hr"/>
    <s v="Ulica Ivana Lepušića 6"/>
    <s v="Lepušićeva 6, 10000 Zagreb"/>
    <s v="28011548575"/>
    <x v="1"/>
    <m/>
    <m/>
    <m/>
    <m/>
  </r>
  <r>
    <m/>
    <n v="230"/>
    <s v="3637"/>
    <x v="8"/>
    <x v="81"/>
    <n v="1"/>
    <x v="13"/>
    <s v="Krunoslav Kurilj"/>
    <s v="0991616166"/>
    <s v="kkurilj@foozos.hr"/>
    <s v="Ulica Cara Hadrijana 10"/>
    <s v="Cara Hadrijana 10, 31 000 Osijek – NASTAVNA ZGRADA"/>
    <s v="28082679513"/>
    <x v="1"/>
    <m/>
    <m/>
    <m/>
    <m/>
  </r>
  <r>
    <m/>
    <n v="231"/>
    <s v="469"/>
    <x v="8"/>
    <x v="75"/>
    <n v="2"/>
    <x v="1"/>
    <s v="Davor Pintar"/>
    <s v="385998227236"/>
    <s v="davor.pintar@dekanat.pmf.hr"/>
    <s v="Horvatovac 102A"/>
    <s v="Horvatovac 102A"/>
    <s v="28163265527"/>
    <x v="1"/>
    <m/>
    <m/>
    <m/>
    <m/>
  </r>
  <r>
    <m/>
    <s v="232a_x000a_232b_x000a_232c"/>
    <s v="5713"/>
    <x v="8"/>
    <x v="27"/>
    <n v="6"/>
    <x v="11"/>
    <s v="Leida Rizvan_x000a_Dalibor Bulić_x000a_Petra Musap"/>
    <s v="0914433905_x000a_021 564815, 0915462104_x000a_0991639750"/>
    <s v="leida.rizvan@unist.hr_x000a_dalibor.bulic@fzz.unist.hr_x000a_petra.musap@unist.hr"/>
    <s v="R. Boškovića 31"/>
    <s v="Ruđera Boškovića 31, Split¸ 4 kom._x000a_Ruđera Boškovića 35, Split¸ 1 kom._x000a_Poljana kraljice Jelene 1, Split  1 kom."/>
    <s v="29845096215"/>
    <x v="1"/>
    <m/>
    <m/>
    <m/>
    <m/>
  </r>
  <r>
    <m/>
    <n v="233"/>
    <s v="1972"/>
    <x v="8"/>
    <x v="47"/>
    <n v="1"/>
    <x v="20"/>
    <s v="Damir Lulić"/>
    <s v="0981771615"/>
    <s v="dlulic@unisb.hr"/>
    <s v="Trg &quot;Ivana Brlić Mažuranić&quot; 2"/>
    <s v="Ulica 108. brigade ZNG 36"/>
    <s v="33027834374"/>
    <x v="1"/>
    <m/>
    <m/>
    <m/>
    <m/>
  </r>
  <r>
    <m/>
    <n v="234"/>
    <s v="267"/>
    <x v="8"/>
    <x v="82"/>
    <n v="1"/>
    <x v="11"/>
    <s v="Željko Matas"/>
    <s v="097 7094175"/>
    <s v="zmatas@kbf-st.hr"/>
    <s v="Zrinjsko-Frankopanska 19"/>
    <s v="Zrinjsko-Frankopanska 19, Split"/>
    <s v="36149548625"/>
    <x v="1"/>
    <m/>
    <m/>
    <m/>
    <m/>
  </r>
  <r>
    <m/>
    <n v="235"/>
    <s v="140"/>
    <x v="8"/>
    <x v="83"/>
    <n v="1"/>
    <x v="1"/>
    <s v="Marko Poletto"/>
    <s v="099/4928854"/>
    <s v="pmarko@vef.unizg.hr"/>
    <s v="Ulica Vjekoslava Heinzela 55"/>
    <s v="Ulica Vjekoslava Heinzela 55, 10000 Zagreb"/>
    <s v="36389528408"/>
    <x v="1"/>
    <m/>
    <m/>
    <m/>
    <m/>
  </r>
  <r>
    <m/>
    <s v="236a_x000a_236b"/>
    <s v="219"/>
    <x v="8"/>
    <x v="28"/>
    <n v="2"/>
    <x v="1"/>
    <s v="Siniša Vlahović_x000a_Marin Šperanda"/>
    <s v="098 268 472_x000a_091 906 6882"/>
    <s v="svlahovic@unizg.hr_x000a_marin.speranda@caas.unizg.hr"/>
    <s v="Trg Republike Hrvatske 14"/>
    <s v="Ulica Radoslava Cimermana 88, 10000 Zagreb_x000a_Don Frana Bulića 4, 20000 Dubrovnik (CAAS)"/>
    <s v="36612267447"/>
    <x v="1"/>
    <m/>
    <m/>
    <m/>
    <m/>
  </r>
  <r>
    <m/>
    <n v="237"/>
    <s v="141"/>
    <x v="8"/>
    <x v="30"/>
    <n v="1"/>
    <x v="1"/>
    <s v="Emil Flatz"/>
    <s v="38598302567"/>
    <s v="eflatz@arhitekt.hr"/>
    <s v="Kačićeva Ulica 26"/>
    <s v="Frankopanska 12"/>
    <s v="42061107444"/>
    <x v="1"/>
    <m/>
    <m/>
    <m/>
    <m/>
  </r>
  <r>
    <m/>
    <n v="238"/>
    <s v="122"/>
    <x v="8"/>
    <x v="49"/>
    <n v="2"/>
    <x v="1"/>
    <s v="Marijo Seničić"/>
    <s v="099 533 7842"/>
    <s v="marijo.senicic@geof.unizg.hr"/>
    <s v="Kačićeva Ulica 26"/>
    <s v="Kačićeva 26, 10000 Zagreb"/>
    <s v="43594593297"/>
    <x v="1"/>
    <m/>
    <m/>
    <m/>
    <m/>
  </r>
  <r>
    <m/>
    <n v="239"/>
    <s v="3795"/>
    <x v="8"/>
    <x v="2"/>
    <n v="1"/>
    <x v="2"/>
    <s v="Enes Ciriković"/>
    <s v="0989225600"/>
    <s v="enes.cirikovic@vuv.hr"/>
    <s v="Ulica Matije Gupca 78"/>
    <s v="Matije Gupca 78, 33000 Virovitica"/>
    <s v="46576407858"/>
    <x v="1"/>
    <m/>
    <m/>
    <m/>
    <m/>
  </r>
  <r>
    <m/>
    <n v="240"/>
    <s v="210"/>
    <x v="8"/>
    <x v="31"/>
    <n v="1"/>
    <x v="1"/>
    <s v="Taras Barščevski"/>
    <s v="+385(91)5335.699"/>
    <s v="taras.barscevski@kbf.unizg.hr"/>
    <s v="Vlaška Ulica 38"/>
    <s v="Vlaška 38"/>
    <s v="48987767944"/>
    <x v="1"/>
    <m/>
    <m/>
    <m/>
    <m/>
  </r>
  <r>
    <m/>
    <n v="241"/>
    <s v="245"/>
    <x v="8"/>
    <x v="52"/>
    <n v="1"/>
    <x v="1"/>
    <s v="Ozren Digula, Kristijan Zbiljski"/>
    <s v="0914595855, 0914595858"/>
    <s v="ozren.digula@zvu.hr, kristijan.zbiljski@zvu.hr"/>
    <s v="Mlinarska Cesta 38"/>
    <s v="Mlinarska cesta 38"/>
    <s v="50952646228"/>
    <x v="1"/>
    <m/>
    <m/>
    <m/>
    <m/>
  </r>
  <r>
    <m/>
    <s v="242a_x000a_242b"/>
    <s v="215"/>
    <x v="8"/>
    <x v="18"/>
    <n v="2"/>
    <x v="1"/>
    <s v="Ivan Šetin"/>
    <s v="0981839338"/>
    <s v="isetin@adu.hr"/>
    <s v="Trg Republike Hrvatske 5"/>
    <s v="Trg Republike Hrvatske 5, Zagreb_x000a_Frankopanska 22, Zagreb"/>
    <s v="52097842295"/>
    <x v="1"/>
    <m/>
    <m/>
    <m/>
    <m/>
  </r>
  <r>
    <m/>
    <n v="243"/>
    <s v="125"/>
    <x v="8"/>
    <x v="84"/>
    <n v="1"/>
    <x v="13"/>
    <s v="Damir Kovačević"/>
    <s v="385912244189"/>
    <s v="damir.kovacevic@efos.hr"/>
    <s v="Trg Ljudevita Gaja 7"/>
    <s v="Trg Ljudevita Gaja 7, Osijek"/>
    <s v="52778515544"/>
    <x v="1"/>
    <m/>
    <m/>
    <m/>
    <m/>
  </r>
  <r>
    <m/>
    <n v="244"/>
    <s v="275"/>
    <x v="8"/>
    <x v="85"/>
    <n v="1"/>
    <x v="13"/>
    <s v="Petar Taler"/>
    <s v="091 224 1039"/>
    <s v="petar@mathos.hr"/>
    <s v="Trg Ljudevita Gaja 6"/>
    <s v="Trg Lj. Gaja 6, Osijek"/>
    <s v="56597320763"/>
    <x v="1"/>
    <m/>
    <m/>
    <m/>
    <m/>
  </r>
  <r>
    <m/>
    <n v="245"/>
    <s v="138"/>
    <x v="8"/>
    <x v="71"/>
    <n v="1"/>
    <x v="1"/>
    <s v="Denis Hernaut"/>
    <s v="+385 91 604 3920"/>
    <s v="denis.hernaut@fer.hr"/>
    <s v="Unska Ulica 3"/>
    <s v="Vukovarska 39, Zagreb"/>
    <s v="57029260362"/>
    <x v="1"/>
    <m/>
    <m/>
    <m/>
    <m/>
  </r>
  <r>
    <m/>
    <n v="246"/>
    <s v="3430"/>
    <x v="8"/>
    <x v="53"/>
    <n v="4"/>
    <x v="11"/>
    <s v="Ante Krolo"/>
    <s v="+385 95 903 76 48"/>
    <s v="ante@kifst.hr"/>
    <s v="Teslina 6"/>
    <s v="Teslina 10"/>
    <s v="57848936921"/>
    <x v="1"/>
    <m/>
    <m/>
    <m/>
    <m/>
  </r>
  <r>
    <m/>
    <n v="247"/>
    <s v="181"/>
    <x v="8"/>
    <x v="80"/>
    <n v="1"/>
    <x v="13"/>
    <s v="Zoltan Juhas"/>
    <s v="091/ 2549 157"/>
    <s v="zoli@ffos.hr"/>
    <s v="Ulica Lorenza Jägera 9"/>
    <s v="Ulica Lorenza Jägera 9"/>
    <s v="58868871646"/>
    <x v="1"/>
    <m/>
    <m/>
    <m/>
    <m/>
  </r>
  <r>
    <m/>
    <n v="248"/>
    <s v="4497"/>
    <x v="8"/>
    <x v="9"/>
    <n v="4"/>
    <x v="6"/>
    <s v="Branimir Kolman"/>
    <s v="091 244 0130"/>
    <s v="bkolman@unin.hr"/>
    <s v="Trg Dr. Žarka Dolinara 1"/>
    <s v="Unin 3 - Ulica Jurja Križanića 31 b, VŽ"/>
    <s v="59624928052"/>
    <x v="1"/>
    <m/>
    <m/>
    <m/>
    <m/>
  </r>
  <r>
    <m/>
    <n v="249"/>
    <s v="161"/>
    <x v="8"/>
    <x v="54"/>
    <n v="1"/>
    <x v="1"/>
    <s v="Sead Berberović"/>
    <s v="0915226263"/>
    <s v="sead.berberovic@grad.unizg.hr"/>
    <s v="Kačićeva Ulica 26"/>
    <s v="Kačićeva 26, Zagreb"/>
    <s v="62924153420"/>
    <x v="1"/>
    <m/>
    <m/>
    <m/>
    <m/>
  </r>
  <r>
    <m/>
    <s v="250a_x000a_250b"/>
    <s v="221"/>
    <x v="8"/>
    <x v="11"/>
    <n v="5"/>
    <x v="8"/>
    <s v="Jasenko Mandura_x000a_Aleksandar Živanović"/>
    <s v="+385959017650_x000a_0989616845"/>
    <s v="jasenko.mandura@uniri.hr_x000a_aleksandar.zivanovic@uniri.hr"/>
    <s v="Trg Braće Mažuranića 10"/>
    <s v="Trg braće Mažuranića 10; 51000 Rijeka 3 kom._x000a_Palača Moise; Zagrad 6; 51557 Cres 2 kom."/>
    <s v="64218323816"/>
    <x v="1"/>
    <m/>
    <m/>
    <m/>
    <m/>
  </r>
  <r>
    <m/>
    <n v="251"/>
    <s v="150"/>
    <x v="8"/>
    <x v="12"/>
    <n v="1"/>
    <x v="1"/>
    <s v="Dario Đurasović"/>
    <s v="091 4802 130"/>
    <s v="dario@sfzg.hr"/>
    <s v="Gundulićeva Ulica 5"/>
    <s v="Gundulićeva 5, Zagreb"/>
    <s v="70221464726"/>
    <x v="1"/>
    <m/>
    <m/>
    <m/>
    <m/>
  </r>
  <r>
    <m/>
    <n v="252"/>
    <s v="222"/>
    <x v="8"/>
    <x v="33"/>
    <n v="1"/>
    <x v="13"/>
    <s v="Albert Oswald"/>
    <s v=" +385912241400"/>
    <s v="oswald@unios.hr"/>
    <s v="Trg Sv. Trojstva 3"/>
    <s v="Trg. Sv. Trojstva 3"/>
    <s v="78808975734"/>
    <x v="1"/>
    <m/>
    <m/>
    <m/>
    <m/>
  </r>
  <r>
    <m/>
    <n v="253"/>
    <s v="163"/>
    <x v="8"/>
    <x v="58"/>
    <n v="2"/>
    <x v="11"/>
    <s v="Albert Oswald"/>
    <s v=" +385912241400"/>
    <s v="oswald@unios.hr"/>
    <s v="Matice Hrvatske 15"/>
    <s v="Matice hrvatske 15, 21000 Split"/>
    <s v="83615500218"/>
    <x v="1"/>
    <m/>
    <m/>
    <m/>
    <m/>
  </r>
  <r>
    <m/>
    <n v="254"/>
    <s v="174"/>
    <x v="8"/>
    <x v="86"/>
    <n v="2"/>
    <x v="23"/>
    <s v="Albert Oswald"/>
    <s v=" +385912241400"/>
    <s v="oswald@unios.hr"/>
    <s v="Primorska 46"/>
    <s v="Primorska 46, 51410  Opatija"/>
    <s v="85799845149"/>
    <x v="1"/>
    <m/>
    <m/>
    <m/>
    <m/>
  </r>
  <r>
    <m/>
    <n v="255"/>
    <s v="186"/>
    <x v="8"/>
    <x v="60"/>
    <n v="1"/>
    <x v="1"/>
    <s v="Boris Beker"/>
    <s v="098/211-765"/>
    <s v="bbeker@ffzg.hr"/>
    <s v="Ulica Ivana Lučića 3"/>
    <s v="Ivana Lučića 3"/>
    <s v="90633715804"/>
    <x v="1"/>
    <m/>
    <m/>
    <m/>
    <m/>
  </r>
  <r>
    <m/>
    <n v="256"/>
    <s v="5769"/>
    <x v="8"/>
    <x v="64"/>
    <n v="1"/>
    <x v="11"/>
    <s v="Slaven Kušljić"/>
    <s v="021 545545, 091 4443745"/>
    <s v="slaven@ffst.hr"/>
    <s v="Poljička Cesta 35"/>
    <s v="Poljička cesta 35"/>
    <s v="98004523293"/>
    <x v="1"/>
    <m/>
    <m/>
    <m/>
    <m/>
  </r>
  <r>
    <m/>
    <n v="257"/>
    <s v="147"/>
    <x v="8"/>
    <x v="87"/>
    <n v="1"/>
    <x v="8"/>
    <s v="Teo Brusić_x000a_Zoran Vučinić"/>
    <s v="098/338-182_x000a_091/1651-230"/>
    <s v="teo.brusic@medri.uniri.hr_x000a_zoran.vucinic@medri.uniri.hr"/>
    <s v="Braće Branchetta 20"/>
    <s v="Rijeka, B. Branchetta 20_x000a_ima dva kontakta nije greška, jedna je adresa"/>
    <s v="98164324541"/>
    <x v="1"/>
    <m/>
    <m/>
    <m/>
    <m/>
  </r>
  <r>
    <m/>
    <n v="258"/>
    <s v="3324"/>
    <x v="8"/>
    <x v="34"/>
    <n v="1"/>
    <x v="1"/>
    <s v="Dario Knežić"/>
    <s v="0917615616"/>
    <s v="dknezic@fhs.unizg.hr"/>
    <s v="Borongajska Cesta 83D"/>
    <s v="Borongajska cesta 83d, Zagreb"/>
    <s v="99454315441"/>
    <x v="1"/>
    <m/>
    <m/>
    <m/>
    <m/>
  </r>
  <r>
    <m/>
    <n v="259"/>
    <s v="203"/>
    <x v="8"/>
    <x v="65"/>
    <n v="1"/>
    <x v="1"/>
    <s v="Marijan Galjar"/>
    <s v="098 855 676"/>
    <s v="marijan.galjar@rgn.hr"/>
    <s v="Pierottijeva Ulica 6"/>
    <s v="Pierottijeva 6"/>
    <s v="99534693762"/>
    <x v="1"/>
    <m/>
    <m/>
    <m/>
    <m/>
  </r>
  <r>
    <m/>
    <n v="260"/>
    <s v="206"/>
    <x v="8"/>
    <x v="35"/>
    <n v="8"/>
    <x v="1"/>
    <s v="Davor Štrk"/>
    <s v="099 3136 671"/>
    <s v="dstrk@fkz.hr"/>
    <s v="Avenija Gojka Šuška 1"/>
    <s v="Av. Gojka Šuška 1, Zagreb"/>
    <s v="36162371878"/>
    <x v="1"/>
    <m/>
    <m/>
    <m/>
    <m/>
  </r>
  <r>
    <m/>
    <n v="261"/>
    <s v="4589"/>
    <x v="8"/>
    <x v="14"/>
    <n v="1"/>
    <x v="1"/>
    <s v="Predrag Šinko"/>
    <s v="095/205-2570"/>
    <s v="predrag.sinko@sois-ft.hr"/>
    <s v="Ilica 256B"/>
    <s v="Ilica 256B, obj. 58"/>
    <s v="36752094474"/>
    <x v="1"/>
    <m/>
    <m/>
    <m/>
    <m/>
  </r>
  <r>
    <m/>
    <n v="262"/>
    <s v="188"/>
    <x v="8"/>
    <x v="4"/>
    <n v="1"/>
    <x v="1"/>
    <s v="Boris Rončević"/>
    <s v="099 5327723"/>
    <s v="broncevic@nsk.hr"/>
    <s v="Ul. Hrvatske Bratske Zajednice 4"/>
    <s v="NSK - Ul. Hrvatske Bratske Zajednice 4"/>
    <m/>
    <x v="1"/>
    <m/>
    <m/>
    <m/>
    <m/>
  </r>
  <r>
    <m/>
    <m/>
    <m/>
    <x v="9"/>
    <x v="0"/>
    <n v="65"/>
    <x v="0"/>
    <m/>
    <m/>
    <m/>
    <m/>
    <m/>
    <m/>
    <x v="0"/>
    <m/>
    <m/>
    <m/>
    <m/>
  </r>
  <r>
    <m/>
    <n v="263"/>
    <s v="133"/>
    <x v="9"/>
    <x v="36"/>
    <n v="1"/>
    <x v="11"/>
    <s v="Zvonimir Torba"/>
    <s v="+385 91 4305 724"/>
    <s v="torba@fesb.hr"/>
    <s v="R. Boškovića 32"/>
    <s v="R. Boškovića 32, 21000 Split"/>
    <s v="857144221"/>
    <x v="6"/>
    <m/>
    <m/>
    <m/>
    <m/>
  </r>
  <r>
    <m/>
    <n v="264"/>
    <s v="3689"/>
    <x v="9"/>
    <x v="5"/>
    <n v="4"/>
    <x v="1"/>
    <s v="Nikola Barba"/>
    <s v="099 6081 436"/>
    <s v="nikola.barba@unicath.hr"/>
    <s v="Ilica 244B"/>
    <s v="Ilica 244, 10000 Zagreb"/>
    <s v="7730927366"/>
    <x v="6"/>
    <m/>
    <m/>
    <m/>
    <m/>
  </r>
  <r>
    <m/>
    <n v="265"/>
    <s v="368"/>
    <x v="9"/>
    <x v="6"/>
    <n v="9"/>
    <x v="3"/>
    <s v="Ivan Nimac"/>
    <s v="095/826-5888"/>
    <s v="inimac@unizd.hr"/>
    <s v="Ulica Mihovila Pavlinovića 1"/>
    <s v="Obala kralja Petra Krešimira IV. Br. 2, 23000 Zadar"/>
    <s v="10839679016"/>
    <x v="6"/>
    <m/>
    <m/>
    <m/>
    <m/>
  </r>
  <r>
    <m/>
    <n v="266"/>
    <s v="4919"/>
    <x v="9"/>
    <x v="42"/>
    <n v="1"/>
    <x v="11"/>
    <s v="Doris Knego"/>
    <s v="098 9394211,"/>
    <s v="doris.knego@pmfst.hr"/>
    <s v="R. Boškovića 33"/>
    <s v="Ruđera Boškovića 33"/>
    <s v="20858497843"/>
    <x v="6"/>
    <m/>
    <m/>
    <m/>
    <m/>
  </r>
  <r>
    <m/>
    <n v="267"/>
    <s v="536"/>
    <x v="9"/>
    <x v="25"/>
    <n v="2"/>
    <x v="16"/>
    <s v="IGOR BILANDŽIĆ"/>
    <s v="091-444-6885"/>
    <s v="Igor.bilandzic@vevu.hr"/>
    <s v="Županijska 50"/>
    <s v="BLAGE ZADRE 2, VUKOVAR"/>
    <s v="21720825730"/>
    <x v="6"/>
    <m/>
    <m/>
    <m/>
    <m/>
  </r>
  <r>
    <m/>
    <n v="268"/>
    <s v="191"/>
    <x v="9"/>
    <x v="88"/>
    <n v="1"/>
    <x v="1"/>
    <s v="Dario Kužić"/>
    <s v="385994988065"/>
    <s v=" dkuzic@fpz.unizg.hr"/>
    <s v="Ulica Lavoslava Vukelića 4"/>
    <s v="Borongajska cesta 83a"/>
    <s v="25410051374"/>
    <x v="6"/>
    <m/>
    <m/>
    <m/>
    <m/>
  </r>
  <r>
    <m/>
    <n v="269"/>
    <s v="168"/>
    <x v="9"/>
    <x v="77"/>
    <n v="1"/>
    <x v="13"/>
    <s v="Bruno Bakarić"/>
    <s v="031/224-508"/>
    <s v="bbakaric@pravos.hr"/>
    <s v="Ulica Stjepana Radića 13"/>
    <s v="Stjepana Radića 17"/>
    <s v="26416570803"/>
    <x v="6"/>
    <m/>
    <m/>
    <m/>
    <m/>
  </r>
  <r>
    <m/>
    <n v="270"/>
    <s v="130"/>
    <x v="9"/>
    <x v="45"/>
    <n v="4"/>
    <x v="1"/>
    <s v="Kristian Došen"/>
    <s v="091 7888 474"/>
    <s v="kristian.dosen@fpzg.hr"/>
    <s v="Ulica Ivana Lepušića 6"/>
    <s v="Lepušićeva 6, 10000 Zagreb"/>
    <s v="28011548575"/>
    <x v="6"/>
    <m/>
    <m/>
    <m/>
    <m/>
  </r>
  <r>
    <m/>
    <n v="271"/>
    <s v="1972"/>
    <x v="9"/>
    <x v="47"/>
    <n v="2"/>
    <x v="20"/>
    <s v="Damir Lulić"/>
    <s v="0981771615"/>
    <s v="dlulic@unisb.hr"/>
    <s v="Trg &quot;Ivana Brlić Mažuranić&quot; 2"/>
    <s v="Ulica 108. brigade ZNG 36"/>
    <s v="33027834374"/>
    <x v="6"/>
    <m/>
    <m/>
    <m/>
    <m/>
  </r>
  <r>
    <m/>
    <s v="272a_x000a_272b"/>
    <s v="219"/>
    <x v="9"/>
    <x v="28"/>
    <n v="2"/>
    <x v="1"/>
    <s v="Siniša Vlahović_x000a_Marin Šperanda"/>
    <s v="098 268 472_x000a_091 906 6882"/>
    <s v="svlahovic@unizg.hr_x000a_marin.speranda@caas.unizg.hr"/>
    <s v="Trg Republike Hrvatske 14"/>
    <s v="Ulica Radoslava Cimermana 88, 10000 Zagreb_x000a_Don Frana Bulića 4, 20000 Dubrovnik (CAAS)"/>
    <s v="36612267447"/>
    <x v="6"/>
    <m/>
    <m/>
    <m/>
    <m/>
  </r>
  <r>
    <m/>
    <n v="273"/>
    <s v="3545"/>
    <x v="9"/>
    <x v="29"/>
    <n v="1"/>
    <x v="11"/>
    <s v="Branimir Džaja"/>
    <s v="091-2600324"/>
    <s v="branimir.dzaja@umas.hr"/>
    <s v="Zagrebačka 3"/>
    <s v="Glagoljaška 18a, Gripe"/>
    <s v="38960125358"/>
    <x v="6"/>
    <m/>
    <m/>
    <m/>
    <m/>
  </r>
  <r>
    <m/>
    <n v="274"/>
    <s v="141"/>
    <x v="9"/>
    <x v="30"/>
    <n v="1"/>
    <x v="1"/>
    <s v="Matija Prahin"/>
    <s v="385919845267"/>
    <s v="mprahin@arhitekt.hr"/>
    <s v="Kačićeva Ulica 26"/>
    <s v="Kačićeva 26"/>
    <s v="42061107444"/>
    <x v="6"/>
    <m/>
    <m/>
    <m/>
    <m/>
  </r>
  <r>
    <m/>
    <n v="275"/>
    <s v="122"/>
    <x v="9"/>
    <x v="49"/>
    <n v="3"/>
    <x v="1"/>
    <s v="Marijo Seničić"/>
    <s v="099 533 7842"/>
    <s v="marijo.senicic@geof.unizg.hr"/>
    <s v="Kačićeva Ulica 26"/>
    <s v="Kačićeva 26, 10000 Zagreb"/>
    <s v="43594593297"/>
    <x v="6"/>
    <m/>
    <m/>
    <m/>
    <m/>
  </r>
  <r>
    <m/>
    <n v="276"/>
    <s v="165"/>
    <x v="9"/>
    <x v="79"/>
    <n v="1"/>
    <x v="1"/>
    <s v="Mirza Žižak"/>
    <s v="091-595-2783"/>
    <s v="mirza.zizak@mef.hr"/>
    <s v="Šalata 3"/>
    <s v="Šalata 2"/>
    <s v="45001686598"/>
    <x v="6"/>
    <m/>
    <m/>
    <m/>
    <m/>
  </r>
  <r>
    <m/>
    <n v="277"/>
    <s v="245"/>
    <x v="9"/>
    <x v="52"/>
    <n v="1"/>
    <x v="1"/>
    <s v="Ozren Digula, Kristijan Zbiljski"/>
    <s v="0914595855, 0914595858"/>
    <s v="ozren.digula@zvu.hr, kristijan.zbiljski@zvu.hr"/>
    <s v="Mlinarska Cesta 38"/>
    <s v="Mlinarska cesta 38"/>
    <s v="50952646228"/>
    <x v="6"/>
    <m/>
    <m/>
    <m/>
    <m/>
  </r>
  <r>
    <m/>
    <n v="278"/>
    <s v="215"/>
    <x v="9"/>
    <x v="18"/>
    <n v="4"/>
    <x v="1"/>
    <s v="Ivan Šetin"/>
    <s v="0981839338"/>
    <s v="isetin@adu.hr"/>
    <s v="Trg Republike Hrvatske 5"/>
    <s v="Trg Republike Hrvatske 5, Zagreb"/>
    <s v="52097842295"/>
    <x v="6"/>
    <m/>
    <m/>
    <m/>
    <m/>
  </r>
  <r>
    <m/>
    <n v="279"/>
    <s v="275"/>
    <x v="9"/>
    <x v="85"/>
    <n v="3"/>
    <x v="13"/>
    <s v="Petar Taler"/>
    <s v="091 224 1039"/>
    <s v="petar@mathos.hr"/>
    <s v="Trg Ljudevita Gaja 6"/>
    <s v="Trg Lj. Gaja 6, Osijek"/>
    <s v="56597320763"/>
    <x v="6"/>
    <m/>
    <m/>
    <m/>
    <m/>
  </r>
  <r>
    <m/>
    <n v="280"/>
    <s v="3430"/>
    <x v="9"/>
    <x v="53"/>
    <n v="1"/>
    <x v="11"/>
    <s v="Ante Krolo"/>
    <s v="+385 95 903 76 48"/>
    <s v="ante@kifst.hr"/>
    <s v="Teslina 6"/>
    <s v="Teslina 10"/>
    <s v="57848936921"/>
    <x v="6"/>
    <m/>
    <m/>
    <m/>
    <m/>
  </r>
  <r>
    <m/>
    <n v="281"/>
    <s v="181"/>
    <x v="9"/>
    <x v="80"/>
    <n v="1"/>
    <x v="13"/>
    <s v="Zoltan Juhas"/>
    <s v="091/ 2549 157"/>
    <s v="zoli@ffos.hr"/>
    <s v="Ulica Lorenza Jägera 9"/>
    <s v="Ulica Lorenza Jägera 9"/>
    <s v="58868871646"/>
    <x v="6"/>
    <m/>
    <m/>
    <m/>
    <m/>
  </r>
  <r>
    <m/>
    <n v="282"/>
    <s v="4497"/>
    <x v="9"/>
    <x v="9"/>
    <n v="4"/>
    <x v="6"/>
    <s v="Branimir Kolman"/>
    <s v="091 244 0130"/>
    <s v="bkolman@unin.hr"/>
    <s v="Trg Dr. Žarka Dolinara 1"/>
    <s v="Unin 3 - Ulica Jurja Križanića 31 b, VŽ"/>
    <s v="59624928052"/>
    <x v="6"/>
    <m/>
    <m/>
    <m/>
    <m/>
  </r>
  <r>
    <m/>
    <n v="283"/>
    <s v="232"/>
    <x v="9"/>
    <x v="19"/>
    <n v="1"/>
    <x v="12"/>
    <s v="Jakov Serajlić"/>
    <s v="38598845215"/>
    <s v="jserajlic@vus.hr"/>
    <s v="Trg A. Hebranga 11"/>
    <s v="Trg Andrije Hebrang 11, 22000 Šibenik"/>
    <s v="61727512157"/>
    <x v="6"/>
    <m/>
    <m/>
    <m/>
    <m/>
  </r>
  <r>
    <m/>
    <n v="284"/>
    <s v="221"/>
    <x v="9"/>
    <x v="11"/>
    <n v="3"/>
    <x v="8"/>
    <s v="Marko Roža"/>
    <s v="051/265-873"/>
    <s v="marko.roza@uniri.hr"/>
    <s v="Trg Braće Mažuranića 10"/>
    <s v="Radmile Matejčić 2; 51000 Rijeka"/>
    <s v="64218323816"/>
    <x v="6"/>
    <m/>
    <m/>
    <m/>
    <m/>
  </r>
  <r>
    <m/>
    <n v="285"/>
    <s v="150"/>
    <x v="9"/>
    <x v="12"/>
    <n v="2"/>
    <x v="1"/>
    <s v="Dario Đurasović"/>
    <s v="091 4802 130"/>
    <s v="dario@sfzg.hr"/>
    <s v="Gundulićeva Ulica 5"/>
    <s v="Gundulićeva 5, Zagreb"/>
    <s v="70221464726"/>
    <x v="6"/>
    <m/>
    <m/>
    <m/>
    <m/>
  </r>
  <r>
    <m/>
    <s v="286a_x000a_286b"/>
    <s v="6229"/>
    <x v="9"/>
    <x v="55"/>
    <n v="1"/>
    <x v="13"/>
    <s v="Matija Karapetrić"/>
    <s v="0915053478"/>
    <s v="matija.karapetric@kifos.hr"/>
    <s v="Drinska 16A"/>
    <s v="Drinska 16a, 31000 Osijek_x000a_Woodrova Wilsona 2, 31000 Osijek"/>
    <s v="70788591483"/>
    <x v="6"/>
    <m/>
    <m/>
    <m/>
    <m/>
  </r>
  <r>
    <m/>
    <n v="287"/>
    <s v="187"/>
    <x v="9"/>
    <x v="56"/>
    <n v="1"/>
    <x v="1"/>
    <s v="Sandi Homolak (Zagreb)"/>
    <s v="091 619 5223"/>
    <s v="informatika.zagreb@ufzg.hr"/>
    <s v="Savska cesta 77, 10000 Zagreb"/>
    <s v="Savska cesta 77, 10000 Zagreb"/>
    <s v="72226488129"/>
    <x v="6"/>
    <m/>
    <m/>
    <m/>
    <m/>
  </r>
  <r>
    <m/>
    <n v="288"/>
    <s v="222"/>
    <x v="9"/>
    <x v="33"/>
    <n v="2"/>
    <x v="13"/>
    <s v="Albert Oswald"/>
    <s v=" +385912241400"/>
    <s v="oswald@unios.hr"/>
    <s v="Trg Sv. Trojstva 3"/>
    <s v="Trg. Sv. Trojstva 3"/>
    <s v="78808975734"/>
    <x v="6"/>
    <m/>
    <m/>
    <m/>
    <m/>
  </r>
  <r>
    <m/>
    <n v="289"/>
    <s v="316"/>
    <x v="9"/>
    <x v="20"/>
    <n v="1"/>
    <x v="11"/>
    <s v="Ante Denić"/>
    <s v="(+385)915683877"/>
    <s v="dante@efst.hr"/>
    <s v="Cvite Fiskovića 5"/>
    <s v="Cvite Fiskovića 5, Split"/>
    <s v="84477684422"/>
    <x v="6"/>
    <m/>
    <m/>
    <m/>
    <m/>
  </r>
  <r>
    <m/>
    <n v="290"/>
    <s v="199"/>
    <x v="9"/>
    <x v="61"/>
    <n v="1"/>
    <x v="13"/>
    <s v="Mario Miloloza"/>
    <s v="0912246140"/>
    <s v="mario.miloloza@ferit.hr"/>
    <s v="Ulica Kneza Trpimira 2B"/>
    <s v="Cara Hadrijana 10b, Osijek"/>
    <s v="95494259952"/>
    <x v="6"/>
    <m/>
    <m/>
    <m/>
    <m/>
  </r>
  <r>
    <m/>
    <n v="291"/>
    <s v="281"/>
    <x v="9"/>
    <x v="63"/>
    <n v="1"/>
    <x v="8"/>
    <s v="Danka Jurjević"/>
    <s v="265-877"/>
    <s v="danka.jurjevic@uniri.hr"/>
    <s v="Sveučilišna Avenija 6"/>
    <s v="Sveučilišna Avenija 6"/>
    <s v="96996385705"/>
    <x v="6"/>
    <m/>
    <m/>
    <m/>
    <m/>
  </r>
  <r>
    <m/>
    <n v="292"/>
    <s v="5769"/>
    <x v="9"/>
    <x v="64"/>
    <n v="1"/>
    <x v="11"/>
    <s v="Slaven Kušljić"/>
    <s v="021 545545, 091 4443745"/>
    <s v="slaven@ffst.hr"/>
    <s v="Poljička Cesta 35"/>
    <s v="Poljička cesta 35"/>
    <s v="98004523293"/>
    <x v="6"/>
    <m/>
    <m/>
    <m/>
    <m/>
  </r>
  <r>
    <m/>
    <n v="293"/>
    <s v="3324"/>
    <x v="9"/>
    <x v="34"/>
    <n v="1"/>
    <x v="1"/>
    <s v="Dario Knežić"/>
    <s v="0917615616"/>
    <s v="dknezic@fhs.unizg.hr"/>
    <s v="Borongajska Cesta 83D"/>
    <s v="Borongajska cesta 83d, Zagreb"/>
    <s v="99454315441"/>
    <x v="6"/>
    <m/>
    <m/>
    <m/>
    <m/>
  </r>
  <r>
    <m/>
    <n v="294"/>
    <s v="203"/>
    <x v="9"/>
    <x v="65"/>
    <n v="1"/>
    <x v="1"/>
    <s v="Marijan Galjar"/>
    <s v="098 855 676"/>
    <s v="marijan.galjar@rgn.hr"/>
    <s v="Pierottijeva Ulica 6"/>
    <s v="Pierottijeva 6"/>
    <s v="99534693762"/>
    <x v="6"/>
    <m/>
    <m/>
    <m/>
    <m/>
  </r>
  <r>
    <m/>
    <n v="295"/>
    <s v="4589"/>
    <x v="9"/>
    <x v="14"/>
    <n v="1"/>
    <x v="1"/>
    <s v="Predrag Šinko"/>
    <s v="095/205-2570"/>
    <s v="predrag.sinko@sois-ft.hr"/>
    <s v="Ilica 256B"/>
    <s v="Ilica 256B, obj. 58"/>
    <s v="36752094474"/>
    <x v="6"/>
    <m/>
    <m/>
    <m/>
    <m/>
  </r>
  <r>
    <m/>
    <n v="296"/>
    <s v="188"/>
    <x v="9"/>
    <x v="4"/>
    <n v="1"/>
    <x v="1"/>
    <s v="Boris Rončević"/>
    <s v="099 5327723"/>
    <s v="broncevic@nsk.hr"/>
    <s v="Ul. Hrvatske Bratske Zajednice 4"/>
    <s v="NSK - Ul. Hrvatske Bratske Zajednice 4"/>
    <m/>
    <x v="6"/>
    <m/>
    <m/>
    <m/>
    <m/>
  </r>
  <r>
    <m/>
    <m/>
    <m/>
    <x v="10"/>
    <x v="0"/>
    <n v="20"/>
    <x v="0"/>
    <m/>
    <m/>
    <m/>
    <m/>
    <m/>
    <m/>
    <x v="0"/>
    <m/>
    <m/>
    <m/>
    <m/>
  </r>
  <r>
    <m/>
    <n v="297"/>
    <s v="1918"/>
    <x v="10"/>
    <x v="23"/>
    <n v="1"/>
    <x v="1"/>
    <s v="Ivan Rajković"/>
    <s v="+385998153651"/>
    <s v="ivan.rajkovic@tvz.hr"/>
    <s v="Vrbik 8"/>
    <s v="Vrbik 8"/>
    <s v="8814003451"/>
    <x v="7"/>
    <m/>
    <m/>
    <m/>
    <m/>
  </r>
  <r>
    <m/>
    <n v="298"/>
    <s v="368"/>
    <x v="10"/>
    <x v="6"/>
    <n v="3"/>
    <x v="3"/>
    <s v="Ivan Nimac"/>
    <s v="095/826-5888"/>
    <s v="inimac@unizd.hr"/>
    <s v="Ulica Mihovila Pavlinovića 1"/>
    <s v="Obala kralja Petra Krešimira IV. Br. 2, 23000 Zadar, ID-215"/>
    <s v="10839679016"/>
    <x v="7"/>
    <m/>
    <m/>
    <m/>
    <m/>
  </r>
  <r>
    <m/>
    <n v="299"/>
    <s v="198"/>
    <x v="10"/>
    <x v="15"/>
    <n v="1"/>
    <x v="10"/>
    <s v="Darko Šprem"/>
    <s v="091 408 9012"/>
    <s v="darko.sprem@gfv.hr"/>
    <s v="Hallerova Aleja 7"/>
    <s v="Hallerova aleja 7, Varaždin"/>
    <s v="16146181375"/>
    <x v="7"/>
    <m/>
    <m/>
    <m/>
    <m/>
  </r>
  <r>
    <m/>
    <n v="300"/>
    <s v="4919"/>
    <x v="10"/>
    <x v="42"/>
    <n v="1"/>
    <x v="11"/>
    <s v="Doris Knego"/>
    <s v="098 9394211,"/>
    <s v="doris.knego@pmfst.hr"/>
    <s v="R. Boškovića 33"/>
    <s v="Ruđera Boškovića 33"/>
    <s v="20858497843"/>
    <x v="7"/>
    <m/>
    <m/>
    <m/>
    <m/>
  </r>
  <r>
    <m/>
    <n v="301"/>
    <s v="5713"/>
    <x v="10"/>
    <x v="27"/>
    <n v="1"/>
    <x v="11"/>
    <s v="Petra Marić"/>
    <s v="0913210792"/>
    <s v="pmaric@unist.hr"/>
    <s v="R. Boškovića 31"/>
    <s v="Ruđera Boškovića 31, Split"/>
    <s v="29845096215"/>
    <x v="7"/>
    <m/>
    <m/>
    <m/>
    <m/>
  </r>
  <r>
    <m/>
    <n v="302"/>
    <s v="1972"/>
    <x v="10"/>
    <x v="47"/>
    <n v="1"/>
    <x v="20"/>
    <s v="Damir Lulić"/>
    <s v="0981771615"/>
    <s v="dlulic@unisb.hr"/>
    <s v="Trg &quot;Ivana Brlić Mažuranić&quot; 2"/>
    <s v="Ulica 108. brigade ZNG 36"/>
    <s v="33027834374"/>
    <x v="7"/>
    <m/>
    <m/>
    <m/>
    <m/>
  </r>
  <r>
    <m/>
    <n v="303"/>
    <s v="173"/>
    <x v="10"/>
    <x v="89"/>
    <n v="1"/>
    <x v="8"/>
    <s v="Siniša Lončarić"/>
    <s v="0913011188"/>
    <s v="sloncaric@pravri.uniri.hr"/>
    <s v="Hahlić 6"/>
    <s v="Hahlić 6, Rijeka"/>
    <s v="43767699965"/>
    <x v="7"/>
    <m/>
    <m/>
    <m/>
    <m/>
  </r>
  <r>
    <m/>
    <n v="304"/>
    <s v="165"/>
    <x v="10"/>
    <x v="79"/>
    <n v="1"/>
    <x v="1"/>
    <s v="Mirza Žižak"/>
    <s v="091-595-2783"/>
    <s v="mirza.zizak@mef.hr"/>
    <s v="Šalata 3"/>
    <s v="Šalata 2"/>
    <s v="45001686598"/>
    <x v="7"/>
    <m/>
    <m/>
    <m/>
    <m/>
  </r>
  <r>
    <m/>
    <n v="305"/>
    <s v="245"/>
    <x v="10"/>
    <x v="52"/>
    <n v="1"/>
    <x v="1"/>
    <s v="Ozren Digula, Kristijan Zbiljski"/>
    <s v="0914595855, 0914595858"/>
    <s v="ozren.digula@zvu.hr, kristijan.zbiljski@zvu.hr"/>
    <s v="Mlinarska Cesta 38"/>
    <s v="Mlinarska cesta 38"/>
    <s v="50952646228"/>
    <x v="7"/>
    <m/>
    <m/>
    <m/>
    <m/>
  </r>
  <r>
    <m/>
    <s v="306a_x000a_396b"/>
    <s v="4497"/>
    <x v="10"/>
    <x v="9"/>
    <n v="3"/>
    <x v="6"/>
    <s v="Nikola Marijanović_x000a_Branimir Kolman"/>
    <s v="0994028339_x000a_091 244 0130"/>
    <s v="nmarijanovic@unin.hr_x000a_bkolman@unin.hr"/>
    <s v="Trg Dr. Žarka Dolinara 1"/>
    <s v="Trg dr. Žarka dolinara 1, Koprivnica  1 kom._x000a_Ulica 104 brigade 3, VŽ  2 kom."/>
    <s v="59624928052"/>
    <x v="7"/>
    <m/>
    <m/>
    <m/>
    <m/>
  </r>
  <r>
    <m/>
    <n v="307"/>
    <s v="221"/>
    <x v="10"/>
    <x v="11"/>
    <n v="2"/>
    <x v="8"/>
    <s v="Marko Roža"/>
    <s v="051/265-873"/>
    <s v="marko.roza@uniri.hr"/>
    <s v="Trg Braće Mažuranića 10"/>
    <s v="Radmile Matejčić 2; 51000 Rijeka"/>
    <s v="64218323816"/>
    <x v="7"/>
    <m/>
    <m/>
    <m/>
    <m/>
  </r>
  <r>
    <m/>
    <n v="308"/>
    <s v="150"/>
    <x v="10"/>
    <x v="12"/>
    <n v="1"/>
    <x v="1"/>
    <s v="Dario Đurasović"/>
    <s v="091 4802 130"/>
    <s v="dario@sfzg.hr"/>
    <s v="Gundulićeva Ulica 5"/>
    <s v="Gundulićeva 5, Zagreb"/>
    <s v="70221464726"/>
    <x v="7"/>
    <m/>
    <m/>
    <m/>
    <m/>
  </r>
  <r>
    <m/>
    <n v="309"/>
    <s v="222"/>
    <x v="10"/>
    <x v="33"/>
    <n v="1"/>
    <x v="13"/>
    <s v="Albert Oswald"/>
    <s v=" +385912241400"/>
    <s v="oswald@unios.hr"/>
    <s v="Trg Sv. Trojstva 3"/>
    <s v="Trg. Sv. Trojstva 3"/>
    <s v="78808975734"/>
    <x v="7"/>
    <m/>
    <m/>
    <m/>
    <m/>
  </r>
  <r>
    <m/>
    <n v="310"/>
    <s v="199"/>
    <x v="10"/>
    <x v="61"/>
    <n v="1"/>
    <x v="13"/>
    <s v="Mario Miloloza"/>
    <s v="0912246140"/>
    <s v="mario.miloloza@ferit.hr"/>
    <s v="Ulica Kneza Trpimira 2B"/>
    <s v="Cara Hadrijana 10b, Osijek"/>
    <s v="95494259952"/>
    <x v="7"/>
    <m/>
    <m/>
    <m/>
    <m/>
  </r>
  <r>
    <m/>
    <n v="311"/>
    <s v="5769"/>
    <x v="10"/>
    <x v="64"/>
    <n v="1"/>
    <x v="11"/>
    <s v="Slaven Kušljić"/>
    <s v="021 545545, 091 4443745"/>
    <s v="slaven@ffst.hr"/>
    <s v="Poljička Cesta 35"/>
    <s v="Poljička cesta 35"/>
    <s v="98004523293"/>
    <x v="7"/>
    <m/>
    <m/>
    <m/>
    <m/>
  </r>
  <r>
    <m/>
    <m/>
    <m/>
    <x v="11"/>
    <x v="0"/>
    <n v="249"/>
    <x v="0"/>
    <m/>
    <m/>
    <m/>
    <m/>
    <m/>
    <m/>
    <x v="0"/>
    <m/>
    <m/>
    <m/>
    <m/>
  </r>
  <r>
    <m/>
    <n v="312"/>
    <s v="133"/>
    <x v="11"/>
    <x v="36"/>
    <n v="1"/>
    <x v="11"/>
    <s v="Zvonimir Torba"/>
    <s v="+385 91 4305 724"/>
    <s v="torba@fesb.hr"/>
    <s v="R. Boškovića 32"/>
    <s v="R. Boškovića 32, 21000 Split"/>
    <s v="857144221"/>
    <x v="6"/>
    <m/>
    <m/>
    <m/>
    <m/>
  </r>
  <r>
    <m/>
    <n v="313"/>
    <s v="131"/>
    <x v="11"/>
    <x v="66"/>
    <n v="11"/>
    <x v="10"/>
    <s v="Mario Harjač"/>
    <s v="097 610 1011"/>
    <s v="maharjac@foi.unizg.hr"/>
    <s v="Pavlinska Ulica 2"/>
    <s v="Pavlinska ulica 2, Varaždin"/>
    <s v="2024882310"/>
    <x v="6"/>
    <m/>
    <m/>
    <m/>
    <m/>
  </r>
  <r>
    <m/>
    <n v="314"/>
    <s v="5499"/>
    <x v="11"/>
    <x v="90"/>
    <n v="1"/>
    <x v="13"/>
    <s v="Krešimir Pavelić, univ. mag .ing. comp."/>
    <s v="385912240766"/>
    <s v="kreso@gfos.hr"/>
    <s v="Ulica Vladimira Preloga 3"/>
    <s v="Ulica Vladimira Preloga 3, 31000, Osijek"/>
    <s v="4150850819"/>
    <x v="6"/>
    <m/>
    <m/>
    <m/>
    <m/>
  </r>
  <r>
    <m/>
    <n v="315"/>
    <s v="3689"/>
    <x v="11"/>
    <x v="5"/>
    <n v="2"/>
    <x v="1"/>
    <s v="Nikola Barba"/>
    <s v="099 6081 436"/>
    <s v="nikola.barba@unicath.hr"/>
    <s v="Ilica 244B"/>
    <s v="Ilica 244, 10000 Zagreb"/>
    <s v="7730927366"/>
    <x v="1"/>
    <m/>
    <m/>
    <m/>
    <m/>
  </r>
  <r>
    <m/>
    <n v="316"/>
    <s v="368"/>
    <x v="11"/>
    <x v="6"/>
    <n v="48"/>
    <x v="3"/>
    <s v="Ivan Nimac"/>
    <s v="095/826-5888"/>
    <s v="inimac@unizd.hr"/>
    <s v="Ulica Mihovila Pavlinovića 1"/>
    <s v="Obala kralja Petra Krešimira IV. Br. 2, 23000 Zadar"/>
    <s v="10839679016"/>
    <x v="6"/>
    <m/>
    <m/>
    <m/>
    <m/>
  </r>
  <r>
    <m/>
    <n v="317"/>
    <s v="3409"/>
    <x v="11"/>
    <x v="24"/>
    <n v="1"/>
    <x v="15"/>
    <s v="Ivan Reponj"/>
    <s v="0989389348"/>
    <s v="ireponj@ftrr.hr"/>
    <s v="Vukovarska 17"/>
    <s v="Vukovarska 17, Požega"/>
    <s v="11614501047"/>
    <x v="6"/>
    <m/>
    <m/>
    <m/>
    <m/>
  </r>
  <r>
    <m/>
    <n v="318"/>
    <s v="121"/>
    <x v="11"/>
    <x v="1"/>
    <n v="2"/>
    <x v="1"/>
    <s v="Mate Galić"/>
    <s v="098806500"/>
    <s v="mate.galic@pharma.unizg.hr"/>
    <s v="Ulica Ante Kovačića 1"/>
    <s v="Domagojeva 2"/>
    <s v="14509285435"/>
    <x v="1"/>
    <m/>
    <m/>
    <m/>
    <m/>
  </r>
  <r>
    <m/>
    <n v="319"/>
    <s v="198"/>
    <x v="11"/>
    <x v="15"/>
    <n v="5"/>
    <x v="10"/>
    <s v="Darko Šprem"/>
    <s v="091 408 9012"/>
    <s v="darko.sprem@gfv.hr"/>
    <s v="Hallerova Aleja 7"/>
    <s v="Hallerova aleja 7, Varaždin"/>
    <s v="16146181375"/>
    <x v="6"/>
    <m/>
    <m/>
    <m/>
    <m/>
  </r>
  <r>
    <m/>
    <n v="320"/>
    <s v="3385"/>
    <x v="11"/>
    <x v="41"/>
    <n v="6"/>
    <x v="18"/>
    <s v="Nikola Kanišk"/>
    <s v="099/5246985"/>
    <s v="nikola.kaniski@vhzk.hr"/>
    <s v="Šetalište Hrvatskog Narodnog Preporoda 6"/>
    <s v="Trg S. Radića 8"/>
    <s v="16465214888"/>
    <x v="6"/>
    <m/>
    <m/>
    <m/>
    <m/>
  </r>
  <r>
    <m/>
    <n v="321"/>
    <s v="3986"/>
    <x v="11"/>
    <x v="68"/>
    <n v="3"/>
    <x v="1"/>
    <s v="Petra Mitrović"/>
    <s v="0914810222"/>
    <s v="pmitrovic@muza.hr"/>
    <s v="Trg Republike Hrvatske 12"/>
    <s v="Trg Republike Hrvatske 12"/>
    <s v="18422925218"/>
    <x v="1"/>
    <m/>
    <m/>
    <m/>
    <m/>
  </r>
  <r>
    <m/>
    <n v="322"/>
    <s v="4919"/>
    <x v="11"/>
    <x v="42"/>
    <n v="4"/>
    <x v="11"/>
    <s v="Doris Knego"/>
    <s v="098 9394211,"/>
    <s v="doris.knego@pmfst.hr"/>
    <s v="R. Boškovića 33"/>
    <s v="Ruđera Boškovića 33"/>
    <s v="20858497843"/>
    <x v="6"/>
    <m/>
    <m/>
    <m/>
    <m/>
  </r>
  <r>
    <m/>
    <n v="323"/>
    <s v="4914"/>
    <x v="11"/>
    <x v="16"/>
    <n v="1"/>
    <x v="11"/>
    <s v="Romaldo Singolo"/>
    <s v="091 155 9622"/>
    <s v="romi@pfst.hr"/>
    <s v="R. Boškovića 37"/>
    <s v="Ruđera Boškovića 37, Split"/>
    <s v="24624257529"/>
    <x v="6"/>
    <m/>
    <m/>
    <m/>
    <m/>
  </r>
  <r>
    <m/>
    <n v="324"/>
    <s v="136"/>
    <x v="11"/>
    <x v="91"/>
    <n v="1"/>
    <x v="1"/>
    <s v="Stipe Gorenjak"/>
    <s v="091 3658 600"/>
    <s v="stipe.gorenjak@kif.unizg.hr"/>
    <s v="Horvaćanski Zavoj 15"/>
    <s v="Horvaćanski zavoj 15"/>
    <s v="25329931628"/>
    <x v="1"/>
    <m/>
    <m/>
    <m/>
    <m/>
  </r>
  <r>
    <m/>
    <n v="325"/>
    <s v="290"/>
    <x v="11"/>
    <x v="92"/>
    <n v="2"/>
    <x v="8"/>
    <s v="TEDI KOLANOVIĆ"/>
    <s v="091 604 47 89"/>
    <s v="tedi.kolanovic@efri.uniri.hr"/>
    <s v="Ivana Filipovića 4"/>
    <s v="Ivana Filipovića 4"/>
    <s v="26093119930"/>
    <x v="6"/>
    <m/>
    <m/>
    <m/>
    <m/>
  </r>
  <r>
    <m/>
    <n v="326"/>
    <s v="168"/>
    <x v="11"/>
    <x v="77"/>
    <n v="1"/>
    <x v="13"/>
    <s v="Bruno Bakarić"/>
    <s v="031/224-508"/>
    <s v="bbakaric@pravos.hr"/>
    <s v="Ulica Stjepana Radića 13"/>
    <s v="Stjepana Radića 17"/>
    <s v="26416570803"/>
    <x v="6"/>
    <m/>
    <m/>
    <m/>
    <m/>
  </r>
  <r>
    <m/>
    <n v="327"/>
    <s v="152"/>
    <x v="11"/>
    <x v="93"/>
    <n v="4"/>
    <x v="1"/>
    <s v="Davorin Axmann"/>
    <s v="098271569"/>
    <s v="daxmann@efzg.hr"/>
    <s v="Trg Johna Fitzgeralda Kennedyja 6"/>
    <s v="Trg J.F. Kennedyja 6"/>
    <s v="27208467122"/>
    <x v="1"/>
    <m/>
    <m/>
    <m/>
    <m/>
  </r>
  <r>
    <m/>
    <n v="328"/>
    <s v="130"/>
    <x v="11"/>
    <x v="45"/>
    <n v="7"/>
    <x v="1"/>
    <s v="Kristian Došen"/>
    <s v="091 7888 474"/>
    <s v="kristian.dosen@fpzg.hr"/>
    <s v="Ulica Ivana Lepušića 6"/>
    <s v="Lepušićeva 6, 10000 Zagreb"/>
    <s v="28011548575"/>
    <x v="1"/>
    <m/>
    <m/>
    <m/>
    <m/>
  </r>
  <r>
    <m/>
    <n v="329"/>
    <s v="3637"/>
    <x v="11"/>
    <x v="81"/>
    <n v="1"/>
    <x v="13"/>
    <s v="Krunoslav Kurilj"/>
    <s v="0991616166"/>
    <s v="kkurilj@foozos.hr"/>
    <s v="Ulica Cara Hadrijana 10"/>
    <s v="Cara Hadrijana 10, 31 000 Osijek – NASTAVNA ZGRADA"/>
    <s v="28082679513"/>
    <x v="6"/>
    <m/>
    <m/>
    <m/>
    <m/>
  </r>
  <r>
    <m/>
    <n v="330"/>
    <s v="469"/>
    <x v="11"/>
    <x v="75"/>
    <n v="4"/>
    <x v="1"/>
    <s v="Krunoslav Komugović"/>
    <s v="385915058109"/>
    <s v="krunoslav.komugovic@pmf.hr"/>
    <s v="Horvatovac 102A"/>
    <s v="Bijenička cesta 30"/>
    <s v="28163265527"/>
    <x v="1"/>
    <m/>
    <m/>
    <m/>
    <m/>
  </r>
  <r>
    <m/>
    <s v="331a_x000a_331b_x000a_331c"/>
    <s v="5713"/>
    <x v="11"/>
    <x v="27"/>
    <n v="6"/>
    <x v="11"/>
    <s v="Petra Marić_x000a_Petra Musap_x000a_Mirko Šalinović"/>
    <s v="0913210792_x000a_0991639750_x000a_O98 9895758"/>
    <s v="pmaric@unist.hr_x000a_petra.musap@unist.hr_x000a_msalinovic@unist.hr"/>
    <s v="R. Boškovića 31"/>
    <s v="Ruđera Boškovića 31, Split 2 kom._x000a_Poljana kraljice Jelene 1, Split  3 kom._x000a_Franjevački put 1, Makarska  1 kom."/>
    <s v="29845096215"/>
    <x v="6"/>
    <m/>
    <m/>
    <m/>
    <m/>
  </r>
  <r>
    <m/>
    <n v="332"/>
    <s v="3482"/>
    <x v="11"/>
    <x v="46"/>
    <n v="2"/>
    <x v="19"/>
    <s v="Željko Hrebak"/>
    <s v="098710398"/>
    <s v="zhrebak@mev.hr"/>
    <s v="Ulica Bana Josipa Jelačića 22A"/>
    <s v="Ul. bana Josipa Jelačića 22a"/>
    <s v="31444990605"/>
    <x v="6"/>
    <m/>
    <m/>
    <m/>
    <m/>
  </r>
  <r>
    <m/>
    <n v="333"/>
    <s v="1972"/>
    <x v="11"/>
    <x v="47"/>
    <n v="10"/>
    <x v="20"/>
    <s v="Damir Lulić"/>
    <s v="0981771615"/>
    <s v="dlulic@unisb.hr"/>
    <s v="Trg &quot;Ivana Brlić Mažuranić&quot; 2"/>
    <s v="Ulica 108. brigade ZNG 36"/>
    <s v="33027834374"/>
    <x v="6"/>
    <m/>
    <m/>
    <m/>
    <m/>
  </r>
  <r>
    <m/>
    <n v="334"/>
    <s v="267"/>
    <x v="11"/>
    <x v="82"/>
    <n v="1"/>
    <x v="11"/>
    <s v="Željko Matas"/>
    <s v="097 7094175"/>
    <s v="zmatas@kbf-st.hr"/>
    <s v="Zrinjsko-Frankopanska 19"/>
    <s v="Zrinjsko-Frankopanska 19, Split"/>
    <s v="36149548625"/>
    <x v="6"/>
    <m/>
    <m/>
    <m/>
    <m/>
  </r>
  <r>
    <m/>
    <n v="335"/>
    <s v="140"/>
    <x v="11"/>
    <x v="83"/>
    <n v="1"/>
    <x v="1"/>
    <s v="Marko Poletto"/>
    <s v="099/4928854"/>
    <s v="pmarko@vef.unizg.hr"/>
    <s v="Ulica Vjekoslava Heinzela 55"/>
    <s v="Ulica Vjekoslava Heinzela 55, 10000 Zagreb"/>
    <s v="36389528408"/>
    <x v="1"/>
    <m/>
    <m/>
    <m/>
    <m/>
  </r>
  <r>
    <m/>
    <n v="336"/>
    <s v="219"/>
    <x v="11"/>
    <x v="28"/>
    <n v="3"/>
    <x v="1"/>
    <s v="Siniša Vlahović_x000a_"/>
    <s v="098 268 472_x000a_"/>
    <s v="svlahovic@unizg.hr_x000a_"/>
    <s v="Trg Republike Hrvatske 14"/>
    <s v="Ulica Radoslava Cimermana 88, 10000 Zagreb"/>
    <s v="36612267447"/>
    <x v="1"/>
    <m/>
    <m/>
    <m/>
    <m/>
  </r>
  <r>
    <m/>
    <s v="337a_x000a_337b"/>
    <s v="3545"/>
    <x v="11"/>
    <x v="29"/>
    <n v="2"/>
    <x v="11"/>
    <s v="Branimir Džaja"/>
    <s v="091-2600324"/>
    <s v="branimir.dzaja@umas.hr"/>
    <s v="Zagrebačka 3"/>
    <s v="Glagoljaška 18a, Gripe_x000a_Fausta Vrančića 19"/>
    <s v="38960125358"/>
    <x v="6"/>
    <m/>
    <m/>
    <m/>
    <m/>
  </r>
  <r>
    <m/>
    <n v="338"/>
    <s v="141"/>
    <x v="11"/>
    <x v="30"/>
    <n v="1"/>
    <x v="1"/>
    <s v="Emil Flatz"/>
    <s v="38598302567"/>
    <s v="eflatz@arhitekt.hr"/>
    <s v="Kačićeva Ulica 26"/>
    <s v="Frankopanska 12"/>
    <s v="42061107444"/>
    <x v="1"/>
    <m/>
    <m/>
    <m/>
    <m/>
  </r>
  <r>
    <m/>
    <n v="339"/>
    <s v="1944"/>
    <x v="11"/>
    <x v="8"/>
    <n v="1"/>
    <x v="5"/>
    <s v="Mile Vičić"/>
    <s v="098675984"/>
    <s v="mvicic@velegs-nikolatesla.hr"/>
    <s v="Ulica Bana Ivana Karlovića 16"/>
    <s v="Ulica bana Ivana Karlovića 16"/>
    <s v="42552392522"/>
    <x v="6"/>
    <m/>
    <m/>
    <m/>
    <m/>
  </r>
  <r>
    <m/>
    <n v="340"/>
    <s v="122"/>
    <x v="11"/>
    <x v="49"/>
    <n v="4"/>
    <x v="1"/>
    <s v="Marijo Seničić"/>
    <s v="099 533 7842"/>
    <s v="marijo.senicic@geof.unizg.hr"/>
    <s v="Kačićeva Ulica 26"/>
    <s v="Kačićeva 26, 10000 Zagreb"/>
    <s v="43594593297"/>
    <x v="1"/>
    <m/>
    <m/>
    <m/>
    <m/>
  </r>
  <r>
    <m/>
    <n v="341"/>
    <s v="173"/>
    <x v="11"/>
    <x v="89"/>
    <n v="1"/>
    <x v="8"/>
    <s v="Siniša Lončarić"/>
    <s v="0913011188"/>
    <s v="sloncaric@pravri.uniri.hr"/>
    <s v="Hahlić 6"/>
    <s v="Hahlić 6, Rijeka"/>
    <s v="43767699965"/>
    <x v="6"/>
    <m/>
    <m/>
    <m/>
    <m/>
  </r>
  <r>
    <m/>
    <n v="342"/>
    <s v="3795"/>
    <x v="11"/>
    <x v="2"/>
    <n v="1"/>
    <x v="2"/>
    <s v="Enes Ciriković"/>
    <s v="0989225600"/>
    <s v="enes.cirikovic@vuv.hr"/>
    <s v="Ulica Matije Gupca 78"/>
    <s v="Matije Gupca 78, 33000 Virovitica"/>
    <s v="46576407858"/>
    <x v="6"/>
    <m/>
    <m/>
    <m/>
    <m/>
  </r>
  <r>
    <m/>
    <n v="343"/>
    <s v="146"/>
    <x v="11"/>
    <x v="70"/>
    <n v="5"/>
    <x v="1"/>
    <s v="Ana Vukelić"/>
    <s v="0915677600"/>
    <s v="avukelic@pbf.hr"/>
    <s v="Pierottijeva Ulica 6"/>
    <s v="Pierottijeva 6"/>
    <s v="47824453867"/>
    <x v="1"/>
    <m/>
    <m/>
    <m/>
    <m/>
  </r>
  <r>
    <m/>
    <n v="344"/>
    <s v="182"/>
    <x v="11"/>
    <x v="51"/>
    <n v="1"/>
    <x v="21"/>
    <s v="Goran Šljivić"/>
    <s v="0981785148"/>
    <s v="sljivic@simet.hr"/>
    <s v="Aleja Narodnih Heroja 3"/>
    <s v="Sisak, Aleja narodnih heroja 3"/>
    <s v="48006703414"/>
    <x v="6"/>
    <m/>
    <m/>
    <m/>
    <m/>
  </r>
  <r>
    <m/>
    <n v="345"/>
    <s v="210"/>
    <x v="11"/>
    <x v="31"/>
    <n v="1"/>
    <x v="1"/>
    <s v="Taras Barščevski"/>
    <s v="+385(91)5335.699"/>
    <s v="taras.barscevski@kbf.unizg.hr"/>
    <s v="Vlaška Ulica 38"/>
    <s v="Vlaška 38"/>
    <s v="48987767944"/>
    <x v="1"/>
    <m/>
    <m/>
    <m/>
    <m/>
  </r>
  <r>
    <m/>
    <n v="346"/>
    <s v="275"/>
    <x v="11"/>
    <x v="85"/>
    <n v="2"/>
    <x v="13"/>
    <s v="Petar Taler"/>
    <s v="091 224 1039"/>
    <s v="petar@mathos.hr"/>
    <s v="Trg Ljudevita Gaja 6"/>
    <s v="Trg Lj. Gaja 6, Osijek"/>
    <s v="56597320763"/>
    <x v="6"/>
    <m/>
    <m/>
    <m/>
    <m/>
  </r>
  <r>
    <m/>
    <n v="347"/>
    <s v="138"/>
    <x v="11"/>
    <x v="71"/>
    <n v="1"/>
    <x v="1"/>
    <s v="Denis Hernaut"/>
    <s v="+385 91 604 3920"/>
    <s v="denis.hernaut@fer.hr"/>
    <s v="Unska Ulica 3"/>
    <s v="Vukovarska 39, Zagrebž"/>
    <s v="57029260362"/>
    <x v="1"/>
    <m/>
    <m/>
    <m/>
    <m/>
  </r>
  <r>
    <m/>
    <n v="348"/>
    <s v="3430"/>
    <x v="11"/>
    <x v="53"/>
    <n v="1"/>
    <x v="11"/>
    <s v="Ante Krolo"/>
    <s v="+385 95 903 76 48"/>
    <s v="ante@kifst.hr"/>
    <s v="Teslina 6"/>
    <s v="Teslina 10"/>
    <s v="57848936921"/>
    <x v="6"/>
    <m/>
    <m/>
    <m/>
    <m/>
  </r>
  <r>
    <m/>
    <n v="349"/>
    <s v="181"/>
    <x v="11"/>
    <x v="80"/>
    <n v="6"/>
    <x v="13"/>
    <s v="Zoltan Juhas"/>
    <s v="091/ 2549 157"/>
    <s v="zoli@ffos.hr"/>
    <s v="Ulica Lorenza Jägera 9"/>
    <s v="Ulica Lorenza Jägera 9"/>
    <s v="58868871646"/>
    <x v="6"/>
    <m/>
    <m/>
    <m/>
    <m/>
  </r>
  <r>
    <m/>
    <s v="350a_x000a_350b"/>
    <s v="4497"/>
    <x v="11"/>
    <x v="9"/>
    <n v="13"/>
    <x v="6"/>
    <s v="Nikola Marijanović_x000a_Branimir Kolman"/>
    <s v="0994028339_x000a_091 244 0130"/>
    <s v="nmarijanovic@unin.hr_x000a_bkolman@unin.hr"/>
    <s v="Trg Dr. Žarka Dolinara 1"/>
    <s v="Trg dr. Žarka dolinara 1, Koprivnica 8 kom._x000a_Ulica 104 brigade 3, VŽ 5 kom."/>
    <s v="59624928052"/>
    <x v="6"/>
    <m/>
    <m/>
    <m/>
    <m/>
  </r>
  <r>
    <m/>
    <n v="351"/>
    <s v="3927"/>
    <x v="11"/>
    <x v="32"/>
    <n v="2"/>
    <x v="13"/>
    <s v="Luka Cvenić"/>
    <s v="099 312 6187"/>
    <s v="luka.cvenic@aukos.hr"/>
    <s v="Ulica Kralja Petra Svačića 1F"/>
    <s v="J. Knifera 1 ( bivša K.P. Svačića 1/f, Osijek)"/>
    <s v="60277424315"/>
    <x v="6"/>
    <m/>
    <m/>
    <m/>
    <m/>
  </r>
  <r>
    <m/>
    <n v="352"/>
    <s v="3554"/>
    <x v="11"/>
    <x v="10"/>
    <n v="6"/>
    <x v="7"/>
    <s v="Dario Kukuljan"/>
    <s v="0993777446"/>
    <s v="dkukuljan@unipu.hr"/>
    <s v="Zagrebačka Ulica 30"/>
    <s v="Alda Negrija 6, Pila"/>
    <s v="61738073226"/>
    <x v="6"/>
    <m/>
    <m/>
    <m/>
    <m/>
  </r>
  <r>
    <m/>
    <n v="353"/>
    <s v="161"/>
    <x v="11"/>
    <x v="54"/>
    <n v="1"/>
    <x v="1"/>
    <s v="Sead Berberović"/>
    <s v="0915226263"/>
    <s v="sead.berberovic@grad.unizg.hr"/>
    <s v="Kačićeva Ulica 26"/>
    <s v="Kačićeva 26, Zagreb"/>
    <s v="62924153420"/>
    <x v="1"/>
    <m/>
    <m/>
    <m/>
    <m/>
  </r>
  <r>
    <m/>
    <n v="354"/>
    <s v="221"/>
    <x v="11"/>
    <x v="11"/>
    <n v="18"/>
    <x v="8"/>
    <s v="Barbara Šestan _x000a_"/>
    <s v="051584884 _x000a_"/>
    <s v="barbara.sestan@uniri.hr_x000a_"/>
    <s v="Trg Braće Mažuranića 10"/>
    <s v="Radmile Matejčić 2; 51000 Rijeka"/>
    <s v="64218323816"/>
    <x v="6"/>
    <m/>
    <m/>
    <m/>
    <m/>
  </r>
  <r>
    <m/>
    <n v="355"/>
    <s v="150"/>
    <x v="11"/>
    <x v="12"/>
    <n v="8"/>
    <x v="1"/>
    <s v="Dario Đurasović"/>
    <s v="091 4802 130"/>
    <s v="dario@sfzg.hr"/>
    <s v="Gundulićeva Ulica 5"/>
    <s v="Gundulićeva 5, Zagreb"/>
    <s v="70221464726"/>
    <x v="1"/>
    <m/>
    <m/>
    <m/>
    <m/>
  </r>
  <r>
    <m/>
    <n v="356"/>
    <s v="1907"/>
    <x v="11"/>
    <x v="94"/>
    <n v="1"/>
    <x v="8"/>
    <s v="Boris Ružić"/>
    <s v="0915765999"/>
    <s v="bruzic@uniri.hr"/>
    <s v="Sveučilišna Avenija 4"/>
    <s v="Sveučilišna avenija 4, 51000 Rijeka"/>
    <s v="70505505759"/>
    <x v="6"/>
    <m/>
    <m/>
    <m/>
    <m/>
  </r>
  <r>
    <m/>
    <n v="357"/>
    <s v="6229"/>
    <x v="11"/>
    <x v="55"/>
    <n v="1"/>
    <x v="13"/>
    <s v="Matija Karapetrić"/>
    <s v="0915053478"/>
    <s v="matija.karapetric@kifos.hr"/>
    <s v="Drinska 16A"/>
    <s v="Drinska 16a, 31000 Osijek"/>
    <s v="70788591483"/>
    <x v="6"/>
    <m/>
    <m/>
    <m/>
    <m/>
  </r>
  <r>
    <m/>
    <n v="358"/>
    <s v="187"/>
    <x v="11"/>
    <x v="56"/>
    <n v="1"/>
    <x v="1"/>
    <s v="Sandi Homolak (Zagreb)"/>
    <s v="091 619 5223"/>
    <s v="informatika.zagreb@ufzg.hr"/>
    <s v="Savska cesta 77, 10000 Zagreb"/>
    <s v="Savska cesta 77, 10000 Zagreb"/>
    <s v="72226488129"/>
    <x v="1"/>
    <m/>
    <m/>
    <m/>
    <m/>
  </r>
  <r>
    <m/>
    <n v="359"/>
    <s v="113"/>
    <x v="11"/>
    <x v="13"/>
    <n v="2"/>
    <x v="9"/>
    <s v="Andreas Mađerić"/>
    <s v="048 279 196"/>
    <s v="amaderic@vguk.hr"/>
    <s v="Ulica Milislava Demerca 1"/>
    <s v="Milislava Demerca 1, 48260 Križevci"/>
    <s v="75480885018"/>
    <x v="6"/>
    <m/>
    <m/>
    <m/>
    <m/>
  </r>
  <r>
    <m/>
    <n v="360"/>
    <s v="202"/>
    <x v="11"/>
    <x v="73"/>
    <n v="2"/>
    <x v="1"/>
    <s v="Juaj Mihanović"/>
    <s v="098 9684 080"/>
    <s v="jmihanovic@agr.hr"/>
    <s v="Svetošimunska Cesta 25"/>
    <s v="Svetošimunska 25"/>
    <s v="76023745044"/>
    <x v="1"/>
    <m/>
    <m/>
    <m/>
    <m/>
  </r>
  <r>
    <m/>
    <n v="361"/>
    <s v="169"/>
    <x v="11"/>
    <x v="57"/>
    <n v="3"/>
    <x v="8"/>
    <s v="Izv. prof. dr. sc. Jasmin Ćelić"/>
    <s v="0912546777"/>
    <s v="jasmin.celic@uniri.hr"/>
    <s v="Studentska 2"/>
    <s v="Studentska 2"/>
    <s v="76722145702"/>
    <x v="6"/>
    <m/>
    <m/>
    <m/>
    <m/>
  </r>
  <r>
    <m/>
    <s v="362a_x000a_362b"/>
    <s v="222"/>
    <x v="11"/>
    <x v="33"/>
    <n v="8"/>
    <x v="13"/>
    <s v="Tomica Bunjevac_x000a_Albert Oswald"/>
    <s v=" +385913568984_x000a_+385912241400"/>
    <s v="tbunjevac@fizika.unios.hr_x000a_oswald@unios.hr"/>
    <s v="Trg Sv. Trojstva 3"/>
    <s v=" Trg Ljudevita Gaja 6 6 kom._x000a_Trg. Sv. Trojstva 3 2 kom."/>
    <s v="78808975734"/>
    <x v="6"/>
    <m/>
    <m/>
    <m/>
    <m/>
  </r>
  <r>
    <m/>
    <n v="363"/>
    <s v="316"/>
    <x v="11"/>
    <x v="20"/>
    <n v="1"/>
    <x v="11"/>
    <s v="Ante Denić"/>
    <s v="(+385)915683877"/>
    <s v="dante@efst.hr"/>
    <s v="Cvite Fiskovića 5"/>
    <s v="Cvite Fiskovića 5, Split"/>
    <s v="84477684422"/>
    <x v="6"/>
    <m/>
    <m/>
    <m/>
    <m/>
  </r>
  <r>
    <m/>
    <n v="364"/>
    <s v="174"/>
    <x v="11"/>
    <x v="86"/>
    <n v="3"/>
    <x v="23"/>
    <s v="Davor Mijolović"/>
    <s v="098-292-104"/>
    <s v="davor.mijolovic@fthm.hr"/>
    <s v="Primorska 46"/>
    <s v="Primorska 46, 51410  Opatija"/>
    <s v="85799845149"/>
    <x v="6"/>
    <m/>
    <m/>
    <m/>
    <m/>
  </r>
  <r>
    <m/>
    <n v="365"/>
    <s v="186"/>
    <x v="11"/>
    <x v="60"/>
    <n v="1"/>
    <x v="1"/>
    <s v="Boris Beker"/>
    <s v="098/211-765"/>
    <s v="bbeker@ffzg.hr"/>
    <s v="Ulica Ivana Lučića 3"/>
    <s v="Ivana Lučića 3"/>
    <s v="90633715804"/>
    <x v="1"/>
    <m/>
    <m/>
    <m/>
    <m/>
  </r>
  <r>
    <m/>
    <n v="366"/>
    <s v="172"/>
    <x v="11"/>
    <x v="95"/>
    <n v="1"/>
    <x v="8"/>
    <s v="Elvis Žic"/>
    <s v="0915038578"/>
    <s v="elvis.zic@uniri.hr"/>
    <s v="Ulica Radmile Matejčić 3"/>
    <s v="Ulica Radmile Matejčić 3, 51000 Rijeka"/>
    <s v="92037849504"/>
    <x v="6"/>
    <m/>
    <m/>
    <m/>
    <m/>
  </r>
  <r>
    <m/>
    <n v="367"/>
    <s v="199"/>
    <x v="11"/>
    <x v="61"/>
    <n v="1"/>
    <x v="13"/>
    <s v="Mario Miloloza"/>
    <s v="0912246140"/>
    <s v="mario.miloloza@ferit.hr"/>
    <s v="Ulica Kneza Trpimira 2B"/>
    <s v="Cara Hadrijana 10b, Osijek"/>
    <s v="95494259952"/>
    <x v="6"/>
    <m/>
    <m/>
    <m/>
    <m/>
  </r>
  <r>
    <m/>
    <n v="368"/>
    <s v="214"/>
    <x v="11"/>
    <x v="62"/>
    <n v="2"/>
    <x v="1"/>
    <s v="Goran Hoić"/>
    <s v="099/2550-825"/>
    <s v="goran.hoic@alu.unizg.hr"/>
    <s v="Ilica 85"/>
    <s v="Ilica 85"/>
    <s v="95847257607"/>
    <x v="1"/>
    <m/>
    <m/>
    <m/>
    <m/>
  </r>
  <r>
    <m/>
    <n v="369"/>
    <s v="147"/>
    <x v="11"/>
    <x v="87"/>
    <n v="6"/>
    <x v="8"/>
    <s v="Teo Brusić_x000a_Zoran Vučinić"/>
    <s v="098/338-182_x000a_091/1651-230"/>
    <s v="teo.brusic@medri.uniri.hr_x000a_zoran.vucinic@medri.uniri.hr"/>
    <s v="Braće Branchetta 20"/>
    <s v="Rijeka, B. Branchetta 20"/>
    <s v="98164324541"/>
    <x v="6"/>
    <m/>
    <m/>
    <m/>
    <m/>
  </r>
  <r>
    <m/>
    <n v="370"/>
    <s v="158"/>
    <x v="11"/>
    <x v="21"/>
    <n v="1"/>
    <x v="13"/>
    <s v="Ivan Rebekić"/>
    <s v="099 304 6109"/>
    <s v="irebekic@fazos.hr"/>
    <s v="Ulica Vladimira Preloga 1"/>
    <s v="Vladimira Preloga 1, 31000 Osijek"/>
    <s v="98816779821"/>
    <x v="6"/>
    <m/>
    <m/>
    <m/>
    <m/>
  </r>
  <r>
    <m/>
    <n v="371"/>
    <s v="4917"/>
    <x v="11"/>
    <x v="96"/>
    <n v="1"/>
    <x v="11"/>
    <s v="Domagoj Vučica"/>
    <s v="091/1265-486"/>
    <s v="domagoj@ktf-split.hr"/>
    <s v="R. Boškovića 35"/>
    <s v="R. Boškovića 35"/>
    <s v="99401575594"/>
    <x v="6"/>
    <m/>
    <m/>
    <m/>
    <m/>
  </r>
  <r>
    <m/>
    <n v="372"/>
    <s v="3324"/>
    <x v="11"/>
    <x v="34"/>
    <n v="2"/>
    <x v="1"/>
    <s v="Dario Knežić"/>
    <s v="0917615616"/>
    <s v="dknezic@fhs.unizg.hr"/>
    <s v="Borongajska Cesta 83D"/>
    <s v="Borongajska cesta 83d, Zagreb"/>
    <s v="99454315441"/>
    <x v="1"/>
    <m/>
    <m/>
    <m/>
    <m/>
  </r>
  <r>
    <m/>
    <n v="373"/>
    <s v="203"/>
    <x v="11"/>
    <x v="65"/>
    <n v="1"/>
    <x v="1"/>
    <s v="Marijan Galjar"/>
    <s v="098 855 676"/>
    <s v="marijan.galjar@rgn.hr"/>
    <s v="Pierottijeva Ulica 6"/>
    <s v="Pierottijeva 6"/>
    <s v="99534693762"/>
    <x v="1"/>
    <m/>
    <m/>
    <m/>
    <m/>
  </r>
  <r>
    <m/>
    <n v="374"/>
    <s v="206"/>
    <x v="11"/>
    <x v="35"/>
    <n v="2"/>
    <x v="1"/>
    <s v="Davor Štrk"/>
    <s v="099 3136 671"/>
    <s v="dstrk@fkz.hr"/>
    <s v="Avenija Gojka Šuška 1"/>
    <s v="Av. Gojka Šuška 1, Zagreb"/>
    <s v="36162371878"/>
    <x v="1"/>
    <m/>
    <m/>
    <m/>
    <m/>
  </r>
  <r>
    <m/>
    <n v="375"/>
    <s v="4589"/>
    <x v="11"/>
    <x v="14"/>
    <n v="1"/>
    <x v="1"/>
    <s v="Predrag Šinko"/>
    <s v="095/205-2570"/>
    <s v="predrag.sinko@sois-ft.hr"/>
    <s v="Ilica 256B"/>
    <s v="Ilica 256B, obj. 58"/>
    <s v="36752094474"/>
    <x v="6"/>
    <m/>
    <m/>
    <m/>
    <m/>
  </r>
  <r>
    <m/>
    <n v="376"/>
    <s v="188"/>
    <x v="11"/>
    <x v="4"/>
    <n v="5"/>
    <x v="1"/>
    <s v="Boris Rončević"/>
    <s v="099 5327723"/>
    <s v="broncevic@nsk.hr"/>
    <s v="Ul. Hrvatske Bratske Zajednice 4"/>
    <s v="NSK - Ul. Hrvatske Bratske Zajednice 4"/>
    <m/>
    <x v="6"/>
    <m/>
    <m/>
    <m/>
    <m/>
  </r>
  <r>
    <m/>
    <m/>
    <m/>
    <x v="12"/>
    <x v="0"/>
    <n v="92"/>
    <x v="0"/>
    <m/>
    <m/>
    <m/>
    <m/>
    <m/>
    <m/>
    <x v="0"/>
    <m/>
    <m/>
    <m/>
    <m/>
  </r>
  <r>
    <m/>
    <n v="377"/>
    <s v="3990"/>
    <x v="12"/>
    <x v="37"/>
    <n v="1"/>
    <x v="17"/>
    <s v="Stjepo Hladilo"/>
    <s v="0919322586"/>
    <s v="stjepo.hladilo@unidu.hr"/>
    <s v="Branitelja Dubrovnika 41"/>
    <s v="Branitelja Dubrovnika 41, Dubrovnik"/>
    <s v="1338491514"/>
    <x v="2"/>
    <m/>
    <m/>
    <m/>
    <m/>
  </r>
  <r>
    <m/>
    <n v="378"/>
    <s v="131"/>
    <x v="12"/>
    <x v="66"/>
    <n v="15"/>
    <x v="10"/>
    <s v="Mario Harjač"/>
    <s v="097 610 1011"/>
    <s v="maharjac@foi.unizg.hr"/>
    <s v="Pavlinska Ulica 2"/>
    <s v="Pavlinska ulica 2, Varaždin"/>
    <s v="2024882310"/>
    <x v="1"/>
    <m/>
    <m/>
    <m/>
    <m/>
  </r>
  <r>
    <m/>
    <n v="379"/>
    <s v="368"/>
    <x v="12"/>
    <x v="6"/>
    <n v="10"/>
    <x v="3"/>
    <s v="Ivan Nimac"/>
    <s v="095/826-5888"/>
    <s v="inimac@unizd.hr"/>
    <s v="Ulica Mihovila Pavlinovića 1"/>
    <s v="Obala kralja Petra Krešimira IV. Br. 2, 23000 Zadar"/>
    <s v="10839679016"/>
    <x v="1"/>
    <m/>
    <m/>
    <m/>
    <m/>
  </r>
  <r>
    <m/>
    <n v="380"/>
    <s v="121"/>
    <x v="12"/>
    <x v="1"/>
    <n v="1"/>
    <x v="1"/>
    <s v="Mate Galić"/>
    <s v="098806500"/>
    <s v="mate.galic@pharma.unizg.hr"/>
    <s v="Ulica Ante Kovačića 1"/>
    <s v="Domagojeva 2"/>
    <s v="14509285435"/>
    <x v="1"/>
    <m/>
    <m/>
    <m/>
    <m/>
  </r>
  <r>
    <m/>
    <n v="381"/>
    <s v="191"/>
    <x v="12"/>
    <x v="88"/>
    <n v="1"/>
    <x v="1"/>
    <s v="Dario Kužić"/>
    <s v="385994988065"/>
    <s v=" dkuzic@fpz.unizg.hr"/>
    <s v="Ulica Lavoslava Vukelića 4"/>
    <s v="Borongajska cesta 83a"/>
    <s v="25410051374"/>
    <x v="1"/>
    <m/>
    <m/>
    <m/>
    <m/>
  </r>
  <r>
    <m/>
    <n v="382"/>
    <s v="185"/>
    <x v="12"/>
    <x v="43"/>
    <n v="1"/>
    <x v="1"/>
    <s v="Marko Maričević"/>
    <s v="0915193488"/>
    <s v="marko.maricevic@grf.hr"/>
    <s v="Getaldićeva Ulica 2"/>
    <s v="Getaldićeva 2, Zagreb"/>
    <s v="25564990903"/>
    <x v="1"/>
    <m/>
    <m/>
    <m/>
    <m/>
  </r>
  <r>
    <m/>
    <n v="383"/>
    <s v="168"/>
    <x v="12"/>
    <x v="77"/>
    <n v="1"/>
    <x v="13"/>
    <s v="Bruno Bakarić"/>
    <s v="031/224-508"/>
    <s v="bbakaric@pravos.hr"/>
    <s v="Ulica Stjepana Radića 13"/>
    <s v="Stjepana Radića 17"/>
    <s v="26416570803"/>
    <x v="1"/>
    <m/>
    <m/>
    <m/>
    <m/>
  </r>
  <r>
    <m/>
    <n v="384"/>
    <s v="130"/>
    <x v="12"/>
    <x v="45"/>
    <n v="8"/>
    <x v="1"/>
    <s v="Kristian Došen"/>
    <s v="091 7888 474"/>
    <s v="kristian.dosen@fpzg.hr"/>
    <s v="Ulica Ivana Lepušića 6"/>
    <s v="Lepušićeva 6, 10000 Zagreb"/>
    <s v="28011548575"/>
    <x v="1"/>
    <m/>
    <m/>
    <m/>
    <m/>
  </r>
  <r>
    <m/>
    <n v="385"/>
    <s v="469"/>
    <x v="12"/>
    <x v="75"/>
    <n v="2"/>
    <x v="1"/>
    <s v="Krunoslav Komugović"/>
    <s v="385915058109"/>
    <s v="krunoslav.komugovic@pmf.hr"/>
    <s v="Horvatovac 102A"/>
    <s v="Bijenička cesta 30"/>
    <s v="28163265527"/>
    <x v="1"/>
    <m/>
    <m/>
    <m/>
    <m/>
  </r>
  <r>
    <m/>
    <s v="386a_x000a_386b"/>
    <s v="5713"/>
    <x v="12"/>
    <x v="27"/>
    <n v="4"/>
    <x v="11"/>
    <s v="Petra Marić_x000a_Petra Musap"/>
    <s v="0913210792_x000a_0991639750"/>
    <s v="pmaric@unist.hr_x000a_petra.musap@unist.hr"/>
    <s v="R. Boškovića 31"/>
    <s v="Ruđera Boškovića 31, Split 1 kom._x000a_Poljana kraljice Jelene 1, Split  3 kom."/>
    <s v="29845096215"/>
    <x v="1"/>
    <m/>
    <m/>
    <m/>
    <m/>
  </r>
  <r>
    <m/>
    <n v="387"/>
    <s v="1972"/>
    <x v="12"/>
    <x v="47"/>
    <n v="1"/>
    <x v="20"/>
    <s v="Damir Lulić"/>
    <s v="0981771615"/>
    <s v="dlulic@unisb.hr"/>
    <s v="Trg &quot;Ivana Brlić Mažuranić&quot; 2"/>
    <s v="Ulica 108. brigade ZNG 36"/>
    <s v="33027834374"/>
    <x v="1"/>
    <m/>
    <m/>
    <m/>
    <m/>
  </r>
  <r>
    <m/>
    <n v="388"/>
    <s v="140"/>
    <x v="12"/>
    <x v="83"/>
    <n v="1"/>
    <x v="1"/>
    <s v="Marko Poletto"/>
    <s v="099/4928854"/>
    <s v="pmarko@vef.unizg.hr"/>
    <s v="Ulica Vjekoslava Heinzela 55"/>
    <s v="Ulica Vjekoslava Heinzela 55, 10000 Zagreb"/>
    <s v="36389528408"/>
    <x v="1"/>
    <m/>
    <m/>
    <m/>
    <m/>
  </r>
  <r>
    <m/>
    <n v="389"/>
    <s v="3545"/>
    <x v="12"/>
    <x v="29"/>
    <n v="1"/>
    <x v="11"/>
    <s v="Branimir Džaja"/>
    <s v="091-2600324"/>
    <s v="branimir.dzaja@umas.hr"/>
    <s v="Zagrebačka 3"/>
    <s v="Fausta Vrančića 19"/>
    <s v="38960125358"/>
    <x v="1"/>
    <m/>
    <m/>
    <m/>
    <m/>
  </r>
  <r>
    <m/>
    <n v="390"/>
    <s v="141"/>
    <x v="12"/>
    <x v="30"/>
    <n v="2"/>
    <x v="1"/>
    <s v="Emil Flatz"/>
    <s v="38598302567"/>
    <s v="eflatz@arhitekt.hr"/>
    <s v="Kačićeva Ulica 26"/>
    <s v="Frankopanska 12"/>
    <s v="42061107444"/>
    <x v="1"/>
    <m/>
    <m/>
    <m/>
    <m/>
  </r>
  <r>
    <m/>
    <n v="391"/>
    <s v="165"/>
    <x v="12"/>
    <x v="79"/>
    <n v="1"/>
    <x v="1"/>
    <s v="Mirza Žižak"/>
    <s v="091-595-2783"/>
    <s v="mirza.zizak@mef.hr"/>
    <s v="Šalata 3"/>
    <s v="Šalata 2"/>
    <s v="45001686598"/>
    <x v="1"/>
    <m/>
    <m/>
    <m/>
    <m/>
  </r>
  <r>
    <m/>
    <n v="392"/>
    <s v="3795"/>
    <x v="12"/>
    <x v="2"/>
    <n v="1"/>
    <x v="2"/>
    <s v="Enes Ciriković"/>
    <s v="0989225600"/>
    <s v="enes.cirikovic@vuv.hr"/>
    <s v="Ulica Matije Gupca 78"/>
    <s v="Matije Gupca 78, 33000 Virovitica"/>
    <s v="46576407858"/>
    <x v="1"/>
    <m/>
    <m/>
    <m/>
    <m/>
  </r>
  <r>
    <m/>
    <n v="393"/>
    <s v="146"/>
    <x v="12"/>
    <x v="70"/>
    <n v="4"/>
    <x v="1"/>
    <s v="Ana Vukelić"/>
    <s v="0915677600"/>
    <s v="avukelic@pbf.hr"/>
    <s v="Pierottijeva Ulica 6"/>
    <s v="Pierottijeva 6"/>
    <s v="47824453867"/>
    <x v="1"/>
    <m/>
    <m/>
    <m/>
    <m/>
  </r>
  <r>
    <m/>
    <n v="394"/>
    <s v="182"/>
    <x v="12"/>
    <x v="51"/>
    <n v="1"/>
    <x v="21"/>
    <s v="Goran Šljivić"/>
    <s v="0981785148"/>
    <s v="sljivic@simet.hr"/>
    <s v="Aleja Narodnih Heroja 3"/>
    <s v="Sisak, Aleja narodnih heroja 3"/>
    <s v="48006703414"/>
    <x v="1"/>
    <m/>
    <m/>
    <m/>
    <m/>
  </r>
  <r>
    <m/>
    <n v="395"/>
    <s v="125"/>
    <x v="12"/>
    <x v="84"/>
    <n v="1"/>
    <x v="13"/>
    <s v="Damir Kovačević"/>
    <s v="385912244189"/>
    <s v="damir.kovacevic@efos.hr"/>
    <s v="Trg Ljudevita Gaja 7"/>
    <s v="Trg Ljudevita Gaja 7, Osijek"/>
    <s v="52778515544"/>
    <x v="1"/>
    <m/>
    <m/>
    <m/>
    <m/>
  </r>
  <r>
    <m/>
    <n v="396"/>
    <s v="275"/>
    <x v="12"/>
    <x v="85"/>
    <n v="1"/>
    <x v="13"/>
    <s v="Petar Taler"/>
    <s v="091 224 1039"/>
    <s v="petar@mathos.hr"/>
    <s v="Trg Ljudevita Gaja 6"/>
    <s v="Trg Lj. Gaja 6, Osijek"/>
    <s v="56597320763"/>
    <x v="1"/>
    <m/>
    <m/>
    <m/>
    <m/>
  </r>
  <r>
    <m/>
    <n v="397"/>
    <s v="138"/>
    <x v="12"/>
    <x v="71"/>
    <n v="2"/>
    <x v="1"/>
    <s v="Denis Hernaut"/>
    <s v="+385 91 604 3920"/>
    <s v="denis.hernaut@fer.hr"/>
    <s v="Unska Ulica 3"/>
    <s v="Vukovarska 39, Zagreb"/>
    <s v="57029260362"/>
    <x v="1"/>
    <m/>
    <m/>
    <m/>
    <m/>
  </r>
  <r>
    <m/>
    <n v="398"/>
    <s v="181"/>
    <x v="12"/>
    <x v="80"/>
    <n v="2"/>
    <x v="13"/>
    <s v="Zoltan Juhas"/>
    <s v="091/ 2549 157"/>
    <s v="zoli@ffos.hr"/>
    <s v="Ulica Lorenza Jägera 9"/>
    <s v="Ulica Lorenza Jägera 9"/>
    <s v="58868871646"/>
    <x v="1"/>
    <m/>
    <m/>
    <m/>
    <m/>
  </r>
  <r>
    <m/>
    <n v="399"/>
    <s v="3554"/>
    <x v="12"/>
    <x v="10"/>
    <n v="6"/>
    <x v="7"/>
    <s v="Dario Kukuljan"/>
    <s v="0993777446"/>
    <s v="dkukuljan@unipu.hr"/>
    <s v="Zagrebačka Ulica 30"/>
    <s v="Alda Negrija 6, Pila"/>
    <s v="61738073226"/>
    <x v="1"/>
    <m/>
    <m/>
    <m/>
    <m/>
  </r>
  <r>
    <m/>
    <s v="400a_x000a_400b"/>
    <s v="221"/>
    <x v="12"/>
    <x v="11"/>
    <n v="10"/>
    <x v="8"/>
    <s v="Linda Petričić, Nicole Tomišić _x000a_Danka Jurjević"/>
    <s v="091 165 1207, 0922875203_x000a_0922875203"/>
    <s v="ntomisic@fdmri.uniri.hr linda.petricic@fdmri.uniri.hr_x000a_danka.jurjevic@uniri.hr"/>
    <s v="Trg Braće Mažuranića 10"/>
    <s v="Krešimirova 40/42, 51000 Rijeak 7 kom._x000a_Radmile Matejčić 2; 51000 Rijeka 3 kom."/>
    <s v="64218323816"/>
    <x v="1"/>
    <m/>
    <m/>
    <m/>
    <m/>
  </r>
  <r>
    <m/>
    <n v="401"/>
    <s v="187"/>
    <x v="12"/>
    <x v="56"/>
    <n v="1"/>
    <x v="1"/>
    <s v="Sandi Homolak (Zagreb)"/>
    <s v="091 619 5223"/>
    <s v="informatika.zagreb@ufzg.hr"/>
    <s v="Savska Cesta 77"/>
    <s v="Savska cesta 77, 10000 Zagreb"/>
    <s v="72226488129"/>
    <x v="1"/>
    <m/>
    <m/>
    <m/>
    <m/>
  </r>
  <r>
    <m/>
    <n v="402"/>
    <s v="222"/>
    <x v="12"/>
    <x v="33"/>
    <n v="2"/>
    <x v="13"/>
    <s v="Albert Oswald"/>
    <s v=" +385912241400"/>
    <s v="oswald@unios.hr"/>
    <s v="Trg Sv. Trojstva 3"/>
    <s v="Trg. Sv. Trojstva 3"/>
    <s v="78808975734"/>
    <x v="1"/>
    <m/>
    <m/>
    <m/>
    <m/>
  </r>
  <r>
    <m/>
    <n v="403"/>
    <s v="316"/>
    <x v="12"/>
    <x v="20"/>
    <n v="2"/>
    <x v="11"/>
    <s v="Ante Denić"/>
    <s v="(+385)915683877"/>
    <s v="dante@efst.hr"/>
    <s v="Cvite Fiskovića 5"/>
    <s v="Cvite Fiskovića 5, Split"/>
    <s v="84477684422"/>
    <x v="1"/>
    <m/>
    <m/>
    <m/>
    <m/>
  </r>
  <r>
    <m/>
    <n v="404"/>
    <s v="199"/>
    <x v="12"/>
    <x v="61"/>
    <n v="1"/>
    <x v="13"/>
    <s v="Mario Miloloza"/>
    <s v="0912246140"/>
    <s v="mario.miloloza@ferit.hr"/>
    <s v="Ulica Kneza Trpimira 2B"/>
    <s v="Cara Hadrijana 10b, Osijek"/>
    <s v="95494259952"/>
    <x v="1"/>
    <m/>
    <m/>
    <m/>
    <m/>
  </r>
  <r>
    <m/>
    <n v="405"/>
    <s v="5769"/>
    <x v="12"/>
    <x v="64"/>
    <n v="1"/>
    <x v="11"/>
    <s v="Slaven Kušljić"/>
    <s v="021 545545, 091 4443745"/>
    <s v="slaven@ffst.hr"/>
    <s v="Poljička Cesta 35"/>
    <s v="Poljička cesta 35"/>
    <s v="98004523293"/>
    <x v="1"/>
    <m/>
    <m/>
    <m/>
    <m/>
  </r>
  <r>
    <m/>
    <n v="406"/>
    <s v="147"/>
    <x v="12"/>
    <x v="87"/>
    <n v="1"/>
    <x v="8"/>
    <s v="Teo Brusić_x000a_Zoran Vučinić"/>
    <s v="098/338-182_x000a_091/1651-230"/>
    <s v="teo.brusic@medri.uniri.hr_x000a_zoran.vucinic@medri.uniri.hr"/>
    <s v="Braće Branchetta 20"/>
    <s v="Rijeka, B. Branchetta 20"/>
    <s v="98164324541"/>
    <x v="1"/>
    <m/>
    <m/>
    <m/>
    <m/>
  </r>
  <r>
    <m/>
    <n v="407"/>
    <s v="4917"/>
    <x v="12"/>
    <x v="96"/>
    <n v="1"/>
    <x v="11"/>
    <s v="Domagoj Vučica"/>
    <s v="091/1265-486"/>
    <s v="domagoj@ktf-split.hr"/>
    <s v="R. Boškovića 35"/>
    <s v="R. Boškovića 35"/>
    <s v="99401575594"/>
    <x v="1"/>
    <m/>
    <m/>
    <m/>
    <m/>
  </r>
  <r>
    <m/>
    <n v="408"/>
    <s v="3324"/>
    <x v="12"/>
    <x v="34"/>
    <n v="2"/>
    <x v="1"/>
    <s v="Dario Knežić"/>
    <s v="0917615616"/>
    <s v="dknezic@fhs.unizg.hr"/>
    <s v="Borongajska Cesta 83D"/>
    <s v="Borongajska cesta 83d, Zagreb"/>
    <s v="99454315441"/>
    <x v="1"/>
    <m/>
    <m/>
    <m/>
    <m/>
  </r>
  <r>
    <m/>
    <n v="409"/>
    <s v="203"/>
    <x v="12"/>
    <x v="65"/>
    <n v="1"/>
    <x v="1"/>
    <s v="Marijan Galjar"/>
    <s v="098 855 676"/>
    <s v="marijan.galjar@rgn.hr"/>
    <s v="Pierottijeva Ulica 6"/>
    <s v="Pierottijeva 6"/>
    <s v="99534693762"/>
    <x v="1"/>
    <m/>
    <m/>
    <m/>
    <m/>
  </r>
  <r>
    <m/>
    <n v="410"/>
    <s v="4589"/>
    <x v="12"/>
    <x v="14"/>
    <n v="1"/>
    <x v="1"/>
    <s v="Predrag Šinko"/>
    <s v="095/205-2570"/>
    <s v="predrag.sinko@sois-ft.hr"/>
    <s v="Ilica 256B"/>
    <s v="Ilica 256B, obj. 58"/>
    <s v="36752094474"/>
    <x v="1"/>
    <m/>
    <m/>
    <m/>
    <m/>
  </r>
  <r>
    <m/>
    <n v="411"/>
    <s v="188"/>
    <x v="12"/>
    <x v="4"/>
    <n v="1"/>
    <x v="1"/>
    <s v="Boris Rončević"/>
    <s v="099 5327723"/>
    <s v="broncevic@nsk.hr"/>
    <s v="Ul. Hrvatske Bratske Zajednice 4"/>
    <s v="NSK - Ul. Hrvatske Bratske Zajednice 4"/>
    <m/>
    <x v="1"/>
    <m/>
    <m/>
    <m/>
    <m/>
  </r>
  <r>
    <m/>
    <m/>
    <m/>
    <x v="13"/>
    <x v="0"/>
    <n v="59"/>
    <x v="0"/>
    <m/>
    <m/>
    <m/>
    <m/>
    <m/>
    <m/>
    <x v="0"/>
    <m/>
    <m/>
    <m/>
    <m/>
  </r>
  <r>
    <m/>
    <n v="412"/>
    <s v="3689"/>
    <x v="13"/>
    <x v="5"/>
    <n v="5"/>
    <x v="1"/>
    <s v="Nikola Barba"/>
    <s v="099 6081 436"/>
    <s v="nikola.barba@unicath.hr"/>
    <s v="Ilica 244B"/>
    <s v="Ilica 244, 10000 Zagreb"/>
    <s v="7730927366"/>
    <x v="5"/>
    <m/>
    <m/>
    <m/>
    <m/>
  </r>
  <r>
    <m/>
    <n v="413"/>
    <s v="1918"/>
    <x v="13"/>
    <x v="23"/>
    <n v="1"/>
    <x v="1"/>
    <s v="Ivan Rajković"/>
    <s v="+385998153651"/>
    <s v="ivan.rajkovic@tvz.hr"/>
    <s v="Vrbik 8"/>
    <s v="Vrbik 8"/>
    <s v="8814003451"/>
    <x v="5"/>
    <m/>
    <m/>
    <m/>
    <m/>
  </r>
  <r>
    <m/>
    <n v="414"/>
    <s v="368"/>
    <x v="13"/>
    <x v="6"/>
    <n v="3"/>
    <x v="3"/>
    <s v="Ivan Nimac"/>
    <s v="095/826-5888"/>
    <s v="inimac@unizd.hr"/>
    <s v="Ulica Mihovila Pavlinovića 1"/>
    <s v="Obala kralja Petra Krešimira IV. Br. 2, 23000 Zadar"/>
    <s v="10839679016"/>
    <x v="5"/>
    <m/>
    <m/>
    <m/>
    <m/>
  </r>
  <r>
    <m/>
    <n v="415"/>
    <s v="530"/>
    <x v="13"/>
    <x v="7"/>
    <n v="1"/>
    <x v="4"/>
    <s v="Marko Meštrović"/>
    <s v="022/664-451"/>
    <s v="mmestrovic@veleknin.hr"/>
    <s v="Krešimirova 30"/>
    <s v="Krešimirova 30, Knin"/>
    <s v="13664089430"/>
    <x v="5"/>
    <m/>
    <m/>
    <m/>
    <m/>
  </r>
  <r>
    <m/>
    <n v="416"/>
    <s v="4919"/>
    <x v="13"/>
    <x v="42"/>
    <n v="1"/>
    <x v="11"/>
    <s v="Doris Knego"/>
    <s v="098 9394211,"/>
    <s v="doris.knego@pmfst.hr"/>
    <s v="R. Boškovića 33"/>
    <s v="Ruđera Boškovića 33"/>
    <s v="20858497843"/>
    <x v="5"/>
    <m/>
    <m/>
    <m/>
    <m/>
  </r>
  <r>
    <m/>
    <n v="417"/>
    <s v="191"/>
    <x v="13"/>
    <x v="88"/>
    <n v="1"/>
    <x v="1"/>
    <s v="Dario Kužić"/>
    <s v="385994988065"/>
    <s v=" dkuzic@fpz.unizg.hr"/>
    <s v="Ulica Lavoslava Vukelića 4"/>
    <s v="Borongajska cesta 83a"/>
    <s v="25410051374"/>
    <x v="5"/>
    <m/>
    <m/>
    <m/>
    <m/>
  </r>
  <r>
    <m/>
    <n v="418"/>
    <s v="185"/>
    <x v="13"/>
    <x v="43"/>
    <n v="1"/>
    <x v="1"/>
    <s v="Marko Maričević"/>
    <s v="0915193488"/>
    <s v="marko.maricevic@grf.hr"/>
    <s v="Getaldićeva Ulica 2"/>
    <s v="Getaldićeva 2, Zagreb"/>
    <s v="25564990903"/>
    <x v="5"/>
    <m/>
    <m/>
    <m/>
    <m/>
  </r>
  <r>
    <m/>
    <n v="419"/>
    <s v="L"/>
    <x v="13"/>
    <x v="44"/>
    <n v="1"/>
    <x v="1"/>
    <s v="Mikolaj Martinjak"/>
    <s v="0989478881"/>
    <s v="mika@ffrz.hr"/>
    <s v="Jordanovac 110"/>
    <s v="Jordanovac 110"/>
    <s v="26975482530"/>
    <x v="5"/>
    <m/>
    <m/>
    <m/>
    <m/>
  </r>
  <r>
    <m/>
    <n v="420"/>
    <s v="130"/>
    <x v="13"/>
    <x v="45"/>
    <n v="2"/>
    <x v="1"/>
    <s v="Kristian Došen"/>
    <s v="091 7888 474"/>
    <s v="kristian.dosen@fpzg.hr"/>
    <s v="Ulica Ivana Lepušića 6"/>
    <s v="Lepušićeva 6, 10000 Zagreb"/>
    <s v="28011548575"/>
    <x v="5"/>
    <m/>
    <m/>
    <m/>
    <m/>
  </r>
  <r>
    <s v="L"/>
    <s v="421a_x000a_421b_x000a_421c"/>
    <s v="5713"/>
    <x v="13"/>
    <x v="27"/>
    <n v="4"/>
    <x v="11"/>
    <s v="Petra Marić_x000a_Petra Musap_x000a_Mirko Šalinović"/>
    <s v="0913210792_x000a_0991639750_x000a_O98 9895758"/>
    <s v="pmaric@unist.hr_x000a_petra.musap@unist.hr_x000a_msalinovic@unist.hr"/>
    <s v="R. Boškovića 31"/>
    <s v="Ruđera Boškovića 31, Split 1 kom._x000a_Poljana kraljice Jelene 1, Split  2 kom._x000a_Franjevački put 1, Makarska  1 kom."/>
    <s v="29845096215"/>
    <x v="5"/>
    <m/>
    <m/>
    <m/>
    <m/>
  </r>
  <r>
    <m/>
    <n v="422"/>
    <s v="1972"/>
    <x v="13"/>
    <x v="47"/>
    <n v="4"/>
    <x v="20"/>
    <s v="Damir Lulić"/>
    <s v="0981771615"/>
    <s v="dlulic@unisb.hr"/>
    <s v="Trg &quot;Ivana Brlić Mažuranić&quot; 2"/>
    <s v="Ulica 108. brigade ZNG 36"/>
    <s v="33027834374"/>
    <x v="5"/>
    <m/>
    <m/>
    <m/>
    <m/>
  </r>
  <r>
    <m/>
    <n v="423"/>
    <s v="219"/>
    <x v="13"/>
    <x v="28"/>
    <n v="1"/>
    <x v="1"/>
    <s v="Siniša Vlahović_x000a_"/>
    <s v="098 268 472_x000a_"/>
    <s v="svlahovic@unizg.hr_x000a_"/>
    <s v="Trg Republike Hrvatske 14"/>
    <s v="Ulica Radoslava Cimermana 88, 10000 Zagreb"/>
    <s v="36612267447"/>
    <x v="5"/>
    <m/>
    <m/>
    <m/>
    <m/>
  </r>
  <r>
    <m/>
    <n v="424"/>
    <s v="3545"/>
    <x v="13"/>
    <x v="29"/>
    <n v="1"/>
    <x v="11"/>
    <s v="Branimir Džaja"/>
    <s v="091-2600324"/>
    <s v="branimir.dzaja@umas.hr"/>
    <s v="Zagrebačka 3"/>
    <s v="Glagoljaška 18a, Gripe"/>
    <s v="38960125358"/>
    <x v="5"/>
    <m/>
    <m/>
    <m/>
    <m/>
  </r>
  <r>
    <m/>
    <n v="425"/>
    <s v="141"/>
    <x v="13"/>
    <x v="30"/>
    <n v="1"/>
    <x v="1"/>
    <s v="Emil Flatz"/>
    <s v="38598302567"/>
    <s v="eflatz@arhitekt.hr"/>
    <s v="Kačićeva Ulica 26"/>
    <s v="Frankopanska 12"/>
    <s v="42061107444"/>
    <x v="5"/>
    <m/>
    <m/>
    <m/>
    <m/>
  </r>
  <r>
    <m/>
    <n v="426"/>
    <s v="165"/>
    <x v="13"/>
    <x v="79"/>
    <n v="2"/>
    <x v="1"/>
    <s v="Mirza Žižak"/>
    <s v="091-595-2783"/>
    <s v="mirza.zizak@mef.hr"/>
    <s v="Šalata 3"/>
    <s v="Šalata 2"/>
    <s v="45001686598"/>
    <x v="5"/>
    <m/>
    <m/>
    <m/>
    <m/>
  </r>
  <r>
    <m/>
    <n v="427"/>
    <s v="182"/>
    <x v="13"/>
    <x v="51"/>
    <n v="1"/>
    <x v="21"/>
    <s v="Goran Šljivić"/>
    <s v="0981785148"/>
    <s v="sljivic@simet.hr"/>
    <s v="Aleja Narodnih Heroja 3"/>
    <s v="Sisak, Aleja narodnih heroja 3"/>
    <s v="48006703414"/>
    <x v="5"/>
    <m/>
    <m/>
    <m/>
    <m/>
  </r>
  <r>
    <m/>
    <n v="428"/>
    <s v="245"/>
    <x v="13"/>
    <x v="52"/>
    <n v="1"/>
    <x v="1"/>
    <s v="Ozren Digula, Kristijan Zbiljski"/>
    <s v="0914595855, 0914595858"/>
    <s v="ozren.digula@zvu.hr, kristijan.zbiljski@zvu.hr"/>
    <s v="Mlinarska Cesta 38"/>
    <s v="Mlinarska cesta 38"/>
    <s v="50952646228"/>
    <x v="5"/>
    <m/>
    <m/>
    <m/>
    <m/>
  </r>
  <r>
    <m/>
    <n v="429"/>
    <s v="275"/>
    <x v="13"/>
    <x v="85"/>
    <n v="1"/>
    <x v="13"/>
    <s v="Petar Taler"/>
    <s v="091 224 1039"/>
    <s v="petar@mathos.hr"/>
    <s v="Trg Ljudevita Gaja 6"/>
    <s v="Trg Lj. Gaja 6, Osijek"/>
    <s v="56597320763"/>
    <x v="5"/>
    <m/>
    <m/>
    <m/>
    <m/>
  </r>
  <r>
    <m/>
    <n v="430"/>
    <s v="181"/>
    <x v="13"/>
    <x v="80"/>
    <n v="1"/>
    <x v="13"/>
    <s v="Zoltan Juhas"/>
    <s v="091/ 2549 157"/>
    <s v="zoli@ffos.hr"/>
    <s v="Ulica Lorenza Jägera 9"/>
    <s v="Ulica Lorenza Jägera 9"/>
    <s v="58868871646"/>
    <x v="5"/>
    <m/>
    <m/>
    <m/>
    <m/>
  </r>
  <r>
    <m/>
    <n v="431"/>
    <s v="4497"/>
    <x v="13"/>
    <x v="9"/>
    <n v="5"/>
    <x v="6"/>
    <s v="Branimir Kolman"/>
    <s v="091 244 0130"/>
    <s v="bkolman@unin.hr"/>
    <s v="Trg Dr. Žarka Dolinara 1"/>
    <s v="Unin 3 - Ulica Jurja Križanića 31 b, VŽ"/>
    <s v="59624928052"/>
    <x v="5"/>
    <m/>
    <m/>
    <m/>
    <m/>
  </r>
  <r>
    <m/>
    <n v="432"/>
    <s v="3554"/>
    <x v="13"/>
    <x v="10"/>
    <n v="3"/>
    <x v="7"/>
    <s v="Dario Kukuljan"/>
    <s v="0993777446"/>
    <s v="dkukuljan@unipu.hr"/>
    <s v="Zagrebačka Ulica 30"/>
    <s v="Alda Negrija 6, Pila"/>
    <s v="61738073226"/>
    <x v="5"/>
    <m/>
    <m/>
    <m/>
    <m/>
  </r>
  <r>
    <m/>
    <n v="433"/>
    <s v="221"/>
    <x v="13"/>
    <x v="11"/>
    <n v="4"/>
    <x v="8"/>
    <s v="Marko Roža"/>
    <s v="051/265-873"/>
    <s v="marko.roza@uniri.hr"/>
    <s v="Trg Braće Mažuranića 10"/>
    <s v="Radmile Matejčić 2; 51000 Rijeka"/>
    <s v="64218323816"/>
    <x v="5"/>
    <m/>
    <m/>
    <m/>
    <m/>
  </r>
  <r>
    <m/>
    <n v="434"/>
    <s v="150"/>
    <x v="13"/>
    <x v="12"/>
    <n v="5"/>
    <x v="1"/>
    <s v="Dario Đurasović"/>
    <s v="091 4802 130"/>
    <s v="dario@sfzg.hr"/>
    <s v="Gundulićeva Ulica 5"/>
    <s v="Gundulićeva 5, Zagreb"/>
    <s v="70221464726"/>
    <x v="5"/>
    <m/>
    <m/>
    <m/>
    <m/>
  </r>
  <r>
    <m/>
    <n v="435"/>
    <s v="222"/>
    <x v="13"/>
    <x v="33"/>
    <n v="1"/>
    <x v="13"/>
    <s v="Albert Oswald"/>
    <s v=" +385912241400"/>
    <s v="oswald@unios.hr"/>
    <s v="Trg Sv. Trojstva 3"/>
    <s v="Trg. Sv. Trojstva 3"/>
    <s v="78808975734"/>
    <x v="5"/>
    <m/>
    <m/>
    <m/>
    <m/>
  </r>
  <r>
    <m/>
    <n v="436"/>
    <s v="316"/>
    <x v="13"/>
    <x v="20"/>
    <n v="1"/>
    <x v="11"/>
    <s v="Ante Denić"/>
    <s v="(+385)915683877"/>
    <s v="dante@efst.hr"/>
    <s v="Cvite Fiskovića 5"/>
    <s v="Cvite Fiskovića 5, Split"/>
    <s v="84477684422"/>
    <x v="5"/>
    <m/>
    <m/>
    <m/>
    <m/>
  </r>
  <r>
    <m/>
    <n v="437"/>
    <s v="172"/>
    <x v="13"/>
    <x v="95"/>
    <n v="1"/>
    <x v="8"/>
    <s v="Elvis Žic"/>
    <s v="0915038578"/>
    <s v="elvis.zic@uniri.hr"/>
    <s v="Ulica Radmile Matejčić 3"/>
    <s v="Ulica Radmile Matejčić 3, 51000 Rijeka"/>
    <s v="92037849504"/>
    <x v="5"/>
    <m/>
    <m/>
    <m/>
    <m/>
  </r>
  <r>
    <m/>
    <n v="438"/>
    <s v="199"/>
    <x v="13"/>
    <x v="61"/>
    <n v="2"/>
    <x v="13"/>
    <s v="Mario Miloloza"/>
    <s v="0912246140"/>
    <s v="mario.miloloza@ferit.hr"/>
    <s v="Ulica Kneza Trpimira 2B"/>
    <s v="Cara Hadrijana 10b, Osijek"/>
    <s v="95494259952"/>
    <x v="5"/>
    <m/>
    <m/>
    <m/>
    <m/>
  </r>
  <r>
    <m/>
    <n v="439"/>
    <s v="5769"/>
    <x v="13"/>
    <x v="64"/>
    <n v="1"/>
    <x v="11"/>
    <s v="Slaven Kušljić"/>
    <s v="021 545545, 091 4443745"/>
    <s v="slaven@ffst.hr"/>
    <s v="Poljička Cesta 35"/>
    <s v="Poljička cesta 35"/>
    <s v="98004523293"/>
    <x v="5"/>
    <m/>
    <m/>
    <m/>
    <m/>
  </r>
  <r>
    <m/>
    <n v="440"/>
    <s v="4917"/>
    <x v="13"/>
    <x v="96"/>
    <n v="1"/>
    <x v="11"/>
    <s v="Domagoj Vučica"/>
    <s v="091/1265-486"/>
    <s v="domagoj@ktf-split.hr"/>
    <s v="R. Boškovića 35"/>
    <s v="R. Boškovića 35"/>
    <s v="99401575594"/>
    <x v="5"/>
    <m/>
    <m/>
    <m/>
    <m/>
  </r>
  <r>
    <m/>
    <n v="441"/>
    <s v="203"/>
    <x v="13"/>
    <x v="65"/>
    <n v="1"/>
    <x v="1"/>
    <s v="Marijan Galjar"/>
    <s v="098 855 676"/>
    <s v="marijan.galjar@rgn.hr"/>
    <s v="Pierottijeva Ulica 6"/>
    <s v="Pierottijeva 6"/>
    <s v="99534693762"/>
    <x v="5"/>
    <m/>
    <m/>
    <m/>
    <m/>
  </r>
  <r>
    <m/>
    <n v="442"/>
    <s v="206"/>
    <x v="13"/>
    <x v="35"/>
    <n v="1"/>
    <x v="1"/>
    <s v="Davor Štrk"/>
    <s v="099 3136 671"/>
    <s v="dstrk@fkz.hr"/>
    <s v="Avenija Gojka Šuška 1"/>
    <s v="Av. Gojka Šuška 1, Zagreb"/>
    <s v="36162371878"/>
    <x v="5"/>
    <m/>
    <m/>
    <m/>
    <m/>
  </r>
  <r>
    <m/>
    <m/>
    <m/>
    <x v="14"/>
    <x v="0"/>
    <n v="74"/>
    <x v="0"/>
    <m/>
    <m/>
    <m/>
    <m/>
    <m/>
    <m/>
    <x v="0"/>
    <m/>
    <m/>
    <s v="King"/>
    <m/>
  </r>
  <r>
    <m/>
    <s v="443a_x000a_443b"/>
    <s v="3990"/>
    <x v="14"/>
    <x v="37"/>
    <n v="7"/>
    <x v="17"/>
    <s v="Stjepo Hladilo"/>
    <s v="0919322586"/>
    <s v="stjepo.hladilo@unidu.hr"/>
    <s v="Branitelja Dubrovnika 41"/>
    <s v="Branitelja Dubrovnika 41, Dubrovnik 2 kom._x000a_Ćira Carića 4, Dubrovnik 5 kom."/>
    <s v="1338491514"/>
    <x v="2"/>
    <m/>
    <m/>
    <s v="King"/>
    <s v="Senso"/>
  </r>
  <r>
    <m/>
    <n v="444"/>
    <s v="368"/>
    <x v="14"/>
    <x v="6"/>
    <n v="1"/>
    <x v="3"/>
    <s v="Ivan Nimac"/>
    <s v="095/826-5888"/>
    <s v="inimac@unizd.hr"/>
    <s v="Ulica Mihovila Pavlinovića 1"/>
    <s v="Obala kralja Petra Krešimira IV. Br. 2, 23000 Zadar"/>
    <s v="10839679016"/>
    <x v="1"/>
    <m/>
    <m/>
    <s v="King"/>
    <s v="Senso"/>
  </r>
  <r>
    <m/>
    <n v="445"/>
    <s v="121"/>
    <x v="14"/>
    <x v="1"/>
    <n v="1"/>
    <x v="1"/>
    <s v="Mate Galić"/>
    <s v="098806500"/>
    <s v="mate.galic@pharma.unizg.hr"/>
    <s v="Ulica Ante Kovačića 1"/>
    <s v="Domagojeva 2"/>
    <s v="14509285435"/>
    <x v="1"/>
    <m/>
    <m/>
    <s v="King"/>
    <s v="Senso"/>
  </r>
  <r>
    <m/>
    <n v="446"/>
    <s v="3385"/>
    <x v="14"/>
    <x v="41"/>
    <n v="3"/>
    <x v="18"/>
    <s v="Stjepan Šalković"/>
    <s v="091/7895599"/>
    <s v="stjepan.salkovic@vhzk.hr"/>
    <s v="Šetalište Hrvatskog Narodnog Preporoda 6"/>
    <s v="Šetalište hrv. nar. prep. 6 (SŠ  Krapina)"/>
    <s v="16465214888"/>
    <x v="3"/>
    <m/>
    <m/>
    <s v="King"/>
    <s v="King"/>
  </r>
  <r>
    <m/>
    <n v="447"/>
    <s v="3986"/>
    <x v="14"/>
    <x v="68"/>
    <n v="5"/>
    <x v="1"/>
    <s v="Petra Mitrović"/>
    <s v="0914810222"/>
    <s v="pmitrovic@muza.hr"/>
    <s v="Trg Republike Hrvatske 12"/>
    <s v="Trg Republike Hrvatske 12"/>
    <s v="18422925218"/>
    <x v="1"/>
    <m/>
    <m/>
    <s v="King"/>
    <s v="Senso"/>
  </r>
  <r>
    <m/>
    <n v="448"/>
    <s v="4914"/>
    <x v="14"/>
    <x v="16"/>
    <n v="2"/>
    <x v="11"/>
    <s v="Romaldo Singolo"/>
    <s v="091 155 9622"/>
    <s v="romi@pfst.hr"/>
    <s v="R. Boškovića 37"/>
    <s v="Ruđera Boškovića 37, Split"/>
    <s v="24624257529"/>
    <x v="3"/>
    <m/>
    <m/>
    <s v="King"/>
    <s v="King"/>
  </r>
  <r>
    <m/>
    <n v="449"/>
    <s v="168"/>
    <x v="14"/>
    <x v="77"/>
    <n v="1"/>
    <x v="13"/>
    <s v="Bruno Bakarić"/>
    <s v="031/224-508"/>
    <s v="bbakaric@pravos.hr"/>
    <s v="Ulica Stjepana Radića 13"/>
    <s v="Stjepana Radića 13"/>
    <s v="26416570803"/>
    <x v="1"/>
    <m/>
    <m/>
    <s v="King"/>
    <s v="Senso"/>
  </r>
  <r>
    <m/>
    <s v="450a_x000a_"/>
    <s v="152"/>
    <x v="14"/>
    <x v="93"/>
    <n v="1"/>
    <x v="1"/>
    <s v="Davorin Axmann"/>
    <s v="098271569"/>
    <s v="daxmann@efzg.hr"/>
    <s v="Trg Johna Fitzgeralda Kennedyja 6"/>
    <s v="Trg J.F. Kennedyja 6"/>
    <s v="27208467122"/>
    <x v="3"/>
    <m/>
    <m/>
    <s v="King"/>
    <s v="King"/>
  </r>
  <r>
    <m/>
    <s v="450b_x000a_"/>
    <s v="152"/>
    <x v="14"/>
    <x v="93"/>
    <n v="9"/>
    <x v="1"/>
    <s v="Davorin Axmann"/>
    <s v="098271569"/>
    <s v="daxmann@efzg.hr"/>
    <s v="Trg Johna Fitzgeralda Kennedyja 6"/>
    <s v="Trg J.F. Kennedyja 6"/>
    <s v="27208467122"/>
    <x v="1"/>
    <m/>
    <m/>
    <s v="King"/>
    <s v="King"/>
  </r>
  <r>
    <m/>
    <n v="451"/>
    <s v="469"/>
    <x v="14"/>
    <x v="75"/>
    <n v="2"/>
    <x v="1"/>
    <s v="Davor Pintar"/>
    <s v="385998227236"/>
    <s v="davor.pintar@dekanat.pmf.hr"/>
    <s v="Horvatovac 102A"/>
    <s v="Horvatovac 102A"/>
    <s v="28163265527"/>
    <x v="1"/>
    <m/>
    <m/>
    <s v="King"/>
    <s v="Senso"/>
  </r>
  <r>
    <m/>
    <n v="452"/>
    <s v="1972"/>
    <x v="14"/>
    <x v="47"/>
    <n v="1"/>
    <x v="20"/>
    <s v="Damir Lulić"/>
    <s v="0981771615"/>
    <s v="dlulic@unisb.hr"/>
    <s v="Trg &quot;Ivana Brlić Mažuranić&quot; 2"/>
    <s v="Matije Gupca 24"/>
    <s v="33027834374"/>
    <x v="1"/>
    <m/>
    <m/>
    <s v="King"/>
    <s v="Senso"/>
  </r>
  <r>
    <m/>
    <s v="453_x000a_"/>
    <s v="151"/>
    <x v="14"/>
    <x v="97"/>
    <n v="5"/>
    <x v="1"/>
    <s v="Krunoslav Fučkor_x000a_Lada Uzorinac"/>
    <s v="091 522 0721 (Krunoslav Fučkor)_x000a_091 504 9730 (Lada Uzorinac)"/>
    <s v="krunoslav.fuckor@pravo.hr_x000a_lada.uzorinac@pravo.hr"/>
    <s v="Trg Republike Hrvatske 14"/>
    <s v="Marulićev trg 19,  Zagreb"/>
    <s v="38583303160"/>
    <x v="3"/>
    <m/>
    <m/>
    <s v="King"/>
    <s v="Senso"/>
  </r>
  <r>
    <m/>
    <n v="454"/>
    <s v="182"/>
    <x v="14"/>
    <x v="51"/>
    <n v="1"/>
    <x v="21"/>
    <s v="Goran Šljivić"/>
    <s v="0981785148"/>
    <s v="sljivic@simet.hr"/>
    <s v="Aleja Narodnih Heroja 3"/>
    <s v="Sisak, Aleja narodnih heroja 3"/>
    <s v="48006703414"/>
    <x v="1"/>
    <m/>
    <m/>
    <s v="King"/>
    <s v="King"/>
  </r>
  <r>
    <m/>
    <n v="455"/>
    <s v="3430"/>
    <x v="14"/>
    <x v="53"/>
    <n v="1"/>
    <x v="11"/>
    <s v="Ante Krolo"/>
    <s v="+385 95 903 76 48"/>
    <s v="ante@kifst.hr"/>
    <s v="Teslina 6"/>
    <s v="Teslina 10"/>
    <s v="57848936921"/>
    <x v="1"/>
    <m/>
    <m/>
    <s v="King"/>
    <s v="King"/>
  </r>
  <r>
    <m/>
    <s v="456a_x000a_456b"/>
    <s v="4497"/>
    <x v="14"/>
    <x v="9"/>
    <n v="8"/>
    <x v="6"/>
    <s v="Nikola Marijanović_x000a_Branimir Kolman"/>
    <s v="0994028339_x000a_091 244 0130"/>
    <s v="nmarijanovic@unin.hr_x000a_bkolman@unin.hr"/>
    <s v="Trg Dr. Žarka Dolinara 1"/>
    <s v="Trg dr. Žarka dolinara 1, Koprivnica  4 kom._x000a_Ulica 104 brigade 3, VŽ  4 kom."/>
    <s v="59624928052"/>
    <x v="1"/>
    <m/>
    <m/>
    <s v="King"/>
    <s v="Senso"/>
  </r>
  <r>
    <m/>
    <s v="457a_x000a_457b"/>
    <s v="221"/>
    <x v="14"/>
    <x v="11"/>
    <n v="3"/>
    <x v="8"/>
    <s v="Danka Jurjević_x000a_Aleksandar Živanović"/>
    <s v="051/265-884_x000a_0989616845"/>
    <s v="danka.jurjevic@uniri.hr_x000a_aleksandar.zivanovic@uniri.hr"/>
    <s v="Trg Braće Mažuranića 10"/>
    <s v="Radmile Matejčić 2; 51000 Rijeka 2 kom._x000a_Palača Moise; Zagrad 6; 51557 Cres 1 kom."/>
    <s v="64218323816"/>
    <x v="1"/>
    <m/>
    <m/>
    <s v="King"/>
    <s v="King"/>
  </r>
  <r>
    <m/>
    <n v="458"/>
    <s v="150"/>
    <x v="14"/>
    <x v="12"/>
    <n v="1"/>
    <x v="1"/>
    <s v="Dario Đurasović"/>
    <s v="091 4802 130"/>
    <s v="dario@sfzg.hr"/>
    <s v="Gundulićeva Ulica 5"/>
    <s v="Gundulićeva 5, Zagreb"/>
    <s v="70221464726"/>
    <x v="1"/>
    <m/>
    <m/>
    <s v="King"/>
    <s v="Senso"/>
  </r>
  <r>
    <m/>
    <n v="459"/>
    <s v="1907"/>
    <x v="14"/>
    <x v="94"/>
    <n v="8"/>
    <x v="8"/>
    <s v="Boris Ružić"/>
    <s v="0915765999"/>
    <s v="bruzic@uniri.hr"/>
    <s v="Sveučilišna Avenija 4"/>
    <s v="Sveučilišna avenija 4, 51000 Rijeka"/>
    <s v="70505505759"/>
    <x v="3"/>
    <m/>
    <m/>
    <s v="King"/>
    <s v="Senso"/>
  </r>
  <r>
    <m/>
    <n v="460"/>
    <s v="169"/>
    <x v="14"/>
    <x v="57"/>
    <n v="1"/>
    <x v="8"/>
    <s v="Izv. prof. dr. sc. Jasmin Ćelić"/>
    <s v="0912546777"/>
    <s v="jasmin.celic@uniri.hr"/>
    <s v="Studentska 2"/>
    <s v="Studentska 2"/>
    <s v="76722145702"/>
    <x v="1"/>
    <m/>
    <m/>
    <s v="King"/>
    <s v="Senso"/>
  </r>
  <r>
    <m/>
    <n v="461"/>
    <s v="222"/>
    <x v="14"/>
    <x v="33"/>
    <n v="1"/>
    <x v="13"/>
    <s v="Tatjana Šajatović"/>
    <s v=" +38598871499"/>
    <s v="tsajatovic@kemija.unios.hr"/>
    <s v="Trg Sv. Trojstva 3"/>
    <s v="Cara Hadrijana 8/A"/>
    <s v="78808975734"/>
    <x v="1"/>
    <m/>
    <m/>
    <s v="King"/>
    <s v="King"/>
  </r>
  <r>
    <m/>
    <n v="462"/>
    <s v="5717"/>
    <x v="14"/>
    <x v="59"/>
    <n v="1"/>
    <x v="13"/>
    <s v="Andrija Ljubičić_x000a_"/>
    <s v="091 2241 423_x000a_"/>
    <s v="andrija.ljubicic@fdmz.hr_x000a_"/>
    <s v="Crkvena Ulica 21"/>
    <s v="Crkvena 21"/>
    <s v="83830458507"/>
    <x v="1"/>
    <m/>
    <m/>
    <s v="King"/>
    <s v="King"/>
  </r>
  <r>
    <m/>
    <s v="463a_x000a_463b"/>
    <s v="199"/>
    <x v="14"/>
    <x v="61"/>
    <n v="3"/>
    <x v="13"/>
    <s v="Mario Miloloza"/>
    <s v="0912246140"/>
    <s v="mario.miloloza@ferit.hr"/>
    <s v="Ulica Kneza Trpimira 2B"/>
    <s v="Kneza Trpimira 2b, Osijek 2 kom._x000a_Cara Hadrijana 10b, Osijek 1 kom."/>
    <s v="95494259952"/>
    <x v="3"/>
    <m/>
    <m/>
    <s v="King"/>
    <s v="King"/>
  </r>
  <r>
    <m/>
    <s v="464a_x000a_464b"/>
    <s v="214"/>
    <x v="14"/>
    <x v="62"/>
    <n v="6"/>
    <x v="1"/>
    <s v="Goran Hoić"/>
    <s v="099/2550-825"/>
    <s v="goran.hoic@alu.unizg.hr"/>
    <s v="Ilica 85"/>
    <s v="Ilica 85  5 kom. _x000a_Zamenhofova 14 1 kom."/>
    <s v="95847257607"/>
    <x v="1"/>
    <m/>
    <m/>
    <s v="King"/>
    <s v="Senso"/>
  </r>
  <r>
    <m/>
    <n v="465"/>
    <s v="281"/>
    <x v="14"/>
    <x v="63"/>
    <n v="1"/>
    <x v="8"/>
    <s v="Danka Jurjević"/>
    <s v="265-877"/>
    <s v="danka.jurjevic@uniri.hr"/>
    <s v="Sveučilišna Avenija 6"/>
    <s v="Sveučilišna Avenija 6"/>
    <s v="96996385705"/>
    <x v="1"/>
    <m/>
    <m/>
    <s v="King"/>
    <s v="Senso"/>
  </r>
  <r>
    <m/>
    <n v="466"/>
    <s v="203"/>
    <x v="14"/>
    <x v="65"/>
    <n v="1"/>
    <x v="1"/>
    <s v="Marijan Galjar"/>
    <s v="098 855 676"/>
    <s v="marijan.galjar@rgn.hr"/>
    <s v="Pierottijeva Ulica 6"/>
    <s v="Pierottijeva 6"/>
    <s v="99534693762"/>
    <x v="1"/>
    <m/>
    <m/>
    <s v="King"/>
    <s v="Senso"/>
  </r>
  <r>
    <m/>
    <m/>
    <m/>
    <x v="15"/>
    <x v="0"/>
    <n v="116"/>
    <x v="0"/>
    <m/>
    <m/>
    <m/>
    <m/>
    <m/>
    <m/>
    <x v="0"/>
    <m/>
    <m/>
    <s v="AVC/Senco"/>
    <m/>
  </r>
  <r>
    <m/>
    <n v="467"/>
    <s v="149"/>
    <x v="15"/>
    <x v="38"/>
    <n v="4"/>
    <x v="11"/>
    <s v="Dalibor Gabela"/>
    <s v="091-1557942"/>
    <s v="helpdesk@mefst.hr"/>
    <s v="Šoltanska 2"/>
    <s v="Šoltanska 2A, Split"/>
    <s v="2879747067"/>
    <x v="4"/>
    <d v="2026-05-04T00:00:00"/>
    <m/>
    <s v="AVC/Senco"/>
    <s v="King"/>
  </r>
  <r>
    <m/>
    <n v="468"/>
    <s v="5499"/>
    <x v="15"/>
    <x v="90"/>
    <n v="2"/>
    <x v="13"/>
    <s v="Krešimir Pavelić, univ. mag .ing. comp."/>
    <s v="385912240766"/>
    <s v="kreso@gfos.hr"/>
    <s v="Ulica Vladimira Preloga 3"/>
    <s v="Ulica Vladimira Preloga 3, 31000, Osijek"/>
    <s v="4150850819"/>
    <x v="4"/>
    <d v="2026-05-04T00:00:00"/>
    <m/>
    <s v="AVC/Senco"/>
    <s v="Senso"/>
  </r>
  <r>
    <m/>
    <n v="469"/>
    <s v="3689"/>
    <x v="15"/>
    <x v="5"/>
    <n v="3"/>
    <x v="1"/>
    <s v="Nikola Barba"/>
    <s v="099 6081 436"/>
    <s v="nikola.barba@unicath.hr"/>
    <s v="Ilica 244B"/>
    <s v="Ilica 244, 10000 Zagreb"/>
    <s v="7730927366"/>
    <x v="3"/>
    <d v="2026-04-14T00:00:00"/>
    <m/>
    <s v="AVC/Senco"/>
    <s v="King"/>
  </r>
  <r>
    <m/>
    <n v="470"/>
    <s v="1918"/>
    <x v="15"/>
    <x v="23"/>
    <n v="2"/>
    <x v="1"/>
    <s v="Igor Paljug"/>
    <s v="+385 95 245 6555"/>
    <s v="igor.paljug@tvz.hr_x000a_"/>
    <s v="Vrbik 8"/>
    <s v="Holjevčeva 15"/>
    <s v="8814003451"/>
    <x v="3"/>
    <d v="2026-04-14T00:00:00"/>
    <m/>
    <s v="AVC/Senco"/>
    <s v="King"/>
  </r>
  <r>
    <m/>
    <n v="471"/>
    <s v="368"/>
    <x v="15"/>
    <x v="6"/>
    <n v="2"/>
    <x v="3"/>
    <s v="Ivana Delistović Duić_x000a_"/>
    <s v="098/654-710_x000a_"/>
    <s v="idelistov@unizd.hr_x000a_"/>
    <s v="Ulica Mihovila Pavlinovića 1"/>
    <s v="Dr. Franje Tuđmana 24, 23000 Zadar "/>
    <s v="10839679016"/>
    <x v="3"/>
    <d v="2026-04-14T00:00:00"/>
    <m/>
    <s v="AVC/Senco"/>
    <s v="Senso"/>
  </r>
  <r>
    <m/>
    <n v="472"/>
    <s v="530"/>
    <x v="15"/>
    <x v="7"/>
    <n v="1"/>
    <x v="4"/>
    <s v="Marko Meštrović"/>
    <s v="022/664-451"/>
    <s v="mmestrovic@veleknin.hr"/>
    <s v="Krešimirova 30"/>
    <s v="Krešimirova 30, Knin"/>
    <s v="13664089430"/>
    <x v="4"/>
    <d v="2026-05-04T00:00:00"/>
    <m/>
    <s v="AVC/Senco"/>
    <s v="King"/>
  </r>
  <r>
    <m/>
    <n v="473"/>
    <s v="121"/>
    <x v="15"/>
    <x v="1"/>
    <n v="1"/>
    <x v="1"/>
    <s v="Mate Galić"/>
    <s v="098806500"/>
    <s v="mate.galic@pharma.unizg.hr"/>
    <s v="Ulica Ante Kovačića 1"/>
    <s v="Domagojeva 2"/>
    <s v="14509285435"/>
    <x v="3"/>
    <d v="2026-04-14T00:00:00"/>
    <m/>
    <s v="AVC/Senco"/>
    <s v="Senso"/>
  </r>
  <r>
    <m/>
    <n v="474"/>
    <s v="198"/>
    <x v="15"/>
    <x v="15"/>
    <n v="1"/>
    <x v="10"/>
    <s v="Darko Šprem"/>
    <s v="091 408 9012"/>
    <s v="darko.sprem@gfv.hr"/>
    <s v="Hallerova Aleja 7"/>
    <s v="Hallerova aleja 7, Varaždin"/>
    <s v="16146181375"/>
    <x v="4"/>
    <d v="2026-05-04T00:00:00"/>
    <m/>
    <s v="AVC/Senco"/>
    <s v="King"/>
  </r>
  <r>
    <m/>
    <n v="475"/>
    <s v="3385"/>
    <x v="15"/>
    <x v="41"/>
    <n v="1"/>
    <x v="18"/>
    <s v="Stjepan Šalković"/>
    <s v="091/7895599"/>
    <s v="stjepan.salkovic@vhzk.hr"/>
    <s v="Šetalište Hrvatskog Narodnog Preporoda 6"/>
    <s v="Šetalište hrv. nar. prep. 6 (SŠ  Krapina)"/>
    <s v="16465214888"/>
    <x v="4"/>
    <d v="2026-05-04T00:00:00"/>
    <m/>
    <s v="AVC/Senco"/>
    <s v="King"/>
  </r>
  <r>
    <m/>
    <n v="476"/>
    <s v="4660"/>
    <x v="15"/>
    <x v="69"/>
    <n v="2"/>
    <x v="8"/>
    <s v="Vedran Ćurković"/>
    <s v="091 / 9536547"/>
    <s v="vedran.curkovic@uniri.hr"/>
    <s v="Viktora Cara Emina 5"/>
    <s v="Viktora Cara Emina 5"/>
    <s v="19213484918"/>
    <x v="4"/>
    <d v="2026-05-04T00:00:00"/>
    <m/>
    <s v="AVC/Senco"/>
    <s v="Senso"/>
  </r>
  <r>
    <m/>
    <n v="477"/>
    <s v="4919"/>
    <x v="15"/>
    <x v="42"/>
    <n v="1"/>
    <x v="11"/>
    <s v="Doris Knego"/>
    <s v="098 9394211,"/>
    <s v="doris.knego@pmfst.hr"/>
    <s v="R. Boškovića 33"/>
    <s v="Ruđera Boškovića 33"/>
    <s v="20858497843"/>
    <x v="4"/>
    <d v="2026-05-04T00:00:00"/>
    <m/>
    <s v="AVC/Senco"/>
    <s v="King"/>
  </r>
  <r>
    <m/>
    <n v="478"/>
    <s v="4914"/>
    <x v="15"/>
    <x v="16"/>
    <n v="5"/>
    <x v="11"/>
    <s v="Romaldo Singolo"/>
    <s v="091 155 9622"/>
    <s v="romi@pfst.hr"/>
    <s v="R. Boškovića 37"/>
    <s v="Ruđera Boškovića 37, Split"/>
    <s v="24624257529"/>
    <x v="4"/>
    <d v="2026-05-04T00:00:00"/>
    <m/>
    <s v="AVC/Senco"/>
    <s v="King"/>
  </r>
  <r>
    <m/>
    <n v="479"/>
    <s v="191"/>
    <x v="15"/>
    <x v="88"/>
    <n v="1"/>
    <x v="1"/>
    <s v="Dario Kužić"/>
    <s v="385994988065"/>
    <s v=" dkuzic@fpz.unizg.hr"/>
    <s v="Ulica Lavoslava Vukelića 4"/>
    <s v="Borongajska cesta 83a"/>
    <s v="25410051374"/>
    <x v="3"/>
    <d v="2026-04-14T00:00:00"/>
    <m/>
    <s v="AVC/Senco"/>
    <s v="King"/>
  </r>
  <r>
    <m/>
    <n v="480"/>
    <s v="290"/>
    <x v="15"/>
    <x v="92"/>
    <n v="6"/>
    <x v="8"/>
    <s v="TEDI KOLANOVIĆ"/>
    <s v="091 604 47 89"/>
    <s v="tedi.kolanovic@efri.uniri.hr"/>
    <s v="Ivana Filipovića 4"/>
    <s v="Ivana Filipovića 4"/>
    <s v="26093119930"/>
    <x v="4"/>
    <d v="2026-05-04T00:00:00"/>
    <m/>
    <s v="AVC/Senco"/>
    <s v="Senso"/>
  </r>
  <r>
    <m/>
    <n v="481"/>
    <s v="168"/>
    <x v="15"/>
    <x v="77"/>
    <n v="1"/>
    <x v="13"/>
    <s v="Bruno Bakarić"/>
    <s v="031/224-508"/>
    <s v="bbakaric@pravos.hr"/>
    <s v="Ulica Stjepana Radića 13"/>
    <s v="Stjepana Radića 13"/>
    <s v="26416570803"/>
    <x v="4"/>
    <d v="2026-05-04T00:00:00"/>
    <m/>
    <s v="AVC/Senco"/>
    <s v="Senso"/>
  </r>
  <r>
    <m/>
    <n v="482"/>
    <s v="205"/>
    <x v="15"/>
    <x v="44"/>
    <n v="1"/>
    <x v="1"/>
    <s v="Mikolaj Martinjak"/>
    <s v="0989478881"/>
    <s v="mika@ffrz.hr"/>
    <s v="Jordanovac 110"/>
    <s v="Jordanovac 110"/>
    <s v="26975482530"/>
    <x v="3"/>
    <d v="2026-04-14T00:00:00"/>
    <m/>
    <s v="AVC/Senco"/>
    <s v="King"/>
  </r>
  <r>
    <m/>
    <n v="483"/>
    <s v="152"/>
    <x v="15"/>
    <x v="93"/>
    <n v="8"/>
    <x v="1"/>
    <s v="Davorin Axmann"/>
    <s v="098271569"/>
    <s v="daxmann@efzg.hr"/>
    <s v="Trg Johna Fitzgeralda Kennedyja 6"/>
    <s v="Trg J.F. Kennedyja 6"/>
    <s v="27208467122"/>
    <x v="3"/>
    <d v="2026-04-14T00:00:00"/>
    <m/>
    <s v="AVC/Senco"/>
    <s v="King"/>
  </r>
  <r>
    <m/>
    <n v="484"/>
    <s v="3637"/>
    <x v="15"/>
    <x v="81"/>
    <n v="5"/>
    <x v="13"/>
    <s v="Krunoslav Kurilj"/>
    <s v="0991616166"/>
    <s v="kkurilj@foozos.hr"/>
    <s v="Ulica Cara Hadrijana 10"/>
    <s v="Cara Hadrijana 10, 31 000 Osijek – NASTAVNA ZGRADA"/>
    <s v="28082679513"/>
    <x v="4"/>
    <d v="2026-05-04T00:00:00"/>
    <m/>
    <s v="AVC/Senco"/>
    <s v="Senso"/>
  </r>
  <r>
    <m/>
    <n v="485"/>
    <s v="469"/>
    <x v="15"/>
    <x v="75"/>
    <n v="1"/>
    <x v="1"/>
    <s v="Davor Pintar"/>
    <s v="385998227236"/>
    <s v="davor.pintar@dekanat.pmf.hr"/>
    <s v="Horvatovac 102A"/>
    <s v="Horvatovac 102A"/>
    <s v="28163265527"/>
    <x v="4"/>
    <d v="2026-05-04T00:00:00"/>
    <m/>
    <s v="AVC/Senco"/>
    <s v="Senso"/>
  </r>
  <r>
    <m/>
    <s v="486a_x000a_486b_x000a_486c_x000a_486d"/>
    <s v="5713"/>
    <x v="15"/>
    <x v="27"/>
    <n v="12"/>
    <x v="11"/>
    <s v="Marko Pilić / Josip Crnjac_x000a_Maja Krželj_x000a_Marin Gudelj_x000a_Romaldo Singolo / Danijel Bartulović"/>
    <s v="0919840020 (Pilić), 0981980136 (Crnjac)_x000a_0911556771_x000a_0913344165_x000a_0911559622(Singolo), 0992127517(Bartulović)"/>
    <s v="mpilic@forenzika.unist.hr, jcrnjac@forenzika.unist.hr_x000a_maja.krzelj@more.unist.hr_x000a_marin@oss.unist.hr_x000a_romaldo.singolo@pfst.hr, dbartulovic@pfst.hr"/>
    <s v="R. Boškovića 31"/>
    <s v="Ruđera Boškovića 33, Split 3 kom._x000a_Ruđera Boškovića 37, Split 3 kom._x000a_Kopilica 21, Split 4 kom._x000a_Ruđera Boškovića 33, Split 2 kom."/>
    <s v="29845096215"/>
    <x v="4"/>
    <d v="2026-05-04T00:00:00"/>
    <m/>
    <s v="AVC/Senco"/>
    <s v="King"/>
  </r>
  <r>
    <m/>
    <n v="487"/>
    <s v="1972"/>
    <x v="15"/>
    <x v="47"/>
    <n v="6"/>
    <x v="20"/>
    <s v="Damir Lulić"/>
    <s v="0981771615"/>
    <s v="dlulic@unisb.hr"/>
    <s v="Trg &quot;Ivana Brlić Mažuranić&quot; 2"/>
    <s v="Trg I.B.Mažuranić 2"/>
    <s v="33027834374"/>
    <x v="4"/>
    <d v="2026-05-04T00:00:00"/>
    <m/>
    <s v="AVC/Senco"/>
    <s v="Senso"/>
  </r>
  <r>
    <m/>
    <n v="488"/>
    <s v="3340"/>
    <x v="15"/>
    <x v="48"/>
    <n v="1"/>
    <x v="1"/>
    <s v="Ivan Cerovec"/>
    <s v="01/2457510"/>
    <s v="ivan.cerovec@erf.unizg.hr"/>
    <s v="Borongajska Cesta 83F"/>
    <s v="Zagreb, Borongajska c.83f"/>
    <s v="34967762426"/>
    <x v="3"/>
    <d v="2026-04-14T00:00:00"/>
    <m/>
    <s v="AVC/Senco"/>
    <s v="King"/>
  </r>
  <r>
    <m/>
    <n v="489"/>
    <s v="219"/>
    <x v="15"/>
    <x v="28"/>
    <n v="1"/>
    <x v="1"/>
    <s v="Marin Šperanda"/>
    <s v="091 906 6882"/>
    <s v="marin.speranda@caas.unizg.hr"/>
    <s v="Trg Republike Hrvatske 14"/>
    <s v="Don Frana Bulića 4, 20000 Dubrovnik (CAAS)"/>
    <s v="36612267447"/>
    <x v="4"/>
    <d v="2026-05-04T00:00:00"/>
    <m/>
    <s v="AVC/Senco"/>
    <s v="Senso"/>
  </r>
  <r>
    <m/>
    <s v="490a_x000a_490b"/>
    <s v="3545"/>
    <x v="15"/>
    <x v="29"/>
    <n v="2"/>
    <x v="11"/>
    <s v="Branimir Džaja"/>
    <s v="091-2600324"/>
    <s v="branimir.dzaja@umas.hr"/>
    <s v="Zagrebačka 3"/>
    <s v="Zagrebačka 3_x000a_Glagoljaška 18a, Gripe"/>
    <s v="38960125358"/>
    <x v="4"/>
    <d v="2026-05-04T00:00:00"/>
    <m/>
    <s v="AVC/Senco"/>
    <s v="King"/>
  </r>
  <r>
    <m/>
    <n v="491"/>
    <s v="141"/>
    <x v="15"/>
    <x v="30"/>
    <n v="1"/>
    <x v="1"/>
    <s v="Emil Flatz"/>
    <s v="38598302567"/>
    <s v="eflatz@arhitekt.hr"/>
    <s v="Kačićeva Ulica 26"/>
    <s v="Frankopanska 12"/>
    <s v="42061107444"/>
    <x v="3"/>
    <d v="2026-04-14T00:00:00"/>
    <m/>
    <s v="AVC/Senco"/>
    <s v="Senso"/>
  </r>
  <r>
    <m/>
    <n v="492"/>
    <s v="177"/>
    <x v="15"/>
    <x v="78"/>
    <n v="2"/>
    <x v="1"/>
    <s v="Srđan Cvetanović"/>
    <s v="095 8000 204_x000a_"/>
    <s v="djani@ttf.hr_x000a_"/>
    <s v="Prilaz Baruna Filipovića 28A"/>
    <s v="Prilaz baruna Filipovića 28a"/>
    <s v="43097527965"/>
    <x v="3"/>
    <d v="2026-04-14T00:00:00"/>
    <m/>
    <s v="AVC/Senco"/>
    <s v="Senso"/>
  </r>
  <r>
    <m/>
    <n v="493"/>
    <s v="154"/>
    <x v="15"/>
    <x v="50"/>
    <n v="1"/>
    <x v="8"/>
    <s v="Daniel Maratović"/>
    <s v="095/9064710"/>
    <s v="daniel.maratovic@riteh.uniri.hr"/>
    <s v="Vukovarska 58"/>
    <s v="Vukovarska 58, HR-51000 Rijeka"/>
    <s v="46319717480"/>
    <x v="4"/>
    <d v="2026-05-04T00:00:00"/>
    <m/>
    <s v="AVC/Senco"/>
    <s v="Senso"/>
  </r>
  <r>
    <m/>
    <n v="494"/>
    <s v="215"/>
    <x v="15"/>
    <x v="18"/>
    <n v="1"/>
    <x v="1"/>
    <s v="Ivan Šetin"/>
    <s v="0981839338"/>
    <s v="isetin@adu.hr"/>
    <s v="Trg Republike Hrvatske 5"/>
    <s v="Frankopanska 22, Zagreb"/>
    <s v="52097842295"/>
    <x v="3"/>
    <d v="2026-04-14T00:00:00"/>
    <m/>
    <s v="AVC/Senco"/>
    <s v="Senso"/>
  </r>
  <r>
    <m/>
    <n v="495"/>
    <s v="125"/>
    <x v="15"/>
    <x v="84"/>
    <n v="3"/>
    <x v="13"/>
    <s v="Damir Kovačević"/>
    <s v="385912244189"/>
    <s v="damir.kovacevic@efos.hr"/>
    <s v="Trg Ljudevita Gaja 7"/>
    <s v="Trg Ljudevita Gaja 7, Osijek"/>
    <s v="52778515544"/>
    <x v="4"/>
    <d v="2026-05-04T00:00:00"/>
    <m/>
    <s v="AVC/Senco"/>
    <s v="King"/>
  </r>
  <r>
    <m/>
    <n v="496"/>
    <s v="1939"/>
    <x v="15"/>
    <x v="76"/>
    <n v="2"/>
    <x v="8"/>
    <s v="Aljoša Brajdić"/>
    <s v="099/2217114"/>
    <s v="aljosa.brajdic@apuri.uniri.hr"/>
    <s v="Slavka Krautzeka 83"/>
    <s v="Slavka Krautzeka 83, 51000 Rijeka"/>
    <s v="55704161999"/>
    <x v="4"/>
    <d v="2026-05-04T00:00:00"/>
    <m/>
    <s v="AVC/Senco"/>
    <s v="Senso"/>
  </r>
  <r>
    <m/>
    <n v="497"/>
    <s v="275"/>
    <x v="15"/>
    <x v="85"/>
    <n v="2"/>
    <x v="13"/>
    <s v="Petar Taler"/>
    <s v="091 224 1039"/>
    <s v="petar@mathos.hr"/>
    <s v="Trg Ljudevita Gaja 6"/>
    <s v="Trg Lj. Gaja 6, Osijek"/>
    <s v="56597320763"/>
    <x v="4"/>
    <d v="2026-05-04T00:00:00"/>
    <m/>
    <s v="AVC/Senco"/>
    <s v="King"/>
  </r>
  <r>
    <m/>
    <n v="498"/>
    <s v="138"/>
    <x v="15"/>
    <x v="71"/>
    <n v="1"/>
    <x v="1"/>
    <s v="Denis Hernaut"/>
    <s v="+385 91 604 3920"/>
    <s v="denis.hernaut@fer.hr"/>
    <s v="Unska Ulica 3"/>
    <s v="Vukovarska 39, Zagreb"/>
    <s v="57029260362"/>
    <x v="3"/>
    <d v="2026-04-14T00:00:00"/>
    <m/>
    <s v="AVC/Senco"/>
    <s v="Senso"/>
  </r>
  <r>
    <m/>
    <n v="499"/>
    <s v="181"/>
    <x v="15"/>
    <x v="80"/>
    <n v="3"/>
    <x v="13"/>
    <s v="Zoltan Juhas"/>
    <s v="091/ 2549 157"/>
    <s v="zoli@ffos.hr"/>
    <s v="Ulica Lorenza Jägera 9"/>
    <s v="Ulica Lorenza Jägera 9"/>
    <s v="58868871646"/>
    <x v="4"/>
    <d v="2026-05-04T00:00:00"/>
    <m/>
    <s v="AVC/Senco"/>
    <s v="Senso"/>
  </r>
  <r>
    <m/>
    <n v="500"/>
    <s v="4497"/>
    <x v="15"/>
    <x v="9"/>
    <n v="4"/>
    <x v="6"/>
    <s v="Branimir Kolman"/>
    <s v="091 244 0130"/>
    <s v="bkolman@unin.hr"/>
    <s v="Trg Dr. Žarka Dolinara 1"/>
    <s v="Ulica 104 brigade 3, VŽ"/>
    <s v="59624928052"/>
    <x v="4"/>
    <d v="2026-05-04T00:00:00"/>
    <m/>
    <s v="AVC/Senco"/>
    <s v="Senso"/>
  </r>
  <r>
    <m/>
    <n v="501"/>
    <s v="3554"/>
    <x v="15"/>
    <x v="10"/>
    <n v="2"/>
    <x v="7"/>
    <s v="Dario Kukuljan"/>
    <s v="0993777446"/>
    <s v="dkukuljan@unipu.hr"/>
    <s v="Zagrebačka Ulica 30"/>
    <s v="Alda Negrija 6, Pila"/>
    <s v="61738073226"/>
    <x v="4"/>
    <d v="2026-05-04T00:00:00"/>
    <m/>
    <s v="AVC/Senco"/>
    <s v="Senso"/>
  </r>
  <r>
    <m/>
    <n v="502"/>
    <s v="221"/>
    <x v="15"/>
    <x v="11"/>
    <n v="1"/>
    <x v="8"/>
    <s v="Linda Petričić, Nicole Tomišić "/>
    <s v="091 165 1207, 0922875203"/>
    <s v="ntomisic@fdmri.uniri.hr linda.petricic@fdmri.uniri.hr"/>
    <s v="Trg Braće Mažuranića 10"/>
    <s v="Krešimirova 40/42, 51000 Rijeak"/>
    <s v="64218323816"/>
    <x v="4"/>
    <d v="2026-05-04T00:00:00"/>
    <m/>
    <s v="AVC/Senco"/>
    <s v="King"/>
  </r>
  <r>
    <m/>
    <n v="503"/>
    <s v="1907"/>
    <x v="15"/>
    <x v="94"/>
    <n v="2"/>
    <x v="8"/>
    <s v="Boris Ružić"/>
    <s v="0915765999"/>
    <s v="bruzic@uniri.hr"/>
    <s v="Sveučilišna Avenija 4"/>
    <s v="Sveučilišna avenija 4, 51000 Rijeka"/>
    <s v="70505505759"/>
    <x v="4"/>
    <d v="2026-05-04T00:00:00"/>
    <m/>
    <s v="AVC/Senco"/>
    <s v="Senso"/>
  </r>
  <r>
    <m/>
    <n v="504"/>
    <s v="169"/>
    <x v="15"/>
    <x v="57"/>
    <n v="2"/>
    <x v="8"/>
    <s v="Izv. prof. dr. sc. Jasmin Ćelić"/>
    <s v="0912546777"/>
    <s v="jasmin.celic@uniri.hr"/>
    <s v="Studentska 2"/>
    <s v="Studentska 2"/>
    <s v="76722145702"/>
    <x v="4"/>
    <d v="2026-05-04T00:00:00"/>
    <m/>
    <s v="AVC/Senco"/>
    <s v="Senso"/>
  </r>
  <r>
    <m/>
    <n v="505"/>
    <s v="163"/>
    <x v="15"/>
    <x v="58"/>
    <n v="3"/>
    <x v="11"/>
    <s v="Alen Domazet"/>
    <s v="091 568 5994"/>
    <s v="adomazet@gradst.hr"/>
    <s v="Matice Hrvatske 15"/>
    <s v="Matice hrvatske 15, 21000 Split"/>
    <s v="83615500218"/>
    <x v="4"/>
    <d v="2026-05-04T00:00:00"/>
    <m/>
    <s v="AVC/Senco"/>
    <s v="King"/>
  </r>
  <r>
    <m/>
    <n v="506"/>
    <s v="5717"/>
    <x v="15"/>
    <x v="59"/>
    <n v="1"/>
    <x v="13"/>
    <s v="Andrija Ljubičić_x000a_"/>
    <s v="091 2241 423_x000a_"/>
    <s v="andrija.ljubicic@fdmz.hr_x000a_"/>
    <s v="Crkvena Ulica 21"/>
    <s v="Crkvena 21"/>
    <s v="83830458507"/>
    <x v="4"/>
    <d v="2026-05-04T00:00:00"/>
    <m/>
    <s v="AVC/Senco"/>
    <s v="King"/>
  </r>
  <r>
    <m/>
    <n v="507"/>
    <s v="172"/>
    <x v="15"/>
    <x v="95"/>
    <n v="6"/>
    <x v="8"/>
    <s v="Elvis Žic"/>
    <s v="0915038578"/>
    <s v="elvis.zic@uniri.hr"/>
    <s v="Ulica Radmile Matejčić 3"/>
    <s v="Ulica Radmile Matejčić 3, 51000 Rijeka"/>
    <s v="92037849504"/>
    <x v="4"/>
    <d v="2026-05-04T00:00:00"/>
    <m/>
    <s v="AVC/Senco"/>
    <s v="Senso"/>
  </r>
  <r>
    <m/>
    <n v="508"/>
    <s v="199"/>
    <x v="15"/>
    <x v="61"/>
    <n v="1"/>
    <x v="13"/>
    <s v="Mario Miloloza"/>
    <s v="0912246140"/>
    <s v="mario.miloloza@ferit.hr"/>
    <s v="Ulica Kneza Trpimira 2B"/>
    <s v="Kneza Trpimira 2b, Osijek"/>
    <s v="95494259952"/>
    <x v="4"/>
    <d v="2026-05-04T00:00:00"/>
    <m/>
    <s v="AVC/Senco"/>
    <s v="King"/>
  </r>
  <r>
    <m/>
    <n v="509"/>
    <s v="214"/>
    <x v="15"/>
    <x v="62"/>
    <n v="1"/>
    <x v="1"/>
    <s v="Goran Hoić"/>
    <s v="099/2550-825"/>
    <s v="goran.hoic@alu.unizg.hr"/>
    <s v="Ilica 85"/>
    <s v="Ilica 85"/>
    <s v="95847257607"/>
    <x v="3"/>
    <d v="2026-04-14T00:00:00"/>
    <m/>
    <s v="AVC/Senco"/>
    <s v="Senso"/>
  </r>
  <r>
    <m/>
    <n v="510"/>
    <s v="281"/>
    <x v="15"/>
    <x v="63"/>
    <n v="1"/>
    <x v="8"/>
    <s v="Danka Jurjević"/>
    <s v="265-877"/>
    <s v="danka.jurjevic@uniri.hr"/>
    <s v="Sveučilišna Avenija 6"/>
    <s v="Sveučilišna Avenija 6"/>
    <s v="96996385705"/>
    <x v="4"/>
    <d v="2026-05-04T00:00:00"/>
    <m/>
    <s v="AVC/Senco"/>
    <s v="Senso"/>
  </r>
  <r>
    <m/>
    <s v="511a_x000a_511b"/>
    <s v="147"/>
    <x v="15"/>
    <x v="87"/>
    <n v="5"/>
    <x v="8"/>
    <s v="Teo Brusić, Zoran Vučinić_x000a_Sanjin Kučar"/>
    <s v="098/338-182, 091/1651-230_x000a_091/447-8437"/>
    <s v="teo.brusic@medri.uniri.hr, zoran.vucinic@medri.uniri.hr_x000a_Sanjin.kucar@kbc-rijeka.hr"/>
    <s v="Braće Branchetta 20"/>
    <s v="Rijeka, B. Branchetta 20 4 kom._x000a_KBCRI lokacija Rijeka, 1 komad"/>
    <s v="98164324541"/>
    <x v="4"/>
    <d v="2026-05-04T00:00:00"/>
    <m/>
    <s v="AVC/Senco"/>
    <s v="Senso"/>
  </r>
  <r>
    <m/>
    <n v="512"/>
    <s v="4917"/>
    <x v="15"/>
    <x v="96"/>
    <n v="1"/>
    <x v="11"/>
    <s v="Domagoj Vučica"/>
    <s v="091/1265-486"/>
    <s v="domagoj@ktf-split.hr"/>
    <s v="R. Boškovića 35"/>
    <s v="R. Boškovića 35"/>
    <s v="99401575594"/>
    <x v="4"/>
    <d v="2026-05-04T00:00:00"/>
    <m/>
    <s v="AVC/Senco"/>
    <s v="King"/>
  </r>
  <r>
    <m/>
    <m/>
    <m/>
    <x v="16"/>
    <x v="0"/>
    <n v="48"/>
    <x v="0"/>
    <m/>
    <m/>
    <m/>
    <m/>
    <m/>
    <m/>
    <x v="0"/>
    <n v="7"/>
    <m/>
    <s v="AVC/Senco"/>
    <m/>
  </r>
  <r>
    <m/>
    <s v="513a_x000a_513b_x000a_513c"/>
    <s v="3990"/>
    <x v="16"/>
    <x v="37"/>
    <n v="6"/>
    <x v="17"/>
    <s v="Stjepo Hladilo"/>
    <s v="0919322586"/>
    <s v="stjepo.hladilo@unidu.hr"/>
    <s v="Branitelja Dubrovnika 41"/>
    <s v="Branitelja Dubrovnika 41, Dubrovnik 3 kom._x000a_Ćira Carića 4, Dubrovnik 1 kom._x000a_Lapadska obala Nojka Marinovića 7, Dubrovnik 2 kom."/>
    <s v="1338491514"/>
    <x v="3"/>
    <m/>
    <m/>
    <s v="AVC/Senco"/>
    <s v="Senso"/>
  </r>
  <r>
    <m/>
    <n v="514"/>
    <s v="131"/>
    <x v="16"/>
    <x v="66"/>
    <n v="1"/>
    <x v="10"/>
    <s v="Mario Harjač"/>
    <s v="097 610 1011"/>
    <s v="maharjac@foi.unizg.hr"/>
    <s v="Pavlinska Ulica 2"/>
    <s v="Ulica Petra Preradovića 15, Varaždin"/>
    <s v="2024882310"/>
    <x v="4"/>
    <d v="2026-05-04T00:00:00"/>
    <m/>
    <s v="AVC/Senco"/>
    <s v="King"/>
  </r>
  <r>
    <m/>
    <n v="515"/>
    <s v="132"/>
    <x v="16"/>
    <x v="39"/>
    <n v="2"/>
    <x v="11"/>
    <s v="Juraj Saratlija"/>
    <s v="0996935026"/>
    <s v="juraj.saratlija@pravst.hr"/>
    <s v="Ulica Domovinskog Rata 8"/>
    <s v="Domovinskog rata 8, Split"/>
    <s v="3541568700"/>
    <x v="3"/>
    <d v="2026-04-14T00:00:00"/>
    <m/>
    <s v="AVC/Senco"/>
    <s v="King"/>
  </r>
  <r>
    <m/>
    <n v="516"/>
    <s v="5499"/>
    <x v="16"/>
    <x v="90"/>
    <n v="2"/>
    <x v="13"/>
    <s v="Krešimir Pavelić, univ. mag .ing. comp."/>
    <s v="385912240766"/>
    <s v="kreso@gfos.hr"/>
    <s v="Ulica Vladimira Preloga 3"/>
    <s v="Ulica Vladimira Preloga 3, 31000, Osijek"/>
    <s v="4150850819"/>
    <x v="4"/>
    <d v="2026-05-04T00:00:00"/>
    <m/>
    <s v="AVC/Senco"/>
    <s v="Senso"/>
  </r>
  <r>
    <m/>
    <n v="517"/>
    <s v="208"/>
    <x v="16"/>
    <x v="22"/>
    <n v="1"/>
    <x v="14"/>
    <s v="Marin Ivanišić"/>
    <s v="091 224 3413"/>
    <s v="marin.ivanisic@djkbf.hr"/>
    <s v="P. Preradovića 17"/>
    <s v="Petra Preradovića 17, Đakovo"/>
    <s v="5384220316"/>
    <x v="3"/>
    <d v="2026-04-14T00:00:00"/>
    <m/>
    <s v="AVC/Senco"/>
    <s v="King"/>
  </r>
  <r>
    <m/>
    <n v="518"/>
    <s v="3689"/>
    <x v="16"/>
    <x v="5"/>
    <n v="1"/>
    <x v="1"/>
    <s v="Nikola Barba"/>
    <s v="099 6081 436"/>
    <s v="nikola.barba@unicath.hr"/>
    <s v="Ilica 244B"/>
    <s v="Ilica 244, 10000 Zagreb"/>
    <s v="7730927366"/>
    <x v="3"/>
    <d v="2026-04-14T00:00:00"/>
    <m/>
    <s v="AVC/Senco"/>
    <s v="King"/>
  </r>
  <r>
    <m/>
    <n v="519"/>
    <s v="1918"/>
    <x v="16"/>
    <x v="23"/>
    <n v="2"/>
    <x v="1"/>
    <s v="Filip Samoščanec_x000a_"/>
    <s v="0993047438_x000a_"/>
    <s v="filip.samoscanec@tvz.hr_x000a_"/>
    <s v="Vrbik 8"/>
    <s v="Konavoska 2"/>
    <s v="8814003451"/>
    <x v="3"/>
    <d v="2026-04-14T00:00:00"/>
    <m/>
    <s v="AVC/Senco"/>
    <s v="King"/>
  </r>
  <r>
    <m/>
    <n v="520"/>
    <s v="368"/>
    <x v="16"/>
    <x v="6"/>
    <n v="1"/>
    <x v="3"/>
    <s v="Ivana Delistović Duić_x000a_"/>
    <s v="098/654-710_x000a_"/>
    <s v="idelistov@unizd.hr_x000a_"/>
    <s v="Ulica Mihovila Pavlinovića 1"/>
    <s v="Dr. Franje Tuđmana 24, 23000 Zadar "/>
    <s v="10839679016"/>
    <x v="3"/>
    <d v="2026-04-14T00:00:00"/>
    <m/>
    <s v="AVC/Senco"/>
    <s v="Senso"/>
  </r>
  <r>
    <m/>
    <n v="521"/>
    <s v="198"/>
    <x v="16"/>
    <x v="15"/>
    <n v="1"/>
    <x v="10"/>
    <s v="Darko Šprem"/>
    <s v="091 408 9012"/>
    <s v="darko.sprem@gfv.hr"/>
    <s v="Hallerova Aleja 7"/>
    <s v="Hallerova aleja 7, Varaždin"/>
    <s v="16146181375"/>
    <x v="4"/>
    <d v="2026-05-04T00:00:00"/>
    <m/>
    <s v="AVC/Senco"/>
    <s v="King"/>
  </r>
  <r>
    <m/>
    <n v="522"/>
    <s v="136"/>
    <x v="16"/>
    <x v="91"/>
    <n v="2"/>
    <x v="1"/>
    <s v="Stipe Gorenjak"/>
    <s v="091 3658 600"/>
    <s v="stipe.gorenjak@kif.unizg.hr"/>
    <s v="Horvaćanski Zavoj 15"/>
    <s v="Horvaćanski zavoj 15"/>
    <s v="25329931628"/>
    <x v="3"/>
    <d v="2026-04-14T00:00:00"/>
    <m/>
    <s v="AVC/Senco"/>
    <s v="King"/>
  </r>
  <r>
    <m/>
    <n v="523"/>
    <s v="185"/>
    <x v="16"/>
    <x v="43"/>
    <n v="1"/>
    <x v="1"/>
    <s v="Marko Maričević"/>
    <s v="0915193488"/>
    <s v="marko.maricevic@grf.hr"/>
    <s v="Getaldićeva Ulica 2"/>
    <s v="Getaldićeva 2, Zagreb"/>
    <s v="25564990903"/>
    <x v="3"/>
    <d v="2026-04-14T00:00:00"/>
    <m/>
    <s v="AVC/Senco"/>
    <s v="Senso"/>
  </r>
  <r>
    <m/>
    <n v="524"/>
    <s v="290"/>
    <x v="16"/>
    <x v="92"/>
    <n v="2"/>
    <x v="8"/>
    <s v="TEDI KOLANOVIĆ"/>
    <s v="091 604 47 89"/>
    <s v="tedi.kolanovic@efri.uniri.hr"/>
    <s v="Ivana Filipovića 4"/>
    <s v="Ivana Filipovića 4"/>
    <s v="26093119930"/>
    <x v="4"/>
    <d v="2026-05-04T00:00:00"/>
    <m/>
    <s v="AVC/Senco"/>
    <s v="Senso"/>
  </r>
  <r>
    <m/>
    <n v="525"/>
    <s v="168"/>
    <x v="16"/>
    <x v="77"/>
    <n v="1"/>
    <x v="13"/>
    <s v="Bruno Bakarić"/>
    <s v="031/224-508"/>
    <s v="bbakaric@pravos.hr"/>
    <s v="Ulica Stjepana Radića 13"/>
    <s v="Stjepana Radića 13"/>
    <s v="26416570803"/>
    <x v="4"/>
    <d v="2026-05-04T00:00:00"/>
    <m/>
    <s v="AVC/Senco"/>
    <s v="Senso"/>
  </r>
  <r>
    <m/>
    <n v="526"/>
    <s v="205"/>
    <x v="16"/>
    <x v="44"/>
    <n v="1"/>
    <x v="1"/>
    <s v="Mikolaj Martinjak"/>
    <s v="0989478881"/>
    <s v="mika@ffrz.hr"/>
    <s v="Jordanovac 110"/>
    <s v="Jordanovac 110"/>
    <s v="26975482530"/>
    <x v="3"/>
    <d v="2026-04-14T00:00:00"/>
    <m/>
    <s v="AVC/Senco"/>
    <s v="King"/>
  </r>
  <r>
    <m/>
    <n v="527"/>
    <s v="152"/>
    <x v="16"/>
    <x v="93"/>
    <n v="1"/>
    <x v="1"/>
    <s v="Davorin Axmann"/>
    <s v="098271569"/>
    <s v="daxmann@efzg.hr"/>
    <s v="Trg Johna Fitzgeralda Kennedyja 6"/>
    <s v="Trg J.F. Kennedyja 6"/>
    <s v="27208467122"/>
    <x v="3"/>
    <d v="2026-04-14T00:00:00"/>
    <m/>
    <s v="AVC/Senco"/>
    <s v="King"/>
  </r>
  <r>
    <m/>
    <s v="528a_x000a_528b"/>
    <s v="5713"/>
    <x v="16"/>
    <x v="27"/>
    <n v="2"/>
    <x v="11"/>
    <s v="Leida Rizvan_x000a_Marin Gudelj"/>
    <s v="0914433905_x000a_0913344165"/>
    <s v="leida.rizvan@unist.hr_x000a_marin@oss.unist.hr"/>
    <s v="R. Boškovića 31"/>
    <s v="Ruđera Boškovića 31, Split  1 kom._x000a_Kopilica 21, Split 1 kom."/>
    <s v="29845096215"/>
    <x v="4"/>
    <d v="2026-05-04T00:00:00"/>
    <m/>
    <s v="AVC/Senco"/>
    <s v="King"/>
  </r>
  <r>
    <m/>
    <n v="529"/>
    <s v="1972"/>
    <x v="16"/>
    <x v="47"/>
    <n v="1"/>
    <x v="20"/>
    <s v="Damir Lulić"/>
    <s v="0981771615"/>
    <s v="dlulic@unisb.hr"/>
    <s v="Trg &quot;Ivana Brlić Mažuranić&quot; 2"/>
    <s v="Ulica 108. brigade ZNG 32"/>
    <s v="33027834374"/>
    <x v="4"/>
    <d v="2026-05-04T00:00:00"/>
    <m/>
    <s v="AVC/Senco"/>
    <s v="Senso"/>
  </r>
  <r>
    <m/>
    <n v="530"/>
    <s v="154"/>
    <x v="16"/>
    <x v="50"/>
    <n v="2"/>
    <x v="8"/>
    <s v="Daniel Maratović"/>
    <s v="095/9064710"/>
    <s v="daniel.maratovic@riteh.uniri.hr"/>
    <s v="Vukovarska 58"/>
    <s v="Vukovarska 58, HR-51000 Rijeka"/>
    <s v="46319717480"/>
    <x v="4"/>
    <d v="2026-05-04T00:00:00"/>
    <m/>
    <s v="AVC/Senco"/>
    <s v="Senso"/>
  </r>
  <r>
    <m/>
    <s v="531a_x000a_531b"/>
    <s v="215"/>
    <x v="16"/>
    <x v="18"/>
    <n v="2"/>
    <x v="1"/>
    <s v="Ivan Šetin"/>
    <s v="0981839338"/>
    <s v="isetin@adu.hr"/>
    <s v="Trg Republike Hrvatske 5"/>
    <s v="Trg Republike Hrvatske 5_x000a_Frankopanska 22"/>
    <s v="52097842295"/>
    <x v="3"/>
    <d v="2026-04-14T00:00:00"/>
    <m/>
    <s v="AVC/Senco"/>
    <s v="Senso"/>
  </r>
  <r>
    <m/>
    <n v="532"/>
    <s v="125"/>
    <x v="16"/>
    <x v="84"/>
    <n v="2"/>
    <x v="13"/>
    <s v="Damir Kovačević"/>
    <s v="385912244189"/>
    <s v="damir.kovacevic@efos.hr"/>
    <s v="Trg Ljudevita Gaja 7"/>
    <s v="Trg Ljudevita Gaja 7, Osijek"/>
    <s v="52778515544"/>
    <x v="4"/>
    <d v="2026-05-04T00:00:00"/>
    <m/>
    <s v="AVC/Senco"/>
    <s v="King"/>
  </r>
  <r>
    <m/>
    <n v="533"/>
    <s v="1939"/>
    <x v="16"/>
    <x v="76"/>
    <n v="1"/>
    <x v="8"/>
    <s v="Aljoša Brajdić"/>
    <s v="099/2217114"/>
    <s v="aljosa.brajdic@apuri.uniri.hr"/>
    <s v="Slavka Krautzeka 83"/>
    <s v="Slavka Krautzeka 83, 51000 Rijeka"/>
    <s v="55704161999"/>
    <x v="4"/>
    <d v="2026-05-04T00:00:00"/>
    <m/>
    <s v="AVC/Senco"/>
    <s v="Senso"/>
  </r>
  <r>
    <m/>
    <n v="534"/>
    <s v="4497"/>
    <x v="16"/>
    <x v="9"/>
    <n v="1"/>
    <x v="6"/>
    <s v="Branimir Kolman"/>
    <s v="091 244 0130"/>
    <s v="bkolman@unin.hr"/>
    <s v="Trg Dr. Žarka Dolinara 1"/>
    <s v="Ulica 104 brigade 3, VŽ"/>
    <s v="59624928052"/>
    <x v="4"/>
    <d v="2026-05-04T00:00:00"/>
    <m/>
    <s v="AVC/Senco"/>
    <s v="Senso"/>
  </r>
  <r>
    <m/>
    <n v="535"/>
    <s v="3554"/>
    <x v="16"/>
    <x v="10"/>
    <n v="2"/>
    <x v="7"/>
    <s v="Dario Kukuljan"/>
    <s v="0993777446"/>
    <s v="dkukuljan@unipu.hr"/>
    <s v="Zagrebačka Ulica 30"/>
    <s v="Preradovićeva 30, Pula"/>
    <s v="61738073226"/>
    <x v="4"/>
    <d v="2026-05-04T00:00:00"/>
    <m/>
    <s v="AVC/Senco"/>
    <s v="Senso"/>
  </r>
  <r>
    <m/>
    <n v="536"/>
    <s v="1963"/>
    <x v="16"/>
    <x v="72"/>
    <n v="1"/>
    <x v="22"/>
    <s v="Marko Štedul"/>
    <s v="098-9919-742"/>
    <s v="marko.stedul@vuka.hr"/>
    <s v="Ivana Meštrovića 10"/>
    <s v="J. J. Strossmayera 9"/>
    <s v="62820859976"/>
    <x v="3"/>
    <d v="2026-04-14T00:00:00"/>
    <m/>
    <s v="AVC/Senco"/>
    <s v="Senso"/>
  </r>
  <r>
    <m/>
    <n v="537"/>
    <s v="221"/>
    <x v="16"/>
    <x v="11"/>
    <n v="1"/>
    <x v="8"/>
    <s v="Danka Jurjević"/>
    <s v="051/265-884"/>
    <s v="danka.jurjevic@uniri.hr"/>
    <s v="Trg Braće Mažuranića 10"/>
    <s v="Radmile Matejčić 2; 51000 Rijeka"/>
    <s v="64218323816"/>
    <x v="4"/>
    <d v="2026-05-04T00:00:00"/>
    <m/>
    <s v="AVC/Senco"/>
    <s v="King"/>
  </r>
  <r>
    <m/>
    <n v="538"/>
    <s v="1907"/>
    <x v="16"/>
    <x v="94"/>
    <n v="1"/>
    <x v="8"/>
    <s v="Boris Ružić"/>
    <s v="0915765999"/>
    <s v="bruzic@uniri.hr"/>
    <s v="Sveučilišna Avenija 4"/>
    <s v="Sveučilišna avenija 4, 51000 Rijeka"/>
    <s v="70505505759"/>
    <x v="4"/>
    <d v="2026-05-04T00:00:00"/>
    <m/>
    <s v="AVC/Senco"/>
    <s v="Senso"/>
  </r>
  <r>
    <m/>
    <n v="539"/>
    <s v="169"/>
    <x v="16"/>
    <x v="57"/>
    <n v="1"/>
    <x v="8"/>
    <s v="Izv. prof. dr. sc. Jasmin Ćelić"/>
    <s v="0912546777"/>
    <s v="jasmin.celic@uniri.hr"/>
    <s v="Studentska 2"/>
    <s v="Studentska 2"/>
    <s v="76722145702"/>
    <x v="4"/>
    <d v="2026-05-04T00:00:00"/>
    <m/>
    <s v="AVC/Senco"/>
    <s v="Senso"/>
  </r>
  <r>
    <m/>
    <n v="540"/>
    <s v="222"/>
    <x v="16"/>
    <x v="33"/>
    <n v="1"/>
    <x v="13"/>
    <s v="Albert Oswald"/>
    <s v=" +385912241400"/>
    <s v="oswald@unios.hr"/>
    <s v="Trg Sv. Trojstva 3"/>
    <s v="Trg. Sv. Trojstva 3."/>
    <s v="78808975734"/>
    <x v="4"/>
    <d v="2026-05-04T00:00:00"/>
    <m/>
    <s v="AVC/Senco"/>
    <s v="King"/>
  </r>
  <r>
    <m/>
    <n v="541"/>
    <s v="163"/>
    <x v="16"/>
    <x v="58"/>
    <n v="1"/>
    <x v="11"/>
    <s v="Alen Domazet"/>
    <s v="091 568 5994"/>
    <s v="adomazet@gradst.hr"/>
    <s v="Matice Hrvatske 15"/>
    <s v="Matice hrvatske 15, 21000 Split"/>
    <s v="83615500218"/>
    <x v="4"/>
    <d v="2026-05-04T00:00:00"/>
    <m/>
    <s v="AVC/Senco"/>
    <s v="King"/>
  </r>
  <r>
    <m/>
    <n v="542"/>
    <s v="186"/>
    <x v="16"/>
    <x v="60"/>
    <n v="1"/>
    <x v="1"/>
    <s v="Boris Beker"/>
    <s v="098/211-765"/>
    <s v="bbeker@ffzg.hr"/>
    <s v="Ulica Ivana Lučića 3"/>
    <s v="Ivana Lučića 3, Zagreb"/>
    <s v="90633715804"/>
    <x v="3"/>
    <d v="2026-04-14T00:00:00"/>
    <m/>
    <s v="AVC/Senco"/>
    <s v="Senso"/>
  </r>
  <r>
    <m/>
    <n v="543"/>
    <s v="206"/>
    <x v="16"/>
    <x v="35"/>
    <n v="2"/>
    <x v="1"/>
    <s v="Davor Štrk"/>
    <s v="099 3136 671"/>
    <s v="dstrk@fkz.hr"/>
    <s v="Avenija Gojka Šuška 1"/>
    <s v="Av. Gojka Šuška 1, Zagreb"/>
    <s v="36162371878"/>
    <x v="3"/>
    <d v="2026-04-14T00:00:00"/>
    <m/>
    <s v="AVC/Senco"/>
    <s v="King"/>
  </r>
  <r>
    <m/>
    <n v="544"/>
    <s v="188"/>
    <x v="16"/>
    <x v="4"/>
    <n v="1"/>
    <x v="1"/>
    <s v="Boris Rončević"/>
    <s v="099 5327723"/>
    <s v="broncevic@nsk.hr"/>
    <s v="Ul. Hrvatske Bratske Zajednice 4"/>
    <s v="NSK - Ul. Hrvatske Bratske Zajednice 4"/>
    <m/>
    <x v="3"/>
    <d v="2026-04-14T00:00:00"/>
    <m/>
    <s v="AVC/Senco"/>
    <s v="?"/>
  </r>
  <r>
    <m/>
    <m/>
    <m/>
    <x v="17"/>
    <x v="0"/>
    <n v="34"/>
    <x v="0"/>
    <m/>
    <m/>
    <m/>
    <m/>
    <m/>
    <m/>
    <x v="0"/>
    <m/>
    <m/>
    <m/>
    <m/>
  </r>
  <r>
    <m/>
    <n v="545"/>
    <s v="368"/>
    <x v="17"/>
    <x v="6"/>
    <n v="5"/>
    <x v="3"/>
    <s v="Ivan Nimac"/>
    <s v="095/826-5888"/>
    <s v="inimac@unizd.hr"/>
    <s v="Ulica Mihovila Pavlinovića 1"/>
    <s v="Obala kralja Petra Krešimira IV. Br. 2, 23000 Zadar"/>
    <s v="10839679016"/>
    <x v="5"/>
    <m/>
    <m/>
    <m/>
    <m/>
  </r>
  <r>
    <m/>
    <n v="546"/>
    <s v="3986"/>
    <x v="17"/>
    <x v="68"/>
    <n v="1"/>
    <x v="1"/>
    <s v="Petra Mitrović"/>
    <s v="0914810222"/>
    <s v="pmitrovic@muza.hr"/>
    <s v="Trg Republike Hrvatske 12"/>
    <s v="Trg Republike Hrvatske 12"/>
    <s v="18422925218"/>
    <x v="5"/>
    <m/>
    <m/>
    <m/>
    <m/>
  </r>
  <r>
    <m/>
    <n v="547"/>
    <s v="130"/>
    <x v="17"/>
    <x v="45"/>
    <n v="7"/>
    <x v="1"/>
    <s v="Kristian Došen"/>
    <s v="091 7888 474"/>
    <s v="kristian.dosen@fpzg.hr"/>
    <s v="Ulica Ivana Lepušića 6"/>
    <s v="Lepušićeva 6, 10000 Zagreb"/>
    <s v="28011548575"/>
    <x v="5"/>
    <m/>
    <m/>
    <m/>
    <m/>
  </r>
  <r>
    <m/>
    <n v="548"/>
    <s v="469"/>
    <x v="17"/>
    <x v="75"/>
    <n v="1"/>
    <x v="1"/>
    <s v="Krunoslav Komugović"/>
    <s v="385915058109"/>
    <s v="krunoslav.komugovic@pmf.hr"/>
    <s v="Horvatovac 102A"/>
    <s v="Bijenička cesta 30"/>
    <s v="28163265527"/>
    <x v="5"/>
    <m/>
    <m/>
    <m/>
    <m/>
  </r>
  <r>
    <m/>
    <n v="549"/>
    <s v="1972"/>
    <x v="17"/>
    <x v="47"/>
    <n v="3"/>
    <x v="20"/>
    <s v="Damir Lulić"/>
    <s v="0981771615"/>
    <s v="dlulic@unisb.hr"/>
    <s v="Trg &quot;Ivana Brlić Mažuranić&quot; 2"/>
    <s v="Ulica 108. brigade ZNG 36"/>
    <s v="33027834374"/>
    <x v="5"/>
    <m/>
    <m/>
    <m/>
    <m/>
  </r>
  <r>
    <m/>
    <n v="550"/>
    <s v="140"/>
    <x v="17"/>
    <x v="83"/>
    <n v="1"/>
    <x v="1"/>
    <s v="Marko Poletto"/>
    <s v="099/4928854"/>
    <s v="pmarko@vef.unizg.hr"/>
    <s v="Ulica Vjekoslava Heinzela 55"/>
    <s v="Ulica Vjekoslava Heinzela 55, 10000 Zagreb"/>
    <s v="36389528408"/>
    <x v="5"/>
    <m/>
    <m/>
    <m/>
    <m/>
  </r>
  <r>
    <m/>
    <n v="551"/>
    <s v="173"/>
    <x v="17"/>
    <x v="89"/>
    <n v="1"/>
    <x v="8"/>
    <s v="Siniša Lončarić"/>
    <s v="0913011188"/>
    <s v="sloncaric@pravri.uniri.hr"/>
    <s v="Hahlić 6"/>
    <s v="Hahlić 6, Rijeka"/>
    <s v="43767699965"/>
    <x v="5"/>
    <m/>
    <m/>
    <m/>
    <m/>
  </r>
  <r>
    <m/>
    <n v="552"/>
    <s v="165"/>
    <x v="17"/>
    <x v="79"/>
    <n v="2"/>
    <x v="1"/>
    <s v="Mirza Žižak"/>
    <s v="091-595-2783"/>
    <s v="mirza.zizak@mef.hr"/>
    <s v="Šalata 3"/>
    <s v="Šalata 2"/>
    <s v="45001686598"/>
    <x v="5"/>
    <m/>
    <m/>
    <m/>
    <m/>
  </r>
  <r>
    <m/>
    <n v="553"/>
    <s v="3795"/>
    <x v="17"/>
    <x v="2"/>
    <n v="1"/>
    <x v="2"/>
    <s v="Enes Ciriković"/>
    <s v="0989225600"/>
    <s v="enes.cirikovic@vuv.hr"/>
    <s v="Ulica Matije Gupca 78"/>
    <s v="Matije Gupca 78, 33000 Virovitica"/>
    <s v="46576407858"/>
    <x v="5"/>
    <m/>
    <m/>
    <m/>
    <m/>
  </r>
  <r>
    <m/>
    <n v="554"/>
    <s v="210"/>
    <x v="17"/>
    <x v="31"/>
    <n v="1"/>
    <x v="1"/>
    <s v="Taras Barščevski"/>
    <s v="+385(91)5335.699"/>
    <s v="taras.barscevski@kbf.unizg.hr"/>
    <s v="Vlaška Ulica 38"/>
    <s v="Vlaška 38"/>
    <s v="48987767944"/>
    <x v="5"/>
    <m/>
    <m/>
    <m/>
    <m/>
  </r>
  <r>
    <m/>
    <n v="555"/>
    <s v="125"/>
    <x v="17"/>
    <x v="84"/>
    <n v="1"/>
    <x v="13"/>
    <s v="Damir Kovačević"/>
    <s v="385912244189"/>
    <s v="damir.kovacevic@efos.hr"/>
    <s v="Trg Ljudevita Gaja 7"/>
    <s v="Trg Ljudevita Gaja 7, Osijek"/>
    <s v="52778515544"/>
    <x v="5"/>
    <m/>
    <m/>
    <m/>
    <m/>
  </r>
  <r>
    <m/>
    <n v="556"/>
    <s v="4497"/>
    <x v="17"/>
    <x v="9"/>
    <n v="3"/>
    <x v="6"/>
    <s v="Branimir Kolman"/>
    <s v="091 244 0130"/>
    <s v="bkolman@unin.hr"/>
    <s v="Trg Dr. Žarka Dolinara 1"/>
    <s v="Ulica 104 brigade 3, VŽ"/>
    <s v="59624928052"/>
    <x v="5"/>
    <m/>
    <m/>
    <m/>
    <m/>
  </r>
  <r>
    <m/>
    <n v="557"/>
    <s v="3554"/>
    <x v="17"/>
    <x v="10"/>
    <n v="4"/>
    <x v="7"/>
    <s v="Dario Kukuljan"/>
    <s v="0993777446"/>
    <s v="dkukuljan@unipu.hr"/>
    <s v="Zagrebačka Ulica 30"/>
    <s v="Alda Negrija 6, Pila"/>
    <s v="61738073226"/>
    <x v="5"/>
    <m/>
    <m/>
    <m/>
    <m/>
  </r>
  <r>
    <m/>
    <n v="558"/>
    <s v="221"/>
    <x v="17"/>
    <x v="11"/>
    <n v="2"/>
    <x v="8"/>
    <s v="Marko Roža"/>
    <s v="051/265-873"/>
    <s v="marko.roza@uniri.hr"/>
    <s v="Trg Braće Mažuranića 10"/>
    <s v="Radmile Matejčić 2; 51000 Rijeka"/>
    <s v="64218323816"/>
    <x v="5"/>
    <m/>
    <m/>
    <m/>
    <m/>
  </r>
  <r>
    <m/>
    <n v="559"/>
    <s v="6229"/>
    <x v="17"/>
    <x v="55"/>
    <n v="1"/>
    <x v="13"/>
    <s v="Matija Karapetrić"/>
    <s v="0915053478"/>
    <s v="matija.karapetric@kifos.hr"/>
    <s v="Drinska 16A"/>
    <s v="Drinska 16a, 31000 Osijek"/>
    <s v="70788591483"/>
    <x v="5"/>
    <m/>
    <m/>
    <m/>
    <m/>
  </r>
  <r>
    <m/>
    <m/>
    <m/>
    <x v="18"/>
    <x v="0"/>
    <n v="78"/>
    <x v="0"/>
    <m/>
    <m/>
    <m/>
    <m/>
    <m/>
    <m/>
    <x v="0"/>
    <m/>
    <m/>
    <m/>
    <m/>
  </r>
  <r>
    <m/>
    <n v="560"/>
    <s v="133"/>
    <x v="18"/>
    <x v="36"/>
    <n v="1"/>
    <x v="11"/>
    <s v="Zvonimir Torba"/>
    <s v="+385 91 4305 724"/>
    <s v="torba@fesb.hr"/>
    <s v="R. Boškovića 32"/>
    <s v="R. Boškovića 32, 21000 Split"/>
    <s v="857144221"/>
    <x v="4"/>
    <m/>
    <m/>
    <m/>
    <m/>
  </r>
  <r>
    <m/>
    <n v="561"/>
    <s v="3990"/>
    <x v="18"/>
    <x v="37"/>
    <n v="10"/>
    <x v="17"/>
    <s v="Stjepo Hladilo"/>
    <s v="0919322586"/>
    <s v="stjepo.hladilo@unidu.hr"/>
    <s v="Branitelja Dubrovnika 41"/>
    <s v="Ćira Carića 4, Dubrovnik"/>
    <s v="1338491514"/>
    <x v="2"/>
    <m/>
    <m/>
    <m/>
    <m/>
  </r>
  <r>
    <m/>
    <n v="562"/>
    <s v="3689"/>
    <x v="18"/>
    <x v="5"/>
    <n v="15"/>
    <x v="1"/>
    <s v="Nikola Barba"/>
    <s v="099 6081 436"/>
    <s v="nikola.barba@unicath.hr"/>
    <s v="Ilica 244B"/>
    <s v="Ilica 244, 10000 Zagreb"/>
    <s v="7730927366"/>
    <x v="4"/>
    <m/>
    <m/>
    <m/>
    <m/>
  </r>
  <r>
    <m/>
    <n v="563"/>
    <s v="368"/>
    <x v="18"/>
    <x v="6"/>
    <n v="8"/>
    <x v="3"/>
    <s v="Ivan Nimac"/>
    <s v="095/826-5888"/>
    <s v="inimac@unizd.hr"/>
    <s v="Ulica Mihovila Pavlinovića 1"/>
    <s v="Obala kralja Petra Krešimira IV. Br. 2, 23000 Zadar"/>
    <s v="10839679016"/>
    <x v="4"/>
    <m/>
    <m/>
    <m/>
    <m/>
  </r>
  <r>
    <m/>
    <n v="564"/>
    <s v="3986"/>
    <x v="18"/>
    <x v="68"/>
    <n v="1"/>
    <x v="1"/>
    <s v="Petra Mitrović"/>
    <s v="0914810222"/>
    <s v="pmitrovic@muza.hr"/>
    <s v="Trg Republike Hrvatske 12"/>
    <s v="Trg Republike Hrvatske 12"/>
    <s v="18422925218"/>
    <x v="4"/>
    <m/>
    <m/>
    <m/>
    <m/>
  </r>
  <r>
    <m/>
    <n v="565"/>
    <s v="4919"/>
    <x v="18"/>
    <x v="42"/>
    <n v="1"/>
    <x v="11"/>
    <s v="Doris Knego"/>
    <s v="098 9394211,"/>
    <s v="doris.knego@pmfst.hr"/>
    <s v="R. Boškovića 33"/>
    <s v="Ruđera Boškovića 33"/>
    <s v="20858497843"/>
    <x v="4"/>
    <m/>
    <m/>
    <m/>
    <m/>
  </r>
  <r>
    <m/>
    <n v="566"/>
    <s v="168"/>
    <x v="18"/>
    <x v="77"/>
    <n v="1"/>
    <x v="13"/>
    <s v="Bruno Bakarić"/>
    <s v="031/224-508"/>
    <s v="bbakaric@pravos.hr"/>
    <s v="Ulica Stjepana Radića 13"/>
    <s v="Stjepana Radića 13"/>
    <s v="26416570803"/>
    <x v="4"/>
    <m/>
    <m/>
    <m/>
    <m/>
  </r>
  <r>
    <m/>
    <n v="567"/>
    <s v="205"/>
    <x v="18"/>
    <x v="44"/>
    <n v="1"/>
    <x v="1"/>
    <s v="Mikolaj Martinjak"/>
    <s v="0989478881"/>
    <s v="mika@ffrz.hr"/>
    <s v="Jordanovac 110"/>
    <s v="Jordanovac 110"/>
    <s v="26975482530"/>
    <x v="4"/>
    <m/>
    <m/>
    <m/>
    <m/>
  </r>
  <r>
    <m/>
    <n v="568"/>
    <s v="3637"/>
    <x v="18"/>
    <x v="81"/>
    <n v="1"/>
    <x v="13"/>
    <s v="Krunoslav Kurilj"/>
    <s v="0991616166"/>
    <s v="kkurilj@foozos.hr"/>
    <s v="Ulica Cara Hadrijana 10"/>
    <s v="Cara Hadrijana 10, 31 000 Osijek – NASTAVNA ZGRADA"/>
    <s v="28082679513"/>
    <x v="4"/>
    <m/>
    <m/>
    <m/>
    <m/>
  </r>
  <r>
    <m/>
    <n v="569"/>
    <s v="469"/>
    <x v="18"/>
    <x v="75"/>
    <n v="1"/>
    <x v="1"/>
    <s v="Krunoslav Komugović"/>
    <s v="385915058109"/>
    <s v="krunoslav.komugovic@pmf.hr"/>
    <s v="Horvatovac 102A"/>
    <s v="Bijenička cesta 30"/>
    <s v="28163265527"/>
    <x v="4"/>
    <m/>
    <m/>
    <m/>
    <m/>
  </r>
  <r>
    <m/>
    <s v="570a_x000a_570b_x000a_570c"/>
    <s v="5713"/>
    <x v="18"/>
    <x v="27"/>
    <n v="3"/>
    <x v="11"/>
    <s v="Marin Gudelj_x000a_Dalibor Bulić_x000a_Petra Musap"/>
    <s v="0913344165_x000a_021 564815, 0915462104_x000a_0991639750"/>
    <s v="marin@oss.unist.hr_x000a_dalibor.bulic@fzz.unist.hr_x000a_petra.musap@unist.hr"/>
    <s v="R. Boškovića 31"/>
    <s v="Kopilica 21, Split 1 kom._x000a_Ruđera Boškovića 35, Split¸ 1 kom._x000a_Poljana kraljice Jelene 1, Split  1 kom."/>
    <s v="29845096215"/>
    <x v="4"/>
    <m/>
    <m/>
    <m/>
    <m/>
  </r>
  <r>
    <m/>
    <n v="571"/>
    <s v="1972"/>
    <x v="18"/>
    <x v="47"/>
    <n v="3"/>
    <x v="20"/>
    <s v="Damir Lulić"/>
    <s v="0981771615"/>
    <s v="dlulic@unisb.hr"/>
    <s v="Trg &quot;Ivana Brlić Mažuranić&quot; 2"/>
    <s v="Ulica 108. brigade ZNG 36"/>
    <s v="33027834374"/>
    <x v="4"/>
    <m/>
    <m/>
    <m/>
    <m/>
  </r>
  <r>
    <m/>
    <n v="572"/>
    <s v="140"/>
    <x v="18"/>
    <x v="83"/>
    <n v="1"/>
    <x v="1"/>
    <s v="Marko Poletto"/>
    <s v="099/4928854"/>
    <s v="pmarko@vef.unizg.hr"/>
    <s v="Ulica Vjekoslava Heinzela 55"/>
    <s v="Ulica Vjekoslava Heinzela 55, 10000 Zagreb"/>
    <s v="36389528408"/>
    <x v="4"/>
    <m/>
    <m/>
    <m/>
    <m/>
  </r>
  <r>
    <m/>
    <n v="573"/>
    <s v="219"/>
    <x v="18"/>
    <x v="28"/>
    <n v="2"/>
    <x v="1"/>
    <s v="Marin Šperanda"/>
    <s v="091 906 6882"/>
    <s v="marin.speranda@caas.unizg.hr"/>
    <s v="Trg Republike Hrvatske 14"/>
    <s v="Don Frana Bulića 4, 20000 Dubrovnik (CAAS)"/>
    <s v="36612267447"/>
    <x v="4"/>
    <m/>
    <m/>
    <m/>
    <m/>
  </r>
  <r>
    <m/>
    <n v="574"/>
    <s v="3545"/>
    <x v="18"/>
    <x v="29"/>
    <n v="1"/>
    <x v="11"/>
    <s v="Branimir Džaja"/>
    <s v="091-2600324"/>
    <s v="branimir.dzaja@umas.hr"/>
    <s v="Zagrebačka 3"/>
    <s v="Glagoljaška 18a, Gripe"/>
    <s v="38960125358"/>
    <x v="4"/>
    <m/>
    <m/>
    <m/>
    <m/>
  </r>
  <r>
    <m/>
    <n v="575"/>
    <s v="173"/>
    <x v="18"/>
    <x v="89"/>
    <n v="1"/>
    <x v="8"/>
    <s v="Siniša Lončarić"/>
    <s v="0913011188"/>
    <s v="sloncaric@pravri.uniri.hr"/>
    <s v="Hahlić 6"/>
    <s v="Hahlić 6, Rijeka"/>
    <s v="43767699965"/>
    <x v="4"/>
    <m/>
    <m/>
    <m/>
    <m/>
  </r>
  <r>
    <m/>
    <n v="576"/>
    <s v="165"/>
    <x v="18"/>
    <x v="79"/>
    <n v="2"/>
    <x v="1"/>
    <s v="Mirza Žižak"/>
    <s v="091-595-2783"/>
    <s v="mirza.zizak@mef.hr"/>
    <s v="Šalata 3"/>
    <s v="Šalata 2"/>
    <s v="45001686598"/>
    <x v="4"/>
    <m/>
    <m/>
    <m/>
    <m/>
  </r>
  <r>
    <m/>
    <n v="577"/>
    <s v="245"/>
    <x v="18"/>
    <x v="52"/>
    <n v="1"/>
    <x v="1"/>
    <s v="Ozren Digula, Kristijan Zbiljski"/>
    <s v="0914595855, 0914595858"/>
    <s v="ozren.digula@zvu.hr, kristijan.zbiljski@zvu.hr"/>
    <s v="Mlinarska Cesta 38"/>
    <s v="Mlinarska cesta 38"/>
    <s v="50952646228"/>
    <x v="4"/>
    <m/>
    <m/>
    <m/>
    <m/>
  </r>
  <r>
    <m/>
    <n v="578"/>
    <s v="3430"/>
    <x v="18"/>
    <x v="53"/>
    <n v="1"/>
    <x v="11"/>
    <s v="Ante Krolo"/>
    <s v="+385 95 903 76 48"/>
    <s v="ante@kifst.hr"/>
    <s v="Teslina 6"/>
    <s v="Teslina 10"/>
    <s v="57848936921"/>
    <x v="4"/>
    <m/>
    <m/>
    <m/>
    <m/>
  </r>
  <r>
    <m/>
    <n v="579"/>
    <s v="181"/>
    <x v="18"/>
    <x v="80"/>
    <n v="2"/>
    <x v="13"/>
    <s v="Zoltan Juhas"/>
    <s v="091/ 2549 157"/>
    <s v="zoli@ffos.hr"/>
    <s v="Ulica Lorenza Jägera 9"/>
    <s v="Ulica Lorenza Jägera 9"/>
    <s v="58868871646"/>
    <x v="4"/>
    <m/>
    <m/>
    <m/>
    <m/>
  </r>
  <r>
    <m/>
    <n v="580"/>
    <s v="4497"/>
    <x v="18"/>
    <x v="9"/>
    <n v="4"/>
    <x v="6"/>
    <s v="Branimir Kolman"/>
    <s v="091 244 0130"/>
    <s v="bkolman@unin.hr"/>
    <s v="Trg Dr. Žarka Dolinara 1"/>
    <s v="Ulica 104 brigade 3, VŽ"/>
    <s v="59624928052"/>
    <x v="4"/>
    <m/>
    <m/>
    <m/>
    <m/>
  </r>
  <r>
    <m/>
    <n v="581"/>
    <s v="3554"/>
    <x v="18"/>
    <x v="10"/>
    <n v="4"/>
    <x v="7"/>
    <s v="Dario Kukuljan"/>
    <s v="0993777446"/>
    <s v="dkukuljan@unipu.hr"/>
    <s v="Zagrebačka Ulica 30"/>
    <s v="Alda Negrija 6, Pila"/>
    <s v="61738073226"/>
    <x v="4"/>
    <m/>
    <m/>
    <m/>
    <m/>
  </r>
  <r>
    <m/>
    <n v="582"/>
    <s v="221"/>
    <x v="18"/>
    <x v="11"/>
    <n v="3"/>
    <x v="8"/>
    <s v="Marko Roža"/>
    <s v="051/265-873"/>
    <s v="marko.roza@uniri.hr"/>
    <s v="Trg Braće Mažuranića 10"/>
    <s v="Radmile Matejčić 2; 51000 Rijeka"/>
    <s v="64218323816"/>
    <x v="4"/>
    <m/>
    <m/>
    <m/>
    <m/>
  </r>
  <r>
    <m/>
    <n v="583"/>
    <s v="150"/>
    <x v="18"/>
    <x v="12"/>
    <n v="2"/>
    <x v="1"/>
    <s v="Dario Đurasović"/>
    <s v="091 4802 130"/>
    <s v="dario@sfzg.hr"/>
    <s v="Gundulićeva Ulica 5"/>
    <s v="Gundulićeva 5, Zagreb"/>
    <s v="70221464726"/>
    <x v="4"/>
    <m/>
    <m/>
    <m/>
    <m/>
  </r>
  <r>
    <m/>
    <n v="584"/>
    <s v="6229"/>
    <x v="18"/>
    <x v="55"/>
    <n v="1"/>
    <x v="13"/>
    <s v="Matija Karapetrić"/>
    <s v="0915053478"/>
    <s v="matija.karapetric@kifos.hr"/>
    <s v="Drinska 16A"/>
    <s v="Drinska 16a, 31000 Osijek"/>
    <s v="70788591483"/>
    <x v="4"/>
    <m/>
    <m/>
    <m/>
    <m/>
  </r>
  <r>
    <m/>
    <n v="585"/>
    <s v="222"/>
    <x v="18"/>
    <x v="33"/>
    <n v="1"/>
    <x v="13"/>
    <s v="Albert Oswald"/>
    <s v=" +385912241400"/>
    <s v="oswald@unios.hr"/>
    <s v="Trg Sv. Trojstva 3"/>
    <s v="Trg. Sv. Trojstva 3."/>
    <s v="78808975734"/>
    <x v="4"/>
    <m/>
    <m/>
    <m/>
    <m/>
  </r>
  <r>
    <m/>
    <n v="586"/>
    <s v="174"/>
    <x v="18"/>
    <x v="86"/>
    <n v="2"/>
    <x v="23"/>
    <s v="Davor Mijolović"/>
    <s v="098-292-104"/>
    <s v="davor.mijolovic@fthm.hr"/>
    <s v="Primorska 46"/>
    <s v="Primorska 46, 51410  Opatija"/>
    <s v="85799845149"/>
    <x v="4"/>
    <m/>
    <m/>
    <m/>
    <m/>
  </r>
  <r>
    <m/>
    <n v="587"/>
    <s v="199"/>
    <x v="18"/>
    <x v="61"/>
    <n v="2"/>
    <x v="13"/>
    <s v="Mario Miloloza"/>
    <s v="0912246140"/>
    <s v="mario.miloloza@ferit.hr"/>
    <s v="Ulica Kneza Trpimira 2B"/>
    <s v="Cara Hadrijana 10b, Osijek"/>
    <s v="95494259952"/>
    <x v="4"/>
    <m/>
    <m/>
    <m/>
    <m/>
  </r>
  <r>
    <m/>
    <n v="588"/>
    <s v="281"/>
    <x v="18"/>
    <x v="63"/>
    <n v="1"/>
    <x v="8"/>
    <s v="Danka Jurjević"/>
    <s v="265-877"/>
    <s v="danka.jurjevic@uniri.hr"/>
    <s v="Sveučilišna Avenija 6"/>
    <s v="Sveučilišna Avenija 6"/>
    <s v="96996385705"/>
    <x v="4"/>
    <m/>
    <m/>
    <m/>
    <m/>
  </r>
  <r>
    <m/>
    <n v="589"/>
    <s v="5769"/>
    <x v="18"/>
    <x v="64"/>
    <n v="1"/>
    <x v="11"/>
    <s v="Slaven Kušljić"/>
    <s v="021 545545, 091 4443745"/>
    <s v="slaven@ffst.hr"/>
    <s v="Poljička Cesta 35"/>
    <s v="Poljička cesta 35"/>
    <s v="98004523293"/>
    <x v="4"/>
    <m/>
    <m/>
    <m/>
    <m/>
  </r>
  <r>
    <m/>
    <m/>
    <m/>
    <x v="19"/>
    <x v="0"/>
    <n v="131"/>
    <x v="0"/>
    <m/>
    <m/>
    <m/>
    <m/>
    <m/>
    <m/>
    <x v="0"/>
    <m/>
    <m/>
    <m/>
    <m/>
  </r>
  <r>
    <m/>
    <n v="590"/>
    <s v="133"/>
    <x v="19"/>
    <x v="36"/>
    <n v="1"/>
    <x v="11"/>
    <s v="Zvonimir Torba"/>
    <s v="+385 91 4305 724"/>
    <s v="torba@fesb.hr"/>
    <s v="R. Boškovića 32"/>
    <s v="R. Boškovića 32, 21000 Split"/>
    <s v="857144221"/>
    <x v="8"/>
    <m/>
    <m/>
    <m/>
    <m/>
  </r>
  <r>
    <m/>
    <n v="591"/>
    <s v="3990"/>
    <x v="19"/>
    <x v="37"/>
    <n v="23"/>
    <x v="17"/>
    <s v="Stjepo Hladilo"/>
    <s v="0919322586"/>
    <s v="stjepo.hladilo@unidu.hr"/>
    <s v="Branitelja Dubrovnika 41"/>
    <s v="Ćira Carića 4, Dubrovnik"/>
    <s v="1338491514"/>
    <x v="2"/>
    <m/>
    <m/>
    <m/>
    <m/>
  </r>
  <r>
    <m/>
    <n v="592"/>
    <s v="131"/>
    <x v="19"/>
    <x v="66"/>
    <n v="8"/>
    <x v="10"/>
    <s v="Mario Harjač"/>
    <s v="097 610 1011"/>
    <s v="maharjac@foi.unizg.hr"/>
    <s v="Pavlinska Ulica 2"/>
    <s v="Pavlinska ulica 2, Varaždin"/>
    <s v="2024882310"/>
    <x v="8"/>
    <m/>
    <m/>
    <m/>
    <m/>
  </r>
  <r>
    <m/>
    <n v="593"/>
    <s v="149"/>
    <x v="19"/>
    <x v="38"/>
    <n v="1"/>
    <x v="11"/>
    <s v="Dalibor Gabela"/>
    <s v="091-1557942"/>
    <s v="helpdesk@mefst.hr"/>
    <s v="Šoltanska 2"/>
    <s v="Šoltanska 2A, Split"/>
    <s v="2879747067"/>
    <x v="8"/>
    <m/>
    <m/>
    <m/>
    <m/>
  </r>
  <r>
    <m/>
    <n v="594"/>
    <s v="132"/>
    <x v="19"/>
    <x v="39"/>
    <n v="2"/>
    <x v="11"/>
    <s v="Juraj Saratlija"/>
    <s v="0996935026"/>
    <s v="juraj.saratlija@pravst.hr"/>
    <s v="Ulica Domovinskog Rata 8"/>
    <s v="Domovinskog rata 8, Split"/>
    <s v="3541568700"/>
    <x v="8"/>
    <m/>
    <m/>
    <m/>
    <m/>
  </r>
  <r>
    <m/>
    <n v="595"/>
    <s v="153"/>
    <x v="19"/>
    <x v="40"/>
    <n v="1"/>
    <x v="1"/>
    <s v="Mihael Šutalo"/>
    <s v="099/2717915"/>
    <s v="msutalo@sumfak.hr"/>
    <s v="Svetošimunska Cesta 23"/>
    <s v="Svetošimunska cesta 23"/>
    <s v="7699719217"/>
    <x v="8"/>
    <m/>
    <m/>
    <m/>
    <m/>
  </r>
  <r>
    <m/>
    <n v="596"/>
    <s v="3689"/>
    <x v="19"/>
    <x v="5"/>
    <n v="2"/>
    <x v="1"/>
    <s v="Nikola Barba"/>
    <s v="099 6081 436"/>
    <s v="nikola.barba@unicath.hr"/>
    <s v="Ilica 244B"/>
    <s v="Ilica 244, 10000 Zagreb"/>
    <s v="7730927366"/>
    <x v="8"/>
    <m/>
    <m/>
    <m/>
    <m/>
  </r>
  <r>
    <m/>
    <n v="597"/>
    <s v="1918"/>
    <x v="19"/>
    <x v="23"/>
    <n v="1"/>
    <x v="1"/>
    <s v="Ivan Rajković"/>
    <s v="+385998153651"/>
    <s v="ivan.rajkovic@tvz.hr"/>
    <s v="Vrbik 8"/>
    <s v="Vrbik 8"/>
    <s v="8814003451"/>
    <x v="8"/>
    <m/>
    <m/>
    <m/>
    <m/>
  </r>
  <r>
    <m/>
    <n v="598"/>
    <s v="368"/>
    <x v="19"/>
    <x v="6"/>
    <n v="1"/>
    <x v="3"/>
    <s v="Ivan Nimac"/>
    <s v="095/826-5888"/>
    <s v="inimac@unizd.hr"/>
    <s v="Ulica Mihovila Pavlinovića 1"/>
    <s v="Obala kralja Petra Krešimira IV. Br. 2, 23000 Zadar"/>
    <s v="10839679016"/>
    <x v="8"/>
    <m/>
    <m/>
    <m/>
    <m/>
  </r>
  <r>
    <m/>
    <n v="599"/>
    <s v="3409"/>
    <x v="19"/>
    <x v="24"/>
    <n v="2"/>
    <x v="15"/>
    <s v="Ivan Reponj"/>
    <s v="0989389348"/>
    <s v="ireponj@ftrr.hr"/>
    <s v="Vukovarska 17"/>
    <s v="Vukovarska 17, Požega"/>
    <s v="11614501047"/>
    <x v="8"/>
    <m/>
    <m/>
    <m/>
    <m/>
  </r>
  <r>
    <m/>
    <n v="600"/>
    <s v="121"/>
    <x v="19"/>
    <x v="1"/>
    <n v="1"/>
    <x v="1"/>
    <s v="Mate Galić"/>
    <s v="098806500"/>
    <s v="mate.galic@pharma.unizg.hr"/>
    <s v="Ulica Ante Kovačića 1"/>
    <s v="Domagojeva 2"/>
    <s v="14509285435"/>
    <x v="8"/>
    <m/>
    <m/>
    <m/>
    <m/>
  </r>
  <r>
    <m/>
    <s v="601a_x000a_601b"/>
    <s v="3385"/>
    <x v="19"/>
    <x v="41"/>
    <n v="2"/>
    <x v="18"/>
    <s v="Nikola Kanišk"/>
    <s v="099/5246985"/>
    <s v="nikola.kaniski@vhzk.hr"/>
    <s v="Šetalište Hrvatskog Narodnog Preporoda 6"/>
    <s v="Trg S. Radića 8"/>
    <s v="16465214888"/>
    <x v="8"/>
    <m/>
    <m/>
    <m/>
    <m/>
  </r>
  <r>
    <m/>
    <n v="602"/>
    <s v="3986"/>
    <x v="19"/>
    <x v="68"/>
    <n v="1"/>
    <x v="1"/>
    <s v="Petra Mitrović"/>
    <s v="0914810222"/>
    <s v="pmitrovic@muza.hr"/>
    <s v="Trg Republike Hrvatske 12"/>
    <s v="Trg Republike Hrvatske 12"/>
    <s v="18422925218"/>
    <x v="8"/>
    <m/>
    <m/>
    <m/>
    <m/>
  </r>
  <r>
    <m/>
    <n v="603"/>
    <s v="4660"/>
    <x v="19"/>
    <x v="69"/>
    <n v="1"/>
    <x v="8"/>
    <s v="Vedran Ćurković"/>
    <s v="091 / 9536547"/>
    <s v="vedran.curkovic@uniri.hr"/>
    <s v="Viktora Cara Emina 5"/>
    <s v="Viktora Cara Emina 5"/>
    <s v="19213484918"/>
    <x v="8"/>
    <m/>
    <m/>
    <m/>
    <m/>
  </r>
  <r>
    <m/>
    <n v="604"/>
    <s v="536"/>
    <x v="19"/>
    <x v="25"/>
    <n v="1"/>
    <x v="16"/>
    <s v="IGOR BILANDŽIĆ"/>
    <s v="091-444-6885"/>
    <s v="Igor.bilandzic@vevu.hr"/>
    <s v="Županijska 50"/>
    <s v="BLAGE ZADRE 2, VUKOVAR"/>
    <s v="21720825730"/>
    <x v="8"/>
    <m/>
    <m/>
    <m/>
    <m/>
  </r>
  <r>
    <m/>
    <n v="605"/>
    <s v="136"/>
    <x v="19"/>
    <x v="91"/>
    <n v="3"/>
    <x v="1"/>
    <s v="Stipe Gorenjak"/>
    <s v="091 3658 600"/>
    <s v="stipe.gorenjak@kif.unizg.hr"/>
    <s v="Horvaćanski Zavoj 15"/>
    <s v="Horvaćanski zavoj 15"/>
    <s v="25329931628"/>
    <x v="8"/>
    <m/>
    <m/>
    <m/>
    <m/>
  </r>
  <r>
    <m/>
    <n v="606"/>
    <s v="191"/>
    <x v="19"/>
    <x v="88"/>
    <n v="2"/>
    <x v="1"/>
    <s v="Dario Kužić"/>
    <s v="385994988065"/>
    <s v=" dkuzic@fpz.unizg.hr"/>
    <s v="Ulica Lavoslava Vukelića 4"/>
    <s v="Borongajska cesta 83a"/>
    <s v="25410051374"/>
    <x v="8"/>
    <m/>
    <m/>
    <m/>
    <m/>
  </r>
  <r>
    <m/>
    <n v="607"/>
    <s v="130"/>
    <x v="19"/>
    <x v="45"/>
    <n v="1"/>
    <x v="1"/>
    <s v="Kristian Došen"/>
    <s v="091 7888 474"/>
    <s v="kristian.dosen@fpzg.hr"/>
    <s v="Ulica Ivana Lepušića 6"/>
    <s v="Lepušićeva 6, 10000 Zagreb"/>
    <s v="28011548575"/>
    <x v="8"/>
    <m/>
    <m/>
    <m/>
    <m/>
  </r>
  <r>
    <m/>
    <n v="608"/>
    <s v="469"/>
    <x v="19"/>
    <x v="75"/>
    <n v="2"/>
    <x v="1"/>
    <s v="Krunoslav Komugović"/>
    <s v="385915058109"/>
    <s v="krunoslav.komugovic@pmf.hr"/>
    <s v="Horvatovac 102A"/>
    <s v="Bijenička cesta 30"/>
    <s v="28163265527"/>
    <x v="8"/>
    <m/>
    <m/>
    <m/>
    <m/>
  </r>
  <r>
    <m/>
    <n v="609"/>
    <s v="250"/>
    <x v="19"/>
    <x v="17"/>
    <n v="7"/>
    <x v="8"/>
    <s v="Davorin Tadić"/>
    <s v="091 332 1308"/>
    <s v="dtadic@veleri.hr"/>
    <s v="Trpimirova 2"/>
    <s v="Vukovarska 58, Rijeka"/>
    <s v="29573709870"/>
    <x v="8"/>
    <m/>
    <m/>
    <m/>
    <m/>
  </r>
  <r>
    <m/>
    <n v="610"/>
    <s v="5713"/>
    <x v="19"/>
    <x v="27"/>
    <n v="1"/>
    <x v="11"/>
    <s v="Leida Rizvan_x000a_"/>
    <s v="0914433905_x000a_"/>
    <s v="leida.rizvan@unist.hr_x000a_"/>
    <s v="R. Boškovića 31"/>
    <s v="Ruđera Boškovića 31, Split"/>
    <s v="29845096215"/>
    <x v="8"/>
    <m/>
    <m/>
    <m/>
    <m/>
  </r>
  <r>
    <m/>
    <n v="611"/>
    <s v="3482"/>
    <x v="19"/>
    <x v="46"/>
    <n v="1"/>
    <x v="19"/>
    <s v="Željko Hrebak"/>
    <s v="098710398"/>
    <s v="zhrebak@mev.hr"/>
    <s v="Ulica Bana Josipa Jelačića 22A"/>
    <s v="Ul. bana Josipa Jelačića 22a"/>
    <s v="31444990605"/>
    <x v="8"/>
    <m/>
    <m/>
    <m/>
    <m/>
  </r>
  <r>
    <m/>
    <n v="612"/>
    <s v="1972"/>
    <x v="19"/>
    <x v="47"/>
    <n v="4"/>
    <x v="20"/>
    <s v="Damir Lulić"/>
    <s v="0981771615"/>
    <s v="dlulic@unisb.hr"/>
    <s v="Trg &quot;Ivana Brlić Mažuranić&quot; 2"/>
    <s v="Ulica 108. brigade ZNG 36"/>
    <s v="33027834374"/>
    <x v="8"/>
    <m/>
    <m/>
    <m/>
    <m/>
  </r>
  <r>
    <m/>
    <n v="613"/>
    <s v="267"/>
    <x v="19"/>
    <x v="82"/>
    <n v="1"/>
    <x v="11"/>
    <s v="Željko Matas"/>
    <s v="097 7094175"/>
    <s v="zmatas@kbf-st.hr"/>
    <s v="Zrinjsko-Frankopanska 19"/>
    <s v="Zrinjsko-Frankopanska 19, Split"/>
    <s v="36149548625"/>
    <x v="8"/>
    <m/>
    <m/>
    <m/>
    <m/>
  </r>
  <r>
    <m/>
    <n v="614"/>
    <s v="140"/>
    <x v="19"/>
    <x v="83"/>
    <n v="1"/>
    <x v="1"/>
    <s v="Marko Poletto"/>
    <s v="099/4928854"/>
    <s v="pmarko@vef.unizg.hr"/>
    <s v="Ulica Vjekoslava Heinzela 55"/>
    <s v="Ulica Vjekoslava Heinzela 55, 10000 Zagreb"/>
    <s v="36389528408"/>
    <x v="8"/>
    <m/>
    <m/>
    <m/>
    <m/>
  </r>
  <r>
    <m/>
    <s v="615a_x000a_615b"/>
    <s v="219"/>
    <x v="19"/>
    <x v="28"/>
    <n v="3"/>
    <x v="1"/>
    <s v="Siniša Vlahović_x000a_Marin Šperanda"/>
    <s v="098 268 472_x000a_091 906 6882"/>
    <s v="svlahovic@unizg.hr_x000a_marin.speranda@caas.unizg.hr"/>
    <s v="Trg Republike Hrvatske 14"/>
    <s v="Ulica Radoslava Cimermana 88, 10000 Zagreb 2 kom._x000a_Don Frana Bulića 4, 20000 Dubrovnik (CAAS) 1 kom."/>
    <s v="36612267447"/>
    <x v="8"/>
    <m/>
    <m/>
    <m/>
    <m/>
  </r>
  <r>
    <m/>
    <n v="616"/>
    <s v="141"/>
    <x v="19"/>
    <x v="30"/>
    <n v="2"/>
    <x v="1"/>
    <s v="Emil Flatz"/>
    <s v="38598302567"/>
    <s v="eflatz@arhitekt.hr"/>
    <s v="Kačićeva Ulica 26"/>
    <s v="Frankopanska 12"/>
    <s v="42061107444"/>
    <x v="8"/>
    <m/>
    <m/>
    <m/>
    <m/>
  </r>
  <r>
    <m/>
    <n v="617"/>
    <s v="1944"/>
    <x v="19"/>
    <x v="8"/>
    <n v="3"/>
    <x v="5"/>
    <s v="Mile Vičić"/>
    <s v="098675984"/>
    <s v="mvicic@velegs-nikolatesla.hr"/>
    <s v="Ulica Bana Ivana Karlovića 16"/>
    <s v="Ulica bana Ivana Karlovića 16"/>
    <s v="42552392522"/>
    <x v="8"/>
    <m/>
    <m/>
    <m/>
    <m/>
  </r>
  <r>
    <m/>
    <n v="618"/>
    <s v="122"/>
    <x v="19"/>
    <x v="49"/>
    <n v="1"/>
    <x v="1"/>
    <s v="Marijo Seničić"/>
    <s v="099 533 7842"/>
    <s v="marijo.senicic@geof.unizg.hr"/>
    <s v="Kačićeva Ulica 26"/>
    <s v="Kačićeva 26, 10000 Zagreb"/>
    <s v="43594593297"/>
    <x v="8"/>
    <m/>
    <m/>
    <m/>
    <m/>
  </r>
  <r>
    <m/>
    <n v="619"/>
    <s v="154"/>
    <x v="19"/>
    <x v="50"/>
    <n v="1"/>
    <x v="8"/>
    <s v="Daniel Maratović"/>
    <s v="095/9064710"/>
    <s v="daniel.maratovic@riteh.uniri.hr"/>
    <s v="Vukovarska 58"/>
    <s v="Vukovarska 58, HR-51000 Rijeka"/>
    <s v="46319717480"/>
    <x v="8"/>
    <m/>
    <m/>
    <m/>
    <m/>
  </r>
  <r>
    <m/>
    <n v="620"/>
    <s v="3795"/>
    <x v="19"/>
    <x v="2"/>
    <n v="6"/>
    <x v="2"/>
    <s v="Enes Ciriković"/>
    <s v="0989225600"/>
    <s v="enes.cirikovic@vuv.hr"/>
    <s v="Ulica Matije Gupca 78"/>
    <s v="Matije Gupca 78, 33000 Virovitica"/>
    <s v="46576407858"/>
    <x v="8"/>
    <m/>
    <m/>
    <m/>
    <m/>
  </r>
  <r>
    <m/>
    <n v="621"/>
    <s v="146"/>
    <x v="19"/>
    <x v="70"/>
    <n v="2"/>
    <x v="1"/>
    <s v="Ana Vukelić"/>
    <s v="0915677600"/>
    <s v="avukelic@pbf.hr"/>
    <s v="Pierottijeva Ulica 6"/>
    <s v="Pierottijeva 6"/>
    <s v="47824453867"/>
    <x v="8"/>
    <m/>
    <m/>
    <m/>
    <m/>
  </r>
  <r>
    <m/>
    <n v="622"/>
    <s v="210"/>
    <x v="19"/>
    <x v="31"/>
    <n v="1"/>
    <x v="1"/>
    <s v="Taras Barščevski"/>
    <s v="+385(91)5335.699"/>
    <s v="taras.barscevski@kbf.unizg.hr"/>
    <s v="Vlaška Ulica 38"/>
    <s v="Vlaška 38"/>
    <s v="48987767944"/>
    <x v="8"/>
    <m/>
    <m/>
    <m/>
    <m/>
  </r>
  <r>
    <m/>
    <n v="623"/>
    <s v="215"/>
    <x v="19"/>
    <x v="18"/>
    <n v="1"/>
    <x v="1"/>
    <s v="Ivan Šetin"/>
    <s v="0981839338"/>
    <s v="isetin@adu.hr"/>
    <s v="Trg Republike Hrvatske 5"/>
    <s v="Trg Republike Hrvatske 5, Zagreb"/>
    <s v="52097842295"/>
    <x v="8"/>
    <m/>
    <m/>
    <m/>
    <m/>
  </r>
  <r>
    <m/>
    <n v="624"/>
    <s v="125"/>
    <x v="19"/>
    <x v="84"/>
    <n v="2"/>
    <x v="13"/>
    <s v="Damir Kovačević"/>
    <s v="385912244189"/>
    <s v="damir.kovacevic@efos.hr"/>
    <s v="Trg Ljudevita Gaja 7"/>
    <s v="Trg Ljudevita Gaja 7, Osijek"/>
    <s v="52778515544"/>
    <x v="8"/>
    <m/>
    <m/>
    <m/>
    <m/>
  </r>
  <r>
    <m/>
    <n v="625"/>
    <s v="1939"/>
    <x v="19"/>
    <x v="76"/>
    <n v="1"/>
    <x v="8"/>
    <s v="Aljoša Brajdić"/>
    <s v="099/2217114"/>
    <s v="aljosa.brajdic@apuri.uniri.hr"/>
    <s v="Slavka Krautzeka 83"/>
    <s v="Slavka Krautzeka 83, 51000 Rijeka"/>
    <s v="55704161999"/>
    <x v="8"/>
    <m/>
    <m/>
    <m/>
    <m/>
  </r>
  <r>
    <m/>
    <n v="626"/>
    <s v="275"/>
    <x v="19"/>
    <x v="85"/>
    <n v="1"/>
    <x v="13"/>
    <s v="Petar Taler"/>
    <s v="091 224 1039"/>
    <s v="petar@mathos.hr"/>
    <s v="Trg Ljudevita Gaja 6"/>
    <s v="Trg Lj. Gaja 6, Osijek"/>
    <s v="56597320763"/>
    <x v="8"/>
    <m/>
    <m/>
    <m/>
    <m/>
  </r>
  <r>
    <m/>
    <n v="627"/>
    <s v="138"/>
    <x v="19"/>
    <x v="71"/>
    <n v="1"/>
    <x v="1"/>
    <s v="Denis Hernaut"/>
    <s v="+385 91 604 3920"/>
    <s v="denis.hernaut@fer.hr"/>
    <s v="Unska Ulica 3"/>
    <s v="Vukovarska 39, Zagreb"/>
    <s v="57029260362"/>
    <x v="8"/>
    <m/>
    <m/>
    <m/>
    <m/>
  </r>
  <r>
    <m/>
    <n v="628"/>
    <s v="181"/>
    <x v="19"/>
    <x v="80"/>
    <n v="2"/>
    <x v="13"/>
    <s v="Zoltan Juhas"/>
    <s v="091/ 2549 157"/>
    <s v="zoli@ffos.hr"/>
    <s v="Ulica Lorenza Jägera 9"/>
    <s v="Ulica Lorenza Jägera 9"/>
    <s v="58868871646"/>
    <x v="8"/>
    <m/>
    <m/>
    <m/>
    <m/>
  </r>
  <r>
    <m/>
    <n v="629"/>
    <s v="3554"/>
    <x v="19"/>
    <x v="10"/>
    <n v="2"/>
    <x v="7"/>
    <s v="Dario Kukuljan"/>
    <s v="0993777446"/>
    <s v="dkukuljan@unipu.hr"/>
    <s v="Zagrebačka Ulica 30"/>
    <s v="Alda Negrija 6, Pila"/>
    <s v="61738073226"/>
    <x v="8"/>
    <m/>
    <m/>
    <m/>
    <m/>
  </r>
  <r>
    <m/>
    <n v="630"/>
    <s v="1963"/>
    <x v="19"/>
    <x v="72"/>
    <n v="1"/>
    <x v="22"/>
    <s v="Marko Štedul"/>
    <s v="098-9919-742"/>
    <s v="marko.stedul@vuka.hr"/>
    <s v="Ivana Meštrovića 10"/>
    <s v="J. J. Strossmayera 9"/>
    <s v="62820859976"/>
    <x v="8"/>
    <m/>
    <m/>
    <m/>
    <m/>
  </r>
  <r>
    <m/>
    <n v="631"/>
    <s v="161"/>
    <x v="19"/>
    <x v="54"/>
    <n v="1"/>
    <x v="1"/>
    <s v="Sead Berberović"/>
    <s v="0915226263"/>
    <s v="sead.berberovic@grad.unizg.hr"/>
    <s v="Kačićeva Ulica 26"/>
    <s v="Kačićeva 26, Zagreb"/>
    <s v="62924153420"/>
    <x v="8"/>
    <m/>
    <m/>
    <m/>
    <m/>
  </r>
  <r>
    <m/>
    <s v="632a_x000a_632b_x000a_632c"/>
    <s v="221"/>
    <x v="19"/>
    <x v="11"/>
    <n v="10"/>
    <x v="8"/>
    <s v="Linda Petričić,  Nicole Tomišić _x000a_Marko Roža"/>
    <s v="091 165 1207, 0922875203_x000a_051/265-873"/>
    <s v="ntomisic@fdmri.uniri.hr linda.petricic@fdmri.uniri.hr_x000a_marko.roza@uniri.hr"/>
    <s v="Trg Braće Mažuranića 10"/>
    <s v="Krešimirova 40/42, 51000 Rijeak 3 kom._x000a_Radmile Matejčić 2; 51000 Rijeka 7 kom."/>
    <s v="64218323816"/>
    <x v="8"/>
    <m/>
    <m/>
    <m/>
    <m/>
  </r>
  <r>
    <m/>
    <n v="633"/>
    <s v="150"/>
    <x v="19"/>
    <x v="12"/>
    <n v="2"/>
    <x v="1"/>
    <s v="Dario Đurasović"/>
    <s v="091 4802 130"/>
    <s v="dario@sfzg.hr"/>
    <s v="Gundulićeva Ulica 5"/>
    <s v="Gundulićeva 5, Zagreb"/>
    <s v="70221464726"/>
    <x v="8"/>
    <m/>
    <m/>
    <m/>
    <m/>
  </r>
  <r>
    <m/>
    <n v="634"/>
    <s v="184"/>
    <x v="19"/>
    <x v="3"/>
    <n v="1"/>
    <x v="1"/>
    <s v="Igor Horaček"/>
    <s v="091/722-0837"/>
    <s v="igor@fkit.hr"/>
    <s v="Trg Marka Marulića 19"/>
    <s v="Trg Marka Marulića 20, Zagreb, podrum"/>
    <s v="71259740533"/>
    <x v="8"/>
    <m/>
    <m/>
    <m/>
    <m/>
  </r>
  <r>
    <m/>
    <n v="635"/>
    <s v="113"/>
    <x v="19"/>
    <x v="13"/>
    <n v="1"/>
    <x v="9"/>
    <s v="Andreas Mađerić"/>
    <s v="048 279 196"/>
    <s v="amaderic@vguk.hr"/>
    <s v="Ulica Milislava Demerca 1"/>
    <s v="Milislava Demerca 1, 48260 Križevci"/>
    <s v="75480885018"/>
    <x v="8"/>
    <m/>
    <m/>
    <m/>
    <m/>
  </r>
  <r>
    <m/>
    <n v="636"/>
    <s v="222"/>
    <x v="19"/>
    <x v="33"/>
    <n v="1"/>
    <x v="13"/>
    <s v="Tomica Bunjevac"/>
    <s v=" +385913568984"/>
    <s v="tbunjevac@fizika.unios.hr"/>
    <s v="Trg Sv. Trojstva 3"/>
    <s v=" Trg Ljudevita Gaja 6"/>
    <s v="78808975734"/>
    <x v="8"/>
    <m/>
    <m/>
    <m/>
    <m/>
  </r>
  <r>
    <m/>
    <n v="637"/>
    <s v="163"/>
    <x v="19"/>
    <x v="58"/>
    <n v="2"/>
    <x v="11"/>
    <s v="Alen Domazet"/>
    <s v="091 568 5994"/>
    <s v="adomazet@gradst.hr"/>
    <s v="Matice Hrvatske 15"/>
    <s v="Matice hrvatske 15, 21000 Split"/>
    <s v="83615500218"/>
    <x v="8"/>
    <m/>
    <m/>
    <m/>
    <m/>
  </r>
  <r>
    <m/>
    <n v="638"/>
    <s v="5717"/>
    <x v="19"/>
    <x v="59"/>
    <n v="1"/>
    <x v="13"/>
    <s v="Andrija Ljubičić_x000a_"/>
    <s v="091 2241 423_x000a_"/>
    <s v="andrija.ljubicic@fdmz.hr_x000a_"/>
    <s v="Crkvena Ulica 21"/>
    <s v="Crkvena 21"/>
    <s v="83830458507"/>
    <x v="8"/>
    <m/>
    <m/>
    <m/>
    <m/>
  </r>
  <r>
    <m/>
    <n v="639"/>
    <s v="316"/>
    <x v="19"/>
    <x v="20"/>
    <n v="1"/>
    <x v="11"/>
    <s v="Ante Denić"/>
    <s v="(+385)915683877"/>
    <s v="dante@efst.hr"/>
    <s v="Cvite Fiskovića 5"/>
    <s v="Cvite Fiskovića 5, Split"/>
    <s v="84477684422"/>
    <x v="8"/>
    <m/>
    <m/>
    <m/>
    <m/>
  </r>
  <r>
    <m/>
    <n v="640"/>
    <s v="174"/>
    <x v="19"/>
    <x v="86"/>
    <n v="2"/>
    <x v="23"/>
    <s v="Davor Mijolović"/>
    <s v="098-292-104"/>
    <s v="davor.mijolovic@fthm.hr"/>
    <s v="Primorska 46"/>
    <s v="Primorska 46, 51410  Opatija"/>
    <s v="85799845149"/>
    <x v="8"/>
    <m/>
    <m/>
    <m/>
    <m/>
  </r>
  <r>
    <m/>
    <n v="641"/>
    <s v="186"/>
    <x v="19"/>
    <x v="60"/>
    <n v="1"/>
    <x v="1"/>
    <s v="Boris Beker"/>
    <s v="098/211-765"/>
    <s v="bbeker@ffzg.hr"/>
    <s v="Ulica Ivana Lučića 3"/>
    <s v="Ivana Lučića 3"/>
    <s v="90633715804"/>
    <x v="8"/>
    <m/>
    <m/>
    <m/>
    <m/>
  </r>
  <r>
    <m/>
    <n v="642"/>
    <s v="172"/>
    <x v="19"/>
    <x v="95"/>
    <n v="2"/>
    <x v="8"/>
    <s v="Elvis Žic"/>
    <s v="0915038578"/>
    <s v="elvis.zic@uniri.hr"/>
    <s v="Ulica Radmile Matejčić 3"/>
    <s v="Ulica Radmile Matejčić 3, 51000 Rijeka"/>
    <s v="92037849504"/>
    <x v="8"/>
    <m/>
    <m/>
    <m/>
    <m/>
  </r>
  <r>
    <m/>
    <n v="643"/>
    <s v="281"/>
    <x v="19"/>
    <x v="63"/>
    <n v="1"/>
    <x v="8"/>
    <s v="Danka Jurjević"/>
    <s v="265-877"/>
    <s v="danka.jurjevic@uniri.hr"/>
    <s v="Sveučilišna Avenija 6"/>
    <s v="Sveučilišna Avenija 6"/>
    <s v="96996385705"/>
    <x v="8"/>
    <m/>
    <m/>
    <m/>
    <m/>
  </r>
  <r>
    <m/>
    <n v="644"/>
    <s v="147"/>
    <x v="19"/>
    <x v="87"/>
    <n v="2"/>
    <x v="8"/>
    <s v="Teo Brusić_x000a_Zoran Vučinić"/>
    <s v="098/338-182_x000a_091/1651-230"/>
    <s v="teo.brusic@medri.uniri.hr_x000a_zoran.vucinic@medri.uniri.hr"/>
    <s v="Braće Branchetta 20"/>
    <s v="Rijeka, B. Branchetta 20"/>
    <s v="98164324541"/>
    <x v="8"/>
    <m/>
    <m/>
    <m/>
    <m/>
  </r>
  <r>
    <m/>
    <n v="645"/>
    <s v="158"/>
    <x v="19"/>
    <x v="21"/>
    <n v="1"/>
    <x v="13"/>
    <s v="Ivan Rebekić"/>
    <s v="099 304 6109"/>
    <s v="irebekic@fazos.hr"/>
    <s v="Ulica Vladimira Preloga 1"/>
    <s v="Vladimira Preloga 1, 31000 Osijek"/>
    <s v="98816779821"/>
    <x v="8"/>
    <m/>
    <m/>
    <m/>
    <m/>
  </r>
  <r>
    <m/>
    <n v="646"/>
    <s v="203"/>
    <x v="19"/>
    <x v="65"/>
    <n v="1"/>
    <x v="1"/>
    <s v="Marijan Galjar"/>
    <s v="098 855 676"/>
    <s v="marijan.galjar@rgn.hr"/>
    <s v="Pierottijeva Ulica 6"/>
    <s v="Pierottijeva 6"/>
    <s v="99534693762"/>
    <x v="8"/>
    <m/>
    <m/>
    <m/>
    <m/>
  </r>
  <r>
    <m/>
    <m/>
    <m/>
    <x v="20"/>
    <x v="0"/>
    <n v="88"/>
    <x v="0"/>
    <m/>
    <m/>
    <m/>
    <m/>
    <m/>
    <m/>
    <x v="0"/>
    <m/>
    <m/>
    <m/>
    <m/>
  </r>
  <r>
    <m/>
    <n v="647"/>
    <s v="133"/>
    <x v="20"/>
    <x v="36"/>
    <n v="1"/>
    <x v="11"/>
    <s v="Zvonimir Torba"/>
    <s v="+385 91 4305 724"/>
    <s v="torba@fesb.hr"/>
    <s v="R. Boškovića 32"/>
    <s v="R. Boškovića 32, 21000 Split"/>
    <s v="857144221"/>
    <x v="5"/>
    <m/>
    <m/>
    <m/>
    <m/>
  </r>
  <r>
    <m/>
    <n v="648"/>
    <s v="3990"/>
    <x v="20"/>
    <x v="37"/>
    <n v="11"/>
    <x v="17"/>
    <s v="Stjepo Hladilo"/>
    <s v="0919322586"/>
    <s v="stjepo.hladilo@unidu.hr"/>
    <s v="Branitelja Dubrovnika 41"/>
    <s v="Branitelja Dubrovnika 41, Dubrovnik"/>
    <s v="1338491514"/>
    <x v="5"/>
    <m/>
    <m/>
    <m/>
    <m/>
  </r>
  <r>
    <m/>
    <n v="649"/>
    <s v="131"/>
    <x v="20"/>
    <x v="66"/>
    <n v="1"/>
    <x v="10"/>
    <s v="Mario Harjač"/>
    <s v="097 610 1011"/>
    <s v="maharjac@foi.unizg.hr"/>
    <s v="Pavlinska Ulica 2"/>
    <s v="Ulica Petra Preradovića 15, Varaždin"/>
    <s v="2024882310"/>
    <x v="5"/>
    <m/>
    <m/>
    <m/>
    <m/>
  </r>
  <r>
    <m/>
    <n v="650"/>
    <s v="149"/>
    <x v="20"/>
    <x v="38"/>
    <n v="2"/>
    <x v="11"/>
    <s v="Dalibor Gabela"/>
    <s v="091-1557942"/>
    <s v="helpdesk@mefst.hr"/>
    <s v="Šoltanska 2"/>
    <s v="Šoltanska 2A, Split"/>
    <s v="2879747067"/>
    <x v="5"/>
    <m/>
    <m/>
    <m/>
    <m/>
  </r>
  <r>
    <m/>
    <n v="651"/>
    <s v="132"/>
    <x v="20"/>
    <x v="39"/>
    <n v="4"/>
    <x v="11"/>
    <s v="Juraj Saratlija"/>
    <s v="0996935026"/>
    <s v="juraj.saratlija@pravst.hr"/>
    <s v="Ulica Domovinskog Rata 8"/>
    <s v="Domovinskog rata 8, Split"/>
    <s v="3541568700"/>
    <x v="5"/>
    <m/>
    <m/>
    <m/>
    <m/>
  </r>
  <r>
    <m/>
    <n v="652"/>
    <s v="3689"/>
    <x v="20"/>
    <x v="5"/>
    <n v="8"/>
    <x v="1"/>
    <s v="Nikola Barba"/>
    <s v="099 6081 436"/>
    <s v="nikola.barba@unicath.hr"/>
    <s v="Ilica 244B"/>
    <s v="Ilica 244, 10000 Zagreb"/>
    <s v="7730927366"/>
    <x v="5"/>
    <m/>
    <m/>
    <m/>
    <m/>
  </r>
  <r>
    <m/>
    <n v="653"/>
    <s v="368"/>
    <x v="20"/>
    <x v="6"/>
    <n v="5"/>
    <x v="3"/>
    <s v="Ivan Nimac"/>
    <s v="095/826-5888"/>
    <s v="inimac@unizd.hr"/>
    <s v="Ulica Mihovila Pavlinovića 1"/>
    <s v="Obala kralja Petra Krešimira IV. Br. 2, 23000 Zadar"/>
    <s v="10839679016"/>
    <x v="5"/>
    <m/>
    <m/>
    <m/>
    <m/>
  </r>
  <r>
    <m/>
    <n v="654"/>
    <s v="530"/>
    <x v="20"/>
    <x v="7"/>
    <n v="2"/>
    <x v="4"/>
    <s v="Marko Meštrović"/>
    <s v="022/664-451"/>
    <s v="mmestrovic@veleknin.hr"/>
    <s v="Krešimirova 30"/>
    <s v="Krešimirova 30, Knin"/>
    <s v="13664089430"/>
    <x v="5"/>
    <m/>
    <m/>
    <m/>
    <m/>
  </r>
  <r>
    <m/>
    <n v="655"/>
    <s v="137"/>
    <x v="20"/>
    <x v="67"/>
    <n v="1"/>
    <x v="13"/>
    <s v="Bojan Tovjanin"/>
    <s v="0912241440"/>
    <s v="btovjanin@mefos.hr"/>
    <s v="Ulica Josipa Huttlera 4"/>
    <s v="Josipa Huttlera 4"/>
    <s v="16214165873"/>
    <x v="5"/>
    <m/>
    <m/>
    <m/>
    <m/>
  </r>
  <r>
    <m/>
    <n v="656"/>
    <s v="4919"/>
    <x v="20"/>
    <x v="42"/>
    <n v="1"/>
    <x v="11"/>
    <s v="Doris Knego"/>
    <s v="098 9394211,"/>
    <s v="doris.knego@pmfst.hr"/>
    <s v="R. Boškovića 33"/>
    <s v="Ruđera Boškovića 33"/>
    <s v="20858497843"/>
    <x v="5"/>
    <m/>
    <m/>
    <m/>
    <m/>
  </r>
  <r>
    <m/>
    <n v="657"/>
    <s v="4914"/>
    <x v="20"/>
    <x v="16"/>
    <n v="2"/>
    <x v="11"/>
    <s v="Romaldo Singolo"/>
    <s v="091 155 9622"/>
    <s v="romi@pfst.hr"/>
    <s v="R. Boškovića 37"/>
    <s v="Ruđera Boškovića 37, Split"/>
    <s v="24624257529"/>
    <x v="5"/>
    <m/>
    <m/>
    <m/>
    <m/>
  </r>
  <r>
    <m/>
    <n v="658"/>
    <s v="191"/>
    <x v="20"/>
    <x v="88"/>
    <n v="1"/>
    <x v="1"/>
    <s v="Dario Kužić"/>
    <s v="385994988065"/>
    <s v=" dkuzic@fpz.unizg.hr"/>
    <s v="Ulica Lavoslava Vukelića 4"/>
    <s v="Borongajska cesta 83a"/>
    <s v="25410051374"/>
    <x v="5"/>
    <m/>
    <m/>
    <m/>
    <m/>
  </r>
  <r>
    <m/>
    <n v="659"/>
    <s v="185"/>
    <x v="20"/>
    <x v="43"/>
    <n v="1"/>
    <x v="1"/>
    <s v="Marko Maričević"/>
    <s v="0915193488"/>
    <s v="marko.maricevic@grf.hr"/>
    <s v="Getaldićeva Ulica 2"/>
    <s v="Getaldićeva 2, Zagreb"/>
    <s v="25564990903"/>
    <x v="5"/>
    <m/>
    <m/>
    <m/>
    <m/>
  </r>
  <r>
    <m/>
    <n v="660"/>
    <s v="205"/>
    <x v="20"/>
    <x v="44"/>
    <n v="1"/>
    <x v="1"/>
    <s v="Mikolaj Martinjak"/>
    <s v="0989478881"/>
    <s v="mika@ffrz.hr"/>
    <s v="Jordanovac 110"/>
    <s v="Jordanovac 110"/>
    <s v="26975482530"/>
    <x v="5"/>
    <m/>
    <m/>
    <m/>
    <m/>
  </r>
  <r>
    <m/>
    <n v="661"/>
    <s v="3637"/>
    <x v="20"/>
    <x v="81"/>
    <n v="2"/>
    <x v="13"/>
    <s v="Krunoslav Kurilj"/>
    <s v="0991616166"/>
    <s v="kkurilj@foozos.hr"/>
    <s v="Ulica Cara Hadrijana 10"/>
    <s v="Cara Hadrijana 10, 31 000 Osijek – NASTAVNA ZGRADA"/>
    <s v="28082679513"/>
    <x v="5"/>
    <m/>
    <m/>
    <m/>
    <m/>
  </r>
  <r>
    <m/>
    <s v="662a_x000a_662b_x000a_662c_x000a_662d_x000a_662e"/>
    <s v="5713"/>
    <x v="20"/>
    <x v="27"/>
    <n v="6"/>
    <x v="11"/>
    <s v="Leida Rizvan_x000a_Dalibor Bulić_x000a_Maja Krželj_x000a_Prosper Radonić_x000a_Ivan Vuko"/>
    <s v="0914433905_x000a_021 564815, 0915462104_x000a_0913344165_x000a_0995556003_x000a_0914348101"/>
    <s v="leida.rizvan@unist.hr_x000a_dalibor.bulic@fzz.unist.hr_x000a_maja.krzelj@more.unist.hr_x000a_pradonic@medils.unist.hr_x000a_ivan.vuko@svkst.hr"/>
    <s v="R. Boškovića 31"/>
    <s v="Ruđera Boškovića 31, Split 2 kom._x000a_Ruđera Boškovića 35, Split 1 kom._x000a_Ruđera Boškovića 31, Split, 1 kom._x000a_Meštrovićevo šetalište 45, Split 1 kom._x000a_Ruđera Boškovića 31, Split, 1 kom."/>
    <s v="29845096215"/>
    <x v="5"/>
    <m/>
    <m/>
    <m/>
    <m/>
  </r>
  <r>
    <m/>
    <n v="663"/>
    <s v="1972"/>
    <x v="20"/>
    <x v="47"/>
    <n v="2"/>
    <x v="20"/>
    <s v="Damir Lulić"/>
    <s v="0981771615"/>
    <s v="dlulic@unisb.hr"/>
    <s v="Trg &quot;Ivana Brlić Mažuranić&quot; 2"/>
    <s v="Ulica 108. brigade ZNG 36"/>
    <s v="33027834374"/>
    <x v="5"/>
    <m/>
    <m/>
    <m/>
    <m/>
  </r>
  <r>
    <m/>
    <n v="664"/>
    <s v="267"/>
    <x v="20"/>
    <x v="82"/>
    <n v="1"/>
    <x v="11"/>
    <s v="Željko Matas"/>
    <s v="097 7094175"/>
    <s v="zmatas@kbf-st.hr"/>
    <s v="Zrinjsko-Frankopanska 19"/>
    <s v="Zrinjsko-Frankopanska 19, Split"/>
    <s v="36149548625"/>
    <x v="5"/>
    <m/>
    <m/>
    <m/>
    <m/>
  </r>
  <r>
    <m/>
    <s v="665a_x000a_665b"/>
    <s v="219"/>
    <x v="20"/>
    <x v="28"/>
    <n v="2"/>
    <x v="1"/>
    <s v="Siniša Vlahović_x000a_Marin Šperanda"/>
    <s v="098 268 472_x000a_091 906 6882"/>
    <s v="svlahovic@unizg.hr_x000a_marin.speranda@caas.unizg.hr"/>
    <s v="Trg Republike Hrvatske 14"/>
    <s v="Ulica Radoslava Cimermana 88, 10000 Zagreb_x000a_Don Frana Bulića 4, 20000 Dubrovnik (CAAS)"/>
    <s v="36612267447"/>
    <x v="5"/>
    <m/>
    <m/>
    <m/>
    <m/>
  </r>
  <r>
    <m/>
    <n v="666"/>
    <s v="141"/>
    <x v="20"/>
    <x v="30"/>
    <n v="1"/>
    <x v="1"/>
    <s v="Matija Prahin_x000a_"/>
    <s v="385919845267_x000a_"/>
    <s v="mprahin@arhitekt.hr_x000a_"/>
    <s v="Kačićeva Ulica 26"/>
    <s v="Kačićeva 26"/>
    <s v="42061107444"/>
    <x v="5"/>
    <m/>
    <m/>
    <m/>
    <m/>
  </r>
  <r>
    <m/>
    <n v="667"/>
    <s v="177"/>
    <x v="20"/>
    <x v="78"/>
    <n v="1"/>
    <x v="1"/>
    <s v="Srđan Cvetanović"/>
    <s v="095 8000 204_x000a_"/>
    <s v="djani@ttf.hr_x000a_"/>
    <s v="Prilaz Baruna Filipovića 28A"/>
    <s v="Prilaz baruna Filipovića 28a"/>
    <s v="43097527965"/>
    <x v="5"/>
    <m/>
    <m/>
    <m/>
    <m/>
  </r>
  <r>
    <m/>
    <n v="668"/>
    <s v="122"/>
    <x v="20"/>
    <x v="49"/>
    <n v="2"/>
    <x v="1"/>
    <s v="Marijo Seničić"/>
    <s v="099 533 7842"/>
    <s v="marijo.senicic@geof.unizg.hr"/>
    <s v="Kačićeva Ulica 26"/>
    <s v="Kačićeva 26, 10000 Zagreb"/>
    <s v="43594593297"/>
    <x v="5"/>
    <m/>
    <m/>
    <m/>
    <m/>
  </r>
  <r>
    <m/>
    <n v="669"/>
    <s v="173"/>
    <x v="20"/>
    <x v="89"/>
    <n v="1"/>
    <x v="8"/>
    <s v="Siniša Lončarić"/>
    <s v="0913011188"/>
    <s v="sloncaric@pravri.uniri.hr"/>
    <s v="Hahlić 6"/>
    <s v="Hahlić 6, Rijeka"/>
    <s v="43767699965"/>
    <x v="5"/>
    <m/>
    <m/>
    <m/>
    <m/>
  </r>
  <r>
    <m/>
    <n v="670"/>
    <s v="154"/>
    <x v="20"/>
    <x v="50"/>
    <n v="1"/>
    <x v="8"/>
    <s v="Daniel Maratović"/>
    <s v="095/9064710"/>
    <s v="daniel.maratovic@riteh.uniri.hr"/>
    <s v="Vukovarska 58"/>
    <s v="Vukovarska 58, HR-51000 Rijeka"/>
    <s v="46319717480"/>
    <x v="5"/>
    <m/>
    <m/>
    <m/>
    <m/>
  </r>
  <r>
    <m/>
    <n v="671"/>
    <s v="125"/>
    <x v="20"/>
    <x v="84"/>
    <n v="1"/>
    <x v="13"/>
    <s v="Damir Kovačević"/>
    <s v="385912244189"/>
    <s v="damir.kovacevic@efos.hr"/>
    <s v="Trg Ljudevita Gaja 7"/>
    <s v="Trg Ljudevita Gaja 7, Osijek"/>
    <s v="52778515544"/>
    <x v="5"/>
    <m/>
    <m/>
    <m/>
    <m/>
  </r>
  <r>
    <m/>
    <n v="672"/>
    <s v="1939"/>
    <x v="20"/>
    <x v="76"/>
    <n v="1"/>
    <x v="8"/>
    <s v="Aljoša Brajdić"/>
    <s v="099/2217114"/>
    <s v="aljosa.brajdic@apuri.uniri.hr"/>
    <s v="Slavka Krautzeka 83"/>
    <s v="Slavka Krautzeka 83, 51000 Rijeka"/>
    <s v="55704161999"/>
    <x v="5"/>
    <m/>
    <m/>
    <m/>
    <m/>
  </r>
  <r>
    <m/>
    <n v="673"/>
    <s v="275"/>
    <x v="20"/>
    <x v="85"/>
    <n v="1"/>
    <x v="13"/>
    <s v="Petar Taler"/>
    <s v="091 224 1039"/>
    <s v="petar@mathos.hr"/>
    <s v="Trg Ljudevita Gaja 6"/>
    <s v="Trg Lj. Gaja 6, Osijek"/>
    <s v="56597320763"/>
    <x v="5"/>
    <m/>
    <m/>
    <m/>
    <m/>
  </r>
  <r>
    <m/>
    <n v="674"/>
    <s v="138"/>
    <x v="20"/>
    <x v="71"/>
    <n v="1"/>
    <x v="1"/>
    <s v="Denis Hernaut"/>
    <s v="+385 91 604 3920"/>
    <s v="denis.hernaut@fer.hr"/>
    <s v="Unska Ulica 3"/>
    <s v="Vukovarska 39, Zagreb"/>
    <s v="57029260362"/>
    <x v="5"/>
    <m/>
    <m/>
    <m/>
    <m/>
  </r>
  <r>
    <m/>
    <n v="675"/>
    <s v="3430"/>
    <x v="20"/>
    <x v="53"/>
    <n v="1"/>
    <x v="11"/>
    <s v="Ante Krolo"/>
    <s v="+385 95 903 76 48"/>
    <s v="ante@kifst.hr"/>
    <s v="Teslina 6"/>
    <s v="Teslina 10"/>
    <s v="57848936921"/>
    <x v="5"/>
    <m/>
    <m/>
    <m/>
    <m/>
  </r>
  <r>
    <m/>
    <n v="676"/>
    <s v="181"/>
    <x v="20"/>
    <x v="80"/>
    <n v="1"/>
    <x v="13"/>
    <s v="Zoltan Juhas"/>
    <s v="091/ 2549 157"/>
    <s v="zoli@ffos.hr"/>
    <s v="Ulica Lorenza Jägera 9"/>
    <s v="Ulica Lorenza Jägera 9"/>
    <s v="58868871646"/>
    <x v="5"/>
    <m/>
    <m/>
    <m/>
    <m/>
  </r>
  <r>
    <m/>
    <n v="677"/>
    <s v="4497"/>
    <x v="20"/>
    <x v="9"/>
    <n v="1"/>
    <x v="6"/>
    <s v="Branimir Kolman"/>
    <s v="091 244 0130"/>
    <s v="bkolman@unin.hr"/>
    <s v="Trg Dr. Žarka Dolinara 1"/>
    <s v="Ulica 104 brigade 3, VŽ"/>
    <s v="59624928052"/>
    <x v="5"/>
    <m/>
    <m/>
    <m/>
    <m/>
  </r>
  <r>
    <m/>
    <n v="678"/>
    <s v="161"/>
    <x v="20"/>
    <x v="54"/>
    <n v="1"/>
    <x v="1"/>
    <s v="Sead Berberović"/>
    <s v="0915226263"/>
    <s v="sead.berberovic@grad.unizg.hr"/>
    <s v="Kačićeva Ulica 26"/>
    <s v="Kačićeva 26, Zagreb"/>
    <s v="62924153420"/>
    <x v="5"/>
    <m/>
    <m/>
    <m/>
    <m/>
  </r>
  <r>
    <m/>
    <n v="679"/>
    <s v="221"/>
    <x v="20"/>
    <x v="11"/>
    <n v="1"/>
    <x v="8"/>
    <s v="Danka Jurjević"/>
    <s v="051/265-884"/>
    <s v="danka.jurjevic@uniri.hr"/>
    <s v="Trg Braće Mažuranića 10"/>
    <s v="Radmile Matejčić 2; 51000 Rijeka  "/>
    <s v="64218323816"/>
    <x v="5"/>
    <m/>
    <m/>
    <m/>
    <m/>
  </r>
  <r>
    <m/>
    <n v="680"/>
    <s v="150"/>
    <x v="20"/>
    <x v="12"/>
    <n v="1"/>
    <x v="1"/>
    <s v="Dario Đurasović"/>
    <s v="091 4802 130"/>
    <s v="dario@sfzg.hr"/>
    <s v="Gundulićeva Ulica 5"/>
    <s v="Gundulićeva 5, Zagreb"/>
    <s v="70221464726"/>
    <x v="5"/>
    <m/>
    <m/>
    <m/>
    <m/>
  </r>
  <r>
    <m/>
    <n v="681"/>
    <s v="6229"/>
    <x v="20"/>
    <x v="55"/>
    <n v="1"/>
    <x v="13"/>
    <s v="Matija Karapetrić"/>
    <s v="0915053478"/>
    <s v="matija.karapetric@kifos.hr"/>
    <s v="Drinska 16A"/>
    <s v="Drinska 16a, 31000 Osijek"/>
    <s v="70788591483"/>
    <x v="5"/>
    <m/>
    <m/>
    <m/>
    <m/>
  </r>
  <r>
    <m/>
    <n v="662"/>
    <s v="187"/>
    <x v="20"/>
    <x v="56"/>
    <n v="1"/>
    <x v="1"/>
    <s v="Sandi Homolak (Zagreb)"/>
    <s v="091 619 5223"/>
    <s v="informatika.zagreb@ufzg.hr"/>
    <s v="Savska cesta 77, 10000 Zagreb"/>
    <s v="Savska cesta 77, 10000 Zagreb"/>
    <s v="72226488129"/>
    <x v="5"/>
    <m/>
    <m/>
    <m/>
    <m/>
  </r>
  <r>
    <m/>
    <n v="683"/>
    <s v="169"/>
    <x v="20"/>
    <x v="57"/>
    <n v="1"/>
    <x v="8"/>
    <s v="Izv. prof. dr. sc. Jasmin Ćelić"/>
    <s v="0912546777"/>
    <s v="jasmin.celic@uniri.hr"/>
    <s v="Studentska 2"/>
    <s v="Studentska 2"/>
    <s v="76722145702"/>
    <x v="5"/>
    <m/>
    <m/>
    <m/>
    <m/>
  </r>
  <r>
    <m/>
    <n v="684"/>
    <s v="222"/>
    <x v="20"/>
    <x v="33"/>
    <n v="1"/>
    <x v="13"/>
    <s v="Tomica Bunjevac"/>
    <s v=" +385913568984"/>
    <s v="tbunjevac@fizika.unios.hr"/>
    <s v="Trg Sv. Trojstva 3"/>
    <s v=" Trg Ljudevita Gaja 6"/>
    <s v="78808975734"/>
    <x v="5"/>
    <m/>
    <m/>
    <m/>
    <m/>
  </r>
  <r>
    <m/>
    <n v="685"/>
    <s v="316"/>
    <x v="20"/>
    <x v="20"/>
    <n v="1"/>
    <x v="11"/>
    <s v="Ante Denić"/>
    <s v="(+385)915683877"/>
    <s v="dante@efst.hr"/>
    <s v="Cvite Fiskovića 5"/>
    <s v="Cvite Fiskovića 5, Split"/>
    <s v="84477684422"/>
    <x v="5"/>
    <m/>
    <m/>
    <m/>
    <m/>
  </r>
  <r>
    <m/>
    <n v="686"/>
    <s v="174"/>
    <x v="20"/>
    <x v="86"/>
    <n v="1"/>
    <x v="23"/>
    <s v="Davor Mijolović"/>
    <s v="098-292-104"/>
    <s v="davor.mijolovic@fthm.hr"/>
    <s v="Primorska 46"/>
    <s v="Primorska 46, 51410  Opatija"/>
    <s v="85799845149"/>
    <x v="5"/>
    <m/>
    <m/>
    <m/>
    <m/>
  </r>
  <r>
    <m/>
    <n v="687"/>
    <s v="199"/>
    <x v="20"/>
    <x v="61"/>
    <n v="1"/>
    <x v="13"/>
    <s v="Mario Miloloza"/>
    <s v="0912246140"/>
    <s v="mario.miloloza@ferit.hr"/>
    <s v="Ulica Kneza Trpimira 2B"/>
    <s v="Cara Hadrijana 10b, Osijek"/>
    <s v="95494259952"/>
    <x v="5"/>
    <m/>
    <m/>
    <m/>
    <m/>
  </r>
  <r>
    <m/>
    <n v="688"/>
    <s v="214"/>
    <x v="20"/>
    <x v="62"/>
    <n v="1"/>
    <x v="1"/>
    <s v="Goran Hoić"/>
    <s v="099/2550-825"/>
    <s v="goran.hoic@alu.unizg.hr"/>
    <s v="Ilica 85"/>
    <s v="Ilica 85"/>
    <s v="95847257607"/>
    <x v="5"/>
    <m/>
    <m/>
    <m/>
    <m/>
  </r>
  <r>
    <m/>
    <n v="689"/>
    <s v="281"/>
    <x v="20"/>
    <x v="63"/>
    <n v="1"/>
    <x v="8"/>
    <s v="Danka Jurjević"/>
    <s v="265-877"/>
    <s v="danka.jurjevic@uniri.hr"/>
    <s v="Sveučilišna Avenija 6"/>
    <s v="Sveučilišna Avenija 6"/>
    <s v="96996385705"/>
    <x v="5"/>
    <m/>
    <m/>
    <m/>
    <m/>
  </r>
  <r>
    <m/>
    <n v="690"/>
    <s v="147"/>
    <x v="20"/>
    <x v="87"/>
    <n v="1"/>
    <x v="8"/>
    <s v="Teo Brusić_x000a_Zoran Vučinić"/>
    <s v="098/338-182_x000a_091/1651-230"/>
    <s v="teo.brusic@medri.uniri.hr_x000a_zoran.vucinic@medri.uniri.hr"/>
    <s v="Braće Branchetta 20"/>
    <s v="Rijeka, B. Branchetta 20"/>
    <s v="98164324541"/>
    <x v="5"/>
    <m/>
    <m/>
    <m/>
    <m/>
  </r>
  <r>
    <m/>
    <n v="691"/>
    <s v="4917"/>
    <x v="20"/>
    <x v="96"/>
    <n v="1"/>
    <x v="11"/>
    <s v="Domagoj Vučica"/>
    <s v="091/1265-486"/>
    <s v="domagoj@ktf-split.hr"/>
    <s v="R. Boškovića 35"/>
    <s v="R. Boškovića 35"/>
    <s v="99401575594"/>
    <x v="5"/>
    <m/>
    <m/>
    <m/>
    <m/>
  </r>
  <r>
    <m/>
    <n v="692"/>
    <s v="3324"/>
    <x v="20"/>
    <x v="34"/>
    <n v="1"/>
    <x v="1"/>
    <s v="Dario Knežić"/>
    <s v="0917615616"/>
    <s v="dknezic@fhs.unizg.hr"/>
    <s v="Borongajska Cesta 83D"/>
    <s v="Borongajska cesta 83d, Zagreb"/>
    <s v="99454315441"/>
    <x v="5"/>
    <m/>
    <m/>
    <m/>
    <m/>
  </r>
  <r>
    <m/>
    <n v="693"/>
    <s v="203"/>
    <x v="20"/>
    <x v="65"/>
    <n v="1"/>
    <x v="1"/>
    <s v="Marijan Galjar"/>
    <s v="098 855 676"/>
    <s v="marijan.galjar@rgn.hr"/>
    <s v="Pierottijeva Ulica 6"/>
    <s v="Pierottijeva 6"/>
    <s v="99534693762"/>
    <x v="5"/>
    <m/>
    <m/>
    <m/>
    <m/>
  </r>
  <r>
    <m/>
    <n v="694"/>
    <s v="206"/>
    <x v="20"/>
    <x v="35"/>
    <n v="1"/>
    <x v="1"/>
    <s v="Davor Štrk"/>
    <s v="099 3136 671"/>
    <s v="dstrk@fkz.hr"/>
    <s v="Avenija Gojka Šuška 1"/>
    <s v="Av. Gojka Šuška 1, Zagreb"/>
    <s v="36162371878"/>
    <x v="5"/>
    <m/>
    <m/>
    <m/>
    <m/>
  </r>
  <r>
    <m/>
    <n v="695"/>
    <s v="4589"/>
    <x v="20"/>
    <x v="14"/>
    <n v="1"/>
    <x v="1"/>
    <s v="Predrag Šinko"/>
    <s v="095/205-2570"/>
    <s v="predrag.sinko@sois-ft.hr"/>
    <s v="Ilica 256B"/>
    <s v="Ilica 256B, obj. 58"/>
    <s v="36752094474"/>
    <x v="5"/>
    <m/>
    <m/>
    <m/>
    <m/>
  </r>
  <r>
    <m/>
    <n v="696"/>
    <s v="188"/>
    <x v="20"/>
    <x v="4"/>
    <n v="3"/>
    <x v="1"/>
    <s v="Boris Rončević"/>
    <s v="099 5327723"/>
    <s v="broncevic@nsk.hr"/>
    <s v="Ul. Hrvatske Bratske Zajednice 4"/>
    <s v="NSK - Ul. Hrvatske Bratske Zajednice 4"/>
    <m/>
    <x v="5"/>
    <m/>
    <m/>
    <m/>
    <m/>
  </r>
  <r>
    <m/>
    <m/>
    <m/>
    <x v="21"/>
    <x v="0"/>
    <n v="94"/>
    <x v="0"/>
    <m/>
    <m/>
    <m/>
    <m/>
    <m/>
    <m/>
    <x v="0"/>
    <m/>
    <m/>
    <m/>
    <m/>
  </r>
  <r>
    <m/>
    <n v="697"/>
    <s v="3990"/>
    <x v="21"/>
    <x v="37"/>
    <n v="4"/>
    <x v="17"/>
    <s v="Stjepo Hladilo"/>
    <s v="0919322586"/>
    <s v="stjepo.hladilo@unidu.hr"/>
    <s v="Branitelja Dubrovnika 41"/>
    <s v="Ćira Carića 4, Dubrovnik"/>
    <s v="1338491514"/>
    <x v="2"/>
    <m/>
    <m/>
    <m/>
    <m/>
  </r>
  <r>
    <m/>
    <n v="698"/>
    <s v="131"/>
    <x v="21"/>
    <x v="66"/>
    <n v="3"/>
    <x v="10"/>
    <s v="Mario Harjač"/>
    <s v="097 610 1011"/>
    <s v="maharjac@foi.unizg.hr"/>
    <s v="Pavlinska Ulica 2"/>
    <s v="Pavlinska ulica 2, Varaždin"/>
    <s v="2024882310"/>
    <x v="8"/>
    <m/>
    <m/>
    <s v="Senso"/>
    <m/>
  </r>
  <r>
    <m/>
    <n v="699"/>
    <s v="149"/>
    <x v="21"/>
    <x v="38"/>
    <n v="7"/>
    <x v="11"/>
    <s v="Dalibor Gabela"/>
    <s v="091-1557942"/>
    <s v="helpdesk@mefst.hr"/>
    <s v="Šoltanska 2"/>
    <s v="Šoltanska 2A, Split"/>
    <s v="2879747067"/>
    <x v="8"/>
    <m/>
    <m/>
    <s v="Senso"/>
    <m/>
  </r>
  <r>
    <m/>
    <n v="700"/>
    <s v="3689"/>
    <x v="21"/>
    <x v="5"/>
    <n v="1"/>
    <x v="1"/>
    <s v="Nikola Barba"/>
    <s v="099 6081 436"/>
    <s v="nikola.barba@unicath.hr"/>
    <s v="Ilica 244B"/>
    <s v="Ilica 244, 10000 Zagreb"/>
    <s v="7730927366"/>
    <x v="8"/>
    <m/>
    <m/>
    <s v="Senso"/>
    <m/>
  </r>
  <r>
    <m/>
    <n v="701"/>
    <s v="368"/>
    <x v="21"/>
    <x v="6"/>
    <n v="2"/>
    <x v="3"/>
    <s v="Ivan Nimac"/>
    <s v="095/826-5888"/>
    <s v="inimac@unizd.hr"/>
    <s v="Ulica Mihovila Pavlinovića 1"/>
    <s v="Obala kralja Petra Krešimira IV. Br. 2, 23000 Zadar"/>
    <s v="10839679016"/>
    <x v="8"/>
    <m/>
    <m/>
    <s v="Senso"/>
    <m/>
  </r>
  <r>
    <m/>
    <n v="702"/>
    <s v="121"/>
    <x v="21"/>
    <x v="1"/>
    <n v="2"/>
    <x v="1"/>
    <s v="Mate Galić"/>
    <s v="098806500"/>
    <s v="mate.galic@pharma.unizg.hr"/>
    <s v="Ulica Ante Kovačića 1"/>
    <s v="Domagojeva 2"/>
    <s v="14509285435"/>
    <x v="8"/>
    <m/>
    <m/>
    <s v="Senso"/>
    <m/>
  </r>
  <r>
    <m/>
    <n v="703"/>
    <s v="198"/>
    <x v="21"/>
    <x v="15"/>
    <n v="1"/>
    <x v="10"/>
    <s v="Darko Šprem"/>
    <s v="091 408 9012"/>
    <s v="darko.sprem@gfv.hr"/>
    <s v="Hallerova Aleja 7"/>
    <s v="Hallerova aleja 7, Varaždin"/>
    <s v="16146181375"/>
    <x v="8"/>
    <m/>
    <m/>
    <s v="Senso"/>
    <m/>
  </r>
  <r>
    <m/>
    <n v="704"/>
    <s v="137"/>
    <x v="21"/>
    <x v="67"/>
    <n v="1"/>
    <x v="13"/>
    <s v="Bojan Tovjanin"/>
    <s v="0912241440"/>
    <s v="btovjanin@mefos.hr"/>
    <s v="Ulica Josipa Huttlera 4"/>
    <s v="Josipa Huttlera 4"/>
    <s v="16214165873"/>
    <x v="8"/>
    <m/>
    <m/>
    <m/>
    <m/>
  </r>
  <r>
    <m/>
    <n v="705"/>
    <s v="3986"/>
    <x v="21"/>
    <x v="68"/>
    <n v="1"/>
    <x v="1"/>
    <s v="Petra Mitrović"/>
    <s v="0914810222"/>
    <s v="pmitrovic@muza.hr"/>
    <s v="Trg Republike Hrvatske 12"/>
    <s v="Trg Republike Hrvatske 12"/>
    <s v="18422925218"/>
    <x v="8"/>
    <m/>
    <m/>
    <s v="Senso"/>
    <m/>
  </r>
  <r>
    <m/>
    <n v="706"/>
    <s v="4660"/>
    <x v="21"/>
    <x v="69"/>
    <n v="1"/>
    <x v="8"/>
    <s v="Vedran Ćurković"/>
    <s v="091 / 9536547"/>
    <s v="vedran.curkovic@uniri.hr"/>
    <s v="Viktora Cara Emina 5"/>
    <s v="Viktora Cara Emina 5"/>
    <s v="19213484918"/>
    <x v="8"/>
    <m/>
    <m/>
    <s v="Senso"/>
    <m/>
  </r>
  <r>
    <m/>
    <n v="707"/>
    <s v="4919"/>
    <x v="21"/>
    <x v="42"/>
    <n v="1"/>
    <x v="11"/>
    <s v="Doris Knego"/>
    <s v="098 9394211,"/>
    <s v="doris.knego@pmfst.hr"/>
    <s v="R. Boškovića 33"/>
    <s v="Ruđera Boškovića 33"/>
    <s v="20858497843"/>
    <x v="8"/>
    <m/>
    <m/>
    <s v="Senso"/>
    <m/>
  </r>
  <r>
    <m/>
    <n v="708"/>
    <s v="536"/>
    <x v="21"/>
    <x v="25"/>
    <n v="1"/>
    <x v="16"/>
    <s v="IGOR BILANDŽIĆ"/>
    <s v="091-444-6885"/>
    <s v="Igor.bilandzic@vevu.hr"/>
    <s v="Županijska 50"/>
    <s v="BLAGE ZADRE 2, VUKOVAR"/>
    <s v="21720825730"/>
    <x v="8"/>
    <m/>
    <m/>
    <s v="Senso"/>
    <m/>
  </r>
  <r>
    <m/>
    <n v="709"/>
    <s v="136"/>
    <x v="21"/>
    <x v="91"/>
    <n v="1"/>
    <x v="1"/>
    <s v="Stipe Gorenjak"/>
    <s v="091 3658 600"/>
    <s v="stipe.gorenjak@kif.unizg.hr"/>
    <s v="Horvaćanski Zavoj 15"/>
    <s v="Horvaćanski zavoj 15"/>
    <s v="25329931628"/>
    <x v="8"/>
    <m/>
    <m/>
    <s v="Senso"/>
    <m/>
  </r>
  <r>
    <m/>
    <n v="710"/>
    <s v="191"/>
    <x v="21"/>
    <x v="88"/>
    <n v="1"/>
    <x v="1"/>
    <s v="Dario Kužić"/>
    <s v="385994988065"/>
    <s v=" dkuzic@fpz.unizg.hr"/>
    <s v="Ulica Lavoslava Vukelića 4"/>
    <s v="Borongajska cesta 83a"/>
    <s v="25410051374"/>
    <x v="8"/>
    <m/>
    <m/>
    <s v="Senso"/>
    <m/>
  </r>
  <r>
    <m/>
    <n v="711"/>
    <s v="290"/>
    <x v="21"/>
    <x v="92"/>
    <n v="1"/>
    <x v="8"/>
    <s v="TEDI KOLANOVIĆ"/>
    <s v="091 604 47 89"/>
    <s v="tedi.kolanovic@efri.uniri.hr"/>
    <s v="Ivana Filipovića 4"/>
    <s v="Ivana Filipovića 4"/>
    <s v="26093119930"/>
    <x v="8"/>
    <m/>
    <m/>
    <s v="Senso"/>
    <m/>
  </r>
  <r>
    <m/>
    <n v="712"/>
    <s v="130"/>
    <x v="21"/>
    <x v="45"/>
    <n v="2"/>
    <x v="1"/>
    <s v="Kristian Došen"/>
    <s v="091 7888 474"/>
    <s v="kristian.dosen@fpzg.hr"/>
    <s v="Ulica Ivana Lepušića 6"/>
    <s v="Lepušićeva 6, 10000 Zagreb"/>
    <s v="28011548575"/>
    <x v="8"/>
    <m/>
    <m/>
    <s v="Senso"/>
    <m/>
  </r>
  <r>
    <m/>
    <n v="713"/>
    <s v="3637"/>
    <x v="21"/>
    <x v="81"/>
    <n v="11"/>
    <x v="13"/>
    <s v="Krunoslav Kurilj"/>
    <s v="0991616166"/>
    <s v="kkurilj@foozos.hr"/>
    <s v="Ulica Cara Hadrijana 10"/>
    <s v="Cara Hadrijana 10, 31 000 Osijek – NASTAVNA ZGRADA"/>
    <s v="28082679513"/>
    <x v="8"/>
    <m/>
    <m/>
    <s v="Senso"/>
    <m/>
  </r>
  <r>
    <m/>
    <n v="714"/>
    <s v="469"/>
    <x v="21"/>
    <x v="75"/>
    <n v="1"/>
    <x v="1"/>
    <s v="Davor Pintar"/>
    <s v="385998227236"/>
    <s v="davor.pintar@dekanat.pmf.hr"/>
    <s v="Horvatovac 102A"/>
    <s v="Horvatovac 102A"/>
    <s v="28163265527"/>
    <x v="8"/>
    <m/>
    <m/>
    <s v="Senso"/>
    <m/>
  </r>
  <r>
    <m/>
    <n v="715"/>
    <s v="250"/>
    <x v="21"/>
    <x v="17"/>
    <n v="1"/>
    <x v="8"/>
    <s v="Davorin Tadić"/>
    <s v="091 332 1308"/>
    <s v="dtadic@veleri.hr"/>
    <s v="Trpimirova 2"/>
    <s v="Vukovarska 58, Rijeka"/>
    <s v="29573709870"/>
    <x v="8"/>
    <m/>
    <m/>
    <s v="Senso"/>
    <m/>
  </r>
  <r>
    <m/>
    <s v="716a_x000a_716b_x000a_716c_x000a_716d_x000a_716e_x000a_716f_x000a_716g_x000a_716h"/>
    <s v="5713"/>
    <x v="21"/>
    <x v="27"/>
    <n v="10"/>
    <x v="11"/>
    <s v="Marko Pilić / Josip Crnjac_x000a_Dalibor Bulić_x000a_Maja Krželj_x000a_Ivan Vuko_x000a_Marin Gudelj_x000a_Prosper Radonić_x000a_Ivan Tavra_x000a_Petra Musap"/>
    <s v="0919840020 (Pilić), 0981980136 (Crnjac)_x000a_021 564815, 0915462104_x000a_0911556771_x000a_0914348101_x000a_0913344165_x000a_0995556003_x000a_097 6063920_x000a_0991639750"/>
    <s v="mpilic@forenzika.unist.hr, jcrnjac@forenzika.unist.hr_x000a_dalibor.bulic@fzz.unist.hr_x000a_maja.krzelj@more.unist.hr_x000a_ivan.vuko@svkst.hr_x000a_marin@oss.unist.hr_x000a_pradonic@medils.unist.hr_x000a_itavra@unist.hr_x000a_petra.musap@unist.hr"/>
    <s v="R. Boškovića 31"/>
    <s v="Ruđera Boškovića 33, Split  2 kom._x000a_Ruđera Boškovića 35, Split 1 kom._x000a_Ruđera Boškovića 37, Split  2 kom._x000a_Ruđera Boškovića 31, Split, 1 kom._x000a_Kopilica 21, Split  1 kom._x000a_Meštrovićevo šetalište 45, Split  1 kom._x000a_Zrinsko Frankopanska 38, Split  1 kom._x000a_Poljana kraljice Jelene 1, Split  1 kom."/>
    <s v="29845096215"/>
    <x v="8"/>
    <m/>
    <m/>
    <s v="Senso"/>
    <m/>
  </r>
  <r>
    <m/>
    <n v="717"/>
    <s v="1972"/>
    <x v="21"/>
    <x v="47"/>
    <n v="5"/>
    <x v="20"/>
    <s v="Damir Lulić"/>
    <s v="0981771615"/>
    <s v="dlulic@unisb.hr"/>
    <s v="Trg &quot;Ivana Brlić Mažuranić&quot; 2"/>
    <s v="Ulica 108. brigade ZNG 36"/>
    <s v="33027834374"/>
    <x v="8"/>
    <m/>
    <m/>
    <s v="Senso"/>
    <m/>
  </r>
  <r>
    <m/>
    <n v="718"/>
    <s v="267"/>
    <x v="21"/>
    <x v="82"/>
    <n v="1"/>
    <x v="11"/>
    <s v="Željko Matas"/>
    <s v="097 7094175"/>
    <s v="zmatas@kbf-st.hr"/>
    <s v="Zrinjsko-Frankopanska 19"/>
    <s v="Zrinjsko-Frankopanska 19, Split"/>
    <s v="36149548625"/>
    <x v="8"/>
    <m/>
    <m/>
    <s v="Senso"/>
    <m/>
  </r>
  <r>
    <m/>
    <n v="719"/>
    <s v="140"/>
    <x v="21"/>
    <x v="83"/>
    <n v="1"/>
    <x v="1"/>
    <s v="Marko Poletto"/>
    <s v="099/4928854"/>
    <s v="pmarko@vef.unizg.hr"/>
    <s v="Ulica Vjekoslava Heinzela 55"/>
    <s v="Ulica Vjekoslava Heinzela 55, 10000 Zagreb"/>
    <s v="36389528408"/>
    <x v="8"/>
    <m/>
    <m/>
    <s v="Senso"/>
    <m/>
  </r>
  <r>
    <m/>
    <n v="720"/>
    <s v="219"/>
    <x v="21"/>
    <x v="28"/>
    <n v="1"/>
    <x v="1"/>
    <s v="Marin Šperanda"/>
    <s v="091 906 6882"/>
    <s v="marin.speranda@caas.unizg.hr"/>
    <s v="Trg Republike Hrvatske 14"/>
    <s v="Don Frana Bulića 4, 20000 Dubrovnik (CAAS)"/>
    <s v="36612267447"/>
    <x v="8"/>
    <m/>
    <m/>
    <s v="Senso"/>
    <m/>
  </r>
  <r>
    <m/>
    <n v="721"/>
    <s v="3545"/>
    <x v="21"/>
    <x v="29"/>
    <n v="1"/>
    <x v="11"/>
    <s v="Branimir Džaja"/>
    <s v="091-2600324"/>
    <s v="branimir.dzaja@umas.hr"/>
    <s v="Zagrebačka 3"/>
    <s v="Glagoljaška 18a, Gripe"/>
    <s v="38960125358"/>
    <x v="8"/>
    <m/>
    <m/>
    <s v="Senso"/>
    <m/>
  </r>
  <r>
    <m/>
    <n v="722"/>
    <s v="141"/>
    <x v="21"/>
    <x v="30"/>
    <n v="1"/>
    <x v="1"/>
    <s v="Matija Prahin_x000a_"/>
    <s v="385919845267_x000a_"/>
    <s v="mprahin@arhitekt.hr_x000a_"/>
    <s v="Kačićeva Ulica 26"/>
    <s v="Kačićeva 26"/>
    <s v="42061107444"/>
    <x v="8"/>
    <m/>
    <m/>
    <s v="Senso"/>
    <m/>
  </r>
  <r>
    <m/>
    <n v="723"/>
    <s v="173"/>
    <x v="21"/>
    <x v="89"/>
    <n v="1"/>
    <x v="8"/>
    <s v="Siniša Lončarić"/>
    <s v="0913011188"/>
    <s v="sloncaric@pravri.uniri.hr"/>
    <s v="Hahlić 6"/>
    <s v="Hahlić 6, Rijeka"/>
    <s v="43767699965"/>
    <x v="8"/>
    <m/>
    <m/>
    <s v="Senso"/>
    <m/>
  </r>
  <r>
    <m/>
    <n v="724"/>
    <s v="154"/>
    <x v="21"/>
    <x v="50"/>
    <n v="1"/>
    <x v="8"/>
    <s v="Daniel Maratović"/>
    <s v="095/9064710"/>
    <s v="daniel.maratovic@riteh.uniri.hr"/>
    <s v="Vukovarska 58"/>
    <s v="Vukovarska 58, HR-51000 Rijeka"/>
    <s v="46319717480"/>
    <x v="8"/>
    <m/>
    <m/>
    <s v="Senso"/>
    <m/>
  </r>
  <r>
    <m/>
    <n v="725"/>
    <s v="146"/>
    <x v="21"/>
    <x v="70"/>
    <n v="1"/>
    <x v="1"/>
    <s v="Ana Vukelić"/>
    <s v="0915677600"/>
    <s v="avukelic@pbf.hr"/>
    <s v="Pierottijeva Ulica 6"/>
    <s v="Pierottijeva 6"/>
    <s v="47824453867"/>
    <x v="8"/>
    <m/>
    <m/>
    <s v="Senso"/>
    <m/>
  </r>
  <r>
    <m/>
    <n v="726"/>
    <s v="210"/>
    <x v="21"/>
    <x v="31"/>
    <n v="1"/>
    <x v="1"/>
    <s v="Taras Barščevski"/>
    <s v="+385(91)5335.699"/>
    <s v="taras.barscevski@kbf.unizg.hr"/>
    <s v="Vlaška Ulica 38"/>
    <s v="Vlaška 38"/>
    <s v="48987767944"/>
    <x v="8"/>
    <m/>
    <m/>
    <s v="Senso"/>
    <m/>
  </r>
  <r>
    <m/>
    <n v="727"/>
    <s v="215"/>
    <x v="21"/>
    <x v="18"/>
    <n v="1"/>
    <x v="1"/>
    <s v="Ivan Šetin"/>
    <s v="0981839338"/>
    <s v="isetin@adu.hr"/>
    <s v="Trg Republike Hrvatske 5"/>
    <s v="Trg Republike Hrvatske 5, Zagreb"/>
    <s v="52097842295"/>
    <x v="8"/>
    <m/>
    <m/>
    <s v="Senso"/>
    <m/>
  </r>
  <r>
    <m/>
    <n v="728"/>
    <s v="125"/>
    <x v="21"/>
    <x v="84"/>
    <n v="1"/>
    <x v="13"/>
    <s v="Damir Kovačević"/>
    <s v="385912244189"/>
    <s v="damir.kovacevic@efos.hr"/>
    <s v="Trg Ljudevita Gaja 7"/>
    <s v="Trg Ljudevita Gaja 7, Osijek"/>
    <s v="52778515544"/>
    <x v="8"/>
    <m/>
    <m/>
    <s v="Senso"/>
    <m/>
  </r>
  <r>
    <m/>
    <n v="729"/>
    <s v="138"/>
    <x v="21"/>
    <x v="71"/>
    <n v="1"/>
    <x v="1"/>
    <s v="Denis Hernaut"/>
    <s v="+385 91 604 3920"/>
    <s v="denis.hernaut@fer.hr"/>
    <s v="Unska Ulica 3"/>
    <s v="Vukovarska 39, Zagreb"/>
    <s v="57029260362"/>
    <x v="8"/>
    <m/>
    <m/>
    <s v="Senso"/>
    <m/>
  </r>
  <r>
    <m/>
    <n v="730"/>
    <s v="3430"/>
    <x v="21"/>
    <x v="53"/>
    <n v="1"/>
    <x v="11"/>
    <s v="Ante Krolo"/>
    <s v="+385 95 903 76 48"/>
    <s v="ante@kifst.hr"/>
    <s v="Teslina 6"/>
    <s v="Teslina 10"/>
    <s v="57848936921"/>
    <x v="8"/>
    <m/>
    <m/>
    <s v="Senso"/>
    <m/>
  </r>
  <r>
    <m/>
    <n v="731"/>
    <s v="181"/>
    <x v="21"/>
    <x v="80"/>
    <n v="1"/>
    <x v="13"/>
    <s v="Zoltan Juhas"/>
    <s v="091/ 2549 157"/>
    <s v="zoli@ffos.hr"/>
    <s v="Ulica Lorenza Jägera 9"/>
    <s v="Ulica Lorenza Jägera 9"/>
    <s v="58868871646"/>
    <x v="8"/>
    <m/>
    <m/>
    <s v="Senso"/>
    <m/>
  </r>
  <r>
    <m/>
    <n v="732"/>
    <s v="161"/>
    <x v="21"/>
    <x v="54"/>
    <n v="1"/>
    <x v="1"/>
    <s v="Sead Berberović"/>
    <s v="0915226263"/>
    <s v="sead.berberovic@grad.unizg.hr"/>
    <s v="Kačićeva Ulica 26"/>
    <s v="Kačićeva 26, Zagreb"/>
    <s v="62924153420"/>
    <x v="8"/>
    <m/>
    <m/>
    <s v="Senso"/>
    <m/>
  </r>
  <r>
    <m/>
    <n v="733"/>
    <s v="221"/>
    <x v="21"/>
    <x v="11"/>
    <n v="2"/>
    <x v="8"/>
    <s v="Marko Roža"/>
    <s v="051/265-873"/>
    <s v="marko.roza@uniri.hr"/>
    <s v="Trg Braće Mažuranića 10"/>
    <s v="Radmile Matejčić 2; 51000 Rijeka"/>
    <s v="64218323816"/>
    <x v="8"/>
    <m/>
    <m/>
    <s v="Senso"/>
    <m/>
  </r>
  <r>
    <m/>
    <n v="734"/>
    <s v="1907"/>
    <x v="21"/>
    <x v="94"/>
    <n v="1"/>
    <x v="8"/>
    <s v="Boris Ružić"/>
    <s v="0915765999"/>
    <s v="bruzic@uniri.hr"/>
    <s v="Sveučilišna Avenija 4"/>
    <s v="Sveučilišna avenija 4, 51000 Rijeka"/>
    <s v="70505505759"/>
    <x v="8"/>
    <m/>
    <m/>
    <s v="Senso"/>
    <m/>
  </r>
  <r>
    <m/>
    <n v="735"/>
    <s v="113"/>
    <x v="21"/>
    <x v="13"/>
    <n v="1"/>
    <x v="9"/>
    <s v="Andreas Mađerić"/>
    <s v="048 279 196"/>
    <s v="amaderic@vguk.hr"/>
    <s v="Ulica Milislava Demerca 1"/>
    <s v="Milislava Demerca 1, 48260 Križevci"/>
    <s v="75480885018"/>
    <x v="8"/>
    <m/>
    <m/>
    <s v="Senso"/>
    <m/>
  </r>
  <r>
    <m/>
    <n v="736"/>
    <s v="169"/>
    <x v="21"/>
    <x v="57"/>
    <n v="1"/>
    <x v="8"/>
    <s v="Izv. prof. dr. sc. Jasmin Ćelić"/>
    <s v="0912546777"/>
    <s v="jasmin.celic@uniri.hr"/>
    <s v="Studentska 2"/>
    <s v="Studentska 2"/>
    <s v="76722145702"/>
    <x v="8"/>
    <m/>
    <m/>
    <s v="Senso"/>
    <m/>
  </r>
  <r>
    <m/>
    <n v="737"/>
    <s v="222"/>
    <x v="21"/>
    <x v="33"/>
    <n v="1"/>
    <x v="13"/>
    <s v="Tatjana Šajatović"/>
    <s v=" +38598871499"/>
    <s v="tsajatovic@kemija.unios.hr"/>
    <s v="Trg Sv. Trojstva 3"/>
    <s v="Cara Hadrijana 8/A"/>
    <s v="78808975734"/>
    <x v="8"/>
    <m/>
    <m/>
    <s v="Senso"/>
    <m/>
  </r>
  <r>
    <m/>
    <n v="738"/>
    <s v="163"/>
    <x v="21"/>
    <x v="58"/>
    <n v="2"/>
    <x v="11"/>
    <s v="Alen Domazet"/>
    <s v="091 568 5994"/>
    <s v="adomazet@gradst.hr"/>
    <s v="Matice Hrvatske 15"/>
    <s v="Matice hrvatske 15, 21000 Split"/>
    <s v="83615500218"/>
    <x v="8"/>
    <m/>
    <m/>
    <s v="Senso"/>
    <m/>
  </r>
  <r>
    <m/>
    <n v="739"/>
    <s v="316"/>
    <x v="21"/>
    <x v="20"/>
    <n v="1"/>
    <x v="11"/>
    <s v="Ante Denić"/>
    <s v="(+385)915683877"/>
    <s v="dante@efst.hr"/>
    <s v="Cvite Fiskovića 5"/>
    <s v="Cvite Fiskovića 5, Split"/>
    <s v="84477684422"/>
    <x v="8"/>
    <m/>
    <m/>
    <s v="Senso"/>
    <m/>
  </r>
  <r>
    <m/>
    <n v="740"/>
    <s v="174"/>
    <x v="21"/>
    <x v="86"/>
    <n v="1"/>
    <x v="23"/>
    <s v="Davor Mijolović"/>
    <s v="098-292-104"/>
    <s v="davor.mijolovic@fthm.hr"/>
    <s v="Primorska 46"/>
    <s v="Primorska 46, 51410  Opatija"/>
    <s v="85799845149"/>
    <x v="8"/>
    <m/>
    <m/>
    <s v="Senso"/>
    <m/>
  </r>
  <r>
    <m/>
    <n v="741"/>
    <s v="172"/>
    <x v="21"/>
    <x v="95"/>
    <n v="1"/>
    <x v="8"/>
    <s v="Elvis Žic"/>
    <s v="0915038578"/>
    <s v="elvis.zic@uniri.hr"/>
    <s v="Ulica Radmile Matejčić 3"/>
    <s v="Ulica Radmile Matejčić 3, 51000 Rijeka"/>
    <s v="92037849504"/>
    <x v="8"/>
    <m/>
    <m/>
    <s v="Senso"/>
    <m/>
  </r>
  <r>
    <m/>
    <n v="742"/>
    <s v="170"/>
    <x v="21"/>
    <x v="74"/>
    <n v="1"/>
    <x v="13"/>
    <s v="Dražen Marček"/>
    <s v="098/9674947"/>
    <s v="dmarcek@ptfos.hr"/>
    <s v="Franje Kuhača 18"/>
    <s v="F. Kuhača 18"/>
    <s v="96371000697"/>
    <x v="8"/>
    <m/>
    <m/>
    <s v="Senso"/>
    <m/>
  </r>
  <r>
    <m/>
    <n v="743"/>
    <s v="281"/>
    <x v="21"/>
    <x v="63"/>
    <n v="1"/>
    <x v="8"/>
    <s v="Danka Jurjević"/>
    <s v="265-877"/>
    <s v="danka.jurjevic@uniri.hr"/>
    <s v="Sveučilišna Avenija 6"/>
    <s v="Sveučilišna Avenija 6"/>
    <s v="96996385705"/>
    <x v="8"/>
    <m/>
    <m/>
    <s v="Senso"/>
    <m/>
  </r>
  <r>
    <m/>
    <n v="744"/>
    <s v="5769"/>
    <x v="21"/>
    <x v="64"/>
    <n v="1"/>
    <x v="11"/>
    <s v="Slaven Kušljić"/>
    <s v="021 545545, 091 4443745"/>
    <s v="slaven@ffst.hr"/>
    <s v="Poljička Cesta 35"/>
    <s v="Poljička cesta 35"/>
    <s v="98004523293"/>
    <x v="8"/>
    <m/>
    <m/>
    <s v="Senso"/>
    <m/>
  </r>
  <r>
    <m/>
    <n v="745"/>
    <s v="147"/>
    <x v="21"/>
    <x v="87"/>
    <n v="1"/>
    <x v="8"/>
    <s v="Teo Brusić_x000a_Zoran Vučinić"/>
    <s v="098/338-182_x000a_091/1651-230"/>
    <s v="teo.brusic@medri.uniri.hr_x000a_zoran.vucinic@medri.uniri.hr"/>
    <s v="Braće Branchetta 20"/>
    <s v="Rijeka, B. Branchetta 20"/>
    <s v="98164324541"/>
    <x v="8"/>
    <m/>
    <m/>
    <s v="Senso"/>
    <m/>
  </r>
  <r>
    <m/>
    <n v="746"/>
    <s v="158"/>
    <x v="21"/>
    <x v="21"/>
    <n v="1"/>
    <x v="13"/>
    <s v="Ivan Rebekić"/>
    <s v="099 304 6109"/>
    <s v="irebekic@fazos.hr"/>
    <s v="Ulica Vladimira Preloga 1"/>
    <s v="Vladimira Preloga 1, 31000 Osijek"/>
    <s v="98816779821"/>
    <x v="8"/>
    <m/>
    <m/>
    <s v="Senso"/>
    <m/>
  </r>
  <r>
    <m/>
    <n v="747"/>
    <s v="4917"/>
    <x v="21"/>
    <x v="96"/>
    <n v="1"/>
    <x v="11"/>
    <s v="Domagoj Vučica"/>
    <s v="091/1265-486"/>
    <s v="domagoj@ktf-split.hr"/>
    <s v="R. Boškovića 35"/>
    <s v="R. Boškovića 35"/>
    <s v="99401575594"/>
    <x v="8"/>
    <m/>
    <m/>
    <s v="Senso"/>
    <m/>
  </r>
  <r>
    <m/>
    <n v="748"/>
    <s v="3324"/>
    <x v="21"/>
    <x v="34"/>
    <n v="1"/>
    <x v="1"/>
    <s v="Dario Knežić"/>
    <s v="0917615616"/>
    <s v="dknezic@fhs.unizg.hr"/>
    <s v="Borongajska Cesta 83D"/>
    <s v="Borongajska cesta 83d, Zagreb"/>
    <s v="99454315441"/>
    <x v="8"/>
    <m/>
    <m/>
    <s v="Senso"/>
    <m/>
  </r>
  <r>
    <m/>
    <n v="749"/>
    <s v="203"/>
    <x v="21"/>
    <x v="65"/>
    <n v="1"/>
    <x v="1"/>
    <s v="Marijan Galjar"/>
    <s v="098 855 676"/>
    <s v="marijan.galjar@rgn.hr"/>
    <s v="Pierottijeva Ulica 6"/>
    <s v="Pierottijeva 6"/>
    <s v="99534693762"/>
    <x v="8"/>
    <m/>
    <m/>
    <s v="Senso"/>
    <m/>
  </r>
  <r>
    <m/>
    <n v="750"/>
    <s v="206"/>
    <x v="21"/>
    <x v="35"/>
    <n v="1"/>
    <x v="1"/>
    <s v="Davor Štrk"/>
    <s v="099 3136 671"/>
    <s v="dstrk@fkz.hr"/>
    <s v="Avenija Gojka Šuška 1"/>
    <s v="Av. Gojka Šuška 1, Zagreb"/>
    <s v="36162371878"/>
    <x v="8"/>
    <m/>
    <m/>
    <s v="Senso"/>
    <m/>
  </r>
  <r>
    <m/>
    <n v="751"/>
    <s v="188"/>
    <x v="21"/>
    <x v="4"/>
    <n v="1"/>
    <x v="1"/>
    <s v="Boris Rončević"/>
    <s v="099 5327723"/>
    <s v="broncevic@nsk.hr"/>
    <s v="Ul. Hrvatske Bratske Zajednice 4"/>
    <s v="NSK - Ul. Hrvatske Bratske Zajednice 4"/>
    <m/>
    <x v="8"/>
    <m/>
    <m/>
    <s v="Senso"/>
    <m/>
  </r>
  <r>
    <m/>
    <m/>
    <m/>
    <x v="22"/>
    <x v="0"/>
    <n v="47"/>
    <x v="0"/>
    <m/>
    <m/>
    <m/>
    <m/>
    <m/>
    <m/>
    <x v="0"/>
    <m/>
    <m/>
    <m/>
    <m/>
  </r>
  <r>
    <m/>
    <n v="752"/>
    <s v="133"/>
    <x v="22"/>
    <x v="36"/>
    <n v="1"/>
    <x v="11"/>
    <s v="Zvonimir Torba"/>
    <s v="+385 91 4305 724"/>
    <s v="torba@fesb.hr"/>
    <s v="R. Boškovića 32"/>
    <s v="R. Boškovića 32, 21000 Split"/>
    <s v="857144221"/>
    <x v="3"/>
    <m/>
    <m/>
    <m/>
    <m/>
  </r>
  <r>
    <m/>
    <n v="753"/>
    <s v="3990"/>
    <x v="22"/>
    <x v="37"/>
    <n v="3"/>
    <x v="17"/>
    <s v="Stjepo Hladilo"/>
    <s v="0919322586"/>
    <s v="stjepo.hladilo@unidu.hr"/>
    <s v="Branitelja Dubrovnika 41"/>
    <s v="Branitelja Dubrovnika 41, Dubrovnik"/>
    <s v="1338491514"/>
    <x v="3"/>
    <m/>
    <m/>
    <m/>
    <m/>
  </r>
  <r>
    <m/>
    <n v="754"/>
    <s v="3689"/>
    <x v="22"/>
    <x v="5"/>
    <n v="1"/>
    <x v="1"/>
    <s v="Nikola Barba"/>
    <s v="099 6081 436"/>
    <s v="nikola.barba@unicath.hr"/>
    <s v="Ilica 244B"/>
    <s v="Ilica 244, 10000 Zagreb"/>
    <s v="7730927366"/>
    <x v="3"/>
    <m/>
    <m/>
    <m/>
    <m/>
  </r>
  <r>
    <m/>
    <n v="755"/>
    <s v="1918"/>
    <x v="22"/>
    <x v="23"/>
    <n v="1"/>
    <x v="1"/>
    <s v="Ivan Rajković"/>
    <s v="+385998153651"/>
    <s v="ivan.rajkovic@tvz.hr"/>
    <s v="Vrbik 8"/>
    <s v="Vrbik 8"/>
    <s v="8814003451"/>
    <x v="3"/>
    <m/>
    <m/>
    <m/>
    <m/>
  </r>
  <r>
    <m/>
    <n v="756"/>
    <s v="3409"/>
    <x v="22"/>
    <x v="24"/>
    <n v="1"/>
    <x v="15"/>
    <s v="Ivan Reponj"/>
    <s v="0989389348"/>
    <s v="ireponj@ftrr.hr"/>
    <s v="Vukovarska 17"/>
    <s v="Vukovarska 17, Požega"/>
    <s v="11614501047"/>
    <x v="3"/>
    <m/>
    <m/>
    <m/>
    <m/>
  </r>
  <r>
    <m/>
    <n v="757"/>
    <s v="3385"/>
    <x v="22"/>
    <x v="41"/>
    <n v="1"/>
    <x v="18"/>
    <s v="Nikola Kanišk"/>
    <s v="099/5246985"/>
    <s v="nikola.kaniski@vhzk.hr"/>
    <s v="Šetalište Hrvatskog Narodnog Preporoda 6"/>
    <s v="Trg S. Radića 8"/>
    <s v="16465214888"/>
    <x v="3"/>
    <m/>
    <m/>
    <m/>
    <m/>
  </r>
  <r>
    <m/>
    <n v="758"/>
    <s v="536"/>
    <x v="22"/>
    <x v="25"/>
    <n v="1"/>
    <x v="16"/>
    <s v="IGOR BILANDŽIĆ"/>
    <s v="091-444-6885"/>
    <s v="Igor.bilandzic@vevu.hr"/>
    <s v="Županijska 50"/>
    <s v="BLAGE ZADRE 2, VUKOVAR"/>
    <s v="21720825730"/>
    <x v="3"/>
    <m/>
    <m/>
    <m/>
    <m/>
  </r>
  <r>
    <m/>
    <n v="759"/>
    <s v="130"/>
    <x v="22"/>
    <x v="45"/>
    <n v="2"/>
    <x v="1"/>
    <s v="Kristian Došen"/>
    <s v="091 7888 474"/>
    <s v="kristian.dosen@fpzg.hr"/>
    <s v="Ulica Ivana Lepušića 6"/>
    <s v="Lepušićeva 6, 10000 Zagreb"/>
    <s v="28011548575"/>
    <x v="3"/>
    <m/>
    <m/>
    <m/>
    <m/>
  </r>
  <r>
    <m/>
    <n v="760"/>
    <s v="3637"/>
    <x v="22"/>
    <x v="81"/>
    <n v="1"/>
    <x v="13"/>
    <s v="Krunoslav Kurilj"/>
    <s v="0991616166"/>
    <s v="kkurilj@foozos.hr"/>
    <s v="Ulica Cara Hadrijana 10"/>
    <s v="Cara Hadrijana 10, 31 000 Osijek – NASTAVNA ZGRADA"/>
    <s v="28082679513"/>
    <x v="3"/>
    <m/>
    <m/>
    <m/>
    <m/>
  </r>
  <r>
    <m/>
    <s v="761a_x000a_761b"/>
    <s v="5713"/>
    <x v="22"/>
    <x v="27"/>
    <n v="2"/>
    <x v="11"/>
    <s v="Antonija Žaja Čičak_x000a_Petra Musap"/>
    <s v="0914433913_x000a_0991639750"/>
    <s v="antonija.zaja@unist.hr_x000a_petra.musap@unist.hr"/>
    <s v="R. Boškovića 31, Split_x000a_"/>
    <s v="Ruđera Boškovića 31, Split_x000a_Poljana kraljice Jelene 1, Split"/>
    <s v="29845096215"/>
    <x v="3"/>
    <m/>
    <m/>
    <m/>
    <m/>
  </r>
  <r>
    <m/>
    <n v="762"/>
    <s v="1972"/>
    <x v="22"/>
    <x v="47"/>
    <n v="2"/>
    <x v="20"/>
    <s v="Damir Lulić"/>
    <s v="0981771615"/>
    <s v="dlulic@unisb.hr"/>
    <s v="Trg &quot;Ivana Brlić Mažuranić&quot; 2"/>
    <s v="Ulica 108. brigade ZNG 36"/>
    <s v="33027834374"/>
    <x v="3"/>
    <m/>
    <m/>
    <m/>
    <m/>
  </r>
  <r>
    <m/>
    <n v="763"/>
    <s v="267"/>
    <x v="22"/>
    <x v="82"/>
    <n v="1"/>
    <x v="11"/>
    <s v="Željko Matas"/>
    <s v="097 7094175"/>
    <s v="zmatas@kbf-st.hr"/>
    <s v="Zrinjsko-Frankopanska 19"/>
    <s v="Zrinjsko-Frankopanska 19, Split"/>
    <s v="36149548625"/>
    <x v="3"/>
    <m/>
    <m/>
    <m/>
    <m/>
  </r>
  <r>
    <m/>
    <n v="764"/>
    <s v="140"/>
    <x v="22"/>
    <x v="83"/>
    <n v="1"/>
    <x v="1"/>
    <s v="Marko Poletto"/>
    <s v="099/4928854"/>
    <s v="pmarko@vef.unizg.hr"/>
    <s v="Ulica Vjekoslava Heinzela 55"/>
    <s v="Ulica Vjekoslava Heinzela 55, 10000 Zagreb"/>
    <s v="36389528408"/>
    <x v="3"/>
    <m/>
    <m/>
    <m/>
    <m/>
  </r>
  <r>
    <m/>
    <s v="765a_x000a_765b"/>
    <s v="219"/>
    <x v="22"/>
    <x v="28"/>
    <n v="2"/>
    <x v="1"/>
    <s v="Siniša Vlahović_x000a_Marin Šperanda"/>
    <s v="098 268 472_x000a_091 906 6882"/>
    <s v="svlahovic@unizg.hr_x000a_marin.speranda@caas.unizg.hr"/>
    <s v="Trg Republike Hrvatske 14"/>
    <s v="Ulica Radoslava Cimermana 88, 10000 Zagreb_x000a_Don Frana Bulića 4, 20000 Dubrovnik (CAAS)"/>
    <s v="36612267447"/>
    <x v="3"/>
    <m/>
    <m/>
    <m/>
    <m/>
  </r>
  <r>
    <m/>
    <n v="766"/>
    <s v="3545"/>
    <x v="22"/>
    <x v="29"/>
    <n v="1"/>
    <x v="11"/>
    <s v="Branimir Džaja"/>
    <s v="091-2600324"/>
    <s v="branimir.dzaja@umas.hr"/>
    <s v="Zagrebačka 3"/>
    <s v="Glagoljaška 18a, Gripe"/>
    <s v="38960125358"/>
    <x v="3"/>
    <m/>
    <m/>
    <m/>
    <m/>
  </r>
  <r>
    <m/>
    <n v="767"/>
    <s v="141"/>
    <x v="22"/>
    <x v="30"/>
    <n v="1"/>
    <x v="1"/>
    <s v="Emil Flatz"/>
    <s v="38598302567"/>
    <s v="eflatz@arhitekt.hr"/>
    <s v="Kačićeva Ulica 26"/>
    <s v="Frankopanska 12"/>
    <s v="42061107444"/>
    <x v="3"/>
    <m/>
    <m/>
    <m/>
    <m/>
  </r>
  <r>
    <m/>
    <n v="768"/>
    <s v="122"/>
    <x v="22"/>
    <x v="49"/>
    <n v="1"/>
    <x v="1"/>
    <s v="Marijo Seničić"/>
    <s v="099 533 7842"/>
    <s v="marijo.senicic@geof.unizg.hr"/>
    <s v="Kačićeva Ulica 26"/>
    <s v="Kačićeva 26, 10000 Zagreb"/>
    <s v="43594593297"/>
    <x v="3"/>
    <m/>
    <m/>
    <m/>
    <m/>
  </r>
  <r>
    <m/>
    <n v="769"/>
    <s v="173"/>
    <x v="22"/>
    <x v="89"/>
    <n v="1"/>
    <x v="8"/>
    <s v="Siniša Lončarić"/>
    <s v="0913011188"/>
    <s v="sloncaric@pravri.uniri.hr"/>
    <s v="Hahlić 6"/>
    <s v="Hahlić 6, Rijeka"/>
    <s v="43767699965"/>
    <x v="3"/>
    <m/>
    <m/>
    <m/>
    <m/>
  </r>
  <r>
    <m/>
    <n v="770"/>
    <s v="165"/>
    <x v="22"/>
    <x v="79"/>
    <n v="1"/>
    <x v="1"/>
    <s v="Mirza Žižak"/>
    <s v="091-595-2783"/>
    <s v="mirza.zizak@mef.hr"/>
    <s v="Šalata 3"/>
    <s v="Šalata 2"/>
    <s v="45001686598"/>
    <x v="3"/>
    <m/>
    <m/>
    <m/>
    <m/>
  </r>
  <r>
    <m/>
    <n v="771"/>
    <s v="146"/>
    <x v="22"/>
    <x v="70"/>
    <n v="1"/>
    <x v="1"/>
    <s v="Ana Vukelić"/>
    <s v="0915677600"/>
    <s v="avukelic@pbf.hr"/>
    <s v="Pierottijeva Ulica 6"/>
    <s v="Pierottijeva 6"/>
    <s v="47824453867"/>
    <x v="3"/>
    <m/>
    <m/>
    <m/>
    <m/>
  </r>
  <r>
    <m/>
    <n v="772"/>
    <s v="210"/>
    <x v="22"/>
    <x v="31"/>
    <n v="1"/>
    <x v="1"/>
    <s v="Taras Barščevski"/>
    <s v="+385(91)5335.699"/>
    <s v="taras.barscevski@kbf.unizg.hr"/>
    <s v="Vlaška Ulica 38"/>
    <s v="Vlaška 38"/>
    <s v="48987767944"/>
    <x v="3"/>
    <m/>
    <m/>
    <m/>
    <m/>
  </r>
  <r>
    <m/>
    <n v="773"/>
    <s v="275"/>
    <x v="22"/>
    <x v="85"/>
    <n v="1"/>
    <x v="13"/>
    <s v="Petar Taler"/>
    <s v="091 224 1039"/>
    <s v="petar@mathos.hr"/>
    <s v="Trg Ljudevita Gaja 6"/>
    <s v="Trg Lj. Gaja 6, Osijek"/>
    <s v="56597320763"/>
    <x v="3"/>
    <m/>
    <m/>
    <m/>
    <m/>
  </r>
  <r>
    <m/>
    <n v="774"/>
    <s v="3430"/>
    <x v="22"/>
    <x v="53"/>
    <n v="1"/>
    <x v="11"/>
    <s v="Ante Krolo"/>
    <s v="+385 95 903 76 48"/>
    <s v="ante@kifst.hr"/>
    <s v="Teslina 6"/>
    <s v="Teslina 10"/>
    <s v="57848936921"/>
    <x v="3"/>
    <m/>
    <m/>
    <m/>
    <m/>
  </r>
  <r>
    <m/>
    <n v="775"/>
    <s v="181"/>
    <x v="22"/>
    <x v="80"/>
    <n v="1"/>
    <x v="13"/>
    <s v="Zoltan Juhas"/>
    <s v="091/ 2549 157"/>
    <s v="zoli@ffos.hr"/>
    <s v="Ulica Lorenza Jägera 9"/>
    <s v="Ulica Lorenza Jägera 9"/>
    <s v="58868871646"/>
    <x v="3"/>
    <m/>
    <m/>
    <m/>
    <m/>
  </r>
  <r>
    <m/>
    <n v="776"/>
    <s v="4497"/>
    <x v="22"/>
    <x v="9"/>
    <n v="2"/>
    <x v="6"/>
    <s v="Branimir Kolman"/>
    <s v="091 244 0130"/>
    <s v="bkolman@unin.hr"/>
    <s v="Trg Dr. Žarka Dolinara 1"/>
    <s v="Ulica 104 brigade 3, VŽ"/>
    <s v="59624928052"/>
    <x v="3"/>
    <m/>
    <m/>
    <m/>
    <m/>
  </r>
  <r>
    <m/>
    <n v="777"/>
    <s v="3554"/>
    <x v="22"/>
    <x v="10"/>
    <n v="1"/>
    <x v="7"/>
    <s v="Dario Kukuljan"/>
    <s v="0993777446"/>
    <s v="dkukuljan@unipu.hr"/>
    <s v="Zagrebačka Ulica 30"/>
    <s v="Alda Negrija 6, Pila"/>
    <s v="61738073226"/>
    <x v="3"/>
    <m/>
    <m/>
    <m/>
    <m/>
  </r>
  <r>
    <m/>
    <s v="778a_x000a_778b"/>
    <s v="221"/>
    <x v="22"/>
    <x v="11"/>
    <n v="2"/>
    <x v="8"/>
    <s v="Marko Roža_x000a_Jasenko Mandura"/>
    <s v="051/265-873_x000a_+385959017650"/>
    <s v="marko.roza@uniri.hr_x000a_jasenko.mandura@uniri.hr"/>
    <s v="Trg Braće Mažuranića 10"/>
    <s v="Radmile Matejčić 2; 51000 Rijeka_x000a_Trg braće Mažuranića 10; 51000 Rijeka"/>
    <s v="64218323816"/>
    <x v="3"/>
    <m/>
    <m/>
    <m/>
    <m/>
  </r>
  <r>
    <m/>
    <n v="779"/>
    <s v="150"/>
    <x v="22"/>
    <x v="12"/>
    <n v="1"/>
    <x v="1"/>
    <s v="Dario Đurasović"/>
    <s v="091 4802 130"/>
    <s v="dario@sfzg.hr"/>
    <s v="Gundulićeva Ulica 5"/>
    <s v="Gundulićeva 5, Zagreb"/>
    <s v="70221464726"/>
    <x v="3"/>
    <m/>
    <m/>
    <m/>
    <m/>
  </r>
  <r>
    <m/>
    <n v="780"/>
    <s v="6229"/>
    <x v="22"/>
    <x v="55"/>
    <n v="1"/>
    <x v="13"/>
    <s v="Matija Karapetrić"/>
    <s v="0915053478"/>
    <s v="matija.karapetric@kifos.hr"/>
    <s v="Drinska 16A"/>
    <s v="Drinska 16a, 31000 Osijek"/>
    <s v="70788591483"/>
    <x v="3"/>
    <m/>
    <m/>
    <m/>
    <m/>
  </r>
  <r>
    <m/>
    <n v="781"/>
    <s v="169"/>
    <x v="22"/>
    <x v="57"/>
    <n v="1"/>
    <x v="8"/>
    <s v="Izv. prof. dr. sc. Jasmin Ćelić"/>
    <s v="0912546777"/>
    <s v="jasmin.celic@uniri.hr"/>
    <s v="Studentska 2"/>
    <s v="Studentska 2"/>
    <s v="76722145702"/>
    <x v="3"/>
    <m/>
    <m/>
    <m/>
    <m/>
  </r>
  <r>
    <m/>
    <n v="782"/>
    <s v="222"/>
    <x v="22"/>
    <x v="33"/>
    <n v="1"/>
    <x v="13"/>
    <s v="Tatjana Šajatović"/>
    <s v=" +38598871499"/>
    <s v="tsajatovic@kemija.unios.hr"/>
    <s v="Trg Sv. Trojstva 3"/>
    <s v="Cara Hadrijana 8/A"/>
    <s v="78808975734"/>
    <x v="3"/>
    <m/>
    <m/>
    <m/>
    <m/>
  </r>
  <r>
    <m/>
    <n v="783"/>
    <s v="5717"/>
    <x v="22"/>
    <x v="59"/>
    <n v="1"/>
    <x v="13"/>
    <s v="Andrija Ljubičić_x000a_"/>
    <s v="091 2241 423_x000a_"/>
    <s v="andrija.ljubicic@fdmz.hr_x000a_"/>
    <s v="Crkvena Ulica 21"/>
    <s v="Crkvena 21"/>
    <s v="83830458507"/>
    <x v="3"/>
    <m/>
    <m/>
    <m/>
    <m/>
  </r>
  <r>
    <m/>
    <n v="784"/>
    <s v="316"/>
    <x v="22"/>
    <x v="20"/>
    <n v="1"/>
    <x v="11"/>
    <s v="Ante Denić"/>
    <s v="(+385)915683877"/>
    <s v="dante@efst.hr"/>
    <s v="Cvite Fiskovića 5"/>
    <s v="Cvite Fiskovića 5, Split"/>
    <s v="84477684422"/>
    <x v="3"/>
    <m/>
    <m/>
    <m/>
    <m/>
  </r>
  <r>
    <m/>
    <n v="785"/>
    <s v="174"/>
    <x v="22"/>
    <x v="86"/>
    <n v="1"/>
    <x v="23"/>
    <s v="Davor Mijolović"/>
    <s v="098-292-104"/>
    <s v="davor.mijolovic@fthm.hr"/>
    <s v="Primorska 46"/>
    <s v="Primorska 46, 51410  Opatija"/>
    <s v="85799845149"/>
    <x v="3"/>
    <m/>
    <m/>
    <m/>
    <m/>
  </r>
  <r>
    <m/>
    <n v="786"/>
    <s v="199"/>
    <x v="22"/>
    <x v="61"/>
    <n v="1"/>
    <x v="13"/>
    <s v="Mario Miloloza"/>
    <s v="0912246140"/>
    <s v="mario.miloloza@ferit.hr"/>
    <s v="Ulica Kneza Trpimira 2B"/>
    <s v="Cara Hadrijana 10b, Osijek"/>
    <s v="95494259952"/>
    <x v="3"/>
    <m/>
    <m/>
    <m/>
    <m/>
  </r>
  <r>
    <m/>
    <n v="787"/>
    <s v="281"/>
    <x v="22"/>
    <x v="63"/>
    <n v="1"/>
    <x v="8"/>
    <s v="Danka Jurjević"/>
    <s v="265-877"/>
    <s v="danka.jurjevic@uniri.hr"/>
    <s v="Sveučilišna Avenija 6"/>
    <s v="Sveučilišna Avenija 6"/>
    <s v="96996385705"/>
    <x v="3"/>
    <m/>
    <m/>
    <m/>
    <m/>
  </r>
  <r>
    <m/>
    <n v="788"/>
    <s v="5769"/>
    <x v="22"/>
    <x v="64"/>
    <n v="1"/>
    <x v="11"/>
    <s v="Slaven Kušljić"/>
    <s v="021 545545, 091 4443745"/>
    <s v="slaven@ffst.hr"/>
    <s v="Poljička Cesta 35"/>
    <s v="Poljička cesta 35"/>
    <s v="98004523293"/>
    <x v="3"/>
    <m/>
    <m/>
    <m/>
    <m/>
  </r>
  <r>
    <m/>
    <n v="789"/>
    <s v="4917"/>
    <x v="22"/>
    <x v="96"/>
    <n v="1"/>
    <x v="11"/>
    <s v="Domagoj Vučica"/>
    <s v="091/1265-486"/>
    <s v="domagoj@ktf-split.hr"/>
    <s v="R. Boškovića 35"/>
    <s v="R. Boškovića 35"/>
    <s v="99401575594"/>
    <x v="3"/>
    <m/>
    <m/>
    <m/>
    <m/>
  </r>
  <r>
    <m/>
    <n v="790"/>
    <s v="206"/>
    <x v="22"/>
    <x v="35"/>
    <n v="1"/>
    <x v="1"/>
    <s v="Davor Štrk"/>
    <s v="099 3136 671"/>
    <s v="dstrk@fkz.hr"/>
    <s v="Avenija Gojka Šuška 1"/>
    <s v="Av. Gojka Šuška 1, Zagreb"/>
    <s v="36162371878"/>
    <x v="3"/>
    <m/>
    <m/>
    <m/>
    <m/>
  </r>
  <r>
    <m/>
    <m/>
    <m/>
    <x v="23"/>
    <x v="0"/>
    <n v="70"/>
    <x v="0"/>
    <m/>
    <m/>
    <m/>
    <m/>
    <m/>
    <m/>
    <x v="0"/>
    <m/>
    <m/>
    <s v="King"/>
    <m/>
  </r>
  <r>
    <m/>
    <n v="1"/>
    <s v="133"/>
    <x v="23"/>
    <x v="36"/>
    <n v="1"/>
    <x v="11"/>
    <s v="Zvonimir Torba"/>
    <s v="+385 91 4305 724"/>
    <s v="torba@fesb.hr"/>
    <s v="R. Boškovića 32"/>
    <s v="R. Boškovića 32, 21000 Split"/>
    <s v="857144221"/>
    <x v="9"/>
    <m/>
    <m/>
    <s v="King"/>
    <s v="King"/>
  </r>
  <r>
    <m/>
    <n v="66"/>
    <s v="3990"/>
    <x v="23"/>
    <x v="37"/>
    <n v="2"/>
    <x v="17"/>
    <s v="Stjepo Hladilo"/>
    <s v="0919322586"/>
    <s v="stjepo.hladilo@unidu.hr"/>
    <s v="Branitelja Dubrovnika 41"/>
    <s v="Ćira Carića 4, Dubrovnik"/>
    <s v="1338491514"/>
    <x v="2"/>
    <m/>
    <m/>
    <s v="King"/>
    <s v="Senso"/>
  </r>
  <r>
    <m/>
    <n v="2"/>
    <s v="131"/>
    <x v="23"/>
    <x v="66"/>
    <n v="2"/>
    <x v="10"/>
    <s v="Mario Harjač"/>
    <s v="097 610 1011"/>
    <s v="maharjac@foi.unizg.hr"/>
    <s v="Pavlinska Ulica 2"/>
    <s v="Pavlinska ulica 2, Varaždin"/>
    <s v="2024882310"/>
    <x v="9"/>
    <m/>
    <m/>
    <s v="King"/>
    <s v="King"/>
  </r>
  <r>
    <m/>
    <n v="3"/>
    <s v="149"/>
    <x v="23"/>
    <x v="38"/>
    <n v="1"/>
    <x v="11"/>
    <s v="Dalibor Gabela"/>
    <s v="091-1557942"/>
    <s v="helpdesk@mefst.hr"/>
    <s v="Šoltanska 2"/>
    <s v="Šoltanska 2A, Split"/>
    <s v="2879747067"/>
    <x v="9"/>
    <m/>
    <m/>
    <s v="King"/>
    <s v="King"/>
  </r>
  <r>
    <m/>
    <n v="4"/>
    <s v="132"/>
    <x v="23"/>
    <x v="39"/>
    <n v="1"/>
    <x v="11"/>
    <s v="Juraj Saratlija"/>
    <s v="0996935026"/>
    <s v="juraj.saratlija@pravst.hr"/>
    <s v="Ulica Domovinskog Rata 8"/>
    <s v="Domovinskog rata 8, Split"/>
    <s v="3541568700"/>
    <x v="9"/>
    <m/>
    <m/>
    <s v="King"/>
    <s v="King"/>
  </r>
  <r>
    <m/>
    <n v="5"/>
    <s v="3689"/>
    <x v="23"/>
    <x v="5"/>
    <n v="1"/>
    <x v="1"/>
    <s v="Nikola Barba"/>
    <s v="099 6081 436"/>
    <s v="nikola.barba@unicath.hr"/>
    <s v="Ilica 244B"/>
    <s v="Ilica 244, 10000 Zagreb"/>
    <s v="7730927366"/>
    <x v="9"/>
    <m/>
    <m/>
    <s v="King"/>
    <s v="King"/>
  </r>
  <r>
    <m/>
    <n v="6"/>
    <s v="1918"/>
    <x v="23"/>
    <x v="23"/>
    <n v="1"/>
    <x v="1"/>
    <s v="Ivan Rajković"/>
    <s v="+385998153651"/>
    <s v="ivan.rajkovic@tvz.hr"/>
    <s v="Vrbik 8"/>
    <s v="Vrbik 8"/>
    <s v="8814003451"/>
    <x v="9"/>
    <m/>
    <m/>
    <s v="King"/>
    <s v="King"/>
  </r>
  <r>
    <m/>
    <n v="7"/>
    <s v="368"/>
    <x v="23"/>
    <x v="6"/>
    <n v="1"/>
    <x v="3"/>
    <s v="Ivan Nimac"/>
    <s v="095/826-5888"/>
    <s v="inimac@unizd.hr"/>
    <s v="Ulica Mihovila Pavlinovića 1"/>
    <s v="Obala kralja Petra Krešimira IV. Br. 2, 23000 Zadar"/>
    <s v="10839679016"/>
    <x v="9"/>
    <m/>
    <m/>
    <s v="King"/>
    <s v="Senso"/>
  </r>
  <r>
    <m/>
    <n v="8"/>
    <s v="3409"/>
    <x v="23"/>
    <x v="24"/>
    <n v="1"/>
    <x v="15"/>
    <s v="Ivan Reponj"/>
    <s v="0989389348"/>
    <s v="ireponj@ftrr.hr"/>
    <s v="Vukovarska 17"/>
    <s v="Vukovarska 17, Požega"/>
    <s v="11614501047"/>
    <x v="9"/>
    <m/>
    <m/>
    <s v="King"/>
    <s v="Senso"/>
  </r>
  <r>
    <m/>
    <n v="9"/>
    <s v="198"/>
    <x v="23"/>
    <x v="15"/>
    <n v="1"/>
    <x v="10"/>
    <s v="Darko Šprem"/>
    <s v="091 408 9012"/>
    <s v="darko.sprem@gfv.hr"/>
    <s v="Hallerova Aleja 7"/>
    <s v="Hallerova aleja 7, Varaždin"/>
    <s v="16146181375"/>
    <x v="9"/>
    <m/>
    <m/>
    <s v="King"/>
    <s v="King"/>
  </r>
  <r>
    <m/>
    <s v="63a_x000a_63b"/>
    <s v="3385"/>
    <x v="23"/>
    <x v="41"/>
    <n v="2"/>
    <x v="18"/>
    <s v="Nikola Kaniški_x000a_Stjepan Šalković"/>
    <s v="099/5246985_x000a_091/7895599"/>
    <s v="nikola.kaniski@vhzk.hr_x000a_stjepan.salkovic@vhzk.hr"/>
    <s v="Šetalište Hrvatskog Narodnog Preporoda 6"/>
    <s v="Trg S. Radića 8_x000a_Šetalište hrv. nar. prep. 6 (SŠ  Krapina)"/>
    <s v="16465214888"/>
    <x v="1"/>
    <m/>
    <m/>
    <s v="King"/>
    <s v="King"/>
  </r>
  <r>
    <m/>
    <n v="10"/>
    <s v="3986"/>
    <x v="23"/>
    <x v="68"/>
    <n v="1"/>
    <x v="1"/>
    <s v="Petra Mitrović"/>
    <s v="0914810222"/>
    <s v="pmitrovic@muza.hr"/>
    <s v="Trg Republike Hrvatske 12"/>
    <s v="Trg Republike Hrvatske 12"/>
    <s v="18422925218"/>
    <x v="9"/>
    <m/>
    <m/>
    <s v="King"/>
    <s v="Senso"/>
  </r>
  <r>
    <m/>
    <n v="11"/>
    <s v="4660"/>
    <x v="23"/>
    <x v="69"/>
    <n v="1"/>
    <x v="8"/>
    <s v="Vedran Ćurković"/>
    <s v="091 / 9536547"/>
    <s v="vedran.curkovic@uniri.hr"/>
    <s v="Viktora Cara Emina 5"/>
    <s v="Viktora Cara Emina 5"/>
    <s v="19213484918"/>
    <x v="9"/>
    <m/>
    <m/>
    <s v="King"/>
    <s v="Senso"/>
  </r>
  <r>
    <m/>
    <n v="12"/>
    <s v="4919"/>
    <x v="23"/>
    <x v="42"/>
    <n v="1"/>
    <x v="11"/>
    <s v="Doris Knego"/>
    <s v="098 9394211,"/>
    <s v="doris.knego@pmfst.hr"/>
    <s v="R. Boškovića 33"/>
    <s v="Ruđera Boškovića 33"/>
    <s v="20858497843"/>
    <x v="9"/>
    <m/>
    <m/>
    <s v="King"/>
    <s v="King"/>
  </r>
  <r>
    <m/>
    <n v="13"/>
    <s v="536"/>
    <x v="23"/>
    <x v="25"/>
    <n v="1"/>
    <x v="16"/>
    <s v="IGOR BILANDŽIĆ"/>
    <s v="091-444-6885"/>
    <s v="Igor.bilandzic@vevu.hr"/>
    <s v="Županijska 50"/>
    <s v="BLAGE ZADRE 2, VUKOVAR"/>
    <s v="21720825730"/>
    <x v="9"/>
    <m/>
    <m/>
    <s v="King"/>
    <s v="Senso"/>
  </r>
  <r>
    <m/>
    <n v="14"/>
    <s v="4914"/>
    <x v="23"/>
    <x v="16"/>
    <n v="1"/>
    <x v="11"/>
    <s v="Romaldo Singolo"/>
    <s v="091 155 9622"/>
    <s v="romi@pfst.hr"/>
    <s v="R. Boškovića 37"/>
    <s v="Ruđera Boškovića 37, Split"/>
    <s v="24624257529"/>
    <x v="9"/>
    <m/>
    <m/>
    <s v="King"/>
    <s v="King"/>
  </r>
  <r>
    <m/>
    <n v="15"/>
    <s v="185"/>
    <x v="23"/>
    <x v="43"/>
    <n v="1"/>
    <x v="1"/>
    <s v="Marko Maričević"/>
    <s v="0915193488"/>
    <s v="marko.maricevic@grf.hr"/>
    <s v="Getaldićeva Ulica 2"/>
    <s v="Getaldićeva 2, Zagreb"/>
    <s v="25564990903"/>
    <x v="9"/>
    <m/>
    <m/>
    <s v="King"/>
    <s v="Senso"/>
  </r>
  <r>
    <m/>
    <n v="16"/>
    <s v="168"/>
    <x v="23"/>
    <x v="77"/>
    <n v="1"/>
    <x v="13"/>
    <s v="Bruno Bakarić"/>
    <s v="031/224-508"/>
    <s v="bbakaric@pravos.hr"/>
    <s v="Ulica Stjepana Radića 13"/>
    <s v="Stjepana Radića 17"/>
    <s v="26416570803"/>
    <x v="9"/>
    <m/>
    <m/>
    <s v="King"/>
    <s v="Senso"/>
  </r>
  <r>
    <m/>
    <n v="17"/>
    <s v="205"/>
    <x v="23"/>
    <x v="44"/>
    <n v="1"/>
    <x v="1"/>
    <s v="Mikolaj Martinjak"/>
    <s v="0989478881"/>
    <s v="mika@ffrz.hr"/>
    <s v="Jordanovac 110"/>
    <s v="Jordanovac 110"/>
    <s v="26975482530"/>
    <x v="9"/>
    <m/>
    <m/>
    <s v="King"/>
    <s v="King"/>
  </r>
  <r>
    <m/>
    <n v="18"/>
    <s v="130"/>
    <x v="23"/>
    <x v="45"/>
    <n v="1"/>
    <x v="1"/>
    <s v="Kristian Došen"/>
    <s v="091 7888 474"/>
    <s v="kristian.dosen@fpzg.hr"/>
    <s v="Ulica Ivana Lepušića 6"/>
    <s v="Lepušićeva 6, 10000 Zagreb"/>
    <s v="28011548575"/>
    <x v="9"/>
    <m/>
    <m/>
    <s v="King"/>
    <s v="Senso"/>
  </r>
  <r>
    <m/>
    <n v="19"/>
    <s v="3637"/>
    <x v="23"/>
    <x v="81"/>
    <n v="1"/>
    <x v="13"/>
    <s v="Krunoslav Kurilj"/>
    <s v="0991616166"/>
    <s v="kkurilj@foozos.hr"/>
    <s v="Ulica Cara Hadrijana 10"/>
    <s v="Cara Hadrijana 10, 31 000 Osijek – NASTAVNA ZGRADA"/>
    <s v="28082679513"/>
    <x v="9"/>
    <m/>
    <m/>
    <s v="King"/>
    <s v="Senso"/>
  </r>
  <r>
    <m/>
    <n v="20"/>
    <s v="250"/>
    <x v="23"/>
    <x v="17"/>
    <n v="1"/>
    <x v="8"/>
    <s v="Davorin Tadić"/>
    <s v="091 332 1308"/>
    <s v="dtadic@veleri.hr"/>
    <s v="Trpimirova 2"/>
    <s v="Vukovarska 58, Rijeka"/>
    <s v="29573709870"/>
    <x v="9"/>
    <m/>
    <m/>
    <s v="King"/>
    <s v="Senso"/>
  </r>
  <r>
    <m/>
    <n v="21"/>
    <s v="5713"/>
    <x v="23"/>
    <x v="27"/>
    <n v="1"/>
    <x v="11"/>
    <s v="Petra Musap"/>
    <s v="0991639750"/>
    <s v="petra.musap@unist.hr"/>
    <s v="R. Boškovića 31, Split"/>
    <s v="Poljana kraljice Jelene 1, Split"/>
    <s v="29845096215"/>
    <x v="9"/>
    <m/>
    <m/>
    <s v="King"/>
    <s v="King"/>
  </r>
  <r>
    <m/>
    <n v="22"/>
    <s v="1972"/>
    <x v="23"/>
    <x v="47"/>
    <n v="1"/>
    <x v="20"/>
    <s v="Damir Lulić"/>
    <s v="0981771615"/>
    <s v="dlulic@unisb.hr"/>
    <s v="Trg &quot;Ivana Brlić Mažuranić&quot; 2"/>
    <s v="Ulica 108. brigade ZNG 36"/>
    <s v="33027834374"/>
    <x v="9"/>
    <m/>
    <m/>
    <s v="King"/>
    <s v="Senso"/>
  </r>
  <r>
    <m/>
    <n v="23"/>
    <s v="3340"/>
    <x v="23"/>
    <x v="48"/>
    <n v="1"/>
    <x v="1"/>
    <s v="Ivan Cerovec"/>
    <s v="01/2457510"/>
    <s v="ivan.cerovec@erf.unizg.hr"/>
    <s v="Borongajska Cesta 83F"/>
    <s v="Zagreb, Borongajska c.83f"/>
    <s v="34967762426"/>
    <x v="9"/>
    <m/>
    <m/>
    <s v="King"/>
    <s v="King"/>
  </r>
  <r>
    <m/>
    <n v="24"/>
    <s v="267"/>
    <x v="23"/>
    <x v="82"/>
    <n v="1"/>
    <x v="11"/>
    <s v="Željko Matas"/>
    <s v="097 7094175"/>
    <s v="zmatas@kbf-st.hr"/>
    <s v="Zrinsko-Frankopanska 19"/>
    <s v="Zrinsko-Frankopanska 19, Split"/>
    <s v="36149548625"/>
    <x v="9"/>
    <m/>
    <m/>
    <s v="King"/>
    <s v="King"/>
  </r>
  <r>
    <m/>
    <n v="25"/>
    <s v="140"/>
    <x v="23"/>
    <x v="83"/>
    <n v="1"/>
    <x v="1"/>
    <s v="Marko Poletto"/>
    <s v="099/4928854"/>
    <s v="pmarko@vef.unizg.hr"/>
    <s v="Ulica Vjekoslava Heinzela 55"/>
    <s v="Ulica Vjekoslava Heinzela 55, 10000 Zagreb"/>
    <s v="36389528408"/>
    <x v="9"/>
    <m/>
    <m/>
    <s v="King"/>
    <s v="King"/>
  </r>
  <r>
    <m/>
    <n v="26"/>
    <s v="219"/>
    <x v="23"/>
    <x v="28"/>
    <n v="1"/>
    <x v="1"/>
    <s v="Siniša Vlahović_x000a_"/>
    <s v="098 268 472_x000a_"/>
    <s v="svlahovic@unizg.hr_x000a_"/>
    <s v="Trg Republike Hrvatske 14"/>
    <s v="Ulica Radoslava Cimermana 88, 10000 Zagreb"/>
    <s v="36612267447"/>
    <x v="9"/>
    <m/>
    <m/>
    <s v="King"/>
    <s v="Senso"/>
  </r>
  <r>
    <m/>
    <n v="27"/>
    <s v="3545"/>
    <x v="23"/>
    <x v="29"/>
    <n v="1"/>
    <x v="11"/>
    <s v="Branimir Džaja"/>
    <s v="091-2600324"/>
    <s v="branimir.dzaja@umas.hr"/>
    <s v="Zagrebačka 3"/>
    <s v="Fausta Vrančića 19"/>
    <s v="38960125358"/>
    <x v="9"/>
    <m/>
    <m/>
    <s v="King"/>
    <s v="King"/>
  </r>
  <r>
    <m/>
    <n v="28"/>
    <s v="141"/>
    <x v="23"/>
    <x v="30"/>
    <n v="1"/>
    <x v="1"/>
    <s v="Emil Flatz"/>
    <s v="38598302567"/>
    <s v="eflatz@arhitekt.hr"/>
    <s v="Kačićeva Ulica 26"/>
    <s v="Frankopanska 12"/>
    <s v="42061107444"/>
    <x v="9"/>
    <m/>
    <m/>
    <s v="King"/>
    <s v="Senso"/>
  </r>
  <r>
    <m/>
    <n v="29"/>
    <s v="177"/>
    <x v="23"/>
    <x v="78"/>
    <n v="1"/>
    <x v="1"/>
    <s v="Srđan Cvetanović"/>
    <s v="095 8000 204_x000a_"/>
    <s v="djani@ttf.hr_x000a_"/>
    <s v="Prilaz Baruna Filipovića 28A"/>
    <s v="Prilaz baruna Filipovića 28a"/>
    <s v="43097527965"/>
    <x v="9"/>
    <m/>
    <m/>
    <s v="King"/>
    <s v="Senso"/>
  </r>
  <r>
    <m/>
    <n v="30"/>
    <s v="122"/>
    <x v="23"/>
    <x v="49"/>
    <n v="1"/>
    <x v="1"/>
    <s v="Marijo Seničić"/>
    <s v="099 533 7842"/>
    <s v="marijo.senicic@geof.unizg.hr"/>
    <s v="Kačićeva Ulica 26"/>
    <s v="Kačićeva 26, 10000 Zagreb"/>
    <s v="43594593297"/>
    <x v="9"/>
    <m/>
    <m/>
    <s v="King"/>
    <s v="King"/>
  </r>
  <r>
    <m/>
    <n v="31"/>
    <s v="165"/>
    <x v="23"/>
    <x v="79"/>
    <n v="1"/>
    <x v="1"/>
    <s v="Mirza Žižak"/>
    <s v="091-595-2783"/>
    <s v="mirza.zizak@mef.hr"/>
    <s v="Šalata 3"/>
    <s v="Šalata 2"/>
    <s v="45001686598"/>
    <x v="9"/>
    <m/>
    <m/>
    <s v="King"/>
    <s v="King"/>
  </r>
  <r>
    <m/>
    <n v="32"/>
    <s v="146"/>
    <x v="23"/>
    <x v="70"/>
    <n v="1"/>
    <x v="1"/>
    <s v="Ana Vukelić"/>
    <s v="0915677600"/>
    <s v="avukelic@pbf.hr"/>
    <s v="Pierottijeva Ulica 6"/>
    <s v="Pierottijeva 6"/>
    <s v="47824453867"/>
    <x v="9"/>
    <m/>
    <m/>
    <s v="King"/>
    <s v="King"/>
  </r>
  <r>
    <m/>
    <n v="33"/>
    <s v="210"/>
    <x v="23"/>
    <x v="31"/>
    <n v="1"/>
    <x v="1"/>
    <s v="Taras Barščevski"/>
    <s v="+385(91)5335.699"/>
    <s v="taras.barscevski@kbf.unizg.hr"/>
    <s v="Vlaška Ulica 38"/>
    <s v="Vlaška 38"/>
    <s v="48987767944"/>
    <x v="9"/>
    <m/>
    <m/>
    <s v="King"/>
    <s v="Senso"/>
  </r>
  <r>
    <m/>
    <n v="34"/>
    <s v="245"/>
    <x v="23"/>
    <x v="52"/>
    <n v="1"/>
    <x v="1"/>
    <s v="Ozren Digula, Kristijan Zbiljski"/>
    <s v="0914595855, 0914595858"/>
    <s v="ozren.digula@zvu.hr, kristijan.zbiljski@zvu.hr"/>
    <s v="Mlinarska Cesta 38"/>
    <s v="Mlinarska cesta 38"/>
    <s v="50952646228"/>
    <x v="9"/>
    <m/>
    <m/>
    <s v="King"/>
    <s v="King"/>
  </r>
  <r>
    <m/>
    <n v="35"/>
    <s v="215"/>
    <x v="23"/>
    <x v="18"/>
    <n v="1"/>
    <x v="1"/>
    <s v="Ivan Šetin"/>
    <s v="0981839338"/>
    <s v="isetin@adu.hr"/>
    <s v="Trg Republike Hrvatske 5"/>
    <s v="Trg Republike Hrvatske 5, Zagreb"/>
    <s v="52097842295"/>
    <x v="9"/>
    <m/>
    <m/>
    <s v="King"/>
    <s v="Senso"/>
  </r>
  <r>
    <m/>
    <n v="36"/>
    <s v="125"/>
    <x v="23"/>
    <x v="84"/>
    <n v="1"/>
    <x v="13"/>
    <s v="Damir Kovačević"/>
    <s v="385912244189"/>
    <s v="damir.kovacevic@efos.hr"/>
    <s v="Trg Ljudevita Gaja 7"/>
    <s v="Trg Ljudevita Gaja 7, Osijek"/>
    <s v="52778515544"/>
    <x v="9"/>
    <m/>
    <m/>
    <s v="King"/>
    <s v="King"/>
  </r>
  <r>
    <m/>
    <n v="37"/>
    <s v="1939"/>
    <x v="23"/>
    <x v="76"/>
    <n v="1"/>
    <x v="8"/>
    <s v="Aljoša Brajdić"/>
    <s v="099/2217114"/>
    <s v="aljosa.brajdic@apuri.uniri.hr"/>
    <s v="Slavka Krautzeka 83"/>
    <s v="Slavka Krautzeka 83, 51000 Rijeka"/>
    <s v="55704161999"/>
    <x v="9"/>
    <m/>
    <m/>
    <s v="King"/>
    <s v="Senso"/>
  </r>
  <r>
    <m/>
    <n v="38"/>
    <s v="275"/>
    <x v="23"/>
    <x v="85"/>
    <n v="2"/>
    <x v="13"/>
    <s v="Petar Taler"/>
    <s v="091 224 1039"/>
    <s v="petar@mathos.hr"/>
    <s v="Trg Ljudevita Gaja 6"/>
    <s v="Trg Lj. Gaja 6, Osijek"/>
    <s v="56597320763"/>
    <x v="9"/>
    <m/>
    <m/>
    <s v="King"/>
    <s v="King"/>
  </r>
  <r>
    <m/>
    <n v="39"/>
    <s v="138"/>
    <x v="23"/>
    <x v="71"/>
    <n v="1"/>
    <x v="1"/>
    <s v="Denis Hernaut"/>
    <s v="+385 91 604 3920"/>
    <s v="denis.hernaut@fer.hr"/>
    <s v="Unska Ulica 3"/>
    <s v="Vukovarska 39, Zagreb"/>
    <s v="57029260362"/>
    <x v="9"/>
    <m/>
    <m/>
    <s v="King"/>
    <s v="Senso"/>
  </r>
  <r>
    <m/>
    <n v="40"/>
    <s v="3430"/>
    <x v="23"/>
    <x v="53"/>
    <n v="1"/>
    <x v="11"/>
    <s v="Ante Krolo"/>
    <s v="+385 95 903 76 48"/>
    <s v="ante@kifst.hr"/>
    <s v="Teslina 6"/>
    <s v="Teslina 10"/>
    <s v="57848936921"/>
    <x v="9"/>
    <m/>
    <m/>
    <s v="King"/>
    <s v="King"/>
  </r>
  <r>
    <m/>
    <n v="41"/>
    <s v="181"/>
    <x v="23"/>
    <x v="80"/>
    <n v="1"/>
    <x v="13"/>
    <s v="Zoltan Juhas"/>
    <s v="091/ 2549 157"/>
    <s v="zoli@ffos.hr"/>
    <s v="Ulica Lorenza Jägera 9"/>
    <s v="Ulica Lorenza Jägera 9"/>
    <s v="58868871646"/>
    <x v="9"/>
    <m/>
    <m/>
    <s v="King"/>
    <s v="Senso"/>
  </r>
  <r>
    <m/>
    <n v="64"/>
    <s v="4497"/>
    <x v="23"/>
    <x v="9"/>
    <n v="1"/>
    <x v="6"/>
    <s v="Branimir Kolman"/>
    <s v="091 244 0130"/>
    <s v="bkolman@unin.hr"/>
    <s v="Trg Dr. Žarka Dolinara 1"/>
    <s v="Ulica 104 brigade 3, VŽ"/>
    <s v="59624928052"/>
    <x v="1"/>
    <m/>
    <m/>
    <s v="King"/>
    <s v="Senso"/>
  </r>
  <r>
    <m/>
    <n v="42"/>
    <s v="232"/>
    <x v="23"/>
    <x v="19"/>
    <n v="1"/>
    <x v="12"/>
    <s v="Jakov Serajlić"/>
    <s v="38598845215"/>
    <s v="jserajlic@vus.hr"/>
    <s v="Trg A. Hebranga 11"/>
    <s v="Trg Andrije Hebrang 11, 22000 Šibenik"/>
    <s v="61727512157"/>
    <x v="9"/>
    <m/>
    <m/>
    <s v="King"/>
    <s v="Senso"/>
  </r>
  <r>
    <m/>
    <n v="43"/>
    <s v="3554"/>
    <x v="23"/>
    <x v="10"/>
    <n v="1"/>
    <x v="7"/>
    <s v="Dario Kukuljan"/>
    <s v="0993777446"/>
    <s v="dkukuljan@unipu.hr"/>
    <s v="Zagrebačka Ulica 30"/>
    <s v="Alda Negrija 6, Pila"/>
    <s v="61738073226"/>
    <x v="9"/>
    <m/>
    <m/>
    <s v="King"/>
    <s v="Senso"/>
  </r>
  <r>
    <m/>
    <n v="44"/>
    <s v="221"/>
    <x v="23"/>
    <x v="11"/>
    <n v="1"/>
    <x v="8"/>
    <s v="Marko Roža"/>
    <s v="051/265-873"/>
    <s v="marko.roza@uniri.hr"/>
    <s v="Trg Braće Mažuranića 10"/>
    <s v="Radmile Matejčić 2; 51000 Rijeka"/>
    <s v="64218323816"/>
    <x v="9"/>
    <m/>
    <m/>
    <s v="King"/>
    <s v="King"/>
  </r>
  <r>
    <m/>
    <n v="45"/>
    <s v="150"/>
    <x v="23"/>
    <x v="12"/>
    <n v="1"/>
    <x v="1"/>
    <s v="Dario Đurasović"/>
    <s v="091 4802 130"/>
    <s v="dario@sfzg.hr"/>
    <s v="Gundulićeva Ulica 5"/>
    <s v="Gundulićeva 5, Zagreb"/>
    <s v="70221464726"/>
    <x v="9"/>
    <m/>
    <m/>
    <s v="King"/>
    <s v="Senso"/>
  </r>
  <r>
    <m/>
    <n v="46"/>
    <s v="1907"/>
    <x v="23"/>
    <x v="94"/>
    <n v="1"/>
    <x v="8"/>
    <s v="Boris Ružić"/>
    <s v="0915765999"/>
    <s v="bruzic@uniri.hr"/>
    <s v="Sveučilišna Avenija 4"/>
    <s v="Sveučilišna avenija 4, 51000 Rijeka"/>
    <s v="70505505759"/>
    <x v="9"/>
    <m/>
    <m/>
    <s v="King"/>
    <s v="Senso"/>
  </r>
  <r>
    <m/>
    <n v="47"/>
    <s v="6229"/>
    <x v="23"/>
    <x v="55"/>
    <n v="1"/>
    <x v="13"/>
    <s v="Matija Karapetrić"/>
    <s v="0915053478"/>
    <s v="matija.karapetric@kifos.hr"/>
    <s v="Drinska 16A"/>
    <s v="Drinska 16a, 31000 Osijek"/>
    <s v="70788591483"/>
    <x v="9"/>
    <m/>
    <m/>
    <s v="King"/>
    <s v="Senso"/>
  </r>
  <r>
    <m/>
    <n v="48"/>
    <s v="184"/>
    <x v="23"/>
    <x v="3"/>
    <n v="1"/>
    <x v="1"/>
    <s v="Igor Horaček"/>
    <s v="091/722-0837"/>
    <s v="igor@fkit.hr"/>
    <s v="Trg Marka Marulića 19"/>
    <s v="Savska cesta 41, zgrada Zagrepčanka, 2.kat"/>
    <s v="71259740533"/>
    <x v="9"/>
    <m/>
    <m/>
    <s v="King"/>
    <s v="Senso"/>
  </r>
  <r>
    <m/>
    <n v="49"/>
    <s v="113"/>
    <x v="23"/>
    <x v="13"/>
    <n v="1"/>
    <x v="9"/>
    <s v="Andreas Mađerić"/>
    <s v="048 279 196"/>
    <s v="amaderic@vguk.hr"/>
    <s v="Ulica Milislava Demerca 1"/>
    <s v="Milislava Demerca 1, 48260 Križevci"/>
    <s v="75480885018"/>
    <x v="9"/>
    <m/>
    <m/>
    <s v="King"/>
    <s v="King"/>
  </r>
  <r>
    <m/>
    <n v="50"/>
    <s v="169"/>
    <x v="23"/>
    <x v="57"/>
    <n v="1"/>
    <x v="8"/>
    <s v="Izv. prof. dr. sc. Jasmin Ćelić"/>
    <s v="0912546777"/>
    <s v="jasmin.celic@uniri.hr"/>
    <s v="Studentska 2"/>
    <s v="Studentska 2"/>
    <s v="76722145702"/>
    <x v="9"/>
    <m/>
    <m/>
    <s v="King"/>
    <s v="Senso"/>
  </r>
  <r>
    <m/>
    <n v="51"/>
    <s v="222"/>
    <x v="23"/>
    <x v="33"/>
    <n v="1"/>
    <x v="13"/>
    <s v="Tatjana Šajatović"/>
    <s v=" +38598871499"/>
    <s v="tsajatovic@kemija.unios.hr"/>
    <s v="Trg Sv. Trojstva 3"/>
    <s v="Cara Hadrijana 8/A"/>
    <s v="78808975734"/>
    <x v="9"/>
    <m/>
    <m/>
    <s v="King"/>
    <s v="King"/>
  </r>
  <r>
    <m/>
    <n v="52"/>
    <s v="5717"/>
    <x v="23"/>
    <x v="59"/>
    <n v="1"/>
    <x v="13"/>
    <s v="Andrija Ljubičić_x000a_"/>
    <s v="091 2241 423_x000a_"/>
    <s v="andrija.ljubicic@fdmz.hr_x000a_"/>
    <s v="Crkvena Ulica 21"/>
    <s v="Crkvena 21"/>
    <s v="83830458507"/>
    <x v="9"/>
    <m/>
    <m/>
    <s v="King"/>
    <s v="King"/>
  </r>
  <r>
    <m/>
    <n v="53"/>
    <s v="316"/>
    <x v="23"/>
    <x v="20"/>
    <n v="1"/>
    <x v="11"/>
    <s v="Ante Denić"/>
    <s v="(+385)915683877"/>
    <s v="dante@efst.hr"/>
    <s v="Cvite Fiskovića 5"/>
    <s v="Cvite Fiskovića 5, Split"/>
    <s v="84477684422"/>
    <x v="9"/>
    <m/>
    <m/>
    <s v="King"/>
    <s v="King"/>
  </r>
  <r>
    <m/>
    <n v="65"/>
    <s v="174"/>
    <x v="23"/>
    <x v="86"/>
    <n v="1"/>
    <x v="23"/>
    <s v="Davor Mijolović"/>
    <s v="098-292-104"/>
    <s v="davor.mijolovic@fthm.hr"/>
    <s v="Primorska 46"/>
    <s v="Primorska 46, 51410  Opatija"/>
    <s v="85799845149"/>
    <x v="1"/>
    <m/>
    <m/>
    <s v="King"/>
    <s v="Senso"/>
  </r>
  <r>
    <m/>
    <n v="54"/>
    <s v="172"/>
    <x v="23"/>
    <x v="95"/>
    <n v="1"/>
    <x v="8"/>
    <s v="Elvis Žic"/>
    <s v="0915038578"/>
    <s v="elvis.zic@uniri.hr"/>
    <s v="Ulica Radmile Matejčić 3"/>
    <s v="Ulica Radmile Matejčić 3, 51000 Rijeka"/>
    <s v="92037849504"/>
    <x v="9"/>
    <m/>
    <m/>
    <s v="King"/>
    <s v="Senso"/>
  </r>
  <r>
    <m/>
    <n v="55"/>
    <s v="199"/>
    <x v="23"/>
    <x v="61"/>
    <n v="1"/>
    <x v="13"/>
    <s v="Mario Miloloza"/>
    <s v="0912246140"/>
    <s v="mario.miloloza@ferit.hr"/>
    <s v="Ulica Kneza Trpimira 2B"/>
    <s v="Cara Hadrijana 10b, Osijek"/>
    <s v="95494259952"/>
    <x v="9"/>
    <m/>
    <m/>
    <s v="King"/>
    <s v="King"/>
  </r>
  <r>
    <m/>
    <n v="56"/>
    <s v="281"/>
    <x v="23"/>
    <x v="63"/>
    <n v="1"/>
    <x v="8"/>
    <s v="Danka Jurjević"/>
    <s v="265-877"/>
    <s v="danka.jurjevic@uniri.hr"/>
    <s v="Sveučilišna Avenija 6"/>
    <s v="Sveučilišna Avenija 6"/>
    <s v="96996385705"/>
    <x v="9"/>
    <m/>
    <m/>
    <s v="King"/>
    <s v="Senso"/>
  </r>
  <r>
    <m/>
    <n v="57"/>
    <s v="147"/>
    <x v="23"/>
    <x v="87"/>
    <n v="1"/>
    <x v="8"/>
    <s v="Teo Brusić_x000a_Zoran Vučinić"/>
    <s v="098/338-182_x000a_091/1651-230"/>
    <s v="teo.brusic@medri.uniri.hr_x000a_zoran.vucinic@medri.uniri.hr"/>
    <s v="Braće Branchetta 20"/>
    <s v="Rijeka, B. Branchetta 20"/>
    <s v="98164324541"/>
    <x v="9"/>
    <m/>
    <m/>
    <s v="King"/>
    <s v="Senso"/>
  </r>
  <r>
    <m/>
    <n v="58"/>
    <s v="158"/>
    <x v="23"/>
    <x v="21"/>
    <n v="1"/>
    <x v="13"/>
    <s v="Ivan Rebekić"/>
    <s v="099 304 6109"/>
    <s v="irebekic@fazos.hr"/>
    <s v="Ulica Vladimira Preloga 1"/>
    <s v="Vladimira Preloga 1, 31000 Osijek"/>
    <s v="98816779821"/>
    <x v="9"/>
    <m/>
    <m/>
    <s v="King"/>
    <s v="Senso"/>
  </r>
  <r>
    <m/>
    <n v="59"/>
    <s v="3324"/>
    <x v="23"/>
    <x v="34"/>
    <n v="1"/>
    <x v="1"/>
    <s v="Dario Knežić"/>
    <s v="0917615616"/>
    <s v="dknezic@fhs.unizg.hr"/>
    <s v="Borongajska Cesta 83D"/>
    <s v="Borongajska cesta 83d, Zagreb"/>
    <s v="99454315441"/>
    <x v="9"/>
    <m/>
    <m/>
    <s v="King"/>
    <s v="Senso"/>
  </r>
  <r>
    <m/>
    <n v="60"/>
    <s v="203"/>
    <x v="23"/>
    <x v="65"/>
    <n v="1"/>
    <x v="1"/>
    <s v="Marijan Galjar"/>
    <s v="098 855 676"/>
    <s v="marijan.galjar@rgn.hr"/>
    <s v="Pierottijeva Ulica 6"/>
    <s v="Pierottijeva 6"/>
    <s v="99534693762"/>
    <x v="9"/>
    <m/>
    <m/>
    <s v="King"/>
    <s v="Senso"/>
  </r>
  <r>
    <m/>
    <n v="61"/>
    <s v="206"/>
    <x v="23"/>
    <x v="35"/>
    <n v="1"/>
    <x v="1"/>
    <s v="Davor Štrk"/>
    <s v="099 3136 671"/>
    <s v="dstrk@fkz.hr"/>
    <s v="Avenija Gojka Šuška 1"/>
    <s v="Av. Gojka Šuška 1, Zagreb"/>
    <s v="36162371878"/>
    <x v="9"/>
    <m/>
    <m/>
    <s v="King"/>
    <s v="King"/>
  </r>
  <r>
    <m/>
    <n v="62"/>
    <s v="4589"/>
    <x v="23"/>
    <x v="14"/>
    <n v="1"/>
    <x v="1"/>
    <s v="Predrag Šinko"/>
    <s v="095/205-2570"/>
    <s v="predrag.sinko@sois-ft.hr"/>
    <s v="Ilica 256B"/>
    <s v="Ilica 256B, obj. 58"/>
    <s v="36752094474"/>
    <x v="9"/>
    <m/>
    <m/>
    <s v="King"/>
    <s v="King"/>
  </r>
</pivotCacheRecords>
</file>

<file path=xl/pivotCache/pivotCacheRecords2.xml><?xml version="1.0" encoding="utf-8"?>
<pivotCacheRecords xmlns="http://schemas.openxmlformats.org/spreadsheetml/2006/main" count="815">
  <r>
    <m/>
    <m/>
    <m/>
    <x v="0"/>
    <x v="0"/>
    <n v="4"/>
    <x v="0"/>
    <m/>
    <m/>
    <m/>
    <m/>
    <m/>
    <m/>
    <x v="0"/>
    <m/>
    <m/>
    <s v="King"/>
    <m/>
  </r>
  <r>
    <m/>
    <n v="67"/>
    <s v="121"/>
    <x v="0"/>
    <x v="1"/>
    <n v="1"/>
    <x v="1"/>
    <s v="Mate Galić"/>
    <s v="098806500"/>
    <s v="mate.galic@pharma.unizg.hr"/>
    <s v="Ulica Ante Kovačića 1"/>
    <s v="Domagojeva 2"/>
    <s v="14509285435"/>
    <x v="1"/>
    <m/>
    <m/>
    <s v="King"/>
    <s v="Senso"/>
  </r>
  <r>
    <m/>
    <n v="68"/>
    <s v="3795"/>
    <x v="0"/>
    <x v="2"/>
    <n v="1"/>
    <x v="2"/>
    <s v="Enes Ciriković"/>
    <s v="0989225600"/>
    <s v="enes.cirikovic@vuv.hr"/>
    <s v="Ulica Matije Gupca 78"/>
    <s v="Matije Gupca 78, 33000 Virovitica"/>
    <s v="46576407858"/>
    <x v="1"/>
    <m/>
    <m/>
    <s v="King"/>
    <s v="Senso"/>
  </r>
  <r>
    <m/>
    <n v="69"/>
    <s v="184"/>
    <x v="0"/>
    <x v="3"/>
    <n v="1"/>
    <x v="1"/>
    <s v="Igor Horaček"/>
    <s v="091/722-0837"/>
    <s v="igor@fkit.hr"/>
    <s v="Trg Marka Marulića 19"/>
    <s v="Savska cesta 41, zgrada Zagrepčanka, 2.kat"/>
    <s v="71259740533"/>
    <x v="1"/>
    <m/>
    <m/>
    <s v="King"/>
    <s v="Senso"/>
  </r>
  <r>
    <m/>
    <n v="70"/>
    <s v="188"/>
    <x v="0"/>
    <x v="4"/>
    <n v="1"/>
    <x v="1"/>
    <s v="Boris Rončević"/>
    <s v="099 5327723"/>
    <s v="broncevic@nsk.hr"/>
    <s v="Ul. Hrvatske Bratske Zajednice 4"/>
    <s v="NSK - Ul. Hrvatske Bratske Zajednice 4"/>
    <m/>
    <x v="1"/>
    <m/>
    <m/>
    <s v="King"/>
    <s v="?"/>
  </r>
  <r>
    <m/>
    <m/>
    <m/>
    <x v="1"/>
    <x v="0"/>
    <n v="13"/>
    <x v="0"/>
    <m/>
    <m/>
    <m/>
    <m/>
    <m/>
    <m/>
    <x v="0"/>
    <m/>
    <m/>
    <s v="King"/>
    <m/>
  </r>
  <r>
    <m/>
    <n v="71"/>
    <s v="3689"/>
    <x v="1"/>
    <x v="5"/>
    <n v="1"/>
    <x v="1"/>
    <s v="Nikola Barba"/>
    <s v="099 6081 436"/>
    <s v="nikola.barba@unicath.hr"/>
    <s v="Ilica 244B"/>
    <s v="Ilica 244, 10000 Zagreb"/>
    <s v="7730927366"/>
    <x v="1"/>
    <m/>
    <m/>
    <s v="King"/>
    <s v="King"/>
  </r>
  <r>
    <m/>
    <s v="72a_x000a_72b"/>
    <s v="368"/>
    <x v="1"/>
    <x v="6"/>
    <n v="2"/>
    <x v="3"/>
    <s v="Ivan Nimac_x000a_Ivana Delistović Duić"/>
    <s v="095/826-5888_x000a_098/654-710"/>
    <s v="inimac@unizd.hr_x000a_idelistov@unizd.hr"/>
    <s v="Ulica Mihovila Pavlinovića 1"/>
    <s v="Obala kralja Petra Krešimira IV. Br. 2, 23000 Zadar 1 kom._x000a_Dr. Franje Tuđmana 24, 23000 Zadar 1 kom."/>
    <s v="10839679016"/>
    <x v="1"/>
    <m/>
    <m/>
    <s v="King"/>
    <s v="Senso"/>
  </r>
  <r>
    <m/>
    <n v="73"/>
    <s v="530"/>
    <x v="1"/>
    <x v="7"/>
    <n v="1"/>
    <x v="4"/>
    <s v="Marko Meštrović"/>
    <s v="022/664-451"/>
    <s v="mmestrovic@veleknin.hr"/>
    <s v="Krešimirova 30"/>
    <s v="Krešimirova 20, Knin"/>
    <s v="13664089430"/>
    <x v="1"/>
    <m/>
    <m/>
    <s v="King"/>
    <s v="King"/>
  </r>
  <r>
    <m/>
    <n v="74"/>
    <s v="1944"/>
    <x v="1"/>
    <x v="8"/>
    <n v="1"/>
    <x v="5"/>
    <s v="Mile Vičić"/>
    <s v="098675984"/>
    <s v="mvicic@velegs-nikolatesla.hr"/>
    <s v="Ulica Bana Ivana Karlovića 16"/>
    <s v="Ulica bana Ivana Karlovića 16"/>
    <s v="42552392522"/>
    <x v="1"/>
    <m/>
    <m/>
    <s v="King"/>
    <s v="King"/>
  </r>
  <r>
    <m/>
    <s v="75a_x000a_75b"/>
    <s v="4497"/>
    <x v="1"/>
    <x v="9"/>
    <n v="2"/>
    <x v="6"/>
    <s v="Nikola Marijanović_x000a_Branimir Kolman"/>
    <s v="0994028339_x000a_091 244 0130"/>
    <s v="nmarijanovic@unin.hr_x000a_bkolman@unin.hr"/>
    <s v="Trg Dr. Žarka Dolinara 1"/>
    <s v="Trg dr. Žarka dolinara 1, Koprivnica   1 kom._x000a_Ulica Jurja Križanića 31b, Varaždin  1 kom."/>
    <s v="59624928052"/>
    <x v="1"/>
    <m/>
    <m/>
    <s v="King"/>
    <s v="Senso"/>
  </r>
  <r>
    <m/>
    <n v="76"/>
    <s v="3554"/>
    <x v="1"/>
    <x v="10"/>
    <n v="1"/>
    <x v="7"/>
    <s v="Dario Kukuljan"/>
    <s v="0993777446"/>
    <s v="dkukuljan@unipu.hr"/>
    <s v="Zagrebačka Ulica 30"/>
    <s v="Alda Negrija 6, Pila"/>
    <s v="61738073226"/>
    <x v="1"/>
    <m/>
    <m/>
    <s v="King"/>
    <s v="Senso"/>
  </r>
  <r>
    <m/>
    <n v="77"/>
    <s v="221"/>
    <x v="1"/>
    <x v="11"/>
    <n v="1"/>
    <x v="8"/>
    <s v="Marko Roža"/>
    <s v="051/265-873"/>
    <s v="marko.roza@uniri.hr"/>
    <s v="Trg Braće Mažuranića 10"/>
    <s v="Radmile Matejčić 2; 51000 Rijeka"/>
    <s v="64218323816"/>
    <x v="1"/>
    <m/>
    <m/>
    <s v="King"/>
    <s v="King"/>
  </r>
  <r>
    <m/>
    <n v="78"/>
    <s v="150"/>
    <x v="1"/>
    <x v="12"/>
    <n v="1"/>
    <x v="1"/>
    <s v="Dario Đurasović"/>
    <s v="091 4802 130"/>
    <s v="dario@sfzg.hr"/>
    <s v="Gundulićeva Ulica 5"/>
    <s v="Gundulićeva 5, Zagreb"/>
    <s v="70221464726"/>
    <x v="1"/>
    <m/>
    <m/>
    <s v="King"/>
    <s v="Senso"/>
  </r>
  <r>
    <m/>
    <n v="79"/>
    <s v="113"/>
    <x v="1"/>
    <x v="13"/>
    <n v="1"/>
    <x v="9"/>
    <s v="Andreas Mađerić"/>
    <s v="048 279 196"/>
    <s v="amaderic@vguk.hr"/>
    <s v="Ulica Milislava Demerca 1"/>
    <s v="Milislava Demerca 1, 48260 Križevci"/>
    <s v="75480885018"/>
    <x v="1"/>
    <m/>
    <m/>
    <s v="King"/>
    <s v="King"/>
  </r>
  <r>
    <m/>
    <n v="80"/>
    <s v="4589"/>
    <x v="1"/>
    <x v="14"/>
    <n v="2"/>
    <x v="1"/>
    <s v="Predrag Šinko"/>
    <s v="095/205-2570"/>
    <s v="predrag.sinko@sois-ft.hr"/>
    <s v="Ilica 256B"/>
    <s v="Ilica 256B, obj. 58"/>
    <s v="36752094474"/>
    <x v="1"/>
    <m/>
    <m/>
    <s v="King"/>
    <s v="King"/>
  </r>
  <r>
    <m/>
    <m/>
    <m/>
    <x v="2"/>
    <x v="0"/>
    <n v="8"/>
    <x v="0"/>
    <m/>
    <m/>
    <m/>
    <m/>
    <m/>
    <m/>
    <x v="0"/>
    <m/>
    <m/>
    <s v="AVC"/>
    <m/>
  </r>
  <r>
    <m/>
    <n v="81"/>
    <s v="368"/>
    <x v="2"/>
    <x v="6"/>
    <n v="1"/>
    <x v="3"/>
    <s v="Zvonimir Adamović"/>
    <s v="098/445-233"/>
    <s v="zadamovic@unizd.hr"/>
    <s v="Ulica Mihovila Pavlinovića 1"/>
    <s v="Dr. A. Starčevića 12, 53000 Gospić"/>
    <s v="10839679016"/>
    <x v="1"/>
    <m/>
    <m/>
    <s v="AVC"/>
    <s v="Senso"/>
  </r>
  <r>
    <m/>
    <n v="82"/>
    <s v="198"/>
    <x v="2"/>
    <x v="15"/>
    <n v="1"/>
    <x v="10"/>
    <s v="Darko Šprem"/>
    <s v="091 408 9012"/>
    <s v="darko.sprem@gfv.hr"/>
    <s v="Hallerova Aleja 7"/>
    <s v="Hallerova aleja 7, Varaždin"/>
    <s v="16146181375"/>
    <x v="1"/>
    <m/>
    <m/>
    <s v="AVC"/>
    <s v="King"/>
  </r>
  <r>
    <m/>
    <n v="83"/>
    <s v="4914"/>
    <x v="2"/>
    <x v="16"/>
    <n v="1"/>
    <x v="11"/>
    <s v="Romaldo Singolo"/>
    <s v="091 155 9622"/>
    <s v="romi@pfst.hr"/>
    <s v="R. Boškovića 37"/>
    <s v="Ruđera Boškovića 37, Split"/>
    <s v="24624257529"/>
    <x v="1"/>
    <m/>
    <m/>
    <s v="AVC"/>
    <s v="King"/>
  </r>
  <r>
    <m/>
    <n v="84"/>
    <s v="250"/>
    <x v="2"/>
    <x v="17"/>
    <n v="1"/>
    <x v="8"/>
    <s v="Davorin Tadić"/>
    <s v="091 332 1308"/>
    <s v="dtadic@veleri.hr"/>
    <s v="Trpimirova 2"/>
    <s v="Vukovarska 58, Rijeka"/>
    <s v="29573709870"/>
    <x v="1"/>
    <m/>
    <m/>
    <s v="AVC"/>
    <s v="Senso"/>
  </r>
  <r>
    <m/>
    <n v="85"/>
    <s v="215"/>
    <x v="2"/>
    <x v="18"/>
    <n v="1"/>
    <x v="1"/>
    <s v="Ivan Šetin"/>
    <s v="0981839338"/>
    <s v="isetin@adu.hr"/>
    <s v="Trg Republike Hrvatske 5"/>
    <s v="Trg Republike Hrvatske 5, Zagreb"/>
    <s v="52097842295"/>
    <x v="1"/>
    <m/>
    <m/>
    <s v="AVC"/>
    <s v="Senso"/>
  </r>
  <r>
    <m/>
    <n v="86"/>
    <s v="232"/>
    <x v="2"/>
    <x v="19"/>
    <n v="1"/>
    <x v="12"/>
    <s v="Jakov Serajlić"/>
    <s v="38598845215"/>
    <s v="jserajlic@vus.hr"/>
    <s v="Trg A. Hebranga 11"/>
    <s v="Trg Andrije Hebrang 11, 22000 Šibenik"/>
    <s v="61727512157"/>
    <x v="1"/>
    <m/>
    <m/>
    <s v="AVC"/>
    <s v="Senso"/>
  </r>
  <r>
    <m/>
    <n v="87"/>
    <s v="316"/>
    <x v="2"/>
    <x v="20"/>
    <n v="1"/>
    <x v="11"/>
    <s v="Ante Denić"/>
    <s v="(+385)915683877"/>
    <s v="dante@efst.hr"/>
    <s v="Cvite Fiskovića 5"/>
    <s v="Cvite Fiskovića 5, Split"/>
    <s v="84477684422"/>
    <x v="1"/>
    <m/>
    <m/>
    <s v="AVC"/>
    <s v="King"/>
  </r>
  <r>
    <m/>
    <n v="88"/>
    <s v="158"/>
    <x v="2"/>
    <x v="21"/>
    <n v="1"/>
    <x v="13"/>
    <s v="Ivan Rebekić"/>
    <s v="099 304 6109"/>
    <s v="irebekic@fazos.hr"/>
    <s v="Ulica Vladimira Preloga 1"/>
    <s v="Vladimira Preloga 1, 31000 Osijek"/>
    <s v="98816779821"/>
    <x v="1"/>
    <m/>
    <m/>
    <s v="AVC"/>
    <s v="Senso"/>
  </r>
  <r>
    <m/>
    <m/>
    <m/>
    <x v="3"/>
    <x v="0"/>
    <n v="18"/>
    <x v="0"/>
    <m/>
    <m/>
    <m/>
    <m/>
    <m/>
    <m/>
    <x v="0"/>
    <m/>
    <m/>
    <s v="AVC"/>
    <m/>
  </r>
  <r>
    <m/>
    <n v="89"/>
    <s v="208"/>
    <x v="3"/>
    <x v="22"/>
    <n v="1"/>
    <x v="14"/>
    <s v="Marin Ivanišić"/>
    <s v="091 224 3413"/>
    <s v="marin.ivanisic@djkbf.hr"/>
    <s v="P. Preradovića 17"/>
    <s v="Petra Preradovića 17, Đakovo"/>
    <s v="5384220316"/>
    <x v="1"/>
    <m/>
    <m/>
    <s v="AVC"/>
    <s v="King"/>
  </r>
  <r>
    <m/>
    <n v="90"/>
    <s v="1918"/>
    <x v="3"/>
    <x v="23"/>
    <n v="1"/>
    <x v="1"/>
    <s v="Ivan Rajković_x000a_"/>
    <s v="+385998153651_x000a_"/>
    <s v="ivan.rajkovic@tvz.hr_x000a_"/>
    <s v="Vrbik 8"/>
    <s v="Vrbik 8"/>
    <s v="8814003451"/>
    <x v="1"/>
    <m/>
    <m/>
    <s v="AVC"/>
    <s v="King"/>
  </r>
  <r>
    <m/>
    <n v="91"/>
    <s v="368"/>
    <x v="3"/>
    <x v="6"/>
    <n v="1"/>
    <x v="3"/>
    <s v="Krešimir Pinjatela"/>
    <s v="091/558-1986"/>
    <s v="kpinjatel22@unizd.hr"/>
    <s v="Ulica Mihovila Pavlinovića 1"/>
    <s v="Trg kneza Višeslava 9, 23000 Zadar"/>
    <s v="10839679016"/>
    <x v="1"/>
    <m/>
    <m/>
    <s v="AVC"/>
    <s v="Senso"/>
  </r>
  <r>
    <m/>
    <n v="92"/>
    <s v="3409"/>
    <x v="3"/>
    <x v="24"/>
    <n v="1"/>
    <x v="15"/>
    <s v="Ivan Reponj"/>
    <s v="0989389348"/>
    <s v="ireponj@ftrr.hr"/>
    <s v="Vukovarska 17"/>
    <s v="Vukovarska 17, Požega"/>
    <s v="11614501047"/>
    <x v="1"/>
    <m/>
    <m/>
    <s v="AVC"/>
    <s v="Senso"/>
  </r>
  <r>
    <m/>
    <n v="93"/>
    <s v="536"/>
    <x v="3"/>
    <x v="25"/>
    <n v="1"/>
    <x v="16"/>
    <s v="IGOR BILANDŽIĆ"/>
    <s v="091-444-6885"/>
    <s v="Igor.bilandzic@vevu.hr"/>
    <s v="Županijska 50"/>
    <s v="BLAGE ZADRE 2, VUKOVAR"/>
    <s v="21720825730"/>
    <x v="1"/>
    <m/>
    <m/>
    <s v="AVC"/>
    <s v="Senso"/>
  </r>
  <r>
    <m/>
    <n v="94"/>
    <s v="180"/>
    <x v="3"/>
    <x v="26"/>
    <n v="1"/>
    <x v="1"/>
    <s v="Andrija Levanić"/>
    <s v="091 6168 288"/>
    <s v="andrija.levanic@fsb.unizg.hr"/>
    <s v="Ulica Ivana Lučića 5"/>
    <s v="Ivana Lučića 5 (istočna zgrada)"/>
    <s v="22910368449"/>
    <x v="1"/>
    <m/>
    <m/>
    <s v="AVC"/>
    <s v="King"/>
  </r>
  <r>
    <m/>
    <n v="95"/>
    <s v="5713"/>
    <x v="3"/>
    <x v="27"/>
    <n v="1"/>
    <x v="11"/>
    <s v="Petra Musap_x000a_"/>
    <s v="0991639750_x000a_"/>
    <s v="petra.musap@unist.hr_x000a_"/>
    <s v="R. Boškovića 31"/>
    <s v="Hrvojeva 2, samo isporuka nema montaže"/>
    <s v="29845096215"/>
    <x v="1"/>
    <m/>
    <m/>
    <s v="AVC"/>
    <s v="King"/>
  </r>
  <r>
    <m/>
    <n v="96"/>
    <s v="219"/>
    <x v="3"/>
    <x v="28"/>
    <n v="1"/>
    <x v="1"/>
    <s v="Siniša Vlahović_x000a_"/>
    <s v="098 268 472_x000a_"/>
    <s v="svlahovic@unizg.hr_x000a_"/>
    <s v="Trg Republike Hrvatske 14"/>
    <s v="Ulica Radoslava Cimermana 88, 10000 Zagreb_x000a_"/>
    <s v="36612267447"/>
    <x v="1"/>
    <m/>
    <m/>
    <s v="AVC"/>
    <s v="Senso"/>
  </r>
  <r>
    <m/>
    <n v="97"/>
    <s v="3545"/>
    <x v="3"/>
    <x v="29"/>
    <n v="1"/>
    <x v="11"/>
    <s v="Branimir Džaja"/>
    <s v="091-2600324"/>
    <s v="branimir.dzaja@umas.hr"/>
    <s v="Zagrebačka 3"/>
    <s v="Teslina 12"/>
    <s v="38960125358"/>
    <x v="1"/>
    <m/>
    <m/>
    <s v="AVC"/>
    <s v="King"/>
  </r>
  <r>
    <m/>
    <n v="98"/>
    <s v="141"/>
    <x v="3"/>
    <x v="30"/>
    <n v="1"/>
    <x v="1"/>
    <s v="Emil Flatz"/>
    <s v="38598302567"/>
    <s v="eflatz@arhitekt.hr"/>
    <s v="Kačićeva Ulica 26"/>
    <s v="Frankopanska 12"/>
    <s v="42061107444"/>
    <x v="1"/>
    <m/>
    <m/>
    <s v="AVC"/>
    <s v="Senso"/>
  </r>
  <r>
    <m/>
    <n v="99"/>
    <s v="210"/>
    <x v="3"/>
    <x v="31"/>
    <n v="1"/>
    <x v="1"/>
    <s v="Taras Barščevski"/>
    <s v="+385(91)5335.699"/>
    <s v="taras.barscevski@kbf.unizg.hr"/>
    <s v="Vlaška Ulica 38"/>
    <s v="Vlaška 38"/>
    <s v="48987767944"/>
    <x v="1"/>
    <m/>
    <m/>
    <s v="AVC"/>
    <s v="Senso"/>
  </r>
  <r>
    <m/>
    <n v="100"/>
    <s v="4497"/>
    <x v="3"/>
    <x v="9"/>
    <n v="1"/>
    <x v="6"/>
    <s v="Nikola Marijanović"/>
    <s v="0994028339_x000a_"/>
    <s v="nmarijanovic@unin.hr"/>
    <s v="Trg Dr. Žarka Dolinara 1"/>
    <s v="Trg dr. Žarka dolinara 1, Koprivnica"/>
    <s v="59624928052"/>
    <x v="1"/>
    <m/>
    <m/>
    <s v="AVC"/>
    <s v="Senso"/>
  </r>
  <r>
    <m/>
    <n v="101"/>
    <s v="3927"/>
    <x v="3"/>
    <x v="32"/>
    <n v="1"/>
    <x v="13"/>
    <s v="Luka Cvenić"/>
    <s v="099 312 6187"/>
    <s v="luka.cvenic@aukos.hr"/>
    <s v="Ulica Kralja Petra Svačića 1F"/>
    <s v="Trg Sv. Trojstva 3, Osijek"/>
    <s v="60277424315"/>
    <x v="1"/>
    <m/>
    <m/>
    <s v="AVC"/>
    <s v="Senso"/>
  </r>
  <r>
    <m/>
    <n v="102"/>
    <s v="3554"/>
    <x v="3"/>
    <x v="10"/>
    <n v="1"/>
    <x v="7"/>
    <s v="Dario Kukuljan"/>
    <s v="0993777446"/>
    <s v="dkukuljan@unipu.hr"/>
    <s v="Zagrebačka Ulica 30"/>
    <s v="Alda Negrija 6, Pila"/>
    <s v="61738073226"/>
    <x v="1"/>
    <m/>
    <m/>
    <s v="AVC"/>
    <s v="Senso"/>
  </r>
  <r>
    <m/>
    <n v="103"/>
    <s v="222"/>
    <x v="3"/>
    <x v="33"/>
    <n v="1"/>
    <x v="13"/>
    <s v="Albert Oswald_x000a_"/>
    <s v="+385912241400_x000a_"/>
    <s v="oswald@unios.hr_x000a_"/>
    <s v="Trg Sv. Trojstva 3"/>
    <s v="Trg. Sv. Trojstva 3"/>
    <s v="78808975734"/>
    <x v="1"/>
    <m/>
    <m/>
    <s v="AVC"/>
    <s v="King"/>
  </r>
  <r>
    <m/>
    <n v="104"/>
    <s v="3324"/>
    <x v="3"/>
    <x v="34"/>
    <n v="1"/>
    <x v="1"/>
    <s v="Dario Knežić"/>
    <s v="0917615616"/>
    <s v="dknezic@fhs.unizg.hr"/>
    <s v="Borongajska Cesta 83D"/>
    <s v="Borongajska cesta 83d, Zagreb"/>
    <s v="99454315441"/>
    <x v="1"/>
    <m/>
    <m/>
    <s v="AVC"/>
    <s v="Senso"/>
  </r>
  <r>
    <m/>
    <n v="105"/>
    <s v="206"/>
    <x v="3"/>
    <x v="35"/>
    <n v="1"/>
    <x v="1"/>
    <s v="Davor Štrk"/>
    <s v="099 3136 671"/>
    <s v="dstrk@fkz.hr"/>
    <s v="Avenija Gojka Šuška 1"/>
    <s v="Av. Gojka Šuška 1, Zagreb"/>
    <s v="36162371878"/>
    <x v="1"/>
    <m/>
    <m/>
    <s v="AVC"/>
    <s v="King"/>
  </r>
  <r>
    <m/>
    <n v="106"/>
    <s v="4589"/>
    <x v="3"/>
    <x v="14"/>
    <n v="1"/>
    <x v="1"/>
    <s v="Predrag Šinko"/>
    <s v="095/205-2570"/>
    <s v="predrag.sinko@sois-ft.hr"/>
    <s v="Ilica 256B"/>
    <s v="Ilica 256B, obj. 58"/>
    <s v="36752094474"/>
    <x v="1"/>
    <m/>
    <m/>
    <s v="AVC"/>
    <s v="King"/>
  </r>
  <r>
    <m/>
    <m/>
    <m/>
    <x v="4"/>
    <x v="0"/>
    <n v="75"/>
    <x v="0"/>
    <m/>
    <m/>
    <m/>
    <m/>
    <m/>
    <m/>
    <x v="0"/>
    <m/>
    <m/>
    <s v="King"/>
    <m/>
  </r>
  <r>
    <m/>
    <n v="107"/>
    <s v="133"/>
    <x v="4"/>
    <x v="36"/>
    <n v="1"/>
    <x v="11"/>
    <s v="Zvonimir Torba"/>
    <s v="+385 91 4305 724"/>
    <s v="torba@fesb.hr"/>
    <s v="R. Boškovića 32"/>
    <s v="R. Boškovića 32, 21000 Split"/>
    <s v="857144221"/>
    <x v="1"/>
    <m/>
    <m/>
    <s v="King"/>
    <s v="King"/>
  </r>
  <r>
    <m/>
    <n v="108"/>
    <s v="3990"/>
    <x v="4"/>
    <x v="37"/>
    <n v="1"/>
    <x v="17"/>
    <s v="Stjepo Hladilo"/>
    <s v="0919322586"/>
    <s v="stjepo.hladilo@unidu.hr"/>
    <s v="Branitelja Dubrovnika 41"/>
    <s v="Branitelja Dubrovnika 41, Dubrovnik"/>
    <s v="1338491514"/>
    <x v="2"/>
    <m/>
    <m/>
    <s v="King"/>
    <s v="Senso"/>
  </r>
  <r>
    <m/>
    <n v="109"/>
    <s v="149"/>
    <x v="4"/>
    <x v="38"/>
    <n v="1"/>
    <x v="11"/>
    <s v="Dalibor Gabela"/>
    <s v="091-1557942"/>
    <s v="helpdesk@mefst.hr"/>
    <s v="Šoltanska 2"/>
    <s v="Šoltanska 2A, Split"/>
    <s v="2879747067"/>
    <x v="1"/>
    <m/>
    <m/>
    <s v="King"/>
    <s v="King"/>
  </r>
  <r>
    <m/>
    <n v="110"/>
    <s v="132"/>
    <x v="4"/>
    <x v="39"/>
    <n v="1"/>
    <x v="11"/>
    <s v="Juraj Saratlija"/>
    <s v="0996935026"/>
    <s v="juraj.saratlija@pravst.hr"/>
    <s v="Ulica Domovinskog Rata 8"/>
    <s v="Domovinskog rata 8, Split"/>
    <s v="3541568700"/>
    <x v="1"/>
    <m/>
    <m/>
    <s v="King"/>
    <s v="King"/>
  </r>
  <r>
    <m/>
    <n v="111"/>
    <s v="153"/>
    <x v="4"/>
    <x v="40"/>
    <n v="1"/>
    <x v="1"/>
    <s v="Mihael Šutalo"/>
    <s v="099/2717915"/>
    <s v="msutalo@sumfak.hr"/>
    <s v="Svetošimunska Cesta 23"/>
    <s v="Svetošimunska cesta 23"/>
    <s v="7699719217"/>
    <x v="3"/>
    <m/>
    <m/>
    <s v="King"/>
    <s v="King"/>
  </r>
  <r>
    <m/>
    <n v="112"/>
    <s v="3689"/>
    <x v="4"/>
    <x v="5"/>
    <n v="2"/>
    <x v="1"/>
    <s v="Nikola Barba"/>
    <s v="099 6081 436"/>
    <s v="nikola.barba@unicath.hr"/>
    <s v="Ilica 244B"/>
    <s v="Ilica 244, 10000 Zagreb"/>
    <s v="7730927366"/>
    <x v="3"/>
    <m/>
    <m/>
    <s v="King"/>
    <s v="King"/>
  </r>
  <r>
    <m/>
    <s v="113a_x000a_113b_x000a_113c_x000a_113d_x000a_113e"/>
    <s v="1918"/>
    <x v="4"/>
    <x v="23"/>
    <n v="6"/>
    <x v="1"/>
    <s v="Ivan Rajković_x000a_Nenad Habek_x000a_Filip Samoščanec_x000a_Igor Paljug_x000a_Barbara Idžan"/>
    <s v="+385998153651_x000a_+385911316382_x000a_0993047438_x000a_+385 95 245 6555_x000a_+385 99 529 0050"/>
    <s v="ivan.rajkovic@tvz.hr_x000a_nenad.habek@tvz.hr_x000a_filip.samoscanec@tvz.hr_x000a_igor.paljug@tvz.hr_x000a_barbara.idzan@tvz.hr"/>
    <s v="Vrbik 8"/>
    <s v="Vrbik 8 2 kom._x000a_Borongajska 83E 1 kom._x000a_Konavoska 2 1 kom._x000a_Holjevčeva 15 1 kom._x000a_Brozova 6a 1 kom."/>
    <s v="8814003451"/>
    <x v="1"/>
    <m/>
    <m/>
    <s v="King"/>
    <s v="King"/>
  </r>
  <r>
    <m/>
    <n v="114"/>
    <s v="368"/>
    <x v="4"/>
    <x v="6"/>
    <n v="3"/>
    <x v="3"/>
    <s v="Ivan Nimac"/>
    <s v="095/826-5888"/>
    <s v="inimac@unizd.hr"/>
    <s v="Ulica Mihovila Pavlinovića 1"/>
    <s v="Obala kralja Petra Krešimira IV. Br. 2, 23000 Zadar, ID-215"/>
    <s v="10839679016"/>
    <x v="1"/>
    <m/>
    <m/>
    <s v="King"/>
    <s v="Senso"/>
  </r>
  <r>
    <m/>
    <n v="115"/>
    <s v="121"/>
    <x v="4"/>
    <x v="1"/>
    <n v="1"/>
    <x v="1"/>
    <s v="Mate Galić"/>
    <s v="098806500"/>
    <s v="mate.galic@pharma.unizg.hr"/>
    <s v="Ulica Ante Kovačića 1"/>
    <s v="Domagojeva 2"/>
    <s v="14509285435"/>
    <x v="1"/>
    <m/>
    <m/>
    <s v="King"/>
    <s v="Senso"/>
  </r>
  <r>
    <m/>
    <n v="116"/>
    <s v="3385"/>
    <x v="4"/>
    <x v="41"/>
    <n v="1"/>
    <x v="18"/>
    <s v="Nikola Kanišk"/>
    <s v="099/5246985"/>
    <s v="nikola.kaniski@vhzk.hr"/>
    <s v="Šetalište Hrvatskog Narodnog Preporoda 6"/>
    <s v="Trg S. Radića 8"/>
    <s v="16465214888"/>
    <x v="1"/>
    <m/>
    <m/>
    <s v="King"/>
    <s v="King"/>
  </r>
  <r>
    <m/>
    <n v="117"/>
    <s v="4919"/>
    <x v="4"/>
    <x v="42"/>
    <n v="1"/>
    <x v="11"/>
    <s v="Doris Knego"/>
    <s v="098 9394211,"/>
    <s v="doris.knego@pmfst.hr"/>
    <s v="R. Boškovića 33"/>
    <s v="Ruđera Boškovića 33"/>
    <s v="20858497843"/>
    <x v="1"/>
    <m/>
    <m/>
    <s v="King"/>
    <s v="King"/>
  </r>
  <r>
    <m/>
    <n v="118"/>
    <s v="536"/>
    <x v="4"/>
    <x v="25"/>
    <n v="1"/>
    <x v="16"/>
    <s v="IGOR BILANDŽIĆ"/>
    <s v="091-444-6885"/>
    <s v="Igor.bilandzic@vevu.hr"/>
    <s v="Županijska 50"/>
    <s v="BLAGE ZADRE 2, VUKOVAR"/>
    <s v="21720825730"/>
    <x v="1"/>
    <m/>
    <m/>
    <s v="King"/>
    <s v="Senso"/>
  </r>
  <r>
    <m/>
    <n v="119"/>
    <s v="185"/>
    <x v="4"/>
    <x v="43"/>
    <n v="2"/>
    <x v="1"/>
    <s v="Marko Maričević"/>
    <s v="0915193488"/>
    <s v="marko.maricevic@grf.hr"/>
    <s v="Getaldićeva Ulica 2"/>
    <s v="Getaldićeva 2, Zagreb"/>
    <s v="25564990903"/>
    <x v="1"/>
    <m/>
    <m/>
    <s v="King"/>
    <s v="Senso"/>
  </r>
  <r>
    <m/>
    <n v="120"/>
    <s v="205"/>
    <x v="4"/>
    <x v="44"/>
    <n v="1"/>
    <x v="1"/>
    <s v="Mikolaj Martinjak"/>
    <s v="0989478881"/>
    <s v="mika@ffrz.hr"/>
    <s v="Jordanovac 110"/>
    <s v="Jordanovac 110"/>
    <s v="26975482530"/>
    <x v="1"/>
    <m/>
    <m/>
    <s v="King"/>
    <s v="King"/>
  </r>
  <r>
    <m/>
    <n v="121"/>
    <s v="130"/>
    <x v="4"/>
    <x v="45"/>
    <n v="3"/>
    <x v="1"/>
    <s v="Kristian Došen"/>
    <s v="091 7888 474"/>
    <s v="kristian.dosen@fpzg.hr"/>
    <s v="Ulica Ivana Lepušića 6"/>
    <s v="Lepušićeva 6, 10000 Zagreb"/>
    <s v="28011548575"/>
    <x v="1"/>
    <m/>
    <m/>
    <s v="King"/>
    <s v="Senso"/>
  </r>
  <r>
    <m/>
    <n v="122"/>
    <s v="250"/>
    <x v="4"/>
    <x v="17"/>
    <n v="1"/>
    <x v="8"/>
    <s v="Davorin Tadić"/>
    <s v="091 332 1308"/>
    <s v="dtadic@veleri.hr"/>
    <s v="Trpimirova 2"/>
    <s v="Vukovarska 58, Rijeka"/>
    <s v="29573709870"/>
    <x v="1"/>
    <m/>
    <m/>
    <s v="King"/>
    <s v="Senso"/>
  </r>
  <r>
    <m/>
    <s v="123a_x000a_123b_x000a_123c_x000a_123d_x000a_123e"/>
    <s v="5713"/>
    <x v="4"/>
    <x v="27"/>
    <n v="6"/>
    <x v="11"/>
    <s v="Maja Krželj_x000a_Marin Gudelj_x000a_Ivan Tavra_x000a_Petra Musap_x000a_Mirko Šalinović"/>
    <s v="0911556771_x000a_0913344165_x000a_097 6063920_x000a_0991639750_x000a_O98 9895758"/>
    <s v="maja.krzelj@more.unist.hr_x000a_marin@oss.unist.hr_x000a_itavra@unist.hr_x000a_petra.musap@unist.hr_x000a_msalinovic@unist.hr"/>
    <s v="R. Boškovića 31"/>
    <s v="Ruđera Boškovića 31, Split 1 kom._x000a_Kopilica 21, Split  1 kom._x000a_Zrinsko Frankopanska 38, Split 1 kom._x000a_Poljana kraljice Jelene 1, Split  2 kom._x000a_Franjevački put 1, Makarska  1 kom."/>
    <s v="29845096215"/>
    <x v="1"/>
    <m/>
    <m/>
    <s v="King"/>
    <s v="King"/>
  </r>
  <r>
    <m/>
    <n v="124"/>
    <s v="3482"/>
    <x v="4"/>
    <x v="46"/>
    <n v="1"/>
    <x v="19"/>
    <s v="Željko Hrebak"/>
    <s v="098710398"/>
    <s v="zhrebak@mev.hr"/>
    <s v="Ulica Bana Josipa Jelačića 22A"/>
    <s v="Ul. bana Josipa Jelačića 22a"/>
    <s v="31444990605"/>
    <x v="1"/>
    <m/>
    <m/>
    <s v="King"/>
    <s v="King"/>
  </r>
  <r>
    <m/>
    <n v="125"/>
    <s v="1972"/>
    <x v="4"/>
    <x v="47"/>
    <n v="2"/>
    <x v="20"/>
    <s v="Damir Lulić"/>
    <s v="0981771615"/>
    <s v="dlulic@unisb.hr"/>
    <s v="Trg &quot;Ivana Brlić Mažuranić&quot; 2"/>
    <s v="Ulica 108. brigade ZNG 36"/>
    <s v="33027834374"/>
    <x v="1"/>
    <m/>
    <m/>
    <s v="King"/>
    <s v="Senso"/>
  </r>
  <r>
    <m/>
    <n v="126"/>
    <s v="3340"/>
    <x v="4"/>
    <x v="48"/>
    <n v="1"/>
    <x v="1"/>
    <s v="Ivan Cerovec"/>
    <s v="01/2457510"/>
    <s v="ivan.cerovec@erf.unizg.hr"/>
    <s v="Borongajska Cesta 83F"/>
    <s v="Zagreb, Borongajska c.83f"/>
    <s v="34967762426"/>
    <x v="1"/>
    <m/>
    <m/>
    <s v="King"/>
    <s v="King"/>
  </r>
  <r>
    <m/>
    <n v="127"/>
    <s v="219"/>
    <x v="4"/>
    <x v="28"/>
    <n v="2"/>
    <x v="1"/>
    <s v="Siniša Vlahović_x000a_"/>
    <s v="098 268 472_x000a_"/>
    <s v="svlahovic@unizg.hr_x000a_"/>
    <s v="Trg Republike Hrvatske 14"/>
    <s v="Ulica Radoslava Cimermana 88, 10000 Zagreb"/>
    <s v="36612267447"/>
    <x v="1"/>
    <m/>
    <m/>
    <s v="King"/>
    <s v="Senso"/>
  </r>
  <r>
    <m/>
    <n v="128"/>
    <s v="3545"/>
    <x v="4"/>
    <x v="29"/>
    <n v="1"/>
    <x v="11"/>
    <s v="Branimir Džaja"/>
    <s v="091-2600324"/>
    <s v="branimir.dzaja@umas.hr"/>
    <s v="Zagrebačka 3"/>
    <s v="Fausta Vrančića 17A"/>
    <s v="38960125358"/>
    <x v="1"/>
    <m/>
    <m/>
    <s v="King"/>
    <s v="King"/>
  </r>
  <r>
    <m/>
    <n v="129"/>
    <s v="141"/>
    <x v="4"/>
    <x v="30"/>
    <n v="1"/>
    <x v="1"/>
    <s v="Emil Flatz"/>
    <s v="38598302567"/>
    <s v="eflatz@arhitekt.hr"/>
    <s v="Kačićeva Ulica 26"/>
    <s v="Frankopanska 12"/>
    <s v="42061107444"/>
    <x v="1"/>
    <m/>
    <m/>
    <s v="King"/>
    <s v="Senso"/>
  </r>
  <r>
    <m/>
    <n v="130"/>
    <s v="122"/>
    <x v="4"/>
    <x v="49"/>
    <n v="2"/>
    <x v="1"/>
    <s v="Marijo Seničić"/>
    <s v="099 533 7842"/>
    <s v="marijo.senicic@geof.unizg.hr"/>
    <s v="Kačićeva Ulica 26"/>
    <s v="Kačićeva 26, 10000 Zagreb"/>
    <s v="43594593297"/>
    <x v="1"/>
    <m/>
    <m/>
    <s v="King"/>
    <s v="King"/>
  </r>
  <r>
    <m/>
    <n v="131"/>
    <s v="154"/>
    <x v="4"/>
    <x v="50"/>
    <n v="1"/>
    <x v="8"/>
    <s v="Daniel Maratović"/>
    <s v="095/9064710"/>
    <s v="daniel.maratovic@riteh.uniri.hr"/>
    <s v="Vukovarska 58"/>
    <s v="Vukovarska 58, HR-51000 Rijeka"/>
    <s v="46319717480"/>
    <x v="1"/>
    <m/>
    <m/>
    <s v="King"/>
    <s v="Senso"/>
  </r>
  <r>
    <m/>
    <n v="132"/>
    <s v="182"/>
    <x v="4"/>
    <x v="51"/>
    <n v="1"/>
    <x v="21"/>
    <s v="Goran Šljivić"/>
    <s v="0981785148"/>
    <s v="sljivic@simet.hr"/>
    <s v="Aleja Narodnih Heroja 3"/>
    <s v="Sisak, Aleja narodnih heroja 3"/>
    <s v="48006703414"/>
    <x v="1"/>
    <m/>
    <m/>
    <s v="King"/>
    <s v="King"/>
  </r>
  <r>
    <m/>
    <n v="133"/>
    <s v="210"/>
    <x v="4"/>
    <x v="31"/>
    <n v="1"/>
    <x v="1"/>
    <s v="Taras Barščevski"/>
    <s v="+385(91)5335.699"/>
    <s v="taras.barscevski@kbf.unizg.hr"/>
    <s v="Vlaška Ulica 38"/>
    <s v="Vlaška 38"/>
    <s v="48987767944"/>
    <x v="1"/>
    <m/>
    <m/>
    <s v="King"/>
    <s v="Senso"/>
  </r>
  <r>
    <m/>
    <n v="134"/>
    <s v="245"/>
    <x v="4"/>
    <x v="52"/>
    <n v="1"/>
    <x v="1"/>
    <s v="Ozren Digula, Kristijan Zbiljski"/>
    <s v="0914595855, 0914595858"/>
    <s v="ozren.digula@zvu.hr, kristijan.zbiljski@zvu.hr"/>
    <s v="Mlinarska Cesta 38"/>
    <s v="Mlinarska cesta 38"/>
    <s v="50952646228"/>
    <x v="1"/>
    <m/>
    <m/>
    <s v="King"/>
    <s v="King"/>
  </r>
  <r>
    <m/>
    <n v="135"/>
    <s v="3430"/>
    <x v="4"/>
    <x v="53"/>
    <n v="1"/>
    <x v="11"/>
    <s v="Ante Krolo"/>
    <s v="+385 95 903 76 48"/>
    <s v="ante@kifst.hr"/>
    <s v="Teslina 6"/>
    <s v="Teslina 10"/>
    <s v="57848936921"/>
    <x v="1"/>
    <m/>
    <m/>
    <s v="King"/>
    <s v="King"/>
  </r>
  <r>
    <m/>
    <n v="136"/>
    <s v="4497"/>
    <x v="4"/>
    <x v="9"/>
    <n v="1"/>
    <x v="6"/>
    <s v="Branimir Kolman"/>
    <s v="091 244 0130"/>
    <s v="bkolman@unin.hr"/>
    <s v="Trg Dr. Žarka Dolinara 1"/>
    <s v="Ulica 104 brigade 3, VŽ"/>
    <s v="59624928052"/>
    <x v="1"/>
    <m/>
    <m/>
    <s v="King"/>
    <s v="Senso"/>
  </r>
  <r>
    <m/>
    <n v="137"/>
    <s v="3927"/>
    <x v="4"/>
    <x v="32"/>
    <n v="1"/>
    <x v="13"/>
    <s v="Luka Cvenić"/>
    <s v="099 312 6187"/>
    <s v="luka.cvenic@aukos.hr"/>
    <s v="Ulica Kralja Petra Svačića 1F"/>
    <s v="J. Knifera 1 ( bivša K.P. Svačića 1/f, Osijek)"/>
    <s v="60277424315"/>
    <x v="1"/>
    <m/>
    <m/>
    <s v="King"/>
    <s v="Senso"/>
  </r>
  <r>
    <m/>
    <n v="138"/>
    <s v="3554"/>
    <x v="4"/>
    <x v="10"/>
    <n v="1"/>
    <x v="7"/>
    <s v="Dario Kukuljan"/>
    <s v="0993777446"/>
    <s v="dkukuljan@unipu.hr"/>
    <s v="Zagrebačka Ulica 30"/>
    <s v="Alda Negrija 6, Pila"/>
    <s v="61738073226"/>
    <x v="1"/>
    <m/>
    <m/>
    <s v="King"/>
    <s v="Senso"/>
  </r>
  <r>
    <m/>
    <n v="139"/>
    <s v="161"/>
    <x v="4"/>
    <x v="54"/>
    <n v="1"/>
    <x v="1"/>
    <s v="Sead Berberović"/>
    <s v="0915226263"/>
    <s v="sead.berberovic@grad.unizg.hr"/>
    <s v="Kačićeva Ulica 26"/>
    <s v="Kačićeva 26, Zagreb"/>
    <s v="62924153420"/>
    <x v="1"/>
    <m/>
    <m/>
    <s v="King"/>
    <s v="King"/>
  </r>
  <r>
    <m/>
    <n v="140"/>
    <s v="221"/>
    <x v="4"/>
    <x v="11"/>
    <n v="3"/>
    <x v="8"/>
    <s v="Marko Roža"/>
    <s v="051/265-873"/>
    <s v="marko.roza@uniri.hr"/>
    <s v="Trg Braće Mažuranića 10"/>
    <s v="Radmile Matejčić 2; 51000 Rijeka "/>
    <s v="64218323816"/>
    <x v="1"/>
    <m/>
    <m/>
    <s v="King"/>
    <s v="King"/>
  </r>
  <r>
    <m/>
    <n v="141"/>
    <s v="150"/>
    <x v="4"/>
    <x v="12"/>
    <n v="1"/>
    <x v="1"/>
    <s v="Dario Đurasović"/>
    <s v="091 4802 130"/>
    <s v="dario@sfzg.hr"/>
    <s v="Gundulićeva Ulica 5"/>
    <s v="Gundulićeva 5, Zagreb"/>
    <s v="70221464726"/>
    <x v="1"/>
    <m/>
    <m/>
    <s v="King"/>
    <s v="Senso"/>
  </r>
  <r>
    <m/>
    <n v="142"/>
    <s v="6229"/>
    <x v="4"/>
    <x v="55"/>
    <n v="1"/>
    <x v="13"/>
    <s v="Matija Karapetrić"/>
    <s v="0915053478"/>
    <s v="matija.karapetric@kifos.hr"/>
    <s v="Drinska 16A"/>
    <s v="Drinska 16a, 31000 Osijek"/>
    <s v="70788591483"/>
    <x v="1"/>
    <m/>
    <m/>
    <s v="King"/>
    <s v="Senso"/>
  </r>
  <r>
    <m/>
    <s v="143a_x000a_143b"/>
    <s v="187"/>
    <x v="4"/>
    <x v="56"/>
    <n v="2"/>
    <x v="1"/>
    <s v="Sandi Homolak (Zagreb)_x000a_Igor Šalamun (Čakovec)"/>
    <s v="091 619 5223_x000a_091 5011 277"/>
    <s v="informatika.zagreb@ufzg.hr_x000a_igor.salamun@ufzg.hr"/>
    <s v="Savska Cesta 77"/>
    <s v="Savska cesta 77, 10000 Zagreb_x000a_Ul. dr. Ante Starčevića 55, 40000, Čakovec"/>
    <s v="72226488129"/>
    <x v="1"/>
    <m/>
    <m/>
    <s v="King"/>
    <s v="Senso"/>
  </r>
  <r>
    <m/>
    <n v="144"/>
    <s v="169"/>
    <x v="4"/>
    <x v="57"/>
    <n v="1"/>
    <x v="8"/>
    <s v="Izv. prof. dr. sc. Jasmin Ćelić"/>
    <s v="0912546777"/>
    <s v="jasmin.celic@uniri.hr"/>
    <s v="Studentska 2"/>
    <s v="Studentska 2"/>
    <s v="76722145702"/>
    <x v="1"/>
    <m/>
    <m/>
    <s v="King"/>
    <s v="Senso"/>
  </r>
  <r>
    <m/>
    <s v="145a_x000a_145b_x000a_145c"/>
    <s v="222"/>
    <x v="4"/>
    <x v="33"/>
    <n v="3"/>
    <x v="13"/>
    <s v="Tatjana Šajatović_x000a_Tomica Bunjevac_x000a_Albert Oswald"/>
    <s v=" +38598871499_x000a_+385913568984_x000a_+385912241400"/>
    <s v="tsajatovic@kemija.unios.hr_x000a_tbunjevac@fizika.unios.hr_x000a_oswald@unios.hr"/>
    <s v="Trg Sv. Trojstva 3"/>
    <s v="Cara Hadrijana 8/A 1 kom._x000a_ Trg Ljudevita Gaja 6. 1 kom._x000a_Trg Sv. Trojstva 3. 1 kom."/>
    <s v="78808975734"/>
    <x v="1"/>
    <m/>
    <m/>
    <s v="King"/>
    <s v="King"/>
  </r>
  <r>
    <m/>
    <n v="146"/>
    <s v="163"/>
    <x v="4"/>
    <x v="58"/>
    <n v="1"/>
    <x v="11"/>
    <s v="Alen Domazet"/>
    <s v="091 568 5994"/>
    <s v="adomazet@gradst.hr"/>
    <s v="Matice Hrvatske 15"/>
    <s v="Matice hrvatske 15, 21000 Split"/>
    <s v="83615500218"/>
    <x v="1"/>
    <m/>
    <m/>
    <s v="King"/>
    <s v="King"/>
  </r>
  <r>
    <m/>
    <n v="147"/>
    <s v="5717"/>
    <x v="4"/>
    <x v="59"/>
    <n v="1"/>
    <x v="13"/>
    <s v="Andrija Ljubičić_x000a_"/>
    <s v="091 2241 423_x000a_"/>
    <s v="andrija.ljubicic@fdmz.hr_x000a_"/>
    <s v="Crkvena Ulica 21"/>
    <s v="Crkvena 21"/>
    <s v="83830458507"/>
    <x v="1"/>
    <m/>
    <m/>
    <s v="King"/>
    <s v="King"/>
  </r>
  <r>
    <m/>
    <n v="148"/>
    <s v="186"/>
    <x v="4"/>
    <x v="60"/>
    <n v="1"/>
    <x v="1"/>
    <s v="Boris Beker"/>
    <s v="098/211-765"/>
    <s v="bbeker@ffzg.hr"/>
    <s v="Ulica Ivana Lučića 3"/>
    <s v="Ivana Lučića 3"/>
    <s v="90633715804"/>
    <x v="1"/>
    <m/>
    <m/>
    <s v="King"/>
    <s v="Senso"/>
  </r>
  <r>
    <m/>
    <n v="149"/>
    <s v="199"/>
    <x v="4"/>
    <x v="61"/>
    <n v="1"/>
    <x v="13"/>
    <s v="Mario Miloloza"/>
    <s v="0912246140"/>
    <s v="mario.miloloza@ferit.hr"/>
    <s v="Ulica Kneza Trpimira 2B"/>
    <s v="Cara Hadrijana 10b, Osijek"/>
    <s v="95494259952"/>
    <x v="1"/>
    <m/>
    <m/>
    <s v="King"/>
    <s v="King"/>
  </r>
  <r>
    <m/>
    <n v="150"/>
    <s v="214"/>
    <x v="4"/>
    <x v="62"/>
    <n v="1"/>
    <x v="1"/>
    <s v="Goran Hoić"/>
    <s v="099/2550-825"/>
    <s v="goran.hoic@alu.unizg.hr"/>
    <s v="Ilica 85"/>
    <s v="Ilica 85"/>
    <s v="95847257607"/>
    <x v="1"/>
    <m/>
    <m/>
    <s v="King"/>
    <s v="Senso"/>
  </r>
  <r>
    <m/>
    <n v="151"/>
    <s v="281"/>
    <x v="4"/>
    <x v="63"/>
    <n v="1"/>
    <x v="8"/>
    <s v="Danka Jurjević"/>
    <s v="265-877"/>
    <s v="danka.jurjevic@uniri.hr"/>
    <s v="Sveučilišna Avenija 6"/>
    <s v="Sveučilišna Avenija 6"/>
    <s v="96996385705"/>
    <x v="1"/>
    <m/>
    <m/>
    <s v="King"/>
    <s v="Senso"/>
  </r>
  <r>
    <m/>
    <n v="152"/>
    <s v="5769"/>
    <x v="4"/>
    <x v="64"/>
    <n v="1"/>
    <x v="11"/>
    <s v="Slaven Kušljić"/>
    <s v="021 545545, 091 4443745"/>
    <s v="slaven@ffst.hr"/>
    <s v="Poljička Cesta 35"/>
    <s v="Poljička cesta 35"/>
    <s v="98004523293"/>
    <x v="1"/>
    <m/>
    <m/>
    <s v="King"/>
    <s v="King"/>
  </r>
  <r>
    <m/>
    <n v="153"/>
    <s v="158"/>
    <x v="4"/>
    <x v="21"/>
    <n v="1"/>
    <x v="13"/>
    <s v="Ivan Rebekić"/>
    <s v="099 304 6109"/>
    <s v="irebekic@fazos.hr"/>
    <s v="Ulica Vladimira Preloga 1"/>
    <s v="Vladimira Preloga 1, 31000 Osijek"/>
    <s v="98816779821"/>
    <x v="1"/>
    <m/>
    <m/>
    <s v="King"/>
    <s v="Senso"/>
  </r>
  <r>
    <m/>
    <n v="154"/>
    <s v="3324"/>
    <x v="4"/>
    <x v="34"/>
    <n v="1"/>
    <x v="1"/>
    <s v="Dario Knežić"/>
    <s v="0917615616"/>
    <s v="dknezic@fhs.unizg.hr"/>
    <s v="Borongajska Cesta 83D"/>
    <s v="Borongajska cesta 83d, Zagreb"/>
    <s v="99454315441"/>
    <x v="1"/>
    <m/>
    <m/>
    <s v="King"/>
    <s v="Senso"/>
  </r>
  <r>
    <m/>
    <n v="155"/>
    <s v="203"/>
    <x v="4"/>
    <x v="65"/>
    <n v="1"/>
    <x v="1"/>
    <s v="Marijan Galjar"/>
    <s v="098 855 676"/>
    <s v="marijan.galjar@rgn.hr"/>
    <s v="Pierottijeva Ulica 6"/>
    <s v="Pierottijeva 6"/>
    <s v="99534693762"/>
    <x v="1"/>
    <m/>
    <m/>
    <s v="King"/>
    <s v="Senso"/>
  </r>
  <r>
    <m/>
    <n v="156"/>
    <s v="206"/>
    <x v="4"/>
    <x v="35"/>
    <n v="1"/>
    <x v="1"/>
    <s v="Davor Štrk"/>
    <s v="099 3136 671"/>
    <s v="dstrk@fkz.hr"/>
    <s v="Avenija Gojka Šuška 1"/>
    <s v="Av. Gojka Šuška 1, Zagreb"/>
    <s v="36162371878"/>
    <x v="1"/>
    <m/>
    <m/>
    <s v="King"/>
    <s v="King"/>
  </r>
  <r>
    <m/>
    <n v="157"/>
    <s v="188"/>
    <x v="4"/>
    <x v="4"/>
    <n v="1"/>
    <x v="1"/>
    <s v="Boris Rončević"/>
    <s v="099 5327723"/>
    <s v="broncevic@nsk.hr"/>
    <s v="Ul. Hrvatske Bratske Zajednice 4"/>
    <s v="NSK - Ul. Hrvatske Bratske Zajednice 4"/>
    <m/>
    <x v="1"/>
    <m/>
    <m/>
    <s v="King"/>
    <s v="?"/>
  </r>
  <r>
    <m/>
    <m/>
    <m/>
    <x v="5"/>
    <x v="0"/>
    <n v="77"/>
    <x v="0"/>
    <m/>
    <m/>
    <m/>
    <m/>
    <m/>
    <m/>
    <x v="0"/>
    <m/>
    <m/>
    <s v="King"/>
    <m/>
  </r>
  <r>
    <m/>
    <n v="158"/>
    <s v="131"/>
    <x v="5"/>
    <x v="66"/>
    <n v="2"/>
    <x v="10"/>
    <s v="Mario Harjač"/>
    <s v="097 610 1011"/>
    <s v="maharjac@foi.unizg.hr"/>
    <s v="Pavlinska Ulica 2"/>
    <s v="Ulica Petra Preradovića 15, Varaždin"/>
    <s v="2024882310"/>
    <x v="4"/>
    <m/>
    <m/>
    <s v="King"/>
    <s v="King"/>
  </r>
  <r>
    <m/>
    <n v="159"/>
    <s v="153"/>
    <x v="5"/>
    <x v="40"/>
    <n v="1"/>
    <x v="1"/>
    <s v="Mihael Šutalo"/>
    <s v="099/2717915"/>
    <s v="msutalo@sumfak.hr"/>
    <s v="Svetošimunska Cesta 23"/>
    <s v="Svetošimunska cesta 23"/>
    <s v="7699719217"/>
    <x v="4"/>
    <m/>
    <m/>
    <s v="King"/>
    <s v="King"/>
  </r>
  <r>
    <m/>
    <s v="160a_x000a_160b"/>
    <s v="1918"/>
    <x v="5"/>
    <x v="23"/>
    <n v="10"/>
    <x v="1"/>
    <s v="Vrbik - Hrvoje Matešić_x000a_Konavoska - Filip Samoščnaec"/>
    <s v="+385992692210 - Hrvoje_x000a_0993047438 Filip"/>
    <s v="hrvoje.matesic@tvz.hr_x000a_filip.samoscanec@tvz.hr"/>
    <s v="Vrbik 8"/>
    <s v="Vrbik 8 5 kom_x000a_Konavoska 2  5 kom. "/>
    <s v="8814003451"/>
    <x v="4"/>
    <m/>
    <m/>
    <s v="King"/>
    <s v="King"/>
  </r>
  <r>
    <m/>
    <s v="161a_x000a_161b_x000a_161c"/>
    <s v="368"/>
    <x v="5"/>
    <x v="6"/>
    <n v="4"/>
    <x v="3"/>
    <s v="Ivan Nimac_x000a_Ivana Delistović Duić_x000a_Ivan Nimac"/>
    <s v="095/826-5888_x000a_098/654-710_x000a_095/826-5888"/>
    <s v="inimac@unizd.hr_x000a_idelistov@unizd.hr_x000a_inimac@unizd.hr"/>
    <s v="Ulica Mihovila Pavlinovića 1"/>
    <s v="Obala kralja Petra Krešimira IV. Br. 2, 23000 Zadar 2 kom._x000a_Dr. Franje Tuđmana 24, 23000 Zadar 1 kom._x000a_Mihovila Pavlinovića 1, 23000 Zadar 1 kom."/>
    <s v="10839679016"/>
    <x v="4"/>
    <m/>
    <m/>
    <s v="King"/>
    <s v="Senso"/>
  </r>
  <r>
    <m/>
    <n v="162"/>
    <s v="121"/>
    <x v="5"/>
    <x v="1"/>
    <n v="1"/>
    <x v="1"/>
    <s v="Mate Galić"/>
    <s v="098806500"/>
    <s v="mate.galic@pharma.unizg.hr"/>
    <s v="Ulica Ante Kovačića 1"/>
    <s v="Ante Kovačića 1"/>
    <s v="14509285435"/>
    <x v="4"/>
    <m/>
    <m/>
    <s v="King"/>
    <s v="Senso"/>
  </r>
  <r>
    <m/>
    <n v="163"/>
    <s v="137"/>
    <x v="5"/>
    <x v="67"/>
    <n v="2"/>
    <x v="13"/>
    <s v="Bojan Tovjanin"/>
    <s v="0912241440"/>
    <s v="btovjanin@mefos.hr"/>
    <s v="Ulica Josipa Huttlera 4"/>
    <s v="Josipa Huttlera 4"/>
    <s v="16214165873"/>
    <x v="4"/>
    <m/>
    <m/>
    <s v="King"/>
    <s v="Senso"/>
  </r>
  <r>
    <m/>
    <n v="164"/>
    <s v="3986"/>
    <x v="5"/>
    <x v="68"/>
    <n v="2"/>
    <x v="1"/>
    <s v="Petra Mitrović"/>
    <s v="0914810222"/>
    <s v="pmitrovic@muza.hr"/>
    <s v="Trg Republike Hrvatske 12"/>
    <s v="Trg Republike Hrvatske 12"/>
    <s v="18422925218"/>
    <x v="4"/>
    <m/>
    <m/>
    <s v="King"/>
    <s v="Senso"/>
  </r>
  <r>
    <m/>
    <n v="165"/>
    <s v="4660"/>
    <x v="5"/>
    <x v="69"/>
    <n v="6"/>
    <x v="8"/>
    <s v="Vedran Ćurković"/>
    <s v="091 / 9536547"/>
    <s v="vedran.curkovic@uniri.hr"/>
    <s v="Viktora Cara Emina 5"/>
    <s v="Viktora Cara Emina 5"/>
    <s v="19213484918"/>
    <x v="4"/>
    <m/>
    <m/>
    <s v="King"/>
    <s v="Senso"/>
  </r>
  <r>
    <m/>
    <n v="166"/>
    <s v="250"/>
    <x v="5"/>
    <x v="17"/>
    <n v="1"/>
    <x v="8"/>
    <s v="Davorin Tadić"/>
    <s v="091 332 1308"/>
    <s v="dtadic@veleri.hr"/>
    <s v="Trpimirova 2"/>
    <s v="Vukovarska 58, Rijeka"/>
    <s v="29573709870"/>
    <x v="4"/>
    <m/>
    <m/>
    <s v="King"/>
    <s v="Senso"/>
  </r>
  <r>
    <m/>
    <s v="167a_x000a_167b"/>
    <s v="5713"/>
    <x v="5"/>
    <x v="27"/>
    <n v="2"/>
    <x v="11"/>
    <s v="Marko Pilić / Josip Crnjac_x000a_Mirko Šalinović"/>
    <s v="0919840020 (Pilić), 0981980136 (Crnjac)_x000a_O98 9895758"/>
    <s v="mpilic@forenzika.unist.hr, jcrnjac@forenzika.unist.hr_x000a_msalinovic@unist.hr"/>
    <s v="R. Boškovića 31"/>
    <s v="Franjevački put 1, Makarska_x000a_Ruđera Boškovića 33, Split"/>
    <s v="29845096215"/>
    <x v="4"/>
    <m/>
    <m/>
    <s v="King"/>
    <s v="King"/>
  </r>
  <r>
    <m/>
    <n v="168"/>
    <s v="1972"/>
    <x v="5"/>
    <x v="47"/>
    <n v="7"/>
    <x v="20"/>
    <s v="Damir Lulić"/>
    <s v="0981771615"/>
    <s v="dlulic@unisb.hr"/>
    <s v="Trg &quot;Ivana Brlić Mažuranić&quot; 2"/>
    <s v="Trg I.B.Mažuranić 2"/>
    <s v="33027834374"/>
    <x v="4"/>
    <m/>
    <m/>
    <s v="King"/>
    <s v="Senso"/>
  </r>
  <r>
    <m/>
    <n v="169"/>
    <s v="3340"/>
    <x v="5"/>
    <x v="48"/>
    <n v="3"/>
    <x v="1"/>
    <s v="Ivan Cerovec"/>
    <s v="01/2457510"/>
    <s v="ivan.cerovec@erf.unizg.hr"/>
    <s v="Borongajska Cesta 83F"/>
    <s v="Zagreb, Borongajska c.83f"/>
    <s v="34967762426"/>
    <x v="4"/>
    <m/>
    <m/>
    <s v="King"/>
    <s v="King"/>
  </r>
  <r>
    <m/>
    <n v="170"/>
    <s v="1944"/>
    <x v="5"/>
    <x v="8"/>
    <n v="1"/>
    <x v="5"/>
    <s v="Mile Vičić"/>
    <s v="098675984"/>
    <s v="mvicic@velegs-nikolatesla.hr"/>
    <s v="Ulica Bana Ivana Karlovića 16"/>
    <s v="Ulica bana Ivana Karlovića 16"/>
    <s v="42552392522"/>
    <x v="4"/>
    <m/>
    <m/>
    <s v="King"/>
    <s v="King"/>
  </r>
  <r>
    <m/>
    <n v="171"/>
    <s v="146"/>
    <x v="5"/>
    <x v="70"/>
    <n v="2"/>
    <x v="1"/>
    <s v="Ana Vukelić"/>
    <s v="0915677600"/>
    <s v="avukelic@pbf.hr"/>
    <s v="Pierottijeva Ulica 6"/>
    <s v="Pierottijeva 6"/>
    <s v="47824453867"/>
    <x v="4"/>
    <m/>
    <m/>
    <s v="King"/>
    <s v="King"/>
  </r>
  <r>
    <m/>
    <n v="172"/>
    <s v="138"/>
    <x v="5"/>
    <x v="71"/>
    <n v="2"/>
    <x v="1"/>
    <s v="Denis Hernaut"/>
    <s v="+385 91 604 3920"/>
    <s v="denis.hernaut@fer.hr"/>
    <s v="Unska Ulica 3"/>
    <s v="Vukovarska 39, Zagreb"/>
    <s v="57029260362"/>
    <x v="4"/>
    <m/>
    <m/>
    <s v="King"/>
    <s v="Senso"/>
  </r>
  <r>
    <m/>
    <n v="173"/>
    <s v="4497"/>
    <x v="5"/>
    <x v="9"/>
    <n v="10"/>
    <x v="6"/>
    <s v="Branimir Kolman"/>
    <s v="091 244 0130"/>
    <s v="bkolman@unin.hr"/>
    <s v="Trg Dr. Žarka Dolinara 1"/>
    <s v="Ulica 104 brigade 3, VŽ"/>
    <s v="59624928052"/>
    <x v="4"/>
    <m/>
    <m/>
    <s v="King"/>
    <s v="Senso"/>
  </r>
  <r>
    <m/>
    <n v="174"/>
    <s v="3554"/>
    <x v="5"/>
    <x v="10"/>
    <n v="1"/>
    <x v="7"/>
    <s v="Dario Kukuljan"/>
    <s v="0993777446"/>
    <s v="dkukuljan@unipu.hr"/>
    <s v="Zagrebačka Ulica 30"/>
    <s v="Alda Negrija 6, Pila"/>
    <s v="61738073226"/>
    <x v="4"/>
    <m/>
    <m/>
    <s v="King"/>
    <s v="Senso"/>
  </r>
  <r>
    <m/>
    <n v="175"/>
    <s v="1963"/>
    <x v="5"/>
    <x v="72"/>
    <n v="2"/>
    <x v="22"/>
    <s v="Marko Štedul"/>
    <s v="098-9919-742"/>
    <s v="marko.stedul@vuka.hr"/>
    <s v="Ivana Meštrovića 10"/>
    <s v="J. J. Strossmayera 9"/>
    <s v="62820859976"/>
    <x v="4"/>
    <m/>
    <m/>
    <s v="King"/>
    <s v="Senso"/>
  </r>
  <r>
    <m/>
    <n v="176"/>
    <s v="221"/>
    <x v="5"/>
    <x v="11"/>
    <n v="1"/>
    <x v="8"/>
    <s v="Danka Jurjević"/>
    <s v="051/265-884"/>
    <s v="danka.jurjevic@uniri.hr"/>
    <s v="Trg Braće Mažuranića 10"/>
    <s v="Radmile Matejčić 2; 51000 Rijeka"/>
    <s v="64218323816"/>
    <x v="4"/>
    <m/>
    <m/>
    <s v="King"/>
    <s v="King"/>
  </r>
  <r>
    <m/>
    <n v="177"/>
    <s v="184"/>
    <x v="5"/>
    <x v="3"/>
    <n v="1"/>
    <x v="1"/>
    <s v="Igor Horaček"/>
    <s v="091/722-0837"/>
    <s v="igor@fkit.hr"/>
    <s v="Trg Marka Marulića 19"/>
    <s v="Trg Marka Marulića 20, Zagreb, podrum"/>
    <s v="71259740533"/>
    <x v="4"/>
    <m/>
    <m/>
    <s v="King"/>
    <s v="Senso"/>
  </r>
  <r>
    <m/>
    <n v="178"/>
    <s v="202"/>
    <x v="5"/>
    <x v="73"/>
    <n v="2"/>
    <x v="1"/>
    <s v="Juaj Mihanović"/>
    <s v="098 9684 080"/>
    <s v="jmihanovic@agr.hr"/>
    <s v="Svetošimunska Cesta 25"/>
    <s v="Svetošimunska 25"/>
    <s v="76023745044"/>
    <x v="4"/>
    <m/>
    <m/>
    <s v="King"/>
    <s v="King"/>
  </r>
  <r>
    <m/>
    <s v="179a_x000a_179b"/>
    <s v="222"/>
    <x v="5"/>
    <x v="33"/>
    <n v="5"/>
    <x v="13"/>
    <s v="Albert Oswald_x000a_Tomica Bunjevac"/>
    <s v="+385912241400_x000a_+385913568984"/>
    <s v="oswald@unios.hr_x000a_tbunjevac@fizika.unios.hr"/>
    <s v="Trg Sv. Trojstva 3"/>
    <s v="Trg. Sv. Trojstva 3  4 kom._x000a_Trg Ljudevita Gaja 6  1 kom."/>
    <s v="78808975734"/>
    <x v="4"/>
    <m/>
    <m/>
    <s v="King"/>
    <s v="King"/>
  </r>
  <r>
    <m/>
    <n v="180"/>
    <s v="5717"/>
    <x v="5"/>
    <x v="59"/>
    <n v="1"/>
    <x v="13"/>
    <s v="Rade Lukić"/>
    <s v="091 2241 511"/>
    <s v="rade.lukic@fdmz.hr"/>
    <s v="Crkvena Ulica 21"/>
    <s v="Bana J. Jelačića 19A, Orahovica"/>
    <s v="83830458507"/>
    <x v="4"/>
    <m/>
    <m/>
    <s v="King"/>
    <s v="King"/>
  </r>
  <r>
    <m/>
    <n v="181"/>
    <s v="316"/>
    <x v="5"/>
    <x v="20"/>
    <n v="2"/>
    <x v="11"/>
    <s v="Ante Denić"/>
    <s v="(+385)915683877"/>
    <s v="dante@efst.hr"/>
    <s v="Cvite Fiskovića 5"/>
    <s v="Cvite Fiskovića 5, Split"/>
    <s v="84477684422"/>
    <x v="4"/>
    <m/>
    <m/>
    <s v="King"/>
    <s v="King"/>
  </r>
  <r>
    <m/>
    <n v="182"/>
    <s v="214"/>
    <x v="5"/>
    <x v="62"/>
    <n v="1"/>
    <x v="1"/>
    <s v="Goran Hoić"/>
    <s v="099/2550-825"/>
    <s v="goran.hoic@alu.unizg.hr"/>
    <s v="Ilica 85"/>
    <s v="Ilica 85"/>
    <s v="95847257607"/>
    <x v="4"/>
    <m/>
    <m/>
    <s v="King"/>
    <s v="Senso"/>
  </r>
  <r>
    <m/>
    <n v="183"/>
    <s v="170"/>
    <x v="5"/>
    <x v="74"/>
    <n v="1"/>
    <x v="13"/>
    <s v="Dražen Marček"/>
    <s v="098/9674947"/>
    <s v="dmarcek@ptfos.hr"/>
    <s v="Franje Kuhača 18"/>
    <s v="F. Kuhača 18"/>
    <s v="96371000697"/>
    <x v="4"/>
    <m/>
    <m/>
    <s v="King"/>
    <s v="King"/>
  </r>
  <r>
    <m/>
    <n v="184"/>
    <s v="4589"/>
    <x v="5"/>
    <x v="14"/>
    <n v="3"/>
    <x v="1"/>
    <s v="Predrag Šinko"/>
    <s v="095/205-2570"/>
    <s v="predrag.sinko@sois-ft.hr"/>
    <s v="Ilica 256B"/>
    <s v="Ilica 256B, obj. 58"/>
    <s v="36752094474"/>
    <x v="4"/>
    <m/>
    <m/>
    <s v="King"/>
    <s v="King"/>
  </r>
  <r>
    <m/>
    <n v="185"/>
    <s v="188"/>
    <x v="5"/>
    <x v="4"/>
    <n v="1"/>
    <x v="1"/>
    <s v="Boris Rončević"/>
    <s v="099 5327723"/>
    <s v="broncevic@nsk.hr"/>
    <s v="Ul. Hrvatske Bratske Zajednice 4"/>
    <s v="NSK - Ul. Hrvatske Bratske Zajednice 4"/>
    <m/>
    <x v="4"/>
    <m/>
    <m/>
    <s v="King"/>
    <s v="?"/>
  </r>
  <r>
    <m/>
    <m/>
    <m/>
    <x v="6"/>
    <x v="0"/>
    <n v="49"/>
    <x v="0"/>
    <m/>
    <m/>
    <m/>
    <m/>
    <m/>
    <m/>
    <x v="0"/>
    <m/>
    <m/>
    <s v="King"/>
    <m/>
  </r>
  <r>
    <m/>
    <s v="186a_x000a_186b"/>
    <s v="3990"/>
    <x v="6"/>
    <x v="37"/>
    <n v="9"/>
    <x v="17"/>
    <s v="Stjepo Hladilo"/>
    <s v="0919322586"/>
    <s v="stjepo.hladilo@unidu.hr"/>
    <s v="Branitelja Dubrovnika 41"/>
    <s v="Branitelja Dubrovnika 41, Dubrovnik 7 kom._x000a_Lapadska obala Nojka Marinovića 7, Dubrovnik 2 kom."/>
    <s v="1338491514"/>
    <x v="2"/>
    <m/>
    <m/>
    <s v="King"/>
    <s v="Senso"/>
  </r>
  <r>
    <m/>
    <n v="187"/>
    <s v="153"/>
    <x v="6"/>
    <x v="40"/>
    <n v="5"/>
    <x v="1"/>
    <s v="Mihael Šutalo"/>
    <s v="099/2717915"/>
    <s v="msutalo@sumfak.hr"/>
    <s v="Svetošimunska Cesta 23"/>
    <s v="Svetošimunska cesta 23"/>
    <s v="7699719217"/>
    <x v="4"/>
    <m/>
    <m/>
    <s v="King"/>
    <s v="King"/>
  </r>
  <r>
    <m/>
    <n v="188"/>
    <s v="121"/>
    <x v="6"/>
    <x v="1"/>
    <n v="1"/>
    <x v="1"/>
    <s v="Mate Galić"/>
    <s v="098806500"/>
    <s v="mate.galic@pharma.unizg.hr"/>
    <s v="Ulica Ante Kovačića 1"/>
    <s v="Ante Kovačića 1"/>
    <s v="14509285435"/>
    <x v="4"/>
    <m/>
    <m/>
    <s v="King"/>
    <s v="Senso"/>
  </r>
  <r>
    <m/>
    <n v="189"/>
    <s v="137"/>
    <x v="6"/>
    <x v="67"/>
    <n v="3"/>
    <x v="13"/>
    <s v="Bojan Tovjanin"/>
    <s v="0912241440"/>
    <s v="btovjanin@mefos.hr"/>
    <s v="Ulica Josipa Huttlera 4"/>
    <s v="Josipa Huttlera 4"/>
    <s v="16214165873"/>
    <x v="4"/>
    <m/>
    <m/>
    <s v="King"/>
    <s v="Senso"/>
  </r>
  <r>
    <m/>
    <n v="190"/>
    <s v="4660"/>
    <x v="6"/>
    <x v="69"/>
    <n v="3"/>
    <x v="8"/>
    <s v="Vedran Ćurković"/>
    <s v="091 / 9536547"/>
    <s v="vedran.curkovic@uniri.hr"/>
    <s v="Viktora Cara Emina 5"/>
    <s v="Viktora Cara Emina 5"/>
    <s v="19213484918"/>
    <x v="4"/>
    <m/>
    <m/>
    <s v="King"/>
    <s v="Senso"/>
  </r>
  <r>
    <m/>
    <n v="191"/>
    <s v="469"/>
    <x v="6"/>
    <x v="75"/>
    <n v="1"/>
    <x v="1"/>
    <s v="Mario Dakić"/>
    <s v="385912524419"/>
    <s v="mdakic@geog.pmf.hr_x000a_"/>
    <s v="Horvatovac 102A"/>
    <s v="Trg Marka Marulića 19/II"/>
    <s v="28163265527"/>
    <x v="4"/>
    <m/>
    <m/>
    <s v="King"/>
    <s v="Senso"/>
  </r>
  <r>
    <m/>
    <n v="192"/>
    <s v="3340"/>
    <x v="6"/>
    <x v="48"/>
    <n v="2"/>
    <x v="1"/>
    <s v="Ivan Cerovec"/>
    <s v="01/2457510"/>
    <s v="ivan.cerovec@erf.unizg.hr"/>
    <s v="Borongajska Cesta 83F"/>
    <s v="Zagreb, Borongajska c.83f"/>
    <s v="34967762426"/>
    <x v="4"/>
    <m/>
    <m/>
    <s v="King"/>
    <s v="King"/>
  </r>
  <r>
    <m/>
    <n v="193"/>
    <s v="146"/>
    <x v="6"/>
    <x v="70"/>
    <n v="2"/>
    <x v="1"/>
    <s v="Ana Vukelić"/>
    <s v="0915677600"/>
    <s v="avukelic@pbf.hr"/>
    <s v="Pierottijeva Ulica 6"/>
    <s v="Pierottijeva 6"/>
    <s v="47824453867"/>
    <x v="4"/>
    <m/>
    <m/>
    <s v="King"/>
    <s v="King"/>
  </r>
  <r>
    <m/>
    <n v="194"/>
    <s v="1939"/>
    <x v="6"/>
    <x v="76"/>
    <n v="1"/>
    <x v="8"/>
    <s v="Aljoša Brajdić"/>
    <s v="099/2217114"/>
    <s v="aljosa.brajdic@apuri.uniri.hr"/>
    <s v="Slavka Krautzeka 83"/>
    <s v="Slavka Krautzeka 83, 51000 Rijeka"/>
    <s v="55704161999"/>
    <x v="4"/>
    <m/>
    <m/>
    <s v="King"/>
    <s v="Senso"/>
  </r>
  <r>
    <m/>
    <n v="195"/>
    <s v="138"/>
    <x v="6"/>
    <x v="71"/>
    <n v="3"/>
    <x v="1"/>
    <s v="Denis Hernaut"/>
    <s v="+385 91 604 3920"/>
    <s v="denis.hernaut@fer.hr"/>
    <s v="Unska Ulica 3"/>
    <s v="Vukovarska 39, Zagreb"/>
    <s v="57029260362"/>
    <x v="4"/>
    <m/>
    <m/>
    <s v="King"/>
    <s v="Senso"/>
  </r>
  <r>
    <m/>
    <n v="196"/>
    <s v="3554"/>
    <x v="6"/>
    <x v="10"/>
    <n v="1"/>
    <x v="7"/>
    <s v="Dario Kukuljan"/>
    <s v="0993777446"/>
    <s v="dkukuljan@unipu.hr"/>
    <s v="Zagrebačka Ulica 30"/>
    <s v="Alda Negrija 6, Pila"/>
    <s v="61738073226"/>
    <x v="4"/>
    <m/>
    <m/>
    <s v="King"/>
    <s v="Senso"/>
  </r>
  <r>
    <m/>
    <n v="197"/>
    <s v="221"/>
    <x v="6"/>
    <x v="11"/>
    <n v="1"/>
    <x v="8"/>
    <s v="Linda Petričić, Nicole Tomišić "/>
    <s v="091 165 1207, 0922875203"/>
    <s v="ntomisic@fdmri.uniri.hr linda.petricic@fdmri.uniri.hr"/>
    <s v="Trg Braće Mažuranića 10"/>
    <s v="Krešimirova 40/42, 51000 Rijeak"/>
    <s v="64218323816"/>
    <x v="4"/>
    <m/>
    <m/>
    <s v="King"/>
    <s v="King"/>
  </r>
  <r>
    <m/>
    <s v="198a_x000a_198b"/>
    <s v="6229"/>
    <x v="6"/>
    <x v="55"/>
    <n v="3"/>
    <x v="13"/>
    <s v="Matija Karapetrić"/>
    <s v="0915053478"/>
    <s v="matija.karapetric@kifos.hr"/>
    <s v="Drinska 16A"/>
    <s v="Drinska 16a, 31000 Osijek 2 kom._x000a_Woodrova Wilsona 2, 31000 Osijek 1 kom."/>
    <s v="70788591483"/>
    <x v="4"/>
    <m/>
    <m/>
    <s v="King"/>
    <s v="Senso"/>
  </r>
  <r>
    <m/>
    <s v="199a_x000a_199b_x000a_199c"/>
    <s v="222"/>
    <x v="6"/>
    <x v="33"/>
    <n v="10"/>
    <x v="13"/>
    <s v="Albert Oswald_x000a_Tomica Bunjevac_x000a_Tatjana Šajatović"/>
    <s v="+385912241400_x000a_+385913568984_x000a_+38598871499"/>
    <s v="oswald@unios.hr_x000a_tbunjevac@fizika.unios.hr_x000a_tsajatovic@kemija.unios.hr"/>
    <s v="Trg Sv. Trojstva 3"/>
    <s v="Trg. Sv. Trojstva 3  3 kom._x000a_Trg Ljudevita Gaja 6  4 kom._x000a_Cara Hadrijana 8/A  3 kom. "/>
    <s v="78808975734"/>
    <x v="4"/>
    <m/>
    <m/>
    <s v="King"/>
    <s v="King"/>
  </r>
  <r>
    <m/>
    <n v="200"/>
    <s v="163"/>
    <x v="6"/>
    <x v="58"/>
    <n v="1"/>
    <x v="11"/>
    <s v="Alen Domazet"/>
    <s v="091 568 5994"/>
    <s v="adomazet@gradst.hr"/>
    <s v="Matice Hrvatske 15"/>
    <s v="Matice hrvatske 15, 21000 Split"/>
    <s v="83615500218"/>
    <x v="4"/>
    <m/>
    <m/>
    <s v="King"/>
    <s v="King"/>
  </r>
  <r>
    <m/>
    <n v="201"/>
    <s v="5717"/>
    <x v="6"/>
    <x v="59"/>
    <n v="1"/>
    <x v="13"/>
    <s v="Rade Lukić"/>
    <s v="091 2241 511"/>
    <s v="rade.lukic@fdmz.hr"/>
    <s v="Crkvena Ulica 21"/>
    <s v="Bana J. Jelačića 19A, Orahovica"/>
    <s v="83830458507"/>
    <x v="4"/>
    <m/>
    <m/>
    <s v="King"/>
    <s v="King"/>
  </r>
  <r>
    <m/>
    <n v="202"/>
    <s v="281"/>
    <x v="6"/>
    <x v="63"/>
    <n v="1"/>
    <x v="8"/>
    <s v="Danka Jurjević"/>
    <s v="265-877"/>
    <s v="danka.jurjevic@uniri.hr"/>
    <s v="Sveučilišna Avenija 6"/>
    <s v="Sveučilišna Avenija 6"/>
    <s v="96996385705"/>
    <x v="4"/>
    <m/>
    <m/>
    <s v="King"/>
    <s v="Senso"/>
  </r>
  <r>
    <m/>
    <n v="203"/>
    <s v="203"/>
    <x v="6"/>
    <x v="65"/>
    <n v="1"/>
    <x v="1"/>
    <s v="Marijan Galjar"/>
    <s v="098 855 676"/>
    <s v="marijan.galjar@rgn.hr"/>
    <s v="Pierottijeva Ulica 6"/>
    <s v="Pierottijeva 6"/>
    <s v="99534693762"/>
    <x v="4"/>
    <m/>
    <m/>
    <s v="King"/>
    <s v="Senso"/>
  </r>
  <r>
    <m/>
    <m/>
    <m/>
    <x v="7"/>
    <x v="0"/>
    <n v="32"/>
    <x v="0"/>
    <m/>
    <m/>
    <m/>
    <m/>
    <m/>
    <m/>
    <x v="0"/>
    <m/>
    <m/>
    <m/>
    <m/>
  </r>
  <r>
    <m/>
    <n v="204"/>
    <s v="3990"/>
    <x v="7"/>
    <x v="37"/>
    <n v="1"/>
    <x v="17"/>
    <s v="Stjepo Hladilo"/>
    <s v="0919322586"/>
    <s v="stjepo.hladilo@unidu.hr"/>
    <s v="Branitelja Dubrovnika 41"/>
    <s v="Branitelja Dubrovnika 41, Dubrovnik"/>
    <s v="1338491514"/>
    <x v="5"/>
    <m/>
    <m/>
    <m/>
    <m/>
  </r>
  <r>
    <m/>
    <n v="205"/>
    <s v="3689"/>
    <x v="7"/>
    <x v="5"/>
    <n v="5"/>
    <x v="1"/>
    <s v="Nikola Barba"/>
    <s v="099 6081 436"/>
    <s v="nikola.barba@unicath.hr"/>
    <s v="Ilica 244B"/>
    <s v="Ilica 244, 10000 Zagreb"/>
    <s v="7730927366"/>
    <x v="5"/>
    <m/>
    <m/>
    <m/>
    <m/>
  </r>
  <r>
    <m/>
    <n v="206"/>
    <s v="1918"/>
    <x v="7"/>
    <x v="23"/>
    <n v="4"/>
    <x v="1"/>
    <s v="Ivan Rajković"/>
    <s v="+385998153651"/>
    <s v="ivan.rajkovic@tvz.hr"/>
    <s v="Vrbik 8"/>
    <s v="Vrbik 8"/>
    <s v="8814003451"/>
    <x v="5"/>
    <m/>
    <m/>
    <m/>
    <m/>
  </r>
  <r>
    <m/>
    <n v="207"/>
    <s v="368"/>
    <x v="7"/>
    <x v="6"/>
    <n v="3"/>
    <x v="3"/>
    <s v="Ivan Nimac"/>
    <s v="095/826-5888"/>
    <s v="inimac@unizd.hr"/>
    <s v="Ulica Mihovila Pavlinovića 1"/>
    <s v="Obala kralja Petra Krešimira IV. Br. 2, 23000 Zadar"/>
    <s v="10839679016"/>
    <x v="5"/>
    <m/>
    <m/>
    <m/>
    <m/>
  </r>
  <r>
    <m/>
    <n v="208"/>
    <s v="168"/>
    <x v="7"/>
    <x v="77"/>
    <n v="1"/>
    <x v="13"/>
    <s v="Bruno Bakarić"/>
    <s v="031/224-508"/>
    <s v="bbakaric@pravos.hr"/>
    <s v="Ulica Stjepana Radića 13"/>
    <s v="Stjepana Radića 17"/>
    <s v="26416570803"/>
    <x v="5"/>
    <m/>
    <m/>
    <m/>
    <m/>
  </r>
  <r>
    <m/>
    <n v="209"/>
    <s v="205"/>
    <x v="7"/>
    <x v="44"/>
    <n v="1"/>
    <x v="1"/>
    <s v="Mikolaj Martinjak"/>
    <s v="0989478881"/>
    <s v="mika@ffrz.hr"/>
    <s v="Jordanovac 110"/>
    <s v="Jordanovac 110"/>
    <s v="26975482530"/>
    <x v="5"/>
    <m/>
    <m/>
    <m/>
    <m/>
  </r>
  <r>
    <m/>
    <n v="210"/>
    <s v="130"/>
    <x v="7"/>
    <x v="45"/>
    <n v="1"/>
    <x v="1"/>
    <s v="Kristian Došen"/>
    <s v="091 7888 474"/>
    <s v="kristian.dosen@fpzg.hr"/>
    <s v="Ulica Ivana Lepušića 6"/>
    <s v="Lepušićeva 6, 10000 Zagreb"/>
    <s v="28011548575"/>
    <x v="5"/>
    <m/>
    <m/>
    <m/>
    <m/>
  </r>
  <r>
    <m/>
    <n v="211"/>
    <s v="1972"/>
    <x v="7"/>
    <x v="47"/>
    <n v="1"/>
    <x v="20"/>
    <s v="Damir Lulić"/>
    <s v="0981771615"/>
    <s v="dlulic@unisb.hr"/>
    <s v="Trg &quot;Ivana Brlić Mažuranić&quot; 2"/>
    <s v="Ulica 108. brigade ZNG 36"/>
    <s v="33027834374"/>
    <x v="5"/>
    <m/>
    <m/>
    <m/>
    <m/>
  </r>
  <r>
    <m/>
    <n v="212"/>
    <s v="177"/>
    <x v="7"/>
    <x v="78"/>
    <n v="1"/>
    <x v="1"/>
    <s v="Srđan Cvetanović"/>
    <s v="095 8000 204_x000a_"/>
    <s v="djani@ttf.hr_x000a_"/>
    <s v="Prilaz Baruna Filipovića 28A"/>
    <s v="Prilaz baruna Filipovića 28a"/>
    <s v="43097527965"/>
    <x v="5"/>
    <m/>
    <m/>
    <m/>
    <m/>
  </r>
  <r>
    <m/>
    <n v="213"/>
    <s v="165"/>
    <x v="7"/>
    <x v="79"/>
    <n v="1"/>
    <x v="1"/>
    <s v="Mirza Žižak"/>
    <s v="091-595-2783"/>
    <s v="mirza.zizak@mef.hr"/>
    <s v="Šalata 3"/>
    <s v="Šalata 2"/>
    <s v="45001686598"/>
    <x v="5"/>
    <m/>
    <m/>
    <m/>
    <m/>
  </r>
  <r>
    <m/>
    <n v="214"/>
    <s v="215"/>
    <x v="7"/>
    <x v="18"/>
    <n v="1"/>
    <x v="1"/>
    <s v="Ivan Šetin"/>
    <s v="0981839338"/>
    <s v="isetin@adu.hr"/>
    <s v="Trg Republike Hrvatske 5"/>
    <s v="Trg Republike Hrvatske 5, Zagreb"/>
    <s v="52097842295"/>
    <x v="5"/>
    <m/>
    <m/>
    <m/>
    <m/>
  </r>
  <r>
    <m/>
    <n v="215"/>
    <s v="3430"/>
    <x v="7"/>
    <x v="53"/>
    <n v="1"/>
    <x v="11"/>
    <s v="Ante Krolo"/>
    <s v="+385 95 903 76 48"/>
    <s v="ante@kifst.hr"/>
    <s v="Teslina 6"/>
    <s v="Teslina 10"/>
    <s v="57848936921"/>
    <x v="5"/>
    <m/>
    <m/>
    <m/>
    <m/>
  </r>
  <r>
    <m/>
    <n v="216"/>
    <s v="181"/>
    <x v="7"/>
    <x v="80"/>
    <n v="1"/>
    <x v="13"/>
    <s v="Zoltan Juhas"/>
    <s v="091/ 2549 157"/>
    <s v="zoli@ffos.hr"/>
    <s v="Ulica Lorenza Jägera 9"/>
    <s v="Ulica Lorenza Jägera 9"/>
    <s v="58868871646"/>
    <x v="5"/>
    <m/>
    <m/>
    <m/>
    <m/>
  </r>
  <r>
    <m/>
    <s v="217a_x000a_217b"/>
    <s v="4497"/>
    <x v="7"/>
    <x v="9"/>
    <n v="6"/>
    <x v="6"/>
    <s v="Nikola Marijanović_x000a_Branimir Kolman"/>
    <s v="0994028339_x000a_091 244 0130"/>
    <s v="nmarijanovic@unin.hr_x000a_bkolman@unin.hr"/>
    <s v="Trg Dr. Žarka Dolinara 1"/>
    <s v="Trg dr. Žarka dolinara 1, Koprivnica  3 kom._x000a_Ulica 104 brigade 3, VŽ  3 kom."/>
    <s v="59624928052"/>
    <x v="5"/>
    <m/>
    <m/>
    <m/>
    <m/>
  </r>
  <r>
    <m/>
    <n v="218"/>
    <s v="221"/>
    <x v="7"/>
    <x v="11"/>
    <n v="2"/>
    <x v="8"/>
    <s v="Marko Roža"/>
    <s v="051/265-873"/>
    <s v="marko.roza@uniri.hr"/>
    <s v="Trg Braće Mažuranića 10"/>
    <s v="Radmile Matejčić 2; 51000 Rijeka"/>
    <s v="64218323816"/>
    <x v="5"/>
    <m/>
    <m/>
    <m/>
    <m/>
  </r>
  <r>
    <m/>
    <n v="219"/>
    <s v="150"/>
    <x v="7"/>
    <x v="12"/>
    <n v="1"/>
    <x v="1"/>
    <s v="Dario Đurasović"/>
    <s v="091 4802 130"/>
    <s v="dario@sfzg.hr"/>
    <s v="Gundulićeva Ulica 5"/>
    <s v="Gundulićeva 5, Zagreb"/>
    <s v="70221464726"/>
    <x v="5"/>
    <m/>
    <m/>
    <m/>
    <m/>
  </r>
  <r>
    <m/>
    <n v="220"/>
    <s v="316"/>
    <x v="7"/>
    <x v="20"/>
    <n v="1"/>
    <x v="11"/>
    <s v="Ante Denić"/>
    <s v="(+385)915683877"/>
    <s v="dante@efst.hr"/>
    <s v="Cvite Fiskovića 5"/>
    <s v="Cvite Fiskovića 5, Split"/>
    <s v="84477684422"/>
    <x v="5"/>
    <m/>
    <m/>
    <m/>
    <m/>
  </r>
  <r>
    <m/>
    <m/>
    <m/>
    <x v="8"/>
    <x v="0"/>
    <n v="101"/>
    <x v="0"/>
    <m/>
    <m/>
    <m/>
    <m/>
    <m/>
    <m/>
    <x v="0"/>
    <m/>
    <m/>
    <m/>
    <m/>
  </r>
  <r>
    <m/>
    <n v="221"/>
    <s v="3990"/>
    <x v="8"/>
    <x v="37"/>
    <n v="2"/>
    <x v="17"/>
    <s v="Stjepo Hladilo"/>
    <s v="0919322586"/>
    <s v="stjepo.hladilo@unidu.hr"/>
    <s v="Branitelja Dubrovnika 41"/>
    <s v="Branitelja Dubrovnika 41, Dubrovnik"/>
    <s v="1338491514"/>
    <x v="2"/>
    <m/>
    <m/>
    <m/>
    <m/>
  </r>
  <r>
    <m/>
    <n v="222"/>
    <s v="132"/>
    <x v="8"/>
    <x v="39"/>
    <n v="4"/>
    <x v="11"/>
    <s v="Juraj Saratlija"/>
    <s v="0996935026"/>
    <s v="juraj.saratlija@pravst.hr"/>
    <s v="Ulica Domovinskog Rata 8"/>
    <s v="Domovinskog rata 8, Split"/>
    <s v="3541568700"/>
    <x v="1"/>
    <m/>
    <m/>
    <m/>
    <m/>
  </r>
  <r>
    <m/>
    <n v="223"/>
    <s v="3689"/>
    <x v="8"/>
    <x v="5"/>
    <n v="12"/>
    <x v="1"/>
    <s v="Nikola Barba"/>
    <s v="099 6081 436"/>
    <s v="nikola.barba@unicath.hr"/>
    <s v="Ilica 244B"/>
    <s v="Ilica 244, 10000 Zagreb"/>
    <s v="7730927366"/>
    <x v="1"/>
    <m/>
    <m/>
    <m/>
    <m/>
  </r>
  <r>
    <m/>
    <n v="224"/>
    <s v="368"/>
    <x v="8"/>
    <x v="6"/>
    <n v="9"/>
    <x v="3"/>
    <s v="Ivan Nimac"/>
    <s v="095/826-5888"/>
    <s v="inimac@unizd.hr"/>
    <s v="Ulica Mihovila Pavlinovića 1"/>
    <s v="Obala kralja Petra Krešimira IV. Br. 2, 23000 Zadar"/>
    <s v="10839679016"/>
    <x v="1"/>
    <m/>
    <m/>
    <m/>
    <m/>
  </r>
  <r>
    <m/>
    <n v="225"/>
    <s v="4660"/>
    <x v="8"/>
    <x v="69"/>
    <n v="5"/>
    <x v="8"/>
    <s v="Vedran Ćurković"/>
    <s v="091 / 9536547"/>
    <s v="vedran.curkovic@uniri.hr"/>
    <s v="Viktora Cara Emina 5"/>
    <s v="Viktora Cara Emina 5"/>
    <s v="19213484918"/>
    <x v="1"/>
    <m/>
    <m/>
    <m/>
    <m/>
  </r>
  <r>
    <m/>
    <n v="226"/>
    <s v="4919"/>
    <x v="8"/>
    <x v="42"/>
    <n v="1"/>
    <x v="11"/>
    <s v="Doris Knego"/>
    <s v="098 9394211,"/>
    <s v="doris.knego@pmfst.hr"/>
    <s v="R. Boškovića 33"/>
    <s v="Ruđera Boškovića 33"/>
    <s v="20858497843"/>
    <x v="1"/>
    <m/>
    <m/>
    <m/>
    <m/>
  </r>
  <r>
    <m/>
    <n v="227"/>
    <s v="185"/>
    <x v="8"/>
    <x v="43"/>
    <n v="1"/>
    <x v="1"/>
    <s v="Marko Maričević"/>
    <s v="0915193488"/>
    <s v="marko.maricevic@grf.hr"/>
    <s v="Getaldićeva Ulica 2"/>
    <s v="Getaldićeva 2, Zagreb"/>
    <s v="25564990903"/>
    <x v="1"/>
    <m/>
    <m/>
    <m/>
    <m/>
  </r>
  <r>
    <m/>
    <n v="228"/>
    <s v="205"/>
    <x v="8"/>
    <x v="44"/>
    <n v="1"/>
    <x v="1"/>
    <s v="Mikolaj Martinjak"/>
    <s v="0989478881"/>
    <s v="mika@ffrz.hr"/>
    <s v="Jordanovac 110"/>
    <s v="Jordanovac 110"/>
    <s v="26975482530"/>
    <x v="1"/>
    <m/>
    <m/>
    <m/>
    <m/>
  </r>
  <r>
    <m/>
    <n v="229"/>
    <s v="130"/>
    <x v="8"/>
    <x v="45"/>
    <n v="5"/>
    <x v="1"/>
    <s v="Kristian Došen"/>
    <s v="091 7888 474"/>
    <s v="kristian.dosen@fpzg.hr"/>
    <s v="Ulica Ivana Lepušića 6"/>
    <s v="Lepušićeva 6, 10000 Zagreb"/>
    <s v="28011548575"/>
    <x v="1"/>
    <m/>
    <m/>
    <m/>
    <m/>
  </r>
  <r>
    <m/>
    <n v="230"/>
    <s v="3637"/>
    <x v="8"/>
    <x v="81"/>
    <n v="1"/>
    <x v="13"/>
    <s v="Krunoslav Kurilj"/>
    <s v="0991616166"/>
    <s v="kkurilj@foozos.hr"/>
    <s v="Ulica Cara Hadrijana 10"/>
    <s v="Cara Hadrijana 10, 31 000 Osijek – NASTAVNA ZGRADA"/>
    <s v="28082679513"/>
    <x v="1"/>
    <m/>
    <m/>
    <m/>
    <m/>
  </r>
  <r>
    <m/>
    <n v="231"/>
    <s v="469"/>
    <x v="8"/>
    <x v="75"/>
    <n v="2"/>
    <x v="1"/>
    <s v="Davor Pintar"/>
    <s v="385998227236"/>
    <s v="davor.pintar@dekanat.pmf.hr"/>
    <s v="Horvatovac 102A"/>
    <s v="Horvatovac 102A"/>
    <s v="28163265527"/>
    <x v="1"/>
    <m/>
    <m/>
    <m/>
    <m/>
  </r>
  <r>
    <m/>
    <s v="232a_x000a_232b_x000a_232c"/>
    <s v="5713"/>
    <x v="8"/>
    <x v="27"/>
    <n v="6"/>
    <x v="11"/>
    <s v="Leida Rizvan_x000a_Dalibor Bulić_x000a_Petra Musap"/>
    <s v="0914433905_x000a_021 564815, 0915462104_x000a_0991639750"/>
    <s v="leida.rizvan@unist.hr_x000a_dalibor.bulic@fzz.unist.hr_x000a_petra.musap@unist.hr"/>
    <s v="R. Boškovića 31"/>
    <s v="Ruđera Boškovića 31, Split¸ 4 kom._x000a_Ruđera Boškovića 35, Split¸ 1 kom._x000a_Poljana kraljice Jelene 1, Split  1 kom."/>
    <s v="29845096215"/>
    <x v="1"/>
    <m/>
    <m/>
    <m/>
    <m/>
  </r>
  <r>
    <m/>
    <n v="233"/>
    <s v="1972"/>
    <x v="8"/>
    <x v="47"/>
    <n v="1"/>
    <x v="20"/>
    <s v="Damir Lulić"/>
    <s v="0981771615"/>
    <s v="dlulic@unisb.hr"/>
    <s v="Trg &quot;Ivana Brlić Mažuranić&quot; 2"/>
    <s v="Ulica 108. brigade ZNG 36"/>
    <s v="33027834374"/>
    <x v="1"/>
    <m/>
    <m/>
    <m/>
    <m/>
  </r>
  <r>
    <m/>
    <n v="234"/>
    <s v="267"/>
    <x v="8"/>
    <x v="82"/>
    <n v="1"/>
    <x v="11"/>
    <s v="Željko Matas"/>
    <s v="097 7094175"/>
    <s v="zmatas@kbf-st.hr"/>
    <s v="Zrinjsko-Frankopanska 19"/>
    <s v="Zrinjsko-Frankopanska 19, Split"/>
    <s v="36149548625"/>
    <x v="1"/>
    <m/>
    <m/>
    <m/>
    <m/>
  </r>
  <r>
    <m/>
    <n v="235"/>
    <s v="140"/>
    <x v="8"/>
    <x v="83"/>
    <n v="1"/>
    <x v="1"/>
    <s v="Marko Poletto"/>
    <s v="099/4928854"/>
    <s v="pmarko@vef.unizg.hr"/>
    <s v="Ulica Vjekoslava Heinzela 55"/>
    <s v="Ulica Vjekoslava Heinzela 55, 10000 Zagreb"/>
    <s v="36389528408"/>
    <x v="1"/>
    <m/>
    <m/>
    <m/>
    <m/>
  </r>
  <r>
    <m/>
    <s v="236a_x000a_236b"/>
    <s v="219"/>
    <x v="8"/>
    <x v="28"/>
    <n v="2"/>
    <x v="1"/>
    <s v="Siniša Vlahović_x000a_Marin Šperanda"/>
    <s v="098 268 472_x000a_091 906 6882"/>
    <s v="svlahovic@unizg.hr_x000a_marin.speranda@caas.unizg.hr"/>
    <s v="Trg Republike Hrvatske 14"/>
    <s v="Ulica Radoslava Cimermana 88, 10000 Zagreb_x000a_Don Frana Bulića 4, 20000 Dubrovnik (CAAS)"/>
    <s v="36612267447"/>
    <x v="1"/>
    <m/>
    <m/>
    <m/>
    <m/>
  </r>
  <r>
    <m/>
    <n v="237"/>
    <s v="141"/>
    <x v="8"/>
    <x v="30"/>
    <n v="1"/>
    <x v="1"/>
    <s v="Emil Flatz"/>
    <s v="38598302567"/>
    <s v="eflatz@arhitekt.hr"/>
    <s v="Kačićeva Ulica 26"/>
    <s v="Frankopanska 12"/>
    <s v="42061107444"/>
    <x v="1"/>
    <m/>
    <m/>
    <m/>
    <m/>
  </r>
  <r>
    <m/>
    <n v="238"/>
    <s v="122"/>
    <x v="8"/>
    <x v="49"/>
    <n v="2"/>
    <x v="1"/>
    <s v="Marijo Seničić"/>
    <s v="099 533 7842"/>
    <s v="marijo.senicic@geof.unizg.hr"/>
    <s v="Kačićeva Ulica 26"/>
    <s v="Kačićeva 26, 10000 Zagreb"/>
    <s v="43594593297"/>
    <x v="1"/>
    <m/>
    <m/>
    <m/>
    <m/>
  </r>
  <r>
    <m/>
    <n v="239"/>
    <s v="3795"/>
    <x v="8"/>
    <x v="2"/>
    <n v="1"/>
    <x v="2"/>
    <s v="Enes Ciriković"/>
    <s v="0989225600"/>
    <s v="enes.cirikovic@vuv.hr"/>
    <s v="Ulica Matije Gupca 78"/>
    <s v="Matije Gupca 78, 33000 Virovitica"/>
    <s v="46576407858"/>
    <x v="1"/>
    <m/>
    <m/>
    <m/>
    <m/>
  </r>
  <r>
    <m/>
    <n v="240"/>
    <s v="210"/>
    <x v="8"/>
    <x v="31"/>
    <n v="1"/>
    <x v="1"/>
    <s v="Taras Barščevski"/>
    <s v="+385(91)5335.699"/>
    <s v="taras.barscevski@kbf.unizg.hr"/>
    <s v="Vlaška Ulica 38"/>
    <s v="Vlaška 38"/>
    <s v="48987767944"/>
    <x v="1"/>
    <m/>
    <m/>
    <m/>
    <m/>
  </r>
  <r>
    <m/>
    <n v="241"/>
    <s v="245"/>
    <x v="8"/>
    <x v="52"/>
    <n v="1"/>
    <x v="1"/>
    <s v="Ozren Digula, Kristijan Zbiljski"/>
    <s v="0914595855, 0914595858"/>
    <s v="ozren.digula@zvu.hr, kristijan.zbiljski@zvu.hr"/>
    <s v="Mlinarska Cesta 38"/>
    <s v="Mlinarska cesta 38"/>
    <s v="50952646228"/>
    <x v="1"/>
    <m/>
    <m/>
    <m/>
    <m/>
  </r>
  <r>
    <m/>
    <s v="242a_x000a_242b"/>
    <s v="215"/>
    <x v="8"/>
    <x v="18"/>
    <n v="2"/>
    <x v="1"/>
    <s v="Ivan Šetin"/>
    <s v="0981839338"/>
    <s v="isetin@adu.hr"/>
    <s v="Trg Republike Hrvatske 5"/>
    <s v="Trg Republike Hrvatske 5, Zagreb_x000a_Frankopanska 22, Zagreb"/>
    <s v="52097842295"/>
    <x v="1"/>
    <m/>
    <m/>
    <m/>
    <m/>
  </r>
  <r>
    <m/>
    <n v="243"/>
    <s v="125"/>
    <x v="8"/>
    <x v="84"/>
    <n v="1"/>
    <x v="13"/>
    <s v="Damir Kovačević"/>
    <s v="385912244189"/>
    <s v="damir.kovacevic@efos.hr"/>
    <s v="Trg Ljudevita Gaja 7"/>
    <s v="Trg Ljudevita Gaja 7, Osijek"/>
    <s v="52778515544"/>
    <x v="1"/>
    <m/>
    <m/>
    <m/>
    <m/>
  </r>
  <r>
    <m/>
    <n v="244"/>
    <s v="275"/>
    <x v="8"/>
    <x v="85"/>
    <n v="1"/>
    <x v="13"/>
    <s v="Petar Taler"/>
    <s v="091 224 1039"/>
    <s v="petar@mathos.hr"/>
    <s v="Trg Ljudevita Gaja 6"/>
    <s v="Trg Lj. Gaja 6, Osijek"/>
    <s v="56597320763"/>
    <x v="1"/>
    <m/>
    <m/>
    <m/>
    <m/>
  </r>
  <r>
    <m/>
    <n v="245"/>
    <s v="138"/>
    <x v="8"/>
    <x v="71"/>
    <n v="1"/>
    <x v="1"/>
    <s v="Denis Hernaut"/>
    <s v="+385 91 604 3920"/>
    <s v="denis.hernaut@fer.hr"/>
    <s v="Unska Ulica 3"/>
    <s v="Vukovarska 39, Zagreb"/>
    <s v="57029260362"/>
    <x v="1"/>
    <m/>
    <m/>
    <m/>
    <m/>
  </r>
  <r>
    <m/>
    <n v="246"/>
    <s v="3430"/>
    <x v="8"/>
    <x v="53"/>
    <n v="4"/>
    <x v="11"/>
    <s v="Ante Krolo"/>
    <s v="+385 95 903 76 48"/>
    <s v="ante@kifst.hr"/>
    <s v="Teslina 6"/>
    <s v="Teslina 10"/>
    <s v="57848936921"/>
    <x v="1"/>
    <m/>
    <m/>
    <m/>
    <m/>
  </r>
  <r>
    <m/>
    <n v="247"/>
    <s v="181"/>
    <x v="8"/>
    <x v="80"/>
    <n v="1"/>
    <x v="13"/>
    <s v="Zoltan Juhas"/>
    <s v="091/ 2549 157"/>
    <s v="zoli@ffos.hr"/>
    <s v="Ulica Lorenza Jägera 9"/>
    <s v="Ulica Lorenza Jägera 9"/>
    <s v="58868871646"/>
    <x v="1"/>
    <m/>
    <m/>
    <m/>
    <m/>
  </r>
  <r>
    <m/>
    <n v="248"/>
    <s v="4497"/>
    <x v="8"/>
    <x v="9"/>
    <n v="4"/>
    <x v="6"/>
    <s v="Branimir Kolman"/>
    <s v="091 244 0130"/>
    <s v="bkolman@unin.hr"/>
    <s v="Trg Dr. Žarka Dolinara 1"/>
    <s v="Unin 3 - Ulica Jurja Križanića 31 b, VŽ"/>
    <s v="59624928052"/>
    <x v="1"/>
    <m/>
    <m/>
    <m/>
    <m/>
  </r>
  <r>
    <m/>
    <n v="249"/>
    <s v="161"/>
    <x v="8"/>
    <x v="54"/>
    <n v="1"/>
    <x v="1"/>
    <s v="Sead Berberović"/>
    <s v="0915226263"/>
    <s v="sead.berberovic@grad.unizg.hr"/>
    <s v="Kačićeva Ulica 26"/>
    <s v="Kačićeva 26, Zagreb"/>
    <s v="62924153420"/>
    <x v="1"/>
    <m/>
    <m/>
    <m/>
    <m/>
  </r>
  <r>
    <m/>
    <s v="250a_x000a_250b"/>
    <s v="221"/>
    <x v="8"/>
    <x v="11"/>
    <n v="5"/>
    <x v="8"/>
    <s v="Jasenko Mandura_x000a_Aleksandar Živanović"/>
    <s v="+385959017650_x000a_0989616845"/>
    <s v="jasenko.mandura@uniri.hr_x000a_aleksandar.zivanovic@uniri.hr"/>
    <s v="Trg Braće Mažuranića 10"/>
    <s v="Trg braće Mažuranića 10; 51000 Rijeka 3 kom._x000a_Palača Moise; Zagrad 6; 51557 Cres 2 kom."/>
    <s v="64218323816"/>
    <x v="1"/>
    <m/>
    <m/>
    <m/>
    <m/>
  </r>
  <r>
    <m/>
    <n v="251"/>
    <s v="150"/>
    <x v="8"/>
    <x v="12"/>
    <n v="1"/>
    <x v="1"/>
    <s v="Dario Đurasović"/>
    <s v="091 4802 130"/>
    <s v="dario@sfzg.hr"/>
    <s v="Gundulićeva Ulica 5"/>
    <s v="Gundulićeva 5, Zagreb"/>
    <s v="70221464726"/>
    <x v="1"/>
    <m/>
    <m/>
    <m/>
    <m/>
  </r>
  <r>
    <m/>
    <n v="252"/>
    <s v="222"/>
    <x v="8"/>
    <x v="33"/>
    <n v="1"/>
    <x v="13"/>
    <s v="Albert Oswald"/>
    <s v=" +385912241400"/>
    <s v="oswald@unios.hr"/>
    <s v="Trg Sv. Trojstva 3"/>
    <s v="Trg. Sv. Trojstva 3"/>
    <s v="78808975734"/>
    <x v="1"/>
    <m/>
    <m/>
    <m/>
    <m/>
  </r>
  <r>
    <m/>
    <n v="253"/>
    <s v="163"/>
    <x v="8"/>
    <x v="58"/>
    <n v="2"/>
    <x v="11"/>
    <s v="Albert Oswald"/>
    <s v=" +385912241400"/>
    <s v="oswald@unios.hr"/>
    <s v="Matice Hrvatske 15"/>
    <s v="Matice hrvatske 15, 21000 Split"/>
    <s v="83615500218"/>
    <x v="1"/>
    <m/>
    <m/>
    <m/>
    <m/>
  </r>
  <r>
    <m/>
    <n v="254"/>
    <s v="174"/>
    <x v="8"/>
    <x v="86"/>
    <n v="2"/>
    <x v="23"/>
    <s v="Albert Oswald"/>
    <s v=" +385912241400"/>
    <s v="oswald@unios.hr"/>
    <s v="Primorska 46"/>
    <s v="Primorska 46, 51410  Opatija"/>
    <s v="85799845149"/>
    <x v="1"/>
    <m/>
    <m/>
    <m/>
    <m/>
  </r>
  <r>
    <m/>
    <n v="255"/>
    <s v="186"/>
    <x v="8"/>
    <x v="60"/>
    <n v="1"/>
    <x v="1"/>
    <s v="Boris Beker"/>
    <s v="098/211-765"/>
    <s v="bbeker@ffzg.hr"/>
    <s v="Ulica Ivana Lučića 3"/>
    <s v="Ivana Lučića 3"/>
    <s v="90633715804"/>
    <x v="1"/>
    <m/>
    <m/>
    <m/>
    <m/>
  </r>
  <r>
    <m/>
    <n v="256"/>
    <s v="5769"/>
    <x v="8"/>
    <x v="64"/>
    <n v="1"/>
    <x v="11"/>
    <s v="Slaven Kušljić"/>
    <s v="021 545545, 091 4443745"/>
    <s v="slaven@ffst.hr"/>
    <s v="Poljička Cesta 35"/>
    <s v="Poljička cesta 35"/>
    <s v="98004523293"/>
    <x v="1"/>
    <m/>
    <m/>
    <m/>
    <m/>
  </r>
  <r>
    <m/>
    <n v="257"/>
    <s v="147"/>
    <x v="8"/>
    <x v="87"/>
    <n v="1"/>
    <x v="8"/>
    <s v="Teo Brusić_x000a_Zoran Vučinić"/>
    <s v="098/338-182_x000a_091/1651-230"/>
    <s v="teo.brusic@medri.uniri.hr_x000a_zoran.vucinic@medri.uniri.hr"/>
    <s v="Braće Branchetta 20"/>
    <s v="Rijeka, B. Branchetta 20_x000a_ima dva kontakta nije greška, jedna je adresa"/>
    <s v="98164324541"/>
    <x v="1"/>
    <m/>
    <m/>
    <m/>
    <m/>
  </r>
  <r>
    <m/>
    <n v="258"/>
    <s v="3324"/>
    <x v="8"/>
    <x v="34"/>
    <n v="1"/>
    <x v="1"/>
    <s v="Dario Knežić"/>
    <s v="0917615616"/>
    <s v="dknezic@fhs.unizg.hr"/>
    <s v="Borongajska Cesta 83D"/>
    <s v="Borongajska cesta 83d, Zagreb"/>
    <s v="99454315441"/>
    <x v="1"/>
    <m/>
    <m/>
    <m/>
    <m/>
  </r>
  <r>
    <m/>
    <n v="259"/>
    <s v="203"/>
    <x v="8"/>
    <x v="65"/>
    <n v="1"/>
    <x v="1"/>
    <s v="Marijan Galjar"/>
    <s v="098 855 676"/>
    <s v="marijan.galjar@rgn.hr"/>
    <s v="Pierottijeva Ulica 6"/>
    <s v="Pierottijeva 6"/>
    <s v="99534693762"/>
    <x v="1"/>
    <m/>
    <m/>
    <m/>
    <m/>
  </r>
  <r>
    <m/>
    <n v="260"/>
    <s v="206"/>
    <x v="8"/>
    <x v="35"/>
    <n v="8"/>
    <x v="1"/>
    <s v="Davor Štrk"/>
    <s v="099 3136 671"/>
    <s v="dstrk@fkz.hr"/>
    <s v="Avenija Gojka Šuška 1"/>
    <s v="Av. Gojka Šuška 1, Zagreb"/>
    <s v="36162371878"/>
    <x v="1"/>
    <m/>
    <m/>
    <m/>
    <m/>
  </r>
  <r>
    <m/>
    <n v="261"/>
    <s v="4589"/>
    <x v="8"/>
    <x v="14"/>
    <n v="1"/>
    <x v="1"/>
    <s v="Predrag Šinko"/>
    <s v="095/205-2570"/>
    <s v="predrag.sinko@sois-ft.hr"/>
    <s v="Ilica 256B"/>
    <s v="Ilica 256B, obj. 58"/>
    <s v="36752094474"/>
    <x v="1"/>
    <m/>
    <m/>
    <m/>
    <m/>
  </r>
  <r>
    <m/>
    <n v="262"/>
    <s v="188"/>
    <x v="8"/>
    <x v="4"/>
    <n v="1"/>
    <x v="1"/>
    <s v="Boris Rončević"/>
    <s v="099 5327723"/>
    <s v="broncevic@nsk.hr"/>
    <s v="Ul. Hrvatske Bratske Zajednice 4"/>
    <s v="NSK - Ul. Hrvatske Bratske Zajednice 4"/>
    <m/>
    <x v="1"/>
    <m/>
    <m/>
    <m/>
    <m/>
  </r>
  <r>
    <m/>
    <m/>
    <m/>
    <x v="9"/>
    <x v="0"/>
    <n v="65"/>
    <x v="0"/>
    <m/>
    <m/>
    <m/>
    <m/>
    <m/>
    <m/>
    <x v="0"/>
    <m/>
    <m/>
    <m/>
    <m/>
  </r>
  <r>
    <m/>
    <n v="263"/>
    <s v="133"/>
    <x v="9"/>
    <x v="36"/>
    <n v="1"/>
    <x v="11"/>
    <s v="Zvonimir Torba"/>
    <s v="+385 91 4305 724"/>
    <s v="torba@fesb.hr"/>
    <s v="R. Boškovića 32"/>
    <s v="R. Boškovića 32, 21000 Split"/>
    <s v="857144221"/>
    <x v="6"/>
    <m/>
    <m/>
    <m/>
    <m/>
  </r>
  <r>
    <m/>
    <n v="264"/>
    <s v="3689"/>
    <x v="9"/>
    <x v="5"/>
    <n v="4"/>
    <x v="1"/>
    <s v="Nikola Barba"/>
    <s v="099 6081 436"/>
    <s v="nikola.barba@unicath.hr"/>
    <s v="Ilica 244B"/>
    <s v="Ilica 244, 10000 Zagreb"/>
    <s v="7730927366"/>
    <x v="6"/>
    <m/>
    <m/>
    <m/>
    <m/>
  </r>
  <r>
    <m/>
    <n v="265"/>
    <s v="368"/>
    <x v="9"/>
    <x v="6"/>
    <n v="9"/>
    <x v="3"/>
    <s v="Ivan Nimac"/>
    <s v="095/826-5888"/>
    <s v="inimac@unizd.hr"/>
    <s v="Ulica Mihovila Pavlinovića 1"/>
    <s v="Obala kralja Petra Krešimira IV. Br. 2, 23000 Zadar"/>
    <s v="10839679016"/>
    <x v="6"/>
    <m/>
    <m/>
    <m/>
    <m/>
  </r>
  <r>
    <m/>
    <n v="266"/>
    <s v="4919"/>
    <x v="9"/>
    <x v="42"/>
    <n v="1"/>
    <x v="11"/>
    <s v="Doris Knego"/>
    <s v="098 9394211,"/>
    <s v="doris.knego@pmfst.hr"/>
    <s v="R. Boškovića 33"/>
    <s v="Ruđera Boškovića 33"/>
    <s v="20858497843"/>
    <x v="6"/>
    <m/>
    <m/>
    <m/>
    <m/>
  </r>
  <r>
    <m/>
    <n v="267"/>
    <s v="536"/>
    <x v="9"/>
    <x v="25"/>
    <n v="2"/>
    <x v="16"/>
    <s v="IGOR BILANDŽIĆ"/>
    <s v="091-444-6885"/>
    <s v="Igor.bilandzic@vevu.hr"/>
    <s v="Županijska 50"/>
    <s v="BLAGE ZADRE 2, VUKOVAR"/>
    <s v="21720825730"/>
    <x v="6"/>
    <m/>
    <m/>
    <m/>
    <m/>
  </r>
  <r>
    <m/>
    <n v="268"/>
    <s v="191"/>
    <x v="9"/>
    <x v="88"/>
    <n v="1"/>
    <x v="1"/>
    <s v="Dario Kužić"/>
    <s v="385994988065"/>
    <s v=" dkuzic@fpz.unizg.hr"/>
    <s v="Ulica Lavoslava Vukelića 4"/>
    <s v="Borongajska cesta 83a"/>
    <s v="25410051374"/>
    <x v="6"/>
    <m/>
    <m/>
    <m/>
    <m/>
  </r>
  <r>
    <m/>
    <n v="269"/>
    <s v="168"/>
    <x v="9"/>
    <x v="77"/>
    <n v="1"/>
    <x v="13"/>
    <s v="Bruno Bakarić"/>
    <s v="031/224-508"/>
    <s v="bbakaric@pravos.hr"/>
    <s v="Ulica Stjepana Radića 13"/>
    <s v="Stjepana Radića 17"/>
    <s v="26416570803"/>
    <x v="6"/>
    <m/>
    <m/>
    <m/>
    <m/>
  </r>
  <r>
    <m/>
    <n v="270"/>
    <s v="130"/>
    <x v="9"/>
    <x v="45"/>
    <n v="4"/>
    <x v="1"/>
    <s v="Kristian Došen"/>
    <s v="091 7888 474"/>
    <s v="kristian.dosen@fpzg.hr"/>
    <s v="Ulica Ivana Lepušića 6"/>
    <s v="Lepušićeva 6, 10000 Zagreb"/>
    <s v="28011548575"/>
    <x v="6"/>
    <m/>
    <m/>
    <m/>
    <m/>
  </r>
  <r>
    <m/>
    <n v="271"/>
    <s v="1972"/>
    <x v="9"/>
    <x v="47"/>
    <n v="2"/>
    <x v="20"/>
    <s v="Damir Lulić"/>
    <s v="0981771615"/>
    <s v="dlulic@unisb.hr"/>
    <s v="Trg &quot;Ivana Brlić Mažuranić&quot; 2"/>
    <s v="Ulica 108. brigade ZNG 36"/>
    <s v="33027834374"/>
    <x v="6"/>
    <m/>
    <m/>
    <m/>
    <m/>
  </r>
  <r>
    <m/>
    <s v="272a_x000a_272b"/>
    <s v="219"/>
    <x v="9"/>
    <x v="28"/>
    <n v="2"/>
    <x v="1"/>
    <s v="Siniša Vlahović_x000a_Marin Šperanda"/>
    <s v="098 268 472_x000a_091 906 6882"/>
    <s v="svlahovic@unizg.hr_x000a_marin.speranda@caas.unizg.hr"/>
    <s v="Trg Republike Hrvatske 14"/>
    <s v="Ulica Radoslava Cimermana 88, 10000 Zagreb_x000a_Don Frana Bulića 4, 20000 Dubrovnik (CAAS)"/>
    <s v="36612267447"/>
    <x v="6"/>
    <m/>
    <m/>
    <m/>
    <m/>
  </r>
  <r>
    <m/>
    <n v="273"/>
    <s v="3545"/>
    <x v="9"/>
    <x v="29"/>
    <n v="1"/>
    <x v="11"/>
    <s v="Branimir Džaja"/>
    <s v="091-2600324"/>
    <s v="branimir.dzaja@umas.hr"/>
    <s v="Zagrebačka 3"/>
    <s v="Glagoljaška 18a, Gripe"/>
    <s v="38960125358"/>
    <x v="6"/>
    <m/>
    <m/>
    <m/>
    <m/>
  </r>
  <r>
    <m/>
    <n v="274"/>
    <s v="141"/>
    <x v="9"/>
    <x v="30"/>
    <n v="1"/>
    <x v="1"/>
    <s v="Matija Prahin"/>
    <s v="385919845267"/>
    <s v="mprahin@arhitekt.hr"/>
    <s v="Kačićeva Ulica 26"/>
    <s v="Kačićeva 26"/>
    <s v="42061107444"/>
    <x v="6"/>
    <m/>
    <m/>
    <m/>
    <m/>
  </r>
  <r>
    <m/>
    <n v="275"/>
    <s v="122"/>
    <x v="9"/>
    <x v="49"/>
    <n v="3"/>
    <x v="1"/>
    <s v="Marijo Seničić"/>
    <s v="099 533 7842"/>
    <s v="marijo.senicic@geof.unizg.hr"/>
    <s v="Kačićeva Ulica 26"/>
    <s v="Kačićeva 26, 10000 Zagreb"/>
    <s v="43594593297"/>
    <x v="6"/>
    <m/>
    <m/>
    <m/>
    <m/>
  </r>
  <r>
    <m/>
    <n v="276"/>
    <s v="165"/>
    <x v="9"/>
    <x v="79"/>
    <n v="1"/>
    <x v="1"/>
    <s v="Mirza Žižak"/>
    <s v="091-595-2783"/>
    <s v="mirza.zizak@mef.hr"/>
    <s v="Šalata 3"/>
    <s v="Šalata 2"/>
    <s v="45001686598"/>
    <x v="6"/>
    <m/>
    <m/>
    <m/>
    <m/>
  </r>
  <r>
    <m/>
    <n v="277"/>
    <s v="245"/>
    <x v="9"/>
    <x v="52"/>
    <n v="1"/>
    <x v="1"/>
    <s v="Ozren Digula, Kristijan Zbiljski"/>
    <s v="0914595855, 0914595858"/>
    <s v="ozren.digula@zvu.hr, kristijan.zbiljski@zvu.hr"/>
    <s v="Mlinarska Cesta 38"/>
    <s v="Mlinarska cesta 38"/>
    <s v="50952646228"/>
    <x v="6"/>
    <m/>
    <m/>
    <m/>
    <m/>
  </r>
  <r>
    <m/>
    <n v="278"/>
    <s v="215"/>
    <x v="9"/>
    <x v="18"/>
    <n v="4"/>
    <x v="1"/>
    <s v="Ivan Šetin"/>
    <s v="0981839338"/>
    <s v="isetin@adu.hr"/>
    <s v="Trg Republike Hrvatske 5"/>
    <s v="Trg Republike Hrvatske 5, Zagreb"/>
    <s v="52097842295"/>
    <x v="6"/>
    <m/>
    <m/>
    <m/>
    <m/>
  </r>
  <r>
    <m/>
    <n v="279"/>
    <s v="275"/>
    <x v="9"/>
    <x v="85"/>
    <n v="3"/>
    <x v="13"/>
    <s v="Petar Taler"/>
    <s v="091 224 1039"/>
    <s v="petar@mathos.hr"/>
    <s v="Trg Ljudevita Gaja 6"/>
    <s v="Trg Lj. Gaja 6, Osijek"/>
    <s v="56597320763"/>
    <x v="6"/>
    <m/>
    <m/>
    <m/>
    <m/>
  </r>
  <r>
    <m/>
    <n v="280"/>
    <s v="3430"/>
    <x v="9"/>
    <x v="53"/>
    <n v="1"/>
    <x v="11"/>
    <s v="Ante Krolo"/>
    <s v="+385 95 903 76 48"/>
    <s v="ante@kifst.hr"/>
    <s v="Teslina 6"/>
    <s v="Teslina 10"/>
    <s v="57848936921"/>
    <x v="6"/>
    <m/>
    <m/>
    <m/>
    <m/>
  </r>
  <r>
    <m/>
    <n v="281"/>
    <s v="181"/>
    <x v="9"/>
    <x v="80"/>
    <n v="1"/>
    <x v="13"/>
    <s v="Zoltan Juhas"/>
    <s v="091/ 2549 157"/>
    <s v="zoli@ffos.hr"/>
    <s v="Ulica Lorenza Jägera 9"/>
    <s v="Ulica Lorenza Jägera 9"/>
    <s v="58868871646"/>
    <x v="6"/>
    <m/>
    <m/>
    <m/>
    <m/>
  </r>
  <r>
    <m/>
    <n v="282"/>
    <s v="4497"/>
    <x v="9"/>
    <x v="9"/>
    <n v="4"/>
    <x v="6"/>
    <s v="Branimir Kolman"/>
    <s v="091 244 0130"/>
    <s v="bkolman@unin.hr"/>
    <s v="Trg Dr. Žarka Dolinara 1"/>
    <s v="Unin 3 - Ulica Jurja Križanića 31 b, VŽ"/>
    <s v="59624928052"/>
    <x v="6"/>
    <m/>
    <m/>
    <m/>
    <m/>
  </r>
  <r>
    <m/>
    <n v="283"/>
    <s v="232"/>
    <x v="9"/>
    <x v="19"/>
    <n v="1"/>
    <x v="12"/>
    <s v="Jakov Serajlić"/>
    <s v="38598845215"/>
    <s v="jserajlic@vus.hr"/>
    <s v="Trg A. Hebranga 11"/>
    <s v="Trg Andrije Hebrang 11, 22000 Šibenik"/>
    <s v="61727512157"/>
    <x v="6"/>
    <m/>
    <m/>
    <m/>
    <m/>
  </r>
  <r>
    <m/>
    <n v="284"/>
    <s v="221"/>
    <x v="9"/>
    <x v="11"/>
    <n v="3"/>
    <x v="8"/>
    <s v="Marko Roža"/>
    <s v="051/265-873"/>
    <s v="marko.roza@uniri.hr"/>
    <s v="Trg Braće Mažuranića 10"/>
    <s v="Radmile Matejčić 2; 51000 Rijeka"/>
    <s v="64218323816"/>
    <x v="6"/>
    <m/>
    <m/>
    <m/>
    <m/>
  </r>
  <r>
    <m/>
    <n v="285"/>
    <s v="150"/>
    <x v="9"/>
    <x v="12"/>
    <n v="2"/>
    <x v="1"/>
    <s v="Dario Đurasović"/>
    <s v="091 4802 130"/>
    <s v="dario@sfzg.hr"/>
    <s v="Gundulićeva Ulica 5"/>
    <s v="Gundulićeva 5, Zagreb"/>
    <s v="70221464726"/>
    <x v="6"/>
    <m/>
    <m/>
    <m/>
    <m/>
  </r>
  <r>
    <m/>
    <s v="286a_x000a_286b"/>
    <s v="6229"/>
    <x v="9"/>
    <x v="55"/>
    <n v="1"/>
    <x v="13"/>
    <s v="Matija Karapetrić"/>
    <s v="0915053478"/>
    <s v="matija.karapetric@kifos.hr"/>
    <s v="Drinska 16A"/>
    <s v="Drinska 16a, 31000 Osijek_x000a_Woodrova Wilsona 2, 31000 Osijek"/>
    <s v="70788591483"/>
    <x v="6"/>
    <m/>
    <m/>
    <m/>
    <m/>
  </r>
  <r>
    <m/>
    <n v="287"/>
    <s v="187"/>
    <x v="9"/>
    <x v="56"/>
    <n v="1"/>
    <x v="1"/>
    <s v="Sandi Homolak (Zagreb)"/>
    <s v="091 619 5223"/>
    <s v="informatika.zagreb@ufzg.hr"/>
    <s v="Savska cesta 77, 10000 Zagreb"/>
    <s v="Savska cesta 77, 10000 Zagreb"/>
    <s v="72226488129"/>
    <x v="6"/>
    <m/>
    <m/>
    <m/>
    <m/>
  </r>
  <r>
    <m/>
    <n v="288"/>
    <s v="222"/>
    <x v="9"/>
    <x v="33"/>
    <n v="2"/>
    <x v="13"/>
    <s v="Albert Oswald"/>
    <s v=" +385912241400"/>
    <s v="oswald@unios.hr"/>
    <s v="Trg Sv. Trojstva 3"/>
    <s v="Trg. Sv. Trojstva 3"/>
    <s v="78808975734"/>
    <x v="6"/>
    <m/>
    <m/>
    <m/>
    <m/>
  </r>
  <r>
    <m/>
    <n v="289"/>
    <s v="316"/>
    <x v="9"/>
    <x v="20"/>
    <n v="1"/>
    <x v="11"/>
    <s v="Ante Denić"/>
    <s v="(+385)915683877"/>
    <s v="dante@efst.hr"/>
    <s v="Cvite Fiskovića 5"/>
    <s v="Cvite Fiskovića 5, Split"/>
    <s v="84477684422"/>
    <x v="6"/>
    <m/>
    <m/>
    <m/>
    <m/>
  </r>
  <r>
    <m/>
    <n v="290"/>
    <s v="199"/>
    <x v="9"/>
    <x v="61"/>
    <n v="1"/>
    <x v="13"/>
    <s v="Mario Miloloza"/>
    <s v="0912246140"/>
    <s v="mario.miloloza@ferit.hr"/>
    <s v="Ulica Kneza Trpimira 2B"/>
    <s v="Cara Hadrijana 10b, Osijek"/>
    <s v="95494259952"/>
    <x v="6"/>
    <m/>
    <m/>
    <m/>
    <m/>
  </r>
  <r>
    <m/>
    <n v="291"/>
    <s v="281"/>
    <x v="9"/>
    <x v="63"/>
    <n v="1"/>
    <x v="8"/>
    <s v="Danka Jurjević"/>
    <s v="265-877"/>
    <s v="danka.jurjevic@uniri.hr"/>
    <s v="Sveučilišna Avenija 6"/>
    <s v="Sveučilišna Avenija 6"/>
    <s v="96996385705"/>
    <x v="6"/>
    <m/>
    <m/>
    <m/>
    <m/>
  </r>
  <r>
    <m/>
    <n v="292"/>
    <s v="5769"/>
    <x v="9"/>
    <x v="64"/>
    <n v="1"/>
    <x v="11"/>
    <s v="Slaven Kušljić"/>
    <s v="021 545545, 091 4443745"/>
    <s v="slaven@ffst.hr"/>
    <s v="Poljička Cesta 35"/>
    <s v="Poljička cesta 35"/>
    <s v="98004523293"/>
    <x v="6"/>
    <m/>
    <m/>
    <m/>
    <m/>
  </r>
  <r>
    <m/>
    <n v="293"/>
    <s v="3324"/>
    <x v="9"/>
    <x v="34"/>
    <n v="1"/>
    <x v="1"/>
    <s v="Dario Knežić"/>
    <s v="0917615616"/>
    <s v="dknezic@fhs.unizg.hr"/>
    <s v="Borongajska Cesta 83D"/>
    <s v="Borongajska cesta 83d, Zagreb"/>
    <s v="99454315441"/>
    <x v="6"/>
    <m/>
    <m/>
    <m/>
    <m/>
  </r>
  <r>
    <m/>
    <n v="294"/>
    <s v="203"/>
    <x v="9"/>
    <x v="65"/>
    <n v="1"/>
    <x v="1"/>
    <s v="Marijan Galjar"/>
    <s v="098 855 676"/>
    <s v="marijan.galjar@rgn.hr"/>
    <s v="Pierottijeva Ulica 6"/>
    <s v="Pierottijeva 6"/>
    <s v="99534693762"/>
    <x v="6"/>
    <m/>
    <m/>
    <m/>
    <m/>
  </r>
  <r>
    <m/>
    <n v="295"/>
    <s v="4589"/>
    <x v="9"/>
    <x v="14"/>
    <n v="1"/>
    <x v="1"/>
    <s v="Predrag Šinko"/>
    <s v="095/205-2570"/>
    <s v="predrag.sinko@sois-ft.hr"/>
    <s v="Ilica 256B"/>
    <s v="Ilica 256B, obj. 58"/>
    <s v="36752094474"/>
    <x v="6"/>
    <m/>
    <m/>
    <m/>
    <m/>
  </r>
  <r>
    <m/>
    <n v="296"/>
    <s v="188"/>
    <x v="9"/>
    <x v="4"/>
    <n v="1"/>
    <x v="1"/>
    <s v="Boris Rončević"/>
    <s v="099 5327723"/>
    <s v="broncevic@nsk.hr"/>
    <s v="Ul. Hrvatske Bratske Zajednice 4"/>
    <s v="NSK - Ul. Hrvatske Bratske Zajednice 4"/>
    <m/>
    <x v="6"/>
    <m/>
    <m/>
    <m/>
    <m/>
  </r>
  <r>
    <m/>
    <m/>
    <m/>
    <x v="10"/>
    <x v="0"/>
    <n v="20"/>
    <x v="0"/>
    <m/>
    <m/>
    <m/>
    <m/>
    <m/>
    <m/>
    <x v="0"/>
    <m/>
    <m/>
    <m/>
    <m/>
  </r>
  <r>
    <m/>
    <n v="297"/>
    <s v="1918"/>
    <x v="10"/>
    <x v="23"/>
    <n v="1"/>
    <x v="1"/>
    <s v="Ivan Rajković"/>
    <s v="+385998153651"/>
    <s v="ivan.rajkovic@tvz.hr"/>
    <s v="Vrbik 8"/>
    <s v="Vrbik 8"/>
    <s v="8814003451"/>
    <x v="7"/>
    <m/>
    <m/>
    <m/>
    <m/>
  </r>
  <r>
    <m/>
    <n v="298"/>
    <s v="368"/>
    <x v="10"/>
    <x v="6"/>
    <n v="3"/>
    <x v="3"/>
    <s v="Ivan Nimac"/>
    <s v="095/826-5888"/>
    <s v="inimac@unizd.hr"/>
    <s v="Ulica Mihovila Pavlinovića 1"/>
    <s v="Obala kralja Petra Krešimira IV. Br. 2, 23000 Zadar, ID-215"/>
    <s v="10839679016"/>
    <x v="7"/>
    <m/>
    <m/>
    <m/>
    <m/>
  </r>
  <r>
    <m/>
    <n v="299"/>
    <s v="198"/>
    <x v="10"/>
    <x v="15"/>
    <n v="1"/>
    <x v="10"/>
    <s v="Darko Šprem"/>
    <s v="091 408 9012"/>
    <s v="darko.sprem@gfv.hr"/>
    <s v="Hallerova Aleja 7"/>
    <s v="Hallerova aleja 7, Varaždin"/>
    <s v="16146181375"/>
    <x v="7"/>
    <m/>
    <m/>
    <m/>
    <m/>
  </r>
  <r>
    <m/>
    <n v="300"/>
    <s v="4919"/>
    <x v="10"/>
    <x v="42"/>
    <n v="1"/>
    <x v="11"/>
    <s v="Doris Knego"/>
    <s v="098 9394211,"/>
    <s v="doris.knego@pmfst.hr"/>
    <s v="R. Boškovića 33"/>
    <s v="Ruđera Boškovića 33"/>
    <s v="20858497843"/>
    <x v="7"/>
    <m/>
    <m/>
    <m/>
    <m/>
  </r>
  <r>
    <m/>
    <n v="301"/>
    <s v="5713"/>
    <x v="10"/>
    <x v="27"/>
    <n v="1"/>
    <x v="11"/>
    <s v="Petra Marić"/>
    <s v="0913210792"/>
    <s v="pmaric@unist.hr"/>
    <s v="R. Boškovića 31"/>
    <s v="Ruđera Boškovića 31, Split"/>
    <s v="29845096215"/>
    <x v="7"/>
    <m/>
    <m/>
    <m/>
    <m/>
  </r>
  <r>
    <m/>
    <n v="302"/>
    <s v="1972"/>
    <x v="10"/>
    <x v="47"/>
    <n v="1"/>
    <x v="20"/>
    <s v="Damir Lulić"/>
    <s v="0981771615"/>
    <s v="dlulic@unisb.hr"/>
    <s v="Trg &quot;Ivana Brlić Mažuranić&quot; 2"/>
    <s v="Ulica 108. brigade ZNG 36"/>
    <s v="33027834374"/>
    <x v="7"/>
    <m/>
    <m/>
    <m/>
    <m/>
  </r>
  <r>
    <m/>
    <n v="303"/>
    <s v="173"/>
    <x v="10"/>
    <x v="89"/>
    <n v="1"/>
    <x v="8"/>
    <s v="Siniša Lončarić"/>
    <s v="0913011188"/>
    <s v="sloncaric@pravri.uniri.hr"/>
    <s v="Hahlić 6"/>
    <s v="Hahlić 6, Rijeka"/>
    <s v="43767699965"/>
    <x v="7"/>
    <m/>
    <m/>
    <m/>
    <m/>
  </r>
  <r>
    <m/>
    <n v="304"/>
    <s v="165"/>
    <x v="10"/>
    <x v="79"/>
    <n v="1"/>
    <x v="1"/>
    <s v="Mirza Žižak"/>
    <s v="091-595-2783"/>
    <s v="mirza.zizak@mef.hr"/>
    <s v="Šalata 3"/>
    <s v="Šalata 2"/>
    <s v="45001686598"/>
    <x v="7"/>
    <m/>
    <m/>
    <m/>
    <m/>
  </r>
  <r>
    <m/>
    <n v="305"/>
    <s v="245"/>
    <x v="10"/>
    <x v="52"/>
    <n v="1"/>
    <x v="1"/>
    <s v="Ozren Digula, Kristijan Zbiljski"/>
    <s v="0914595855, 0914595858"/>
    <s v="ozren.digula@zvu.hr, kristijan.zbiljski@zvu.hr"/>
    <s v="Mlinarska Cesta 38"/>
    <s v="Mlinarska cesta 38"/>
    <s v="50952646228"/>
    <x v="7"/>
    <m/>
    <m/>
    <m/>
    <m/>
  </r>
  <r>
    <m/>
    <s v="306a_x000a_396b"/>
    <s v="4497"/>
    <x v="10"/>
    <x v="9"/>
    <n v="3"/>
    <x v="6"/>
    <s v="Nikola Marijanović_x000a_Branimir Kolman"/>
    <s v="0994028339_x000a_091 244 0130"/>
    <s v="nmarijanovic@unin.hr_x000a_bkolman@unin.hr"/>
    <s v="Trg Dr. Žarka Dolinara 1"/>
    <s v="Trg dr. Žarka dolinara 1, Koprivnica  1 kom._x000a_Ulica 104 brigade 3, VŽ  2 kom."/>
    <s v="59624928052"/>
    <x v="7"/>
    <m/>
    <m/>
    <m/>
    <m/>
  </r>
  <r>
    <m/>
    <n v="307"/>
    <s v="221"/>
    <x v="10"/>
    <x v="11"/>
    <n v="2"/>
    <x v="8"/>
    <s v="Marko Roža"/>
    <s v="051/265-873"/>
    <s v="marko.roza@uniri.hr"/>
    <s v="Trg Braće Mažuranića 10"/>
    <s v="Radmile Matejčić 2; 51000 Rijeka"/>
    <s v="64218323816"/>
    <x v="7"/>
    <m/>
    <m/>
    <m/>
    <m/>
  </r>
  <r>
    <m/>
    <n v="308"/>
    <s v="150"/>
    <x v="10"/>
    <x v="12"/>
    <n v="1"/>
    <x v="1"/>
    <s v="Dario Đurasović"/>
    <s v="091 4802 130"/>
    <s v="dario@sfzg.hr"/>
    <s v="Gundulićeva Ulica 5"/>
    <s v="Gundulićeva 5, Zagreb"/>
    <s v="70221464726"/>
    <x v="7"/>
    <m/>
    <m/>
    <m/>
    <m/>
  </r>
  <r>
    <m/>
    <n v="309"/>
    <s v="222"/>
    <x v="10"/>
    <x v="33"/>
    <n v="1"/>
    <x v="13"/>
    <s v="Albert Oswald"/>
    <s v=" +385912241400"/>
    <s v="oswald@unios.hr"/>
    <s v="Trg Sv. Trojstva 3"/>
    <s v="Trg. Sv. Trojstva 3"/>
    <s v="78808975734"/>
    <x v="7"/>
    <m/>
    <m/>
    <m/>
    <m/>
  </r>
  <r>
    <m/>
    <n v="310"/>
    <s v="199"/>
    <x v="10"/>
    <x v="61"/>
    <n v="1"/>
    <x v="13"/>
    <s v="Mario Miloloza"/>
    <s v="0912246140"/>
    <s v="mario.miloloza@ferit.hr"/>
    <s v="Ulica Kneza Trpimira 2B"/>
    <s v="Cara Hadrijana 10b, Osijek"/>
    <s v="95494259952"/>
    <x v="7"/>
    <m/>
    <m/>
    <m/>
    <m/>
  </r>
  <r>
    <m/>
    <n v="311"/>
    <s v="5769"/>
    <x v="10"/>
    <x v="64"/>
    <n v="1"/>
    <x v="11"/>
    <s v="Slaven Kušljić"/>
    <s v="021 545545, 091 4443745"/>
    <s v="slaven@ffst.hr"/>
    <s v="Poljička Cesta 35"/>
    <s v="Poljička cesta 35"/>
    <s v="98004523293"/>
    <x v="7"/>
    <m/>
    <m/>
    <m/>
    <m/>
  </r>
  <r>
    <m/>
    <m/>
    <m/>
    <x v="11"/>
    <x v="0"/>
    <n v="249"/>
    <x v="0"/>
    <m/>
    <m/>
    <m/>
    <m/>
    <m/>
    <m/>
    <x v="0"/>
    <m/>
    <m/>
    <m/>
    <m/>
  </r>
  <r>
    <m/>
    <n v="312"/>
    <s v="133"/>
    <x v="11"/>
    <x v="36"/>
    <n v="1"/>
    <x v="11"/>
    <s v="Zvonimir Torba"/>
    <s v="+385 91 4305 724"/>
    <s v="torba@fesb.hr"/>
    <s v="R. Boškovića 32"/>
    <s v="R. Boškovića 32, 21000 Split"/>
    <s v="857144221"/>
    <x v="6"/>
    <m/>
    <m/>
    <m/>
    <m/>
  </r>
  <r>
    <m/>
    <n v="313"/>
    <s v="131"/>
    <x v="11"/>
    <x v="66"/>
    <n v="11"/>
    <x v="10"/>
    <s v="Mario Harjač"/>
    <s v="097 610 1011"/>
    <s v="maharjac@foi.unizg.hr"/>
    <s v="Pavlinska Ulica 2"/>
    <s v="Pavlinska ulica 2, Varaždin"/>
    <s v="2024882310"/>
    <x v="6"/>
    <m/>
    <m/>
    <m/>
    <m/>
  </r>
  <r>
    <m/>
    <n v="314"/>
    <s v="5499"/>
    <x v="11"/>
    <x v="90"/>
    <n v="1"/>
    <x v="13"/>
    <s v="Krešimir Pavelić, univ. mag .ing. comp."/>
    <s v="385912240766"/>
    <s v="kreso@gfos.hr"/>
    <s v="Ulica Vladimira Preloga 3"/>
    <s v="Ulica Vladimira Preloga 3, 31000, Osijek"/>
    <s v="4150850819"/>
    <x v="6"/>
    <m/>
    <m/>
    <m/>
    <m/>
  </r>
  <r>
    <m/>
    <n v="315"/>
    <s v="3689"/>
    <x v="11"/>
    <x v="5"/>
    <n v="2"/>
    <x v="1"/>
    <s v="Nikola Barba"/>
    <s v="099 6081 436"/>
    <s v="nikola.barba@unicath.hr"/>
    <s v="Ilica 244B"/>
    <s v="Ilica 244, 10000 Zagreb"/>
    <s v="7730927366"/>
    <x v="1"/>
    <m/>
    <m/>
    <m/>
    <m/>
  </r>
  <r>
    <m/>
    <n v="316"/>
    <s v="368"/>
    <x v="11"/>
    <x v="6"/>
    <n v="48"/>
    <x v="3"/>
    <s v="Ivan Nimac"/>
    <s v="095/826-5888"/>
    <s v="inimac@unizd.hr"/>
    <s v="Ulica Mihovila Pavlinovića 1"/>
    <s v="Obala kralja Petra Krešimira IV. Br. 2, 23000 Zadar"/>
    <s v="10839679016"/>
    <x v="6"/>
    <m/>
    <m/>
    <m/>
    <m/>
  </r>
  <r>
    <m/>
    <n v="317"/>
    <s v="3409"/>
    <x v="11"/>
    <x v="24"/>
    <n v="1"/>
    <x v="15"/>
    <s v="Ivan Reponj"/>
    <s v="0989389348"/>
    <s v="ireponj@ftrr.hr"/>
    <s v="Vukovarska 17"/>
    <s v="Vukovarska 17, Požega"/>
    <s v="11614501047"/>
    <x v="6"/>
    <m/>
    <m/>
    <m/>
    <m/>
  </r>
  <r>
    <m/>
    <n v="318"/>
    <s v="121"/>
    <x v="11"/>
    <x v="1"/>
    <n v="2"/>
    <x v="1"/>
    <s v="Mate Galić"/>
    <s v="098806500"/>
    <s v="mate.galic@pharma.unizg.hr"/>
    <s v="Ulica Ante Kovačića 1"/>
    <s v="Domagojeva 2"/>
    <s v="14509285435"/>
    <x v="1"/>
    <m/>
    <m/>
    <m/>
    <m/>
  </r>
  <r>
    <m/>
    <n v="319"/>
    <s v="198"/>
    <x v="11"/>
    <x v="15"/>
    <n v="5"/>
    <x v="10"/>
    <s v="Darko Šprem"/>
    <s v="091 408 9012"/>
    <s v="darko.sprem@gfv.hr"/>
    <s v="Hallerova Aleja 7"/>
    <s v="Hallerova aleja 7, Varaždin"/>
    <s v="16146181375"/>
    <x v="6"/>
    <m/>
    <m/>
    <m/>
    <m/>
  </r>
  <r>
    <m/>
    <n v="320"/>
    <s v="3385"/>
    <x v="11"/>
    <x v="41"/>
    <n v="6"/>
    <x v="18"/>
    <s v="Nikola Kanišk"/>
    <s v="099/5246985"/>
    <s v="nikola.kaniski@vhzk.hr"/>
    <s v="Šetalište Hrvatskog Narodnog Preporoda 6"/>
    <s v="Trg S. Radića 8"/>
    <s v="16465214888"/>
    <x v="6"/>
    <m/>
    <m/>
    <m/>
    <m/>
  </r>
  <r>
    <m/>
    <n v="321"/>
    <s v="3986"/>
    <x v="11"/>
    <x v="68"/>
    <n v="3"/>
    <x v="1"/>
    <s v="Petra Mitrović"/>
    <s v="0914810222"/>
    <s v="pmitrovic@muza.hr"/>
    <s v="Trg Republike Hrvatske 12"/>
    <s v="Trg Republike Hrvatske 12"/>
    <s v="18422925218"/>
    <x v="1"/>
    <m/>
    <m/>
    <m/>
    <m/>
  </r>
  <r>
    <m/>
    <n v="322"/>
    <s v="4919"/>
    <x v="11"/>
    <x v="42"/>
    <n v="4"/>
    <x v="11"/>
    <s v="Doris Knego"/>
    <s v="098 9394211,"/>
    <s v="doris.knego@pmfst.hr"/>
    <s v="R. Boškovića 33"/>
    <s v="Ruđera Boškovića 33"/>
    <s v="20858497843"/>
    <x v="6"/>
    <m/>
    <m/>
    <m/>
    <m/>
  </r>
  <r>
    <m/>
    <n v="323"/>
    <s v="4914"/>
    <x v="11"/>
    <x v="16"/>
    <n v="1"/>
    <x v="11"/>
    <s v="Romaldo Singolo"/>
    <s v="091 155 9622"/>
    <s v="romi@pfst.hr"/>
    <s v="R. Boškovića 37"/>
    <s v="Ruđera Boškovića 37, Split"/>
    <s v="24624257529"/>
    <x v="6"/>
    <m/>
    <m/>
    <m/>
    <m/>
  </r>
  <r>
    <m/>
    <n v="324"/>
    <s v="136"/>
    <x v="11"/>
    <x v="91"/>
    <n v="1"/>
    <x v="1"/>
    <s v="Stipe Gorenjak"/>
    <s v="091 3658 600"/>
    <s v="stipe.gorenjak@kif.unizg.hr"/>
    <s v="Horvaćanski Zavoj 15"/>
    <s v="Horvaćanski zavoj 15"/>
    <s v="25329931628"/>
    <x v="1"/>
    <m/>
    <m/>
    <m/>
    <m/>
  </r>
  <r>
    <m/>
    <n v="325"/>
    <s v="290"/>
    <x v="11"/>
    <x v="92"/>
    <n v="2"/>
    <x v="8"/>
    <s v="TEDI KOLANOVIĆ"/>
    <s v="091 604 47 89"/>
    <s v="tedi.kolanovic@efri.uniri.hr"/>
    <s v="Ivana Filipovića 4"/>
    <s v="Ivana Filipovića 4"/>
    <s v="26093119930"/>
    <x v="6"/>
    <m/>
    <m/>
    <m/>
    <m/>
  </r>
  <r>
    <m/>
    <n v="326"/>
    <s v="168"/>
    <x v="11"/>
    <x v="77"/>
    <n v="1"/>
    <x v="13"/>
    <s v="Bruno Bakarić"/>
    <s v="031/224-508"/>
    <s v="bbakaric@pravos.hr"/>
    <s v="Ulica Stjepana Radića 13"/>
    <s v="Stjepana Radića 17"/>
    <s v="26416570803"/>
    <x v="6"/>
    <m/>
    <m/>
    <m/>
    <m/>
  </r>
  <r>
    <m/>
    <n v="327"/>
    <s v="152"/>
    <x v="11"/>
    <x v="93"/>
    <n v="4"/>
    <x v="1"/>
    <s v="Davorin Axmann"/>
    <s v="098271569"/>
    <s v="daxmann@efzg.hr"/>
    <s v="Trg Johna Fitzgeralda Kennedyja 6"/>
    <s v="Trg J.F. Kennedyja 6"/>
    <s v="27208467122"/>
    <x v="1"/>
    <m/>
    <m/>
    <m/>
    <m/>
  </r>
  <r>
    <m/>
    <n v="328"/>
    <s v="130"/>
    <x v="11"/>
    <x v="45"/>
    <n v="7"/>
    <x v="1"/>
    <s v="Kristian Došen"/>
    <s v="091 7888 474"/>
    <s v="kristian.dosen@fpzg.hr"/>
    <s v="Ulica Ivana Lepušića 6"/>
    <s v="Lepušićeva 6, 10000 Zagreb"/>
    <s v="28011548575"/>
    <x v="1"/>
    <m/>
    <m/>
    <m/>
    <m/>
  </r>
  <r>
    <m/>
    <n v="329"/>
    <s v="3637"/>
    <x v="11"/>
    <x v="81"/>
    <n v="1"/>
    <x v="13"/>
    <s v="Krunoslav Kurilj"/>
    <s v="0991616166"/>
    <s v="kkurilj@foozos.hr"/>
    <s v="Ulica Cara Hadrijana 10"/>
    <s v="Cara Hadrijana 10, 31 000 Osijek – NASTAVNA ZGRADA"/>
    <s v="28082679513"/>
    <x v="6"/>
    <m/>
    <m/>
    <m/>
    <m/>
  </r>
  <r>
    <m/>
    <n v="330"/>
    <s v="469"/>
    <x v="11"/>
    <x v="75"/>
    <n v="4"/>
    <x v="1"/>
    <s v="Krunoslav Komugović"/>
    <s v="385915058109"/>
    <s v="krunoslav.komugovic@pmf.hr"/>
    <s v="Horvatovac 102A"/>
    <s v="Bijenička cesta 30"/>
    <s v="28163265527"/>
    <x v="1"/>
    <m/>
    <m/>
    <m/>
    <m/>
  </r>
  <r>
    <m/>
    <s v="331a_x000a_331b_x000a_331c"/>
    <s v="5713"/>
    <x v="11"/>
    <x v="27"/>
    <n v="6"/>
    <x v="11"/>
    <s v="Petra Marić_x000a_Petra Musap_x000a_Mirko Šalinović"/>
    <s v="0913210792_x000a_0991639750_x000a_O98 9895758"/>
    <s v="pmaric@unist.hr_x000a_petra.musap@unist.hr_x000a_msalinovic@unist.hr"/>
    <s v="R. Boškovića 31"/>
    <s v="Ruđera Boškovića 31, Split 2 kom._x000a_Poljana kraljice Jelene 1, Split  3 kom._x000a_Franjevački put 1, Makarska  1 kom."/>
    <s v="29845096215"/>
    <x v="6"/>
    <m/>
    <m/>
    <m/>
    <m/>
  </r>
  <r>
    <m/>
    <n v="332"/>
    <s v="3482"/>
    <x v="11"/>
    <x v="46"/>
    <n v="2"/>
    <x v="19"/>
    <s v="Željko Hrebak"/>
    <s v="098710398"/>
    <s v="zhrebak@mev.hr"/>
    <s v="Ulica Bana Josipa Jelačića 22A"/>
    <s v="Ul. bana Josipa Jelačića 22a"/>
    <s v="31444990605"/>
    <x v="6"/>
    <m/>
    <m/>
    <m/>
    <m/>
  </r>
  <r>
    <m/>
    <n v="333"/>
    <s v="1972"/>
    <x v="11"/>
    <x v="47"/>
    <n v="10"/>
    <x v="20"/>
    <s v="Damir Lulić"/>
    <s v="0981771615"/>
    <s v="dlulic@unisb.hr"/>
    <s v="Trg &quot;Ivana Brlić Mažuranić&quot; 2"/>
    <s v="Ulica 108. brigade ZNG 36"/>
    <s v="33027834374"/>
    <x v="6"/>
    <m/>
    <m/>
    <m/>
    <m/>
  </r>
  <r>
    <m/>
    <n v="334"/>
    <s v="267"/>
    <x v="11"/>
    <x v="82"/>
    <n v="1"/>
    <x v="11"/>
    <s v="Željko Matas"/>
    <s v="097 7094175"/>
    <s v="zmatas@kbf-st.hr"/>
    <s v="Zrinjsko-Frankopanska 19"/>
    <s v="Zrinjsko-Frankopanska 19, Split"/>
    <s v="36149548625"/>
    <x v="6"/>
    <m/>
    <m/>
    <m/>
    <m/>
  </r>
  <r>
    <m/>
    <n v="335"/>
    <s v="140"/>
    <x v="11"/>
    <x v="83"/>
    <n v="1"/>
    <x v="1"/>
    <s v="Marko Poletto"/>
    <s v="099/4928854"/>
    <s v="pmarko@vef.unizg.hr"/>
    <s v="Ulica Vjekoslava Heinzela 55"/>
    <s v="Ulica Vjekoslava Heinzela 55, 10000 Zagreb"/>
    <s v="36389528408"/>
    <x v="1"/>
    <m/>
    <m/>
    <m/>
    <m/>
  </r>
  <r>
    <m/>
    <n v="336"/>
    <s v="219"/>
    <x v="11"/>
    <x v="28"/>
    <n v="3"/>
    <x v="1"/>
    <s v="Siniša Vlahović_x000a_"/>
    <s v="098 268 472_x000a_"/>
    <s v="svlahovic@unizg.hr_x000a_"/>
    <s v="Trg Republike Hrvatske 14"/>
    <s v="Ulica Radoslava Cimermana 88, 10000 Zagreb"/>
    <s v="36612267447"/>
    <x v="1"/>
    <m/>
    <m/>
    <m/>
    <m/>
  </r>
  <r>
    <m/>
    <s v="337a_x000a_337b"/>
    <s v="3545"/>
    <x v="11"/>
    <x v="29"/>
    <n v="2"/>
    <x v="11"/>
    <s v="Branimir Džaja"/>
    <s v="091-2600324"/>
    <s v="branimir.dzaja@umas.hr"/>
    <s v="Zagrebačka 3"/>
    <s v="Glagoljaška 18a, Gripe_x000a_Fausta Vrančića 19"/>
    <s v="38960125358"/>
    <x v="6"/>
    <m/>
    <m/>
    <m/>
    <m/>
  </r>
  <r>
    <m/>
    <n v="338"/>
    <s v="141"/>
    <x v="11"/>
    <x v="30"/>
    <n v="1"/>
    <x v="1"/>
    <s v="Emil Flatz"/>
    <s v="38598302567"/>
    <s v="eflatz@arhitekt.hr"/>
    <s v="Kačićeva Ulica 26"/>
    <s v="Frankopanska 12"/>
    <s v="42061107444"/>
    <x v="1"/>
    <m/>
    <m/>
    <m/>
    <m/>
  </r>
  <r>
    <m/>
    <n v="339"/>
    <s v="1944"/>
    <x v="11"/>
    <x v="8"/>
    <n v="1"/>
    <x v="5"/>
    <s v="Mile Vičić"/>
    <s v="098675984"/>
    <s v="mvicic@velegs-nikolatesla.hr"/>
    <s v="Ulica Bana Ivana Karlovića 16"/>
    <s v="Ulica bana Ivana Karlovića 16"/>
    <s v="42552392522"/>
    <x v="6"/>
    <m/>
    <m/>
    <m/>
    <m/>
  </r>
  <r>
    <m/>
    <n v="340"/>
    <s v="122"/>
    <x v="11"/>
    <x v="49"/>
    <n v="4"/>
    <x v="1"/>
    <s v="Marijo Seničić"/>
    <s v="099 533 7842"/>
    <s v="marijo.senicic@geof.unizg.hr"/>
    <s v="Kačićeva Ulica 26"/>
    <s v="Kačićeva 26, 10000 Zagreb"/>
    <s v="43594593297"/>
    <x v="1"/>
    <m/>
    <m/>
    <m/>
    <m/>
  </r>
  <r>
    <m/>
    <n v="341"/>
    <s v="173"/>
    <x v="11"/>
    <x v="89"/>
    <n v="1"/>
    <x v="8"/>
    <s v="Siniša Lončarić"/>
    <s v="0913011188"/>
    <s v="sloncaric@pravri.uniri.hr"/>
    <s v="Hahlić 6"/>
    <s v="Hahlić 6, Rijeka"/>
    <s v="43767699965"/>
    <x v="6"/>
    <m/>
    <m/>
    <m/>
    <m/>
  </r>
  <r>
    <m/>
    <n v="342"/>
    <s v="3795"/>
    <x v="11"/>
    <x v="2"/>
    <n v="1"/>
    <x v="2"/>
    <s v="Enes Ciriković"/>
    <s v="0989225600"/>
    <s v="enes.cirikovic@vuv.hr"/>
    <s v="Ulica Matije Gupca 78"/>
    <s v="Matije Gupca 78, 33000 Virovitica"/>
    <s v="46576407858"/>
    <x v="6"/>
    <m/>
    <m/>
    <m/>
    <m/>
  </r>
  <r>
    <m/>
    <n v="343"/>
    <s v="146"/>
    <x v="11"/>
    <x v="70"/>
    <n v="5"/>
    <x v="1"/>
    <s v="Ana Vukelić"/>
    <s v="0915677600"/>
    <s v="avukelic@pbf.hr"/>
    <s v="Pierottijeva Ulica 6"/>
    <s v="Pierottijeva 6"/>
    <s v="47824453867"/>
    <x v="1"/>
    <m/>
    <m/>
    <m/>
    <m/>
  </r>
  <r>
    <m/>
    <n v="344"/>
    <s v="182"/>
    <x v="11"/>
    <x v="51"/>
    <n v="1"/>
    <x v="21"/>
    <s v="Goran Šljivić"/>
    <s v="0981785148"/>
    <s v="sljivic@simet.hr"/>
    <s v="Aleja Narodnih Heroja 3"/>
    <s v="Sisak, Aleja narodnih heroja 3"/>
    <s v="48006703414"/>
    <x v="6"/>
    <m/>
    <m/>
    <m/>
    <m/>
  </r>
  <r>
    <m/>
    <n v="345"/>
    <s v="210"/>
    <x v="11"/>
    <x v="31"/>
    <n v="1"/>
    <x v="1"/>
    <s v="Taras Barščevski"/>
    <s v="+385(91)5335.699"/>
    <s v="taras.barscevski@kbf.unizg.hr"/>
    <s v="Vlaška Ulica 38"/>
    <s v="Vlaška 38"/>
    <s v="48987767944"/>
    <x v="1"/>
    <m/>
    <m/>
    <m/>
    <m/>
  </r>
  <r>
    <m/>
    <n v="346"/>
    <s v="275"/>
    <x v="11"/>
    <x v="85"/>
    <n v="2"/>
    <x v="13"/>
    <s v="Petar Taler"/>
    <s v="091 224 1039"/>
    <s v="petar@mathos.hr"/>
    <s v="Trg Ljudevita Gaja 6"/>
    <s v="Trg Lj. Gaja 6, Osijek"/>
    <s v="56597320763"/>
    <x v="6"/>
    <m/>
    <m/>
    <m/>
    <m/>
  </r>
  <r>
    <m/>
    <n v="347"/>
    <s v="138"/>
    <x v="11"/>
    <x v="71"/>
    <n v="1"/>
    <x v="1"/>
    <s v="Denis Hernaut"/>
    <s v="+385 91 604 3920"/>
    <s v="denis.hernaut@fer.hr"/>
    <s v="Unska Ulica 3"/>
    <s v="Vukovarska 39, Zagrebž"/>
    <s v="57029260362"/>
    <x v="1"/>
    <m/>
    <m/>
    <m/>
    <m/>
  </r>
  <r>
    <m/>
    <n v="348"/>
    <s v="3430"/>
    <x v="11"/>
    <x v="53"/>
    <n v="1"/>
    <x v="11"/>
    <s v="Ante Krolo"/>
    <s v="+385 95 903 76 48"/>
    <s v="ante@kifst.hr"/>
    <s v="Teslina 6"/>
    <s v="Teslina 10"/>
    <s v="57848936921"/>
    <x v="6"/>
    <m/>
    <m/>
    <m/>
    <m/>
  </r>
  <r>
    <m/>
    <n v="349"/>
    <s v="181"/>
    <x v="11"/>
    <x v="80"/>
    <n v="6"/>
    <x v="13"/>
    <s v="Zoltan Juhas"/>
    <s v="091/ 2549 157"/>
    <s v="zoli@ffos.hr"/>
    <s v="Ulica Lorenza Jägera 9"/>
    <s v="Ulica Lorenza Jägera 9"/>
    <s v="58868871646"/>
    <x v="6"/>
    <m/>
    <m/>
    <m/>
    <m/>
  </r>
  <r>
    <m/>
    <s v="350a_x000a_350b"/>
    <s v="4497"/>
    <x v="11"/>
    <x v="9"/>
    <n v="13"/>
    <x v="6"/>
    <s v="Nikola Marijanović_x000a_Branimir Kolman"/>
    <s v="0994028339_x000a_091 244 0130"/>
    <s v="nmarijanovic@unin.hr_x000a_bkolman@unin.hr"/>
    <s v="Trg Dr. Žarka Dolinara 1"/>
    <s v="Trg dr. Žarka dolinara 1, Koprivnica 8 kom._x000a_Ulica 104 brigade 3, VŽ 5 kom."/>
    <s v="59624928052"/>
    <x v="6"/>
    <m/>
    <m/>
    <m/>
    <m/>
  </r>
  <r>
    <m/>
    <n v="351"/>
    <s v="3927"/>
    <x v="11"/>
    <x v="32"/>
    <n v="2"/>
    <x v="13"/>
    <s v="Luka Cvenić"/>
    <s v="099 312 6187"/>
    <s v="luka.cvenic@aukos.hr"/>
    <s v="Ulica Kralja Petra Svačića 1F"/>
    <s v="J. Knifera 1 ( bivša K.P. Svačića 1/f, Osijek)"/>
    <s v="60277424315"/>
    <x v="6"/>
    <m/>
    <m/>
    <m/>
    <m/>
  </r>
  <r>
    <m/>
    <n v="352"/>
    <s v="3554"/>
    <x v="11"/>
    <x v="10"/>
    <n v="6"/>
    <x v="7"/>
    <s v="Dario Kukuljan"/>
    <s v="0993777446"/>
    <s v="dkukuljan@unipu.hr"/>
    <s v="Zagrebačka Ulica 30"/>
    <s v="Alda Negrija 6, Pila"/>
    <s v="61738073226"/>
    <x v="6"/>
    <m/>
    <m/>
    <m/>
    <m/>
  </r>
  <r>
    <m/>
    <n v="353"/>
    <s v="161"/>
    <x v="11"/>
    <x v="54"/>
    <n v="1"/>
    <x v="1"/>
    <s v="Sead Berberović"/>
    <s v="0915226263"/>
    <s v="sead.berberovic@grad.unizg.hr"/>
    <s v="Kačićeva Ulica 26"/>
    <s v="Kačićeva 26, Zagreb"/>
    <s v="62924153420"/>
    <x v="1"/>
    <m/>
    <m/>
    <m/>
    <m/>
  </r>
  <r>
    <m/>
    <n v="354"/>
    <s v="221"/>
    <x v="11"/>
    <x v="11"/>
    <n v="18"/>
    <x v="8"/>
    <s v="Barbara Šestan _x000a_"/>
    <s v="051584884 _x000a_"/>
    <s v="barbara.sestan@uniri.hr_x000a_"/>
    <s v="Trg Braće Mažuranića 10"/>
    <s v="Radmile Matejčić 2; 51000 Rijeka"/>
    <s v="64218323816"/>
    <x v="6"/>
    <m/>
    <m/>
    <m/>
    <m/>
  </r>
  <r>
    <m/>
    <n v="355"/>
    <s v="150"/>
    <x v="11"/>
    <x v="12"/>
    <n v="8"/>
    <x v="1"/>
    <s v="Dario Đurasović"/>
    <s v="091 4802 130"/>
    <s v="dario@sfzg.hr"/>
    <s v="Gundulićeva Ulica 5"/>
    <s v="Gundulićeva 5, Zagreb"/>
    <s v="70221464726"/>
    <x v="1"/>
    <m/>
    <m/>
    <m/>
    <m/>
  </r>
  <r>
    <m/>
    <n v="356"/>
    <s v="1907"/>
    <x v="11"/>
    <x v="94"/>
    <n v="1"/>
    <x v="8"/>
    <s v="Boris Ružić"/>
    <s v="0915765999"/>
    <s v="bruzic@uniri.hr"/>
    <s v="Sveučilišna Avenija 4"/>
    <s v="Sveučilišna avenija 4, 51000 Rijeka"/>
    <s v="70505505759"/>
    <x v="6"/>
    <m/>
    <m/>
    <m/>
    <m/>
  </r>
  <r>
    <m/>
    <n v="357"/>
    <s v="6229"/>
    <x v="11"/>
    <x v="55"/>
    <n v="1"/>
    <x v="13"/>
    <s v="Matija Karapetrić"/>
    <s v="0915053478"/>
    <s v="matija.karapetric@kifos.hr"/>
    <s v="Drinska 16A"/>
    <s v="Drinska 16a, 31000 Osijek"/>
    <s v="70788591483"/>
    <x v="6"/>
    <m/>
    <m/>
    <m/>
    <m/>
  </r>
  <r>
    <m/>
    <n v="358"/>
    <s v="187"/>
    <x v="11"/>
    <x v="56"/>
    <n v="1"/>
    <x v="1"/>
    <s v="Sandi Homolak (Zagreb)"/>
    <s v="091 619 5223"/>
    <s v="informatika.zagreb@ufzg.hr"/>
    <s v="Savska cesta 77, 10000 Zagreb"/>
    <s v="Savska cesta 77, 10000 Zagreb"/>
    <s v="72226488129"/>
    <x v="1"/>
    <m/>
    <m/>
    <m/>
    <m/>
  </r>
  <r>
    <m/>
    <n v="359"/>
    <s v="113"/>
    <x v="11"/>
    <x v="13"/>
    <n v="2"/>
    <x v="9"/>
    <s v="Andreas Mađerić"/>
    <s v="048 279 196"/>
    <s v="amaderic@vguk.hr"/>
    <s v="Ulica Milislava Demerca 1"/>
    <s v="Milislava Demerca 1, 48260 Križevci"/>
    <s v="75480885018"/>
    <x v="6"/>
    <m/>
    <m/>
    <m/>
    <m/>
  </r>
  <r>
    <m/>
    <n v="360"/>
    <s v="202"/>
    <x v="11"/>
    <x v="73"/>
    <n v="2"/>
    <x v="1"/>
    <s v="Juaj Mihanović"/>
    <s v="098 9684 080"/>
    <s v="jmihanovic@agr.hr"/>
    <s v="Svetošimunska Cesta 25"/>
    <s v="Svetošimunska 25"/>
    <s v="76023745044"/>
    <x v="1"/>
    <m/>
    <m/>
    <m/>
    <m/>
  </r>
  <r>
    <m/>
    <n v="361"/>
    <s v="169"/>
    <x v="11"/>
    <x v="57"/>
    <n v="3"/>
    <x v="8"/>
    <s v="Izv. prof. dr. sc. Jasmin Ćelić"/>
    <s v="0912546777"/>
    <s v="jasmin.celic@uniri.hr"/>
    <s v="Studentska 2"/>
    <s v="Studentska 2"/>
    <s v="76722145702"/>
    <x v="6"/>
    <m/>
    <m/>
    <m/>
    <m/>
  </r>
  <r>
    <m/>
    <s v="362a_x000a_362b"/>
    <s v="222"/>
    <x v="11"/>
    <x v="33"/>
    <n v="8"/>
    <x v="13"/>
    <s v="Tomica Bunjevac_x000a_Albert Oswald"/>
    <s v=" +385913568984_x000a_+385912241400"/>
    <s v="tbunjevac@fizika.unios.hr_x000a_oswald@unios.hr"/>
    <s v="Trg Sv. Trojstva 3"/>
    <s v=" Trg Ljudevita Gaja 6 6 kom._x000a_Trg. Sv. Trojstva 3 2 kom."/>
    <s v="78808975734"/>
    <x v="6"/>
    <m/>
    <m/>
    <m/>
    <m/>
  </r>
  <r>
    <m/>
    <n v="363"/>
    <s v="316"/>
    <x v="11"/>
    <x v="20"/>
    <n v="1"/>
    <x v="11"/>
    <s v="Ante Denić"/>
    <s v="(+385)915683877"/>
    <s v="dante@efst.hr"/>
    <s v="Cvite Fiskovića 5"/>
    <s v="Cvite Fiskovića 5, Split"/>
    <s v="84477684422"/>
    <x v="6"/>
    <m/>
    <m/>
    <m/>
    <m/>
  </r>
  <r>
    <m/>
    <n v="364"/>
    <s v="174"/>
    <x v="11"/>
    <x v="86"/>
    <n v="3"/>
    <x v="23"/>
    <s v="Davor Mijolović"/>
    <s v="098-292-104"/>
    <s v="davor.mijolovic@fthm.hr"/>
    <s v="Primorska 46"/>
    <s v="Primorska 46, 51410  Opatija"/>
    <s v="85799845149"/>
    <x v="6"/>
    <m/>
    <m/>
    <m/>
    <m/>
  </r>
  <r>
    <m/>
    <n v="365"/>
    <s v="186"/>
    <x v="11"/>
    <x v="60"/>
    <n v="1"/>
    <x v="1"/>
    <s v="Boris Beker"/>
    <s v="098/211-765"/>
    <s v="bbeker@ffzg.hr"/>
    <s v="Ulica Ivana Lučića 3"/>
    <s v="Ivana Lučića 3"/>
    <s v="90633715804"/>
    <x v="1"/>
    <m/>
    <m/>
    <m/>
    <m/>
  </r>
  <r>
    <m/>
    <n v="366"/>
    <s v="172"/>
    <x v="11"/>
    <x v="95"/>
    <n v="1"/>
    <x v="8"/>
    <s v="Elvis Žic"/>
    <s v="0915038578"/>
    <s v="elvis.zic@uniri.hr"/>
    <s v="Ulica Radmile Matejčić 3"/>
    <s v="Ulica Radmile Matejčić 3, 51000 Rijeka"/>
    <s v="92037849504"/>
    <x v="6"/>
    <m/>
    <m/>
    <m/>
    <m/>
  </r>
  <r>
    <m/>
    <n v="367"/>
    <s v="199"/>
    <x v="11"/>
    <x v="61"/>
    <n v="1"/>
    <x v="13"/>
    <s v="Mario Miloloza"/>
    <s v="0912246140"/>
    <s v="mario.miloloza@ferit.hr"/>
    <s v="Ulica Kneza Trpimira 2B"/>
    <s v="Cara Hadrijana 10b, Osijek"/>
    <s v="95494259952"/>
    <x v="6"/>
    <m/>
    <m/>
    <m/>
    <m/>
  </r>
  <r>
    <m/>
    <n v="368"/>
    <s v="214"/>
    <x v="11"/>
    <x v="62"/>
    <n v="2"/>
    <x v="1"/>
    <s v="Goran Hoić"/>
    <s v="099/2550-825"/>
    <s v="goran.hoic@alu.unizg.hr"/>
    <s v="Ilica 85"/>
    <s v="Ilica 85"/>
    <s v="95847257607"/>
    <x v="1"/>
    <m/>
    <m/>
    <m/>
    <m/>
  </r>
  <r>
    <m/>
    <n v="369"/>
    <s v="147"/>
    <x v="11"/>
    <x v="87"/>
    <n v="6"/>
    <x v="8"/>
    <s v="Teo Brusić_x000a_Zoran Vučinić"/>
    <s v="098/338-182_x000a_091/1651-230"/>
    <s v="teo.brusic@medri.uniri.hr_x000a_zoran.vucinic@medri.uniri.hr"/>
    <s v="Braće Branchetta 20"/>
    <s v="Rijeka, B. Branchetta 20"/>
    <s v="98164324541"/>
    <x v="6"/>
    <m/>
    <m/>
    <m/>
    <m/>
  </r>
  <r>
    <m/>
    <n v="370"/>
    <s v="158"/>
    <x v="11"/>
    <x v="21"/>
    <n v="1"/>
    <x v="13"/>
    <s v="Ivan Rebekić"/>
    <s v="099 304 6109"/>
    <s v="irebekic@fazos.hr"/>
    <s v="Ulica Vladimira Preloga 1"/>
    <s v="Vladimira Preloga 1, 31000 Osijek"/>
    <s v="98816779821"/>
    <x v="6"/>
    <m/>
    <m/>
    <m/>
    <m/>
  </r>
  <r>
    <m/>
    <n v="371"/>
    <s v="4917"/>
    <x v="11"/>
    <x v="96"/>
    <n v="1"/>
    <x v="11"/>
    <s v="Domagoj Vučica"/>
    <s v="091/1265-486"/>
    <s v="domagoj@ktf-split.hr"/>
    <s v="R. Boškovića 35"/>
    <s v="R. Boškovića 35"/>
    <s v="99401575594"/>
    <x v="6"/>
    <m/>
    <m/>
    <m/>
    <m/>
  </r>
  <r>
    <m/>
    <n v="372"/>
    <s v="3324"/>
    <x v="11"/>
    <x v="34"/>
    <n v="2"/>
    <x v="1"/>
    <s v="Dario Knežić"/>
    <s v="0917615616"/>
    <s v="dknezic@fhs.unizg.hr"/>
    <s v="Borongajska Cesta 83D"/>
    <s v="Borongajska cesta 83d, Zagreb"/>
    <s v="99454315441"/>
    <x v="1"/>
    <m/>
    <m/>
    <m/>
    <m/>
  </r>
  <r>
    <m/>
    <n v="373"/>
    <s v="203"/>
    <x v="11"/>
    <x v="65"/>
    <n v="1"/>
    <x v="1"/>
    <s v="Marijan Galjar"/>
    <s v="098 855 676"/>
    <s v="marijan.galjar@rgn.hr"/>
    <s v="Pierottijeva Ulica 6"/>
    <s v="Pierottijeva 6"/>
    <s v="99534693762"/>
    <x v="1"/>
    <m/>
    <m/>
    <m/>
    <m/>
  </r>
  <r>
    <m/>
    <n v="374"/>
    <s v="206"/>
    <x v="11"/>
    <x v="35"/>
    <n v="2"/>
    <x v="1"/>
    <s v="Davor Štrk"/>
    <s v="099 3136 671"/>
    <s v="dstrk@fkz.hr"/>
    <s v="Avenija Gojka Šuška 1"/>
    <s v="Av. Gojka Šuška 1, Zagreb"/>
    <s v="36162371878"/>
    <x v="1"/>
    <m/>
    <m/>
    <m/>
    <m/>
  </r>
  <r>
    <m/>
    <n v="375"/>
    <s v="4589"/>
    <x v="11"/>
    <x v="14"/>
    <n v="1"/>
    <x v="1"/>
    <s v="Predrag Šinko"/>
    <s v="095/205-2570"/>
    <s v="predrag.sinko@sois-ft.hr"/>
    <s v="Ilica 256B"/>
    <s v="Ilica 256B, obj. 58"/>
    <s v="36752094474"/>
    <x v="6"/>
    <m/>
    <m/>
    <m/>
    <m/>
  </r>
  <r>
    <m/>
    <n v="376"/>
    <s v="188"/>
    <x v="11"/>
    <x v="4"/>
    <n v="5"/>
    <x v="1"/>
    <s v="Boris Rončević"/>
    <s v="099 5327723"/>
    <s v="broncevic@nsk.hr"/>
    <s v="Ul. Hrvatske Bratske Zajednice 4"/>
    <s v="NSK - Ul. Hrvatske Bratske Zajednice 4"/>
    <m/>
    <x v="6"/>
    <m/>
    <m/>
    <m/>
    <m/>
  </r>
  <r>
    <m/>
    <m/>
    <m/>
    <x v="12"/>
    <x v="0"/>
    <n v="92"/>
    <x v="0"/>
    <m/>
    <m/>
    <m/>
    <m/>
    <m/>
    <m/>
    <x v="0"/>
    <m/>
    <m/>
    <m/>
    <m/>
  </r>
  <r>
    <m/>
    <n v="377"/>
    <s v="3990"/>
    <x v="12"/>
    <x v="37"/>
    <n v="1"/>
    <x v="17"/>
    <s v="Stjepo Hladilo"/>
    <s v="0919322586"/>
    <s v="stjepo.hladilo@unidu.hr"/>
    <s v="Branitelja Dubrovnika 41"/>
    <s v="Branitelja Dubrovnika 41, Dubrovnik"/>
    <s v="1338491514"/>
    <x v="2"/>
    <m/>
    <m/>
    <m/>
    <m/>
  </r>
  <r>
    <m/>
    <n v="378"/>
    <s v="131"/>
    <x v="12"/>
    <x v="66"/>
    <n v="15"/>
    <x v="10"/>
    <s v="Mario Harjač"/>
    <s v="097 610 1011"/>
    <s v="maharjac@foi.unizg.hr"/>
    <s v="Pavlinska Ulica 2"/>
    <s v="Pavlinska ulica 2, Varaždin"/>
    <s v="2024882310"/>
    <x v="1"/>
    <m/>
    <m/>
    <m/>
    <m/>
  </r>
  <r>
    <m/>
    <n v="379"/>
    <s v="368"/>
    <x v="12"/>
    <x v="6"/>
    <n v="10"/>
    <x v="3"/>
    <s v="Ivan Nimac"/>
    <s v="095/826-5888"/>
    <s v="inimac@unizd.hr"/>
    <s v="Ulica Mihovila Pavlinovića 1"/>
    <s v="Obala kralja Petra Krešimira IV. Br. 2, 23000 Zadar"/>
    <s v="10839679016"/>
    <x v="1"/>
    <m/>
    <m/>
    <m/>
    <m/>
  </r>
  <r>
    <m/>
    <n v="380"/>
    <s v="121"/>
    <x v="12"/>
    <x v="1"/>
    <n v="1"/>
    <x v="1"/>
    <s v="Mate Galić"/>
    <s v="098806500"/>
    <s v="mate.galic@pharma.unizg.hr"/>
    <s v="Ulica Ante Kovačića 1"/>
    <s v="Domagojeva 2"/>
    <s v="14509285435"/>
    <x v="1"/>
    <m/>
    <m/>
    <m/>
    <m/>
  </r>
  <r>
    <m/>
    <n v="381"/>
    <s v="191"/>
    <x v="12"/>
    <x v="88"/>
    <n v="1"/>
    <x v="1"/>
    <s v="Dario Kužić"/>
    <s v="385994988065"/>
    <s v=" dkuzic@fpz.unizg.hr"/>
    <s v="Ulica Lavoslava Vukelića 4"/>
    <s v="Borongajska cesta 83a"/>
    <s v="25410051374"/>
    <x v="1"/>
    <m/>
    <m/>
    <m/>
    <m/>
  </r>
  <r>
    <m/>
    <n v="382"/>
    <s v="185"/>
    <x v="12"/>
    <x v="43"/>
    <n v="1"/>
    <x v="1"/>
    <s v="Marko Maričević"/>
    <s v="0915193488"/>
    <s v="marko.maricevic@grf.hr"/>
    <s v="Getaldićeva Ulica 2"/>
    <s v="Getaldićeva 2, Zagreb"/>
    <s v="25564990903"/>
    <x v="1"/>
    <m/>
    <m/>
    <m/>
    <m/>
  </r>
  <r>
    <m/>
    <n v="383"/>
    <s v="168"/>
    <x v="12"/>
    <x v="77"/>
    <n v="1"/>
    <x v="13"/>
    <s v="Bruno Bakarić"/>
    <s v="031/224-508"/>
    <s v="bbakaric@pravos.hr"/>
    <s v="Ulica Stjepana Radića 13"/>
    <s v="Stjepana Radića 17"/>
    <s v="26416570803"/>
    <x v="1"/>
    <m/>
    <m/>
    <m/>
    <m/>
  </r>
  <r>
    <m/>
    <n v="384"/>
    <s v="130"/>
    <x v="12"/>
    <x v="45"/>
    <n v="8"/>
    <x v="1"/>
    <s v="Kristian Došen"/>
    <s v="091 7888 474"/>
    <s v="kristian.dosen@fpzg.hr"/>
    <s v="Ulica Ivana Lepušića 6"/>
    <s v="Lepušićeva 6, 10000 Zagreb"/>
    <s v="28011548575"/>
    <x v="1"/>
    <m/>
    <m/>
    <m/>
    <m/>
  </r>
  <r>
    <m/>
    <n v="385"/>
    <s v="469"/>
    <x v="12"/>
    <x v="75"/>
    <n v="2"/>
    <x v="1"/>
    <s v="Krunoslav Komugović"/>
    <s v="385915058109"/>
    <s v="krunoslav.komugovic@pmf.hr"/>
    <s v="Horvatovac 102A"/>
    <s v="Bijenička cesta 30"/>
    <s v="28163265527"/>
    <x v="1"/>
    <m/>
    <m/>
    <m/>
    <m/>
  </r>
  <r>
    <m/>
    <s v="386a_x000a_386b"/>
    <s v="5713"/>
    <x v="12"/>
    <x v="27"/>
    <n v="4"/>
    <x v="11"/>
    <s v="Petra Marić_x000a_Petra Musap"/>
    <s v="0913210792_x000a_0991639750"/>
    <s v="pmaric@unist.hr_x000a_petra.musap@unist.hr"/>
    <s v="R. Boškovića 31"/>
    <s v="Ruđera Boškovića 31, Split 1 kom._x000a_Poljana kraljice Jelene 1, Split  3 kom."/>
    <s v="29845096215"/>
    <x v="1"/>
    <m/>
    <m/>
    <m/>
    <m/>
  </r>
  <r>
    <m/>
    <n v="387"/>
    <s v="1972"/>
    <x v="12"/>
    <x v="47"/>
    <n v="1"/>
    <x v="20"/>
    <s v="Damir Lulić"/>
    <s v="0981771615"/>
    <s v="dlulic@unisb.hr"/>
    <s v="Trg &quot;Ivana Brlić Mažuranić&quot; 2"/>
    <s v="Ulica 108. brigade ZNG 36"/>
    <s v="33027834374"/>
    <x v="1"/>
    <m/>
    <m/>
    <m/>
    <m/>
  </r>
  <r>
    <m/>
    <n v="388"/>
    <s v="140"/>
    <x v="12"/>
    <x v="83"/>
    <n v="1"/>
    <x v="1"/>
    <s v="Marko Poletto"/>
    <s v="099/4928854"/>
    <s v="pmarko@vef.unizg.hr"/>
    <s v="Ulica Vjekoslava Heinzela 55"/>
    <s v="Ulica Vjekoslava Heinzela 55, 10000 Zagreb"/>
    <s v="36389528408"/>
    <x v="1"/>
    <m/>
    <m/>
    <m/>
    <m/>
  </r>
  <r>
    <m/>
    <n v="389"/>
    <s v="3545"/>
    <x v="12"/>
    <x v="29"/>
    <n v="1"/>
    <x v="11"/>
    <s v="Branimir Džaja"/>
    <s v="091-2600324"/>
    <s v="branimir.dzaja@umas.hr"/>
    <s v="Zagrebačka 3"/>
    <s v="Fausta Vrančića 19"/>
    <s v="38960125358"/>
    <x v="1"/>
    <m/>
    <m/>
    <m/>
    <m/>
  </r>
  <r>
    <m/>
    <n v="390"/>
    <s v="141"/>
    <x v="12"/>
    <x v="30"/>
    <n v="2"/>
    <x v="1"/>
    <s v="Emil Flatz"/>
    <s v="38598302567"/>
    <s v="eflatz@arhitekt.hr"/>
    <s v="Kačićeva Ulica 26"/>
    <s v="Frankopanska 12"/>
    <s v="42061107444"/>
    <x v="1"/>
    <m/>
    <m/>
    <m/>
    <m/>
  </r>
  <r>
    <m/>
    <n v="391"/>
    <s v="165"/>
    <x v="12"/>
    <x v="79"/>
    <n v="1"/>
    <x v="1"/>
    <s v="Mirza Žižak"/>
    <s v="091-595-2783"/>
    <s v="mirza.zizak@mef.hr"/>
    <s v="Šalata 3"/>
    <s v="Šalata 2"/>
    <s v="45001686598"/>
    <x v="1"/>
    <m/>
    <m/>
    <m/>
    <m/>
  </r>
  <r>
    <m/>
    <n v="392"/>
    <s v="3795"/>
    <x v="12"/>
    <x v="2"/>
    <n v="1"/>
    <x v="2"/>
    <s v="Enes Ciriković"/>
    <s v="0989225600"/>
    <s v="enes.cirikovic@vuv.hr"/>
    <s v="Ulica Matije Gupca 78"/>
    <s v="Matije Gupca 78, 33000 Virovitica"/>
    <s v="46576407858"/>
    <x v="1"/>
    <m/>
    <m/>
    <m/>
    <m/>
  </r>
  <r>
    <m/>
    <n v="393"/>
    <s v="146"/>
    <x v="12"/>
    <x v="70"/>
    <n v="4"/>
    <x v="1"/>
    <s v="Ana Vukelić"/>
    <s v="0915677600"/>
    <s v="avukelic@pbf.hr"/>
    <s v="Pierottijeva Ulica 6"/>
    <s v="Pierottijeva 6"/>
    <s v="47824453867"/>
    <x v="1"/>
    <m/>
    <m/>
    <m/>
    <m/>
  </r>
  <r>
    <m/>
    <n v="394"/>
    <s v="182"/>
    <x v="12"/>
    <x v="51"/>
    <n v="1"/>
    <x v="21"/>
    <s v="Goran Šljivić"/>
    <s v="0981785148"/>
    <s v="sljivic@simet.hr"/>
    <s v="Aleja Narodnih Heroja 3"/>
    <s v="Sisak, Aleja narodnih heroja 3"/>
    <s v="48006703414"/>
    <x v="1"/>
    <m/>
    <m/>
    <m/>
    <m/>
  </r>
  <r>
    <m/>
    <n v="395"/>
    <s v="125"/>
    <x v="12"/>
    <x v="84"/>
    <n v="1"/>
    <x v="13"/>
    <s v="Damir Kovačević"/>
    <s v="385912244189"/>
    <s v="damir.kovacevic@efos.hr"/>
    <s v="Trg Ljudevita Gaja 7"/>
    <s v="Trg Ljudevita Gaja 7, Osijek"/>
    <s v="52778515544"/>
    <x v="1"/>
    <m/>
    <m/>
    <m/>
    <m/>
  </r>
  <r>
    <m/>
    <n v="396"/>
    <s v="275"/>
    <x v="12"/>
    <x v="85"/>
    <n v="1"/>
    <x v="13"/>
    <s v="Petar Taler"/>
    <s v="091 224 1039"/>
    <s v="petar@mathos.hr"/>
    <s v="Trg Ljudevita Gaja 6"/>
    <s v="Trg Lj. Gaja 6, Osijek"/>
    <s v="56597320763"/>
    <x v="1"/>
    <m/>
    <m/>
    <m/>
    <m/>
  </r>
  <r>
    <m/>
    <n v="397"/>
    <s v="138"/>
    <x v="12"/>
    <x v="71"/>
    <n v="2"/>
    <x v="1"/>
    <s v="Denis Hernaut"/>
    <s v="+385 91 604 3920"/>
    <s v="denis.hernaut@fer.hr"/>
    <s v="Unska Ulica 3"/>
    <s v="Vukovarska 39, Zagreb"/>
    <s v="57029260362"/>
    <x v="1"/>
    <m/>
    <m/>
    <m/>
    <m/>
  </r>
  <r>
    <m/>
    <n v="398"/>
    <s v="181"/>
    <x v="12"/>
    <x v="80"/>
    <n v="2"/>
    <x v="13"/>
    <s v="Zoltan Juhas"/>
    <s v="091/ 2549 157"/>
    <s v="zoli@ffos.hr"/>
    <s v="Ulica Lorenza Jägera 9"/>
    <s v="Ulica Lorenza Jägera 9"/>
    <s v="58868871646"/>
    <x v="1"/>
    <m/>
    <m/>
    <m/>
    <m/>
  </r>
  <r>
    <m/>
    <n v="399"/>
    <s v="3554"/>
    <x v="12"/>
    <x v="10"/>
    <n v="6"/>
    <x v="7"/>
    <s v="Dario Kukuljan"/>
    <s v="0993777446"/>
    <s v="dkukuljan@unipu.hr"/>
    <s v="Zagrebačka Ulica 30"/>
    <s v="Alda Negrija 6, Pila"/>
    <s v="61738073226"/>
    <x v="1"/>
    <m/>
    <m/>
    <m/>
    <m/>
  </r>
  <r>
    <m/>
    <s v="400a_x000a_400b"/>
    <s v="221"/>
    <x v="12"/>
    <x v="11"/>
    <n v="10"/>
    <x v="8"/>
    <s v="Linda Petričić, Nicole Tomišić _x000a_Danka Jurjević"/>
    <s v="091 165 1207, 0922875203_x000a_0922875203"/>
    <s v="ntomisic@fdmri.uniri.hr linda.petricic@fdmri.uniri.hr_x000a_danka.jurjevic@uniri.hr"/>
    <s v="Trg Braće Mažuranića 10"/>
    <s v="Krešimirova 40/42, 51000 Rijeak 7 kom._x000a_Radmile Matejčić 2; 51000 Rijeka 3 kom."/>
    <s v="64218323816"/>
    <x v="1"/>
    <m/>
    <m/>
    <m/>
    <m/>
  </r>
  <r>
    <m/>
    <n v="401"/>
    <s v="187"/>
    <x v="12"/>
    <x v="56"/>
    <n v="1"/>
    <x v="1"/>
    <s v="Sandi Homolak (Zagreb)"/>
    <s v="091 619 5223"/>
    <s v="informatika.zagreb@ufzg.hr"/>
    <s v="Savska Cesta 77"/>
    <s v="Savska cesta 77, 10000 Zagreb"/>
    <s v="72226488129"/>
    <x v="1"/>
    <m/>
    <m/>
    <m/>
    <m/>
  </r>
  <r>
    <m/>
    <n v="402"/>
    <s v="222"/>
    <x v="12"/>
    <x v="33"/>
    <n v="2"/>
    <x v="13"/>
    <s v="Albert Oswald"/>
    <s v=" +385912241400"/>
    <s v="oswald@unios.hr"/>
    <s v="Trg Sv. Trojstva 3"/>
    <s v="Trg. Sv. Trojstva 3"/>
    <s v="78808975734"/>
    <x v="1"/>
    <m/>
    <m/>
    <m/>
    <m/>
  </r>
  <r>
    <m/>
    <n v="403"/>
    <s v="316"/>
    <x v="12"/>
    <x v="20"/>
    <n v="2"/>
    <x v="11"/>
    <s v="Ante Denić"/>
    <s v="(+385)915683877"/>
    <s v="dante@efst.hr"/>
    <s v="Cvite Fiskovića 5"/>
    <s v="Cvite Fiskovića 5, Split"/>
    <s v="84477684422"/>
    <x v="1"/>
    <m/>
    <m/>
    <m/>
    <m/>
  </r>
  <r>
    <m/>
    <n v="404"/>
    <s v="199"/>
    <x v="12"/>
    <x v="61"/>
    <n v="1"/>
    <x v="13"/>
    <s v="Mario Miloloza"/>
    <s v="0912246140"/>
    <s v="mario.miloloza@ferit.hr"/>
    <s v="Ulica Kneza Trpimira 2B"/>
    <s v="Cara Hadrijana 10b, Osijek"/>
    <s v="95494259952"/>
    <x v="1"/>
    <m/>
    <m/>
    <m/>
    <m/>
  </r>
  <r>
    <m/>
    <n v="405"/>
    <s v="5769"/>
    <x v="12"/>
    <x v="64"/>
    <n v="1"/>
    <x v="11"/>
    <s v="Slaven Kušljić"/>
    <s v="021 545545, 091 4443745"/>
    <s v="slaven@ffst.hr"/>
    <s v="Poljička Cesta 35"/>
    <s v="Poljička cesta 35"/>
    <s v="98004523293"/>
    <x v="1"/>
    <m/>
    <m/>
    <m/>
    <m/>
  </r>
  <r>
    <m/>
    <n v="406"/>
    <s v="147"/>
    <x v="12"/>
    <x v="87"/>
    <n v="1"/>
    <x v="8"/>
    <s v="Teo Brusić_x000a_Zoran Vučinić"/>
    <s v="098/338-182_x000a_091/1651-230"/>
    <s v="teo.brusic@medri.uniri.hr_x000a_zoran.vucinic@medri.uniri.hr"/>
    <s v="Braće Branchetta 20"/>
    <s v="Rijeka, B. Branchetta 20"/>
    <s v="98164324541"/>
    <x v="1"/>
    <m/>
    <m/>
    <m/>
    <m/>
  </r>
  <r>
    <m/>
    <n v="407"/>
    <s v="4917"/>
    <x v="12"/>
    <x v="96"/>
    <n v="1"/>
    <x v="11"/>
    <s v="Domagoj Vučica"/>
    <s v="091/1265-486"/>
    <s v="domagoj@ktf-split.hr"/>
    <s v="R. Boškovića 35"/>
    <s v="R. Boškovića 35"/>
    <s v="99401575594"/>
    <x v="1"/>
    <m/>
    <m/>
    <m/>
    <m/>
  </r>
  <r>
    <m/>
    <n v="408"/>
    <s v="3324"/>
    <x v="12"/>
    <x v="34"/>
    <n v="2"/>
    <x v="1"/>
    <s v="Dario Knežić"/>
    <s v="0917615616"/>
    <s v="dknezic@fhs.unizg.hr"/>
    <s v="Borongajska Cesta 83D"/>
    <s v="Borongajska cesta 83d, Zagreb"/>
    <s v="99454315441"/>
    <x v="1"/>
    <m/>
    <m/>
    <m/>
    <m/>
  </r>
  <r>
    <m/>
    <n v="409"/>
    <s v="203"/>
    <x v="12"/>
    <x v="65"/>
    <n v="1"/>
    <x v="1"/>
    <s v="Marijan Galjar"/>
    <s v="098 855 676"/>
    <s v="marijan.galjar@rgn.hr"/>
    <s v="Pierottijeva Ulica 6"/>
    <s v="Pierottijeva 6"/>
    <s v="99534693762"/>
    <x v="1"/>
    <m/>
    <m/>
    <m/>
    <m/>
  </r>
  <r>
    <m/>
    <n v="410"/>
    <s v="4589"/>
    <x v="12"/>
    <x v="14"/>
    <n v="1"/>
    <x v="1"/>
    <s v="Predrag Šinko"/>
    <s v="095/205-2570"/>
    <s v="predrag.sinko@sois-ft.hr"/>
    <s v="Ilica 256B"/>
    <s v="Ilica 256B, obj. 58"/>
    <s v="36752094474"/>
    <x v="1"/>
    <m/>
    <m/>
    <m/>
    <m/>
  </r>
  <r>
    <m/>
    <n v="411"/>
    <s v="188"/>
    <x v="12"/>
    <x v="4"/>
    <n v="1"/>
    <x v="1"/>
    <s v="Boris Rončević"/>
    <s v="099 5327723"/>
    <s v="broncevic@nsk.hr"/>
    <s v="Ul. Hrvatske Bratske Zajednice 4"/>
    <s v="NSK - Ul. Hrvatske Bratske Zajednice 4"/>
    <m/>
    <x v="1"/>
    <m/>
    <m/>
    <m/>
    <m/>
  </r>
  <r>
    <m/>
    <m/>
    <m/>
    <x v="13"/>
    <x v="0"/>
    <n v="59"/>
    <x v="0"/>
    <m/>
    <m/>
    <m/>
    <m/>
    <m/>
    <m/>
    <x v="0"/>
    <m/>
    <m/>
    <m/>
    <m/>
  </r>
  <r>
    <m/>
    <n v="412"/>
    <s v="3689"/>
    <x v="13"/>
    <x v="5"/>
    <n v="5"/>
    <x v="1"/>
    <s v="Nikola Barba"/>
    <s v="099 6081 436"/>
    <s v="nikola.barba@unicath.hr"/>
    <s v="Ilica 244B"/>
    <s v="Ilica 244, 10000 Zagreb"/>
    <s v="7730927366"/>
    <x v="5"/>
    <m/>
    <m/>
    <m/>
    <m/>
  </r>
  <r>
    <m/>
    <n v="413"/>
    <s v="1918"/>
    <x v="13"/>
    <x v="23"/>
    <n v="1"/>
    <x v="1"/>
    <s v="Ivan Rajković"/>
    <s v="+385998153651"/>
    <s v="ivan.rajkovic@tvz.hr"/>
    <s v="Vrbik 8"/>
    <s v="Vrbik 8"/>
    <s v="8814003451"/>
    <x v="5"/>
    <m/>
    <m/>
    <m/>
    <m/>
  </r>
  <r>
    <m/>
    <n v="414"/>
    <s v="368"/>
    <x v="13"/>
    <x v="6"/>
    <n v="3"/>
    <x v="3"/>
    <s v="Ivan Nimac"/>
    <s v="095/826-5888"/>
    <s v="inimac@unizd.hr"/>
    <s v="Ulica Mihovila Pavlinovića 1"/>
    <s v="Obala kralja Petra Krešimira IV. Br. 2, 23000 Zadar"/>
    <s v="10839679016"/>
    <x v="5"/>
    <m/>
    <m/>
    <m/>
    <m/>
  </r>
  <r>
    <m/>
    <n v="415"/>
    <s v="530"/>
    <x v="13"/>
    <x v="7"/>
    <n v="1"/>
    <x v="4"/>
    <s v="Marko Meštrović"/>
    <s v="022/664-451"/>
    <s v="mmestrovic@veleknin.hr"/>
    <s v="Krešimirova 30"/>
    <s v="Krešimirova 30, Knin"/>
    <s v="13664089430"/>
    <x v="5"/>
    <m/>
    <m/>
    <m/>
    <m/>
  </r>
  <r>
    <m/>
    <n v="416"/>
    <s v="4919"/>
    <x v="13"/>
    <x v="42"/>
    <n v="1"/>
    <x v="11"/>
    <s v="Doris Knego"/>
    <s v="098 9394211,"/>
    <s v="doris.knego@pmfst.hr"/>
    <s v="R. Boškovića 33"/>
    <s v="Ruđera Boškovića 33"/>
    <s v="20858497843"/>
    <x v="5"/>
    <m/>
    <m/>
    <m/>
    <m/>
  </r>
  <r>
    <m/>
    <n v="417"/>
    <s v="191"/>
    <x v="13"/>
    <x v="88"/>
    <n v="1"/>
    <x v="1"/>
    <s v="Dario Kužić"/>
    <s v="385994988065"/>
    <s v=" dkuzic@fpz.unizg.hr"/>
    <s v="Ulica Lavoslava Vukelića 4"/>
    <s v="Borongajska cesta 83a"/>
    <s v="25410051374"/>
    <x v="5"/>
    <m/>
    <m/>
    <m/>
    <m/>
  </r>
  <r>
    <m/>
    <n v="418"/>
    <s v="185"/>
    <x v="13"/>
    <x v="43"/>
    <n v="1"/>
    <x v="1"/>
    <s v="Marko Maričević"/>
    <s v="0915193488"/>
    <s v="marko.maricevic@grf.hr"/>
    <s v="Getaldićeva Ulica 2"/>
    <s v="Getaldićeva 2, Zagreb"/>
    <s v="25564990903"/>
    <x v="5"/>
    <m/>
    <m/>
    <m/>
    <m/>
  </r>
  <r>
    <m/>
    <n v="419"/>
    <s v="L"/>
    <x v="13"/>
    <x v="44"/>
    <n v="1"/>
    <x v="1"/>
    <s v="Mikolaj Martinjak"/>
    <s v="0989478881"/>
    <s v="mika@ffrz.hr"/>
    <s v="Jordanovac 110"/>
    <s v="Jordanovac 110"/>
    <s v="26975482530"/>
    <x v="5"/>
    <m/>
    <m/>
    <m/>
    <m/>
  </r>
  <r>
    <m/>
    <n v="420"/>
    <s v="130"/>
    <x v="13"/>
    <x v="45"/>
    <n v="2"/>
    <x v="1"/>
    <s v="Kristian Došen"/>
    <s v="091 7888 474"/>
    <s v="kristian.dosen@fpzg.hr"/>
    <s v="Ulica Ivana Lepušića 6"/>
    <s v="Lepušićeva 6, 10000 Zagreb"/>
    <s v="28011548575"/>
    <x v="5"/>
    <m/>
    <m/>
    <m/>
    <m/>
  </r>
  <r>
    <s v="L"/>
    <s v="421a_x000a_421b_x000a_421c"/>
    <s v="5713"/>
    <x v="13"/>
    <x v="27"/>
    <n v="4"/>
    <x v="11"/>
    <s v="Petra Marić_x000a_Petra Musap_x000a_Mirko Šalinović"/>
    <s v="0913210792_x000a_0991639750_x000a_O98 9895758"/>
    <s v="pmaric@unist.hr_x000a_petra.musap@unist.hr_x000a_msalinovic@unist.hr"/>
    <s v="R. Boškovića 31"/>
    <s v="Ruđera Boškovića 31, Split 1 kom._x000a_Poljana kraljice Jelene 1, Split  2 kom._x000a_Franjevački put 1, Makarska  1 kom."/>
    <s v="29845096215"/>
    <x v="5"/>
    <m/>
    <m/>
    <m/>
    <m/>
  </r>
  <r>
    <m/>
    <n v="422"/>
    <s v="1972"/>
    <x v="13"/>
    <x v="47"/>
    <n v="4"/>
    <x v="20"/>
    <s v="Damir Lulić"/>
    <s v="0981771615"/>
    <s v="dlulic@unisb.hr"/>
    <s v="Trg &quot;Ivana Brlić Mažuranić&quot; 2"/>
    <s v="Ulica 108. brigade ZNG 36"/>
    <s v="33027834374"/>
    <x v="5"/>
    <m/>
    <m/>
    <m/>
    <m/>
  </r>
  <r>
    <m/>
    <n v="423"/>
    <s v="219"/>
    <x v="13"/>
    <x v="28"/>
    <n v="1"/>
    <x v="1"/>
    <s v="Siniša Vlahović_x000a_"/>
    <s v="098 268 472_x000a_"/>
    <s v="svlahovic@unizg.hr_x000a_"/>
    <s v="Trg Republike Hrvatske 14"/>
    <s v="Ulica Radoslava Cimermana 88, 10000 Zagreb"/>
    <s v="36612267447"/>
    <x v="5"/>
    <m/>
    <m/>
    <m/>
    <m/>
  </r>
  <r>
    <m/>
    <n v="424"/>
    <s v="3545"/>
    <x v="13"/>
    <x v="29"/>
    <n v="1"/>
    <x v="11"/>
    <s v="Branimir Džaja"/>
    <s v="091-2600324"/>
    <s v="branimir.dzaja@umas.hr"/>
    <s v="Zagrebačka 3"/>
    <s v="Glagoljaška 18a, Gripe"/>
    <s v="38960125358"/>
    <x v="5"/>
    <m/>
    <m/>
    <m/>
    <m/>
  </r>
  <r>
    <m/>
    <n v="425"/>
    <s v="141"/>
    <x v="13"/>
    <x v="30"/>
    <n v="1"/>
    <x v="1"/>
    <s v="Emil Flatz"/>
    <s v="38598302567"/>
    <s v="eflatz@arhitekt.hr"/>
    <s v="Kačićeva Ulica 26"/>
    <s v="Frankopanska 12"/>
    <s v="42061107444"/>
    <x v="5"/>
    <m/>
    <m/>
    <m/>
    <m/>
  </r>
  <r>
    <m/>
    <n v="426"/>
    <s v="165"/>
    <x v="13"/>
    <x v="79"/>
    <n v="2"/>
    <x v="1"/>
    <s v="Mirza Žižak"/>
    <s v="091-595-2783"/>
    <s v="mirza.zizak@mef.hr"/>
    <s v="Šalata 3"/>
    <s v="Šalata 2"/>
    <s v="45001686598"/>
    <x v="5"/>
    <m/>
    <m/>
    <m/>
    <m/>
  </r>
  <r>
    <m/>
    <n v="427"/>
    <s v="182"/>
    <x v="13"/>
    <x v="51"/>
    <n v="1"/>
    <x v="21"/>
    <s v="Goran Šljivić"/>
    <s v="0981785148"/>
    <s v="sljivic@simet.hr"/>
    <s v="Aleja Narodnih Heroja 3"/>
    <s v="Sisak, Aleja narodnih heroja 3"/>
    <s v="48006703414"/>
    <x v="5"/>
    <m/>
    <m/>
    <m/>
    <m/>
  </r>
  <r>
    <m/>
    <n v="428"/>
    <s v="245"/>
    <x v="13"/>
    <x v="52"/>
    <n v="1"/>
    <x v="1"/>
    <s v="Ozren Digula, Kristijan Zbiljski"/>
    <s v="0914595855, 0914595858"/>
    <s v="ozren.digula@zvu.hr, kristijan.zbiljski@zvu.hr"/>
    <s v="Mlinarska Cesta 38"/>
    <s v="Mlinarska cesta 38"/>
    <s v="50952646228"/>
    <x v="5"/>
    <m/>
    <m/>
    <m/>
    <m/>
  </r>
  <r>
    <m/>
    <n v="429"/>
    <s v="275"/>
    <x v="13"/>
    <x v="85"/>
    <n v="1"/>
    <x v="13"/>
    <s v="Petar Taler"/>
    <s v="091 224 1039"/>
    <s v="petar@mathos.hr"/>
    <s v="Trg Ljudevita Gaja 6"/>
    <s v="Trg Lj. Gaja 6, Osijek"/>
    <s v="56597320763"/>
    <x v="5"/>
    <m/>
    <m/>
    <m/>
    <m/>
  </r>
  <r>
    <m/>
    <n v="430"/>
    <s v="181"/>
    <x v="13"/>
    <x v="80"/>
    <n v="1"/>
    <x v="13"/>
    <s v="Zoltan Juhas"/>
    <s v="091/ 2549 157"/>
    <s v="zoli@ffos.hr"/>
    <s v="Ulica Lorenza Jägera 9"/>
    <s v="Ulica Lorenza Jägera 9"/>
    <s v="58868871646"/>
    <x v="5"/>
    <m/>
    <m/>
    <m/>
    <m/>
  </r>
  <r>
    <m/>
    <n v="431"/>
    <s v="4497"/>
    <x v="13"/>
    <x v="9"/>
    <n v="5"/>
    <x v="6"/>
    <s v="Branimir Kolman"/>
    <s v="091 244 0130"/>
    <s v="bkolman@unin.hr"/>
    <s v="Trg Dr. Žarka Dolinara 1"/>
    <s v="Unin 3 - Ulica Jurja Križanića 31 b, VŽ"/>
    <s v="59624928052"/>
    <x v="5"/>
    <m/>
    <m/>
    <m/>
    <m/>
  </r>
  <r>
    <m/>
    <n v="432"/>
    <s v="3554"/>
    <x v="13"/>
    <x v="10"/>
    <n v="3"/>
    <x v="7"/>
    <s v="Dario Kukuljan"/>
    <s v="0993777446"/>
    <s v="dkukuljan@unipu.hr"/>
    <s v="Zagrebačka Ulica 30"/>
    <s v="Alda Negrija 6, Pila"/>
    <s v="61738073226"/>
    <x v="5"/>
    <m/>
    <m/>
    <m/>
    <m/>
  </r>
  <r>
    <m/>
    <n v="433"/>
    <s v="221"/>
    <x v="13"/>
    <x v="11"/>
    <n v="4"/>
    <x v="8"/>
    <s v="Marko Roža"/>
    <s v="051/265-873"/>
    <s v="marko.roza@uniri.hr"/>
    <s v="Trg Braće Mažuranića 10"/>
    <s v="Radmile Matejčić 2; 51000 Rijeka"/>
    <s v="64218323816"/>
    <x v="5"/>
    <m/>
    <m/>
    <m/>
    <m/>
  </r>
  <r>
    <m/>
    <n v="434"/>
    <s v="150"/>
    <x v="13"/>
    <x v="12"/>
    <n v="5"/>
    <x v="1"/>
    <s v="Dario Đurasović"/>
    <s v="091 4802 130"/>
    <s v="dario@sfzg.hr"/>
    <s v="Gundulićeva Ulica 5"/>
    <s v="Gundulićeva 5, Zagreb"/>
    <s v="70221464726"/>
    <x v="5"/>
    <m/>
    <m/>
    <m/>
    <m/>
  </r>
  <r>
    <m/>
    <n v="435"/>
    <s v="222"/>
    <x v="13"/>
    <x v="33"/>
    <n v="1"/>
    <x v="13"/>
    <s v="Albert Oswald"/>
    <s v=" +385912241400"/>
    <s v="oswald@unios.hr"/>
    <s v="Trg Sv. Trojstva 3"/>
    <s v="Trg. Sv. Trojstva 3"/>
    <s v="78808975734"/>
    <x v="5"/>
    <m/>
    <m/>
    <m/>
    <m/>
  </r>
  <r>
    <m/>
    <n v="436"/>
    <s v="316"/>
    <x v="13"/>
    <x v="20"/>
    <n v="1"/>
    <x v="11"/>
    <s v="Ante Denić"/>
    <s v="(+385)915683877"/>
    <s v="dante@efst.hr"/>
    <s v="Cvite Fiskovića 5"/>
    <s v="Cvite Fiskovića 5, Split"/>
    <s v="84477684422"/>
    <x v="5"/>
    <m/>
    <m/>
    <m/>
    <m/>
  </r>
  <r>
    <m/>
    <n v="437"/>
    <s v="172"/>
    <x v="13"/>
    <x v="95"/>
    <n v="1"/>
    <x v="8"/>
    <s v="Elvis Žic"/>
    <s v="0915038578"/>
    <s v="elvis.zic@uniri.hr"/>
    <s v="Ulica Radmile Matejčić 3"/>
    <s v="Ulica Radmile Matejčić 3, 51000 Rijeka"/>
    <s v="92037849504"/>
    <x v="5"/>
    <m/>
    <m/>
    <m/>
    <m/>
  </r>
  <r>
    <m/>
    <n v="438"/>
    <s v="199"/>
    <x v="13"/>
    <x v="61"/>
    <n v="2"/>
    <x v="13"/>
    <s v="Mario Miloloza"/>
    <s v="0912246140"/>
    <s v="mario.miloloza@ferit.hr"/>
    <s v="Ulica Kneza Trpimira 2B"/>
    <s v="Cara Hadrijana 10b, Osijek"/>
    <s v="95494259952"/>
    <x v="5"/>
    <m/>
    <m/>
    <m/>
    <m/>
  </r>
  <r>
    <m/>
    <n v="439"/>
    <s v="5769"/>
    <x v="13"/>
    <x v="64"/>
    <n v="1"/>
    <x v="11"/>
    <s v="Slaven Kušljić"/>
    <s v="021 545545, 091 4443745"/>
    <s v="slaven@ffst.hr"/>
    <s v="Poljička Cesta 35"/>
    <s v="Poljička cesta 35"/>
    <s v="98004523293"/>
    <x v="5"/>
    <m/>
    <m/>
    <m/>
    <m/>
  </r>
  <r>
    <m/>
    <n v="440"/>
    <s v="4917"/>
    <x v="13"/>
    <x v="96"/>
    <n v="1"/>
    <x v="11"/>
    <s v="Domagoj Vučica"/>
    <s v="091/1265-486"/>
    <s v="domagoj@ktf-split.hr"/>
    <s v="R. Boškovića 35"/>
    <s v="R. Boškovića 35"/>
    <s v="99401575594"/>
    <x v="5"/>
    <m/>
    <m/>
    <m/>
    <m/>
  </r>
  <r>
    <m/>
    <n v="441"/>
    <s v="203"/>
    <x v="13"/>
    <x v="65"/>
    <n v="1"/>
    <x v="1"/>
    <s v="Marijan Galjar"/>
    <s v="098 855 676"/>
    <s v="marijan.galjar@rgn.hr"/>
    <s v="Pierottijeva Ulica 6"/>
    <s v="Pierottijeva 6"/>
    <s v="99534693762"/>
    <x v="5"/>
    <m/>
    <m/>
    <m/>
    <m/>
  </r>
  <r>
    <m/>
    <n v="442"/>
    <s v="206"/>
    <x v="13"/>
    <x v="35"/>
    <n v="1"/>
    <x v="1"/>
    <s v="Davor Štrk"/>
    <s v="099 3136 671"/>
    <s v="dstrk@fkz.hr"/>
    <s v="Avenija Gojka Šuška 1"/>
    <s v="Av. Gojka Šuška 1, Zagreb"/>
    <s v="36162371878"/>
    <x v="5"/>
    <m/>
    <m/>
    <m/>
    <m/>
  </r>
  <r>
    <m/>
    <m/>
    <m/>
    <x v="14"/>
    <x v="0"/>
    <n v="74"/>
    <x v="0"/>
    <m/>
    <m/>
    <m/>
    <m/>
    <m/>
    <m/>
    <x v="0"/>
    <m/>
    <m/>
    <s v="King"/>
    <m/>
  </r>
  <r>
    <m/>
    <s v="443a_x000a_443b"/>
    <s v="3990"/>
    <x v="14"/>
    <x v="37"/>
    <n v="7"/>
    <x v="17"/>
    <s v="Stjepo Hladilo"/>
    <s v="0919322586"/>
    <s v="stjepo.hladilo@unidu.hr"/>
    <s v="Branitelja Dubrovnika 41"/>
    <s v="Branitelja Dubrovnika 41, Dubrovnik 2 kom._x000a_Ćira Carića 4, Dubrovnik 5 kom."/>
    <s v="1338491514"/>
    <x v="2"/>
    <m/>
    <m/>
    <s v="King"/>
    <s v="Senso"/>
  </r>
  <r>
    <m/>
    <n v="444"/>
    <s v="368"/>
    <x v="14"/>
    <x v="6"/>
    <n v="1"/>
    <x v="3"/>
    <s v="Ivan Nimac"/>
    <s v="095/826-5888"/>
    <s v="inimac@unizd.hr"/>
    <s v="Ulica Mihovila Pavlinovića 1"/>
    <s v="Obala kralja Petra Krešimira IV. Br. 2, 23000 Zadar"/>
    <s v="10839679016"/>
    <x v="1"/>
    <m/>
    <m/>
    <s v="King"/>
    <s v="Senso"/>
  </r>
  <r>
    <m/>
    <n v="445"/>
    <s v="121"/>
    <x v="14"/>
    <x v="1"/>
    <n v="1"/>
    <x v="1"/>
    <s v="Mate Galić"/>
    <s v="098806500"/>
    <s v="mate.galic@pharma.unizg.hr"/>
    <s v="Ulica Ante Kovačića 1"/>
    <s v="Domagojeva 2"/>
    <s v="14509285435"/>
    <x v="1"/>
    <m/>
    <m/>
    <s v="King"/>
    <s v="Senso"/>
  </r>
  <r>
    <m/>
    <n v="446"/>
    <s v="3385"/>
    <x v="14"/>
    <x v="41"/>
    <n v="3"/>
    <x v="18"/>
    <s v="Stjepan Šalković"/>
    <s v="091/7895599"/>
    <s v="stjepan.salkovic@vhzk.hr"/>
    <s v="Šetalište Hrvatskog Narodnog Preporoda 6"/>
    <s v="Šetalište hrv. nar. prep. 6 (SŠ  Krapina)"/>
    <s v="16465214888"/>
    <x v="3"/>
    <m/>
    <m/>
    <s v="King"/>
    <s v="King"/>
  </r>
  <r>
    <m/>
    <n v="447"/>
    <s v="3986"/>
    <x v="14"/>
    <x v="68"/>
    <n v="5"/>
    <x v="1"/>
    <s v="Petra Mitrović"/>
    <s v="0914810222"/>
    <s v="pmitrovic@muza.hr"/>
    <s v="Trg Republike Hrvatske 12"/>
    <s v="Trg Republike Hrvatske 12"/>
    <s v="18422925218"/>
    <x v="1"/>
    <m/>
    <m/>
    <s v="King"/>
    <s v="Senso"/>
  </r>
  <r>
    <m/>
    <n v="448"/>
    <s v="4914"/>
    <x v="14"/>
    <x v="16"/>
    <n v="2"/>
    <x v="11"/>
    <s v="Romaldo Singolo"/>
    <s v="091 155 9622"/>
    <s v="romi@pfst.hr"/>
    <s v="R. Boškovića 37"/>
    <s v="Ruđera Boškovića 37, Split"/>
    <s v="24624257529"/>
    <x v="3"/>
    <m/>
    <m/>
    <s v="King"/>
    <s v="King"/>
  </r>
  <r>
    <m/>
    <n v="449"/>
    <s v="168"/>
    <x v="14"/>
    <x v="77"/>
    <n v="1"/>
    <x v="13"/>
    <s v="Bruno Bakarić"/>
    <s v="031/224-508"/>
    <s v="bbakaric@pravos.hr"/>
    <s v="Ulica Stjepana Radića 13"/>
    <s v="Stjepana Radića 13"/>
    <s v="26416570803"/>
    <x v="1"/>
    <m/>
    <m/>
    <s v="King"/>
    <s v="Senso"/>
  </r>
  <r>
    <m/>
    <s v="450a_x000a_"/>
    <s v="152"/>
    <x v="14"/>
    <x v="93"/>
    <n v="1"/>
    <x v="1"/>
    <s v="Davorin Axmann"/>
    <s v="098271569"/>
    <s v="daxmann@efzg.hr"/>
    <s v="Trg Johna Fitzgeralda Kennedyja 6"/>
    <s v="Trg J.F. Kennedyja 6"/>
    <s v="27208467122"/>
    <x v="3"/>
    <m/>
    <m/>
    <s v="King"/>
    <s v="King"/>
  </r>
  <r>
    <m/>
    <s v="450b_x000a_"/>
    <s v="152"/>
    <x v="14"/>
    <x v="93"/>
    <n v="9"/>
    <x v="1"/>
    <s v="Davorin Axmann"/>
    <s v="098271569"/>
    <s v="daxmann@efzg.hr"/>
    <s v="Trg Johna Fitzgeralda Kennedyja 6"/>
    <s v="Trg J.F. Kennedyja 6"/>
    <s v="27208467122"/>
    <x v="1"/>
    <m/>
    <m/>
    <s v="King"/>
    <s v="King"/>
  </r>
  <r>
    <m/>
    <n v="451"/>
    <s v="469"/>
    <x v="14"/>
    <x v="75"/>
    <n v="2"/>
    <x v="1"/>
    <s v="Davor Pintar"/>
    <s v="385998227236"/>
    <s v="davor.pintar@dekanat.pmf.hr"/>
    <s v="Horvatovac 102A"/>
    <s v="Horvatovac 102A"/>
    <s v="28163265527"/>
    <x v="1"/>
    <m/>
    <m/>
    <s v="King"/>
    <s v="Senso"/>
  </r>
  <r>
    <m/>
    <n v="452"/>
    <s v="1972"/>
    <x v="14"/>
    <x v="47"/>
    <n v="1"/>
    <x v="20"/>
    <s v="Damir Lulić"/>
    <s v="0981771615"/>
    <s v="dlulic@unisb.hr"/>
    <s v="Trg &quot;Ivana Brlić Mažuranić&quot; 2"/>
    <s v="Matije Gupca 24"/>
    <s v="33027834374"/>
    <x v="1"/>
    <m/>
    <m/>
    <s v="King"/>
    <s v="Senso"/>
  </r>
  <r>
    <m/>
    <s v="453_x000a_"/>
    <s v="151"/>
    <x v="14"/>
    <x v="97"/>
    <n v="5"/>
    <x v="1"/>
    <s v="Krunoslav Fučkor_x000a_Lada Uzorinac"/>
    <s v="091 522 0721 (Krunoslav Fučkor)_x000a_091 504 9730 (Lada Uzorinac)"/>
    <s v="krunoslav.fuckor@pravo.hr_x000a_lada.uzorinac@pravo.hr"/>
    <s v="Trg Republike Hrvatske 14"/>
    <s v="Marulićev trg 19,  Zagreb"/>
    <s v="38583303160"/>
    <x v="3"/>
    <m/>
    <m/>
    <s v="King"/>
    <s v="Senso"/>
  </r>
  <r>
    <m/>
    <n v="454"/>
    <s v="182"/>
    <x v="14"/>
    <x v="51"/>
    <n v="1"/>
    <x v="21"/>
    <s v="Goran Šljivić"/>
    <s v="0981785148"/>
    <s v="sljivic@simet.hr"/>
    <s v="Aleja Narodnih Heroja 3"/>
    <s v="Sisak, Aleja narodnih heroja 3"/>
    <s v="48006703414"/>
    <x v="1"/>
    <m/>
    <m/>
    <s v="King"/>
    <s v="King"/>
  </r>
  <r>
    <m/>
    <n v="455"/>
    <s v="3430"/>
    <x v="14"/>
    <x v="53"/>
    <n v="1"/>
    <x v="11"/>
    <s v="Ante Krolo"/>
    <s v="+385 95 903 76 48"/>
    <s v="ante@kifst.hr"/>
    <s v="Teslina 6"/>
    <s v="Teslina 10"/>
    <s v="57848936921"/>
    <x v="1"/>
    <m/>
    <m/>
    <s v="King"/>
    <s v="King"/>
  </r>
  <r>
    <m/>
    <s v="456a_x000a_456b"/>
    <s v="4497"/>
    <x v="14"/>
    <x v="9"/>
    <n v="8"/>
    <x v="6"/>
    <s v="Nikola Marijanović_x000a_Branimir Kolman"/>
    <s v="0994028339_x000a_091 244 0130"/>
    <s v="nmarijanovic@unin.hr_x000a_bkolman@unin.hr"/>
    <s v="Trg Dr. Žarka Dolinara 1"/>
    <s v="Trg dr. Žarka dolinara 1, Koprivnica  4 kom._x000a_Ulica 104 brigade 3, VŽ  4 kom."/>
    <s v="59624928052"/>
    <x v="1"/>
    <m/>
    <m/>
    <s v="King"/>
    <s v="Senso"/>
  </r>
  <r>
    <m/>
    <s v="457a_x000a_457b"/>
    <s v="221"/>
    <x v="14"/>
    <x v="11"/>
    <n v="3"/>
    <x v="8"/>
    <s v="Danka Jurjević_x000a_Aleksandar Živanović"/>
    <s v="051/265-884_x000a_0989616845"/>
    <s v="danka.jurjevic@uniri.hr_x000a_aleksandar.zivanovic@uniri.hr"/>
    <s v="Trg Braće Mažuranića 10"/>
    <s v="Radmile Matejčić 2; 51000 Rijeka 2 kom._x000a_Palača Moise; Zagrad 6; 51557 Cres 1 kom."/>
    <s v="64218323816"/>
    <x v="1"/>
    <m/>
    <m/>
    <s v="King"/>
    <s v="King"/>
  </r>
  <r>
    <m/>
    <n v="458"/>
    <s v="150"/>
    <x v="14"/>
    <x v="12"/>
    <n v="1"/>
    <x v="1"/>
    <s v="Dario Đurasović"/>
    <s v="091 4802 130"/>
    <s v="dario@sfzg.hr"/>
    <s v="Gundulićeva Ulica 5"/>
    <s v="Gundulićeva 5, Zagreb"/>
    <s v="70221464726"/>
    <x v="1"/>
    <m/>
    <m/>
    <s v="King"/>
    <s v="Senso"/>
  </r>
  <r>
    <m/>
    <n v="459"/>
    <s v="1907"/>
    <x v="14"/>
    <x v="94"/>
    <n v="8"/>
    <x v="8"/>
    <s v="Boris Ružić"/>
    <s v="0915765999"/>
    <s v="bruzic@uniri.hr"/>
    <s v="Sveučilišna Avenija 4"/>
    <s v="Sveučilišna avenija 4, 51000 Rijeka"/>
    <s v="70505505759"/>
    <x v="3"/>
    <m/>
    <m/>
    <s v="King"/>
    <s v="Senso"/>
  </r>
  <r>
    <m/>
    <n v="460"/>
    <s v="169"/>
    <x v="14"/>
    <x v="57"/>
    <n v="1"/>
    <x v="8"/>
    <s v="Izv. prof. dr. sc. Jasmin Ćelić"/>
    <s v="0912546777"/>
    <s v="jasmin.celic@uniri.hr"/>
    <s v="Studentska 2"/>
    <s v="Studentska 2"/>
    <s v="76722145702"/>
    <x v="1"/>
    <m/>
    <m/>
    <s v="King"/>
    <s v="Senso"/>
  </r>
  <r>
    <m/>
    <n v="461"/>
    <s v="222"/>
    <x v="14"/>
    <x v="33"/>
    <n v="1"/>
    <x v="13"/>
    <s v="Tatjana Šajatović"/>
    <s v=" +38598871499"/>
    <s v="tsajatovic@kemija.unios.hr"/>
    <s v="Trg Sv. Trojstva 3"/>
    <s v="Cara Hadrijana 8/A"/>
    <s v="78808975734"/>
    <x v="1"/>
    <m/>
    <m/>
    <s v="King"/>
    <s v="King"/>
  </r>
  <r>
    <m/>
    <n v="462"/>
    <s v="5717"/>
    <x v="14"/>
    <x v="59"/>
    <n v="1"/>
    <x v="13"/>
    <s v="Andrija Ljubičić_x000a_"/>
    <s v="091 2241 423_x000a_"/>
    <s v="andrija.ljubicic@fdmz.hr_x000a_"/>
    <s v="Crkvena Ulica 21"/>
    <s v="Crkvena 21"/>
    <s v="83830458507"/>
    <x v="1"/>
    <m/>
    <m/>
    <s v="King"/>
    <s v="King"/>
  </r>
  <r>
    <m/>
    <s v="463a_x000a_463b"/>
    <s v="199"/>
    <x v="14"/>
    <x v="61"/>
    <n v="3"/>
    <x v="13"/>
    <s v="Mario Miloloza"/>
    <s v="0912246140"/>
    <s v="mario.miloloza@ferit.hr"/>
    <s v="Ulica Kneza Trpimira 2B"/>
    <s v="Kneza Trpimira 2b, Osijek 2 kom._x000a_Cara Hadrijana 10b, Osijek 1 kom."/>
    <s v="95494259952"/>
    <x v="3"/>
    <m/>
    <m/>
    <s v="King"/>
    <s v="King"/>
  </r>
  <r>
    <m/>
    <s v="464a_x000a_464b"/>
    <s v="214"/>
    <x v="14"/>
    <x v="62"/>
    <n v="6"/>
    <x v="1"/>
    <s v="Goran Hoić"/>
    <s v="099/2550-825"/>
    <s v="goran.hoic@alu.unizg.hr"/>
    <s v="Ilica 85"/>
    <s v="Ilica 85  5 kom. _x000a_Zamenhofova 14 1 kom."/>
    <s v="95847257607"/>
    <x v="1"/>
    <m/>
    <m/>
    <s v="King"/>
    <s v="Senso"/>
  </r>
  <r>
    <m/>
    <n v="465"/>
    <s v="281"/>
    <x v="14"/>
    <x v="63"/>
    <n v="1"/>
    <x v="8"/>
    <s v="Danka Jurjević"/>
    <s v="265-877"/>
    <s v="danka.jurjevic@uniri.hr"/>
    <s v="Sveučilišna Avenija 6"/>
    <s v="Sveučilišna Avenija 6"/>
    <s v="96996385705"/>
    <x v="1"/>
    <m/>
    <m/>
    <s v="King"/>
    <s v="Senso"/>
  </r>
  <r>
    <m/>
    <n v="466"/>
    <s v="203"/>
    <x v="14"/>
    <x v="65"/>
    <n v="1"/>
    <x v="1"/>
    <s v="Marijan Galjar"/>
    <s v="098 855 676"/>
    <s v="marijan.galjar@rgn.hr"/>
    <s v="Pierottijeva Ulica 6"/>
    <s v="Pierottijeva 6"/>
    <s v="99534693762"/>
    <x v="1"/>
    <m/>
    <m/>
    <s v="King"/>
    <s v="Senso"/>
  </r>
  <r>
    <m/>
    <m/>
    <m/>
    <x v="15"/>
    <x v="0"/>
    <n v="116"/>
    <x v="0"/>
    <m/>
    <m/>
    <m/>
    <m/>
    <m/>
    <m/>
    <x v="0"/>
    <m/>
    <m/>
    <s v="AVC/Senco"/>
    <m/>
  </r>
  <r>
    <m/>
    <n v="467"/>
    <s v="149"/>
    <x v="15"/>
    <x v="38"/>
    <n v="4"/>
    <x v="11"/>
    <s v="Dalibor Gabela"/>
    <s v="091-1557942"/>
    <s v="helpdesk@mefst.hr"/>
    <s v="Šoltanska 2"/>
    <s v="Šoltanska 2A, Split"/>
    <s v="2879747067"/>
    <x v="4"/>
    <d v="2026-05-04T00:00:00"/>
    <m/>
    <s v="AVC/Senco"/>
    <s v="King"/>
  </r>
  <r>
    <m/>
    <n v="468"/>
    <s v="5499"/>
    <x v="15"/>
    <x v="90"/>
    <n v="2"/>
    <x v="13"/>
    <s v="Krešimir Pavelić, univ. mag .ing. comp."/>
    <s v="385912240766"/>
    <s v="kreso@gfos.hr"/>
    <s v="Ulica Vladimira Preloga 3"/>
    <s v="Ulica Vladimira Preloga 3, 31000, Osijek"/>
    <s v="4150850819"/>
    <x v="4"/>
    <d v="2026-05-04T00:00:00"/>
    <m/>
    <s v="AVC/Senco"/>
    <s v="Senso"/>
  </r>
  <r>
    <m/>
    <n v="469"/>
    <s v="3689"/>
    <x v="15"/>
    <x v="5"/>
    <n v="3"/>
    <x v="1"/>
    <s v="Nikola Barba"/>
    <s v="099 6081 436"/>
    <s v="nikola.barba@unicath.hr"/>
    <s v="Ilica 244B"/>
    <s v="Ilica 244, 10000 Zagreb"/>
    <s v="7730927366"/>
    <x v="3"/>
    <d v="2026-04-14T00:00:00"/>
    <m/>
    <s v="AVC/Senco"/>
    <s v="King"/>
  </r>
  <r>
    <m/>
    <n v="470"/>
    <s v="1918"/>
    <x v="15"/>
    <x v="23"/>
    <n v="2"/>
    <x v="1"/>
    <s v="Igor Paljug"/>
    <s v="+385 95 245 6555"/>
    <s v="igor.paljug@tvz.hr_x000a_"/>
    <s v="Vrbik 8"/>
    <s v="Holjevčeva 15"/>
    <s v="8814003451"/>
    <x v="3"/>
    <d v="2026-04-14T00:00:00"/>
    <m/>
    <s v="AVC/Senco"/>
    <s v="King"/>
  </r>
  <r>
    <m/>
    <n v="471"/>
    <s v="368"/>
    <x v="15"/>
    <x v="6"/>
    <n v="2"/>
    <x v="3"/>
    <s v="Ivana Delistović Duić_x000a_"/>
    <s v="098/654-710_x000a_"/>
    <s v="idelistov@unizd.hr_x000a_"/>
    <s v="Ulica Mihovila Pavlinovića 1"/>
    <s v="Dr. Franje Tuđmana 24, 23000 Zadar "/>
    <s v="10839679016"/>
    <x v="3"/>
    <d v="2026-04-14T00:00:00"/>
    <m/>
    <s v="AVC/Senco"/>
    <s v="Senso"/>
  </r>
  <r>
    <m/>
    <n v="472"/>
    <s v="530"/>
    <x v="15"/>
    <x v="7"/>
    <n v="1"/>
    <x v="4"/>
    <s v="Marko Meštrović"/>
    <s v="022/664-451"/>
    <s v="mmestrovic@veleknin.hr"/>
    <s v="Krešimirova 30"/>
    <s v="Krešimirova 30, Knin"/>
    <s v="13664089430"/>
    <x v="4"/>
    <d v="2026-05-04T00:00:00"/>
    <m/>
    <s v="AVC/Senco"/>
    <s v="King"/>
  </r>
  <r>
    <m/>
    <n v="473"/>
    <s v="121"/>
    <x v="15"/>
    <x v="1"/>
    <n v="1"/>
    <x v="1"/>
    <s v="Mate Galić"/>
    <s v="098806500"/>
    <s v="mate.galic@pharma.unizg.hr"/>
    <s v="Ulica Ante Kovačića 1"/>
    <s v="Domagojeva 2"/>
    <s v="14509285435"/>
    <x v="3"/>
    <d v="2026-04-14T00:00:00"/>
    <m/>
    <s v="AVC/Senco"/>
    <s v="Senso"/>
  </r>
  <r>
    <m/>
    <n v="474"/>
    <s v="198"/>
    <x v="15"/>
    <x v="15"/>
    <n v="1"/>
    <x v="10"/>
    <s v="Darko Šprem"/>
    <s v="091 408 9012"/>
    <s v="darko.sprem@gfv.hr"/>
    <s v="Hallerova Aleja 7"/>
    <s v="Hallerova aleja 7, Varaždin"/>
    <s v="16146181375"/>
    <x v="4"/>
    <d v="2026-05-04T00:00:00"/>
    <m/>
    <s v="AVC/Senco"/>
    <s v="King"/>
  </r>
  <r>
    <m/>
    <n v="475"/>
    <s v="3385"/>
    <x v="15"/>
    <x v="41"/>
    <n v="1"/>
    <x v="18"/>
    <s v="Stjepan Šalković"/>
    <s v="091/7895599"/>
    <s v="stjepan.salkovic@vhzk.hr"/>
    <s v="Šetalište Hrvatskog Narodnog Preporoda 6"/>
    <s v="Šetalište hrv. nar. prep. 6 (SŠ  Krapina)"/>
    <s v="16465214888"/>
    <x v="4"/>
    <d v="2026-05-04T00:00:00"/>
    <m/>
    <s v="AVC/Senco"/>
    <s v="King"/>
  </r>
  <r>
    <m/>
    <n v="476"/>
    <s v="4660"/>
    <x v="15"/>
    <x v="69"/>
    <n v="2"/>
    <x v="8"/>
    <s v="Vedran Ćurković"/>
    <s v="091 / 9536547"/>
    <s v="vedran.curkovic@uniri.hr"/>
    <s v="Viktora Cara Emina 5"/>
    <s v="Viktora Cara Emina 5"/>
    <s v="19213484918"/>
    <x v="4"/>
    <d v="2026-05-04T00:00:00"/>
    <m/>
    <s v="AVC/Senco"/>
    <s v="Senso"/>
  </r>
  <r>
    <m/>
    <n v="477"/>
    <s v="4919"/>
    <x v="15"/>
    <x v="42"/>
    <n v="1"/>
    <x v="11"/>
    <s v="Doris Knego"/>
    <s v="098 9394211,"/>
    <s v="doris.knego@pmfst.hr"/>
    <s v="R. Boškovića 33"/>
    <s v="Ruđera Boškovića 33"/>
    <s v="20858497843"/>
    <x v="4"/>
    <d v="2026-05-04T00:00:00"/>
    <m/>
    <s v="AVC/Senco"/>
    <s v="King"/>
  </r>
  <r>
    <m/>
    <n v="478"/>
    <s v="4914"/>
    <x v="15"/>
    <x v="16"/>
    <n v="5"/>
    <x v="11"/>
    <s v="Romaldo Singolo"/>
    <s v="091 155 9622"/>
    <s v="romi@pfst.hr"/>
    <s v="R. Boškovića 37"/>
    <s v="Ruđera Boškovića 37, Split"/>
    <s v="24624257529"/>
    <x v="4"/>
    <d v="2026-05-04T00:00:00"/>
    <m/>
    <s v="AVC/Senco"/>
    <s v="King"/>
  </r>
  <r>
    <m/>
    <n v="479"/>
    <s v="191"/>
    <x v="15"/>
    <x v="88"/>
    <n v="1"/>
    <x v="1"/>
    <s v="Dario Kužić"/>
    <s v="385994988065"/>
    <s v=" dkuzic@fpz.unizg.hr"/>
    <s v="Ulica Lavoslava Vukelića 4"/>
    <s v="Borongajska cesta 83a"/>
    <s v="25410051374"/>
    <x v="3"/>
    <d v="2026-04-14T00:00:00"/>
    <m/>
    <s v="AVC/Senco"/>
    <s v="King"/>
  </r>
  <r>
    <m/>
    <n v="480"/>
    <s v="290"/>
    <x v="15"/>
    <x v="92"/>
    <n v="6"/>
    <x v="8"/>
    <s v="TEDI KOLANOVIĆ"/>
    <s v="091 604 47 89"/>
    <s v="tedi.kolanovic@efri.uniri.hr"/>
    <s v="Ivana Filipovića 4"/>
    <s v="Ivana Filipovića 4"/>
    <s v="26093119930"/>
    <x v="4"/>
    <d v="2026-05-04T00:00:00"/>
    <m/>
    <s v="AVC/Senco"/>
    <s v="Senso"/>
  </r>
  <r>
    <m/>
    <n v="481"/>
    <s v="168"/>
    <x v="15"/>
    <x v="77"/>
    <n v="1"/>
    <x v="13"/>
    <s v="Bruno Bakarić"/>
    <s v="031/224-508"/>
    <s v="bbakaric@pravos.hr"/>
    <s v="Ulica Stjepana Radića 13"/>
    <s v="Stjepana Radića 13"/>
    <s v="26416570803"/>
    <x v="4"/>
    <d v="2026-05-04T00:00:00"/>
    <m/>
    <s v="AVC/Senco"/>
    <s v="Senso"/>
  </r>
  <r>
    <m/>
    <n v="482"/>
    <s v="205"/>
    <x v="15"/>
    <x v="44"/>
    <n v="1"/>
    <x v="1"/>
    <s v="Mikolaj Martinjak"/>
    <s v="0989478881"/>
    <s v="mika@ffrz.hr"/>
    <s v="Jordanovac 110"/>
    <s v="Jordanovac 110"/>
    <s v="26975482530"/>
    <x v="3"/>
    <d v="2026-04-14T00:00:00"/>
    <m/>
    <s v="AVC/Senco"/>
    <s v="King"/>
  </r>
  <r>
    <m/>
    <n v="483"/>
    <s v="152"/>
    <x v="15"/>
    <x v="93"/>
    <n v="8"/>
    <x v="1"/>
    <s v="Davorin Axmann"/>
    <s v="098271569"/>
    <s v="daxmann@efzg.hr"/>
    <s v="Trg Johna Fitzgeralda Kennedyja 6"/>
    <s v="Trg J.F. Kennedyja 6"/>
    <s v="27208467122"/>
    <x v="3"/>
    <d v="2026-04-14T00:00:00"/>
    <m/>
    <s v="AVC/Senco"/>
    <s v="King"/>
  </r>
  <r>
    <m/>
    <n v="484"/>
    <s v="3637"/>
    <x v="15"/>
    <x v="81"/>
    <n v="5"/>
    <x v="13"/>
    <s v="Krunoslav Kurilj"/>
    <s v="0991616166"/>
    <s v="kkurilj@foozos.hr"/>
    <s v="Ulica Cara Hadrijana 10"/>
    <s v="Cara Hadrijana 10, 31 000 Osijek – NASTAVNA ZGRADA"/>
    <s v="28082679513"/>
    <x v="4"/>
    <d v="2026-05-04T00:00:00"/>
    <m/>
    <s v="AVC/Senco"/>
    <s v="Senso"/>
  </r>
  <r>
    <m/>
    <n v="485"/>
    <s v="469"/>
    <x v="15"/>
    <x v="75"/>
    <n v="1"/>
    <x v="1"/>
    <s v="Davor Pintar"/>
    <s v="385998227236"/>
    <s v="davor.pintar@dekanat.pmf.hr"/>
    <s v="Horvatovac 102A"/>
    <s v="Horvatovac 102A"/>
    <s v="28163265527"/>
    <x v="4"/>
    <d v="2026-05-04T00:00:00"/>
    <m/>
    <s v="AVC/Senco"/>
    <s v="Senso"/>
  </r>
  <r>
    <m/>
    <s v="486a_x000a_486b_x000a_486c_x000a_486d"/>
    <s v="5713"/>
    <x v="15"/>
    <x v="27"/>
    <n v="12"/>
    <x v="11"/>
    <s v="Marko Pilić / Josip Crnjac_x000a_Maja Krželj_x000a_Marin Gudelj_x000a_Romaldo Singolo / Danijel Bartulović"/>
    <s v="0919840020 (Pilić), 0981980136 (Crnjac)_x000a_0911556771_x000a_0913344165_x000a_0911559622(Singolo), 0992127517(Bartulović)"/>
    <s v="mpilic@forenzika.unist.hr, jcrnjac@forenzika.unist.hr_x000a_maja.krzelj@more.unist.hr_x000a_marin@oss.unist.hr_x000a_romaldo.singolo@pfst.hr, dbartulovic@pfst.hr"/>
    <s v="R. Boškovića 31"/>
    <s v="Ruđera Boškovića 33, Split 3 kom._x000a_Ruđera Boškovića 37, Split 3 kom._x000a_Kopilica 21, Split 4 kom._x000a_Ruđera Boškovića 33, Split 2 kom."/>
    <s v="29845096215"/>
    <x v="4"/>
    <d v="2026-05-04T00:00:00"/>
    <m/>
    <s v="AVC/Senco"/>
    <s v="King"/>
  </r>
  <r>
    <m/>
    <n v="487"/>
    <s v="1972"/>
    <x v="15"/>
    <x v="47"/>
    <n v="6"/>
    <x v="20"/>
    <s v="Damir Lulić"/>
    <s v="0981771615"/>
    <s v="dlulic@unisb.hr"/>
    <s v="Trg &quot;Ivana Brlić Mažuranić&quot; 2"/>
    <s v="Trg I.B.Mažuranić 2"/>
    <s v="33027834374"/>
    <x v="4"/>
    <d v="2026-05-04T00:00:00"/>
    <m/>
    <s v="AVC/Senco"/>
    <s v="Senso"/>
  </r>
  <r>
    <m/>
    <n v="488"/>
    <s v="3340"/>
    <x v="15"/>
    <x v="48"/>
    <n v="1"/>
    <x v="1"/>
    <s v="Ivan Cerovec"/>
    <s v="01/2457510"/>
    <s v="ivan.cerovec@erf.unizg.hr"/>
    <s v="Borongajska Cesta 83F"/>
    <s v="Zagreb, Borongajska c.83f"/>
    <s v="34967762426"/>
    <x v="3"/>
    <d v="2026-04-14T00:00:00"/>
    <m/>
    <s v="AVC/Senco"/>
    <s v="King"/>
  </r>
  <r>
    <m/>
    <n v="489"/>
    <s v="219"/>
    <x v="15"/>
    <x v="28"/>
    <n v="1"/>
    <x v="1"/>
    <s v="Marin Šperanda"/>
    <s v="091 906 6882"/>
    <s v="marin.speranda@caas.unizg.hr"/>
    <s v="Trg Republike Hrvatske 14"/>
    <s v="Don Frana Bulića 4, 20000 Dubrovnik (CAAS)"/>
    <s v="36612267447"/>
    <x v="4"/>
    <d v="2026-05-04T00:00:00"/>
    <m/>
    <s v="AVC/Senco"/>
    <s v="Senso"/>
  </r>
  <r>
    <m/>
    <s v="490a_x000a_490b"/>
    <s v="3545"/>
    <x v="15"/>
    <x v="29"/>
    <n v="2"/>
    <x v="11"/>
    <s v="Branimir Džaja"/>
    <s v="091-2600324"/>
    <s v="branimir.dzaja@umas.hr"/>
    <s v="Zagrebačka 3"/>
    <s v="Zagrebačka 3_x000a_Glagoljaška 18a, Gripe"/>
    <s v="38960125358"/>
    <x v="4"/>
    <d v="2026-05-04T00:00:00"/>
    <m/>
    <s v="AVC/Senco"/>
    <s v="King"/>
  </r>
  <r>
    <m/>
    <n v="491"/>
    <s v="141"/>
    <x v="15"/>
    <x v="30"/>
    <n v="1"/>
    <x v="1"/>
    <s v="Emil Flatz"/>
    <s v="38598302567"/>
    <s v="eflatz@arhitekt.hr"/>
    <s v="Kačićeva Ulica 26"/>
    <s v="Frankopanska 12"/>
    <s v="42061107444"/>
    <x v="3"/>
    <d v="2026-04-14T00:00:00"/>
    <m/>
    <s v="AVC/Senco"/>
    <s v="Senso"/>
  </r>
  <r>
    <m/>
    <n v="492"/>
    <s v="177"/>
    <x v="15"/>
    <x v="78"/>
    <n v="2"/>
    <x v="1"/>
    <s v="Srđan Cvetanović"/>
    <s v="095 8000 204_x000a_"/>
    <s v="djani@ttf.hr_x000a_"/>
    <s v="Prilaz Baruna Filipovića 28A"/>
    <s v="Prilaz baruna Filipovića 28a"/>
    <s v="43097527965"/>
    <x v="3"/>
    <d v="2026-04-14T00:00:00"/>
    <m/>
    <s v="AVC/Senco"/>
    <s v="Senso"/>
  </r>
  <r>
    <m/>
    <n v="493"/>
    <s v="154"/>
    <x v="15"/>
    <x v="50"/>
    <n v="1"/>
    <x v="8"/>
    <s v="Daniel Maratović"/>
    <s v="095/9064710"/>
    <s v="daniel.maratovic@riteh.uniri.hr"/>
    <s v="Vukovarska 58"/>
    <s v="Vukovarska 58, HR-51000 Rijeka"/>
    <s v="46319717480"/>
    <x v="4"/>
    <d v="2026-05-04T00:00:00"/>
    <m/>
    <s v="AVC/Senco"/>
    <s v="Senso"/>
  </r>
  <r>
    <m/>
    <n v="494"/>
    <s v="215"/>
    <x v="15"/>
    <x v="18"/>
    <n v="1"/>
    <x v="1"/>
    <s v="Ivan Šetin"/>
    <s v="0981839338"/>
    <s v="isetin@adu.hr"/>
    <s v="Trg Republike Hrvatske 5"/>
    <s v="Frankopanska 22, Zagreb"/>
    <s v="52097842295"/>
    <x v="3"/>
    <d v="2026-04-14T00:00:00"/>
    <m/>
    <s v="AVC/Senco"/>
    <s v="Senso"/>
  </r>
  <r>
    <m/>
    <n v="495"/>
    <s v="125"/>
    <x v="15"/>
    <x v="84"/>
    <n v="3"/>
    <x v="13"/>
    <s v="Damir Kovačević"/>
    <s v="385912244189"/>
    <s v="damir.kovacevic@efos.hr"/>
    <s v="Trg Ljudevita Gaja 7"/>
    <s v="Trg Ljudevita Gaja 7, Osijek"/>
    <s v="52778515544"/>
    <x v="4"/>
    <d v="2026-05-04T00:00:00"/>
    <m/>
    <s v="AVC/Senco"/>
    <s v="King"/>
  </r>
  <r>
    <m/>
    <n v="496"/>
    <s v="1939"/>
    <x v="15"/>
    <x v="76"/>
    <n v="2"/>
    <x v="8"/>
    <s v="Aljoša Brajdić"/>
    <s v="099/2217114"/>
    <s v="aljosa.brajdic@apuri.uniri.hr"/>
    <s v="Slavka Krautzeka 83"/>
    <s v="Slavka Krautzeka 83, 51000 Rijeka"/>
    <s v="55704161999"/>
    <x v="4"/>
    <d v="2026-05-04T00:00:00"/>
    <m/>
    <s v="AVC/Senco"/>
    <s v="Senso"/>
  </r>
  <r>
    <m/>
    <n v="497"/>
    <s v="275"/>
    <x v="15"/>
    <x v="85"/>
    <n v="2"/>
    <x v="13"/>
    <s v="Petar Taler"/>
    <s v="091 224 1039"/>
    <s v="petar@mathos.hr"/>
    <s v="Trg Ljudevita Gaja 6"/>
    <s v="Trg Lj. Gaja 6, Osijek"/>
    <s v="56597320763"/>
    <x v="4"/>
    <d v="2026-05-04T00:00:00"/>
    <m/>
    <s v="AVC/Senco"/>
    <s v="King"/>
  </r>
  <r>
    <m/>
    <n v="498"/>
    <s v="138"/>
    <x v="15"/>
    <x v="71"/>
    <n v="1"/>
    <x v="1"/>
    <s v="Denis Hernaut"/>
    <s v="+385 91 604 3920"/>
    <s v="denis.hernaut@fer.hr"/>
    <s v="Unska Ulica 3"/>
    <s v="Vukovarska 39, Zagreb"/>
    <s v="57029260362"/>
    <x v="3"/>
    <d v="2026-04-14T00:00:00"/>
    <m/>
    <s v="AVC/Senco"/>
    <s v="Senso"/>
  </r>
  <r>
    <m/>
    <n v="499"/>
    <s v="181"/>
    <x v="15"/>
    <x v="80"/>
    <n v="3"/>
    <x v="13"/>
    <s v="Zoltan Juhas"/>
    <s v="091/ 2549 157"/>
    <s v="zoli@ffos.hr"/>
    <s v="Ulica Lorenza Jägera 9"/>
    <s v="Ulica Lorenza Jägera 9"/>
    <s v="58868871646"/>
    <x v="4"/>
    <d v="2026-05-04T00:00:00"/>
    <m/>
    <s v="AVC/Senco"/>
    <s v="Senso"/>
  </r>
  <r>
    <m/>
    <n v="500"/>
    <s v="4497"/>
    <x v="15"/>
    <x v="9"/>
    <n v="4"/>
    <x v="6"/>
    <s v="Branimir Kolman"/>
    <s v="091 244 0130"/>
    <s v="bkolman@unin.hr"/>
    <s v="Trg Dr. Žarka Dolinara 1"/>
    <s v="Ulica 104 brigade 3, VŽ"/>
    <s v="59624928052"/>
    <x v="4"/>
    <d v="2026-05-04T00:00:00"/>
    <m/>
    <s v="AVC/Senco"/>
    <s v="Senso"/>
  </r>
  <r>
    <m/>
    <n v="501"/>
    <s v="3554"/>
    <x v="15"/>
    <x v="10"/>
    <n v="2"/>
    <x v="7"/>
    <s v="Dario Kukuljan"/>
    <s v="0993777446"/>
    <s v="dkukuljan@unipu.hr"/>
    <s v="Zagrebačka Ulica 30"/>
    <s v="Alda Negrija 6, Pila"/>
    <s v="61738073226"/>
    <x v="4"/>
    <d v="2026-05-04T00:00:00"/>
    <m/>
    <s v="AVC/Senco"/>
    <s v="Senso"/>
  </r>
  <r>
    <m/>
    <n v="502"/>
    <s v="221"/>
    <x v="15"/>
    <x v="11"/>
    <n v="1"/>
    <x v="8"/>
    <s v="Linda Petričić, Nicole Tomišić "/>
    <s v="091 165 1207, 0922875203"/>
    <s v="ntomisic@fdmri.uniri.hr linda.petricic@fdmri.uniri.hr"/>
    <s v="Trg Braće Mažuranića 10"/>
    <s v="Krešimirova 40/42, 51000 Rijeak"/>
    <s v="64218323816"/>
    <x v="4"/>
    <d v="2026-05-04T00:00:00"/>
    <m/>
    <s v="AVC/Senco"/>
    <s v="King"/>
  </r>
  <r>
    <m/>
    <n v="503"/>
    <s v="1907"/>
    <x v="15"/>
    <x v="94"/>
    <n v="2"/>
    <x v="8"/>
    <s v="Boris Ružić"/>
    <s v="0915765999"/>
    <s v="bruzic@uniri.hr"/>
    <s v="Sveučilišna Avenija 4"/>
    <s v="Sveučilišna avenija 4, 51000 Rijeka"/>
    <s v="70505505759"/>
    <x v="4"/>
    <d v="2026-05-04T00:00:00"/>
    <m/>
    <s v="AVC/Senco"/>
    <s v="Senso"/>
  </r>
  <r>
    <m/>
    <n v="504"/>
    <s v="169"/>
    <x v="15"/>
    <x v="57"/>
    <n v="2"/>
    <x v="8"/>
    <s v="Izv. prof. dr. sc. Jasmin Ćelić"/>
    <s v="0912546777"/>
    <s v="jasmin.celic@uniri.hr"/>
    <s v="Studentska 2"/>
    <s v="Studentska 2"/>
    <s v="76722145702"/>
    <x v="4"/>
    <d v="2026-05-04T00:00:00"/>
    <m/>
    <s v="AVC/Senco"/>
    <s v="Senso"/>
  </r>
  <r>
    <m/>
    <n v="505"/>
    <s v="163"/>
    <x v="15"/>
    <x v="58"/>
    <n v="3"/>
    <x v="11"/>
    <s v="Alen Domazet"/>
    <s v="091 568 5994"/>
    <s v="adomazet@gradst.hr"/>
    <s v="Matice Hrvatske 15"/>
    <s v="Matice hrvatske 15, 21000 Split"/>
    <s v="83615500218"/>
    <x v="4"/>
    <d v="2026-05-04T00:00:00"/>
    <m/>
    <s v="AVC/Senco"/>
    <s v="King"/>
  </r>
  <r>
    <m/>
    <n v="506"/>
    <s v="5717"/>
    <x v="15"/>
    <x v="59"/>
    <n v="1"/>
    <x v="13"/>
    <s v="Andrija Ljubičić_x000a_"/>
    <s v="091 2241 423_x000a_"/>
    <s v="andrija.ljubicic@fdmz.hr_x000a_"/>
    <s v="Crkvena Ulica 21"/>
    <s v="Crkvena 21"/>
    <s v="83830458507"/>
    <x v="4"/>
    <d v="2026-05-04T00:00:00"/>
    <m/>
    <s v="AVC/Senco"/>
    <s v="King"/>
  </r>
  <r>
    <m/>
    <n v="507"/>
    <s v="172"/>
    <x v="15"/>
    <x v="95"/>
    <n v="6"/>
    <x v="8"/>
    <s v="Elvis Žic"/>
    <s v="0915038578"/>
    <s v="elvis.zic@uniri.hr"/>
    <s v="Ulica Radmile Matejčić 3"/>
    <s v="Ulica Radmile Matejčić 3, 51000 Rijeka"/>
    <s v="92037849504"/>
    <x v="4"/>
    <d v="2026-05-04T00:00:00"/>
    <m/>
    <s v="AVC/Senco"/>
    <s v="Senso"/>
  </r>
  <r>
    <m/>
    <n v="508"/>
    <s v="199"/>
    <x v="15"/>
    <x v="61"/>
    <n v="1"/>
    <x v="13"/>
    <s v="Mario Miloloza"/>
    <s v="0912246140"/>
    <s v="mario.miloloza@ferit.hr"/>
    <s v="Ulica Kneza Trpimira 2B"/>
    <s v="Kneza Trpimira 2b, Osijek"/>
    <s v="95494259952"/>
    <x v="4"/>
    <d v="2026-05-04T00:00:00"/>
    <m/>
    <s v="AVC/Senco"/>
    <s v="King"/>
  </r>
  <r>
    <m/>
    <n v="509"/>
    <s v="214"/>
    <x v="15"/>
    <x v="62"/>
    <n v="1"/>
    <x v="1"/>
    <s v="Goran Hoić"/>
    <s v="099/2550-825"/>
    <s v="goran.hoic@alu.unizg.hr"/>
    <s v="Ilica 85"/>
    <s v="Ilica 85"/>
    <s v="95847257607"/>
    <x v="3"/>
    <d v="2026-04-14T00:00:00"/>
    <m/>
    <s v="AVC/Senco"/>
    <s v="Senso"/>
  </r>
  <r>
    <m/>
    <n v="510"/>
    <s v="281"/>
    <x v="15"/>
    <x v="63"/>
    <n v="1"/>
    <x v="8"/>
    <s v="Danka Jurjević"/>
    <s v="265-877"/>
    <s v="danka.jurjevic@uniri.hr"/>
    <s v="Sveučilišna Avenija 6"/>
    <s v="Sveučilišna Avenija 6"/>
    <s v="96996385705"/>
    <x v="4"/>
    <d v="2026-05-04T00:00:00"/>
    <m/>
    <s v="AVC/Senco"/>
    <s v="Senso"/>
  </r>
  <r>
    <m/>
    <s v="511a_x000a_511b"/>
    <s v="147"/>
    <x v="15"/>
    <x v="87"/>
    <n v="5"/>
    <x v="8"/>
    <s v="Teo Brusić, Zoran Vučinić_x000a_Sanjin Kučar"/>
    <s v="098/338-182, 091/1651-230_x000a_091/447-8437"/>
    <s v="teo.brusic@medri.uniri.hr, zoran.vucinic@medri.uniri.hr_x000a_Sanjin.kucar@kbc-rijeka.hr"/>
    <s v="Braće Branchetta 20"/>
    <s v="Rijeka, B. Branchetta 20 4 kom._x000a_KBCRI lokacija Rijeka, 1 komad"/>
    <s v="98164324541"/>
    <x v="4"/>
    <d v="2026-05-04T00:00:00"/>
    <m/>
    <s v="AVC/Senco"/>
    <s v="Senso"/>
  </r>
  <r>
    <m/>
    <n v="512"/>
    <s v="4917"/>
    <x v="15"/>
    <x v="96"/>
    <n v="1"/>
    <x v="11"/>
    <s v="Domagoj Vučica"/>
    <s v="091/1265-486"/>
    <s v="domagoj@ktf-split.hr"/>
    <s v="R. Boškovića 35"/>
    <s v="R. Boškovića 35"/>
    <s v="99401575594"/>
    <x v="4"/>
    <d v="2026-05-04T00:00:00"/>
    <m/>
    <s v="AVC/Senco"/>
    <s v="King"/>
  </r>
  <r>
    <m/>
    <m/>
    <m/>
    <x v="16"/>
    <x v="0"/>
    <n v="48"/>
    <x v="0"/>
    <m/>
    <m/>
    <m/>
    <m/>
    <m/>
    <m/>
    <x v="0"/>
    <n v="7"/>
    <m/>
    <s v="AVC/Senco"/>
    <m/>
  </r>
  <r>
    <m/>
    <s v="513a_x000a_513b_x000a_513c"/>
    <s v="3990"/>
    <x v="16"/>
    <x v="37"/>
    <n v="6"/>
    <x v="17"/>
    <s v="Stjepo Hladilo"/>
    <s v="0919322586"/>
    <s v="stjepo.hladilo@unidu.hr"/>
    <s v="Branitelja Dubrovnika 41"/>
    <s v="Branitelja Dubrovnika 41, Dubrovnik 3 kom._x000a_Ćira Carića 4, Dubrovnik 1 kom._x000a_Lapadska obala Nojka Marinovića 7, Dubrovnik 2 kom."/>
    <s v="1338491514"/>
    <x v="3"/>
    <m/>
    <m/>
    <s v="AVC/Senco"/>
    <s v="Senso"/>
  </r>
  <r>
    <m/>
    <n v="514"/>
    <s v="131"/>
    <x v="16"/>
    <x v="66"/>
    <n v="1"/>
    <x v="10"/>
    <s v="Mario Harjač"/>
    <s v="097 610 1011"/>
    <s v="maharjac@foi.unizg.hr"/>
    <s v="Pavlinska Ulica 2"/>
    <s v="Ulica Petra Preradovića 15, Varaždin"/>
    <s v="2024882310"/>
    <x v="4"/>
    <d v="2026-05-04T00:00:00"/>
    <m/>
    <s v="AVC/Senco"/>
    <s v="King"/>
  </r>
  <r>
    <m/>
    <n v="515"/>
    <s v="132"/>
    <x v="16"/>
    <x v="39"/>
    <n v="2"/>
    <x v="11"/>
    <s v="Juraj Saratlija"/>
    <s v="0996935026"/>
    <s v="juraj.saratlija@pravst.hr"/>
    <s v="Ulica Domovinskog Rata 8"/>
    <s v="Domovinskog rata 8, Split"/>
    <s v="3541568700"/>
    <x v="3"/>
    <d v="2026-04-14T00:00:00"/>
    <m/>
    <s v="AVC/Senco"/>
    <s v="King"/>
  </r>
  <r>
    <m/>
    <n v="516"/>
    <s v="5499"/>
    <x v="16"/>
    <x v="90"/>
    <n v="2"/>
    <x v="13"/>
    <s v="Krešimir Pavelić, univ. mag .ing. comp."/>
    <s v="385912240766"/>
    <s v="kreso@gfos.hr"/>
    <s v="Ulica Vladimira Preloga 3"/>
    <s v="Ulica Vladimira Preloga 3, 31000, Osijek"/>
    <s v="4150850819"/>
    <x v="4"/>
    <d v="2026-05-04T00:00:00"/>
    <m/>
    <s v="AVC/Senco"/>
    <s v="Senso"/>
  </r>
  <r>
    <m/>
    <n v="517"/>
    <s v="208"/>
    <x v="16"/>
    <x v="22"/>
    <n v="1"/>
    <x v="14"/>
    <s v="Marin Ivanišić"/>
    <s v="091 224 3413"/>
    <s v="marin.ivanisic@djkbf.hr"/>
    <s v="P. Preradovića 17"/>
    <s v="Petra Preradovića 17, Đakovo"/>
    <s v="5384220316"/>
    <x v="3"/>
    <d v="2026-04-14T00:00:00"/>
    <m/>
    <s v="AVC/Senco"/>
    <s v="King"/>
  </r>
  <r>
    <m/>
    <n v="518"/>
    <s v="3689"/>
    <x v="16"/>
    <x v="5"/>
    <n v="1"/>
    <x v="1"/>
    <s v="Nikola Barba"/>
    <s v="099 6081 436"/>
    <s v="nikola.barba@unicath.hr"/>
    <s v="Ilica 244B"/>
    <s v="Ilica 244, 10000 Zagreb"/>
    <s v="7730927366"/>
    <x v="3"/>
    <d v="2026-04-14T00:00:00"/>
    <m/>
    <s v="AVC/Senco"/>
    <s v="King"/>
  </r>
  <r>
    <m/>
    <n v="519"/>
    <s v="1918"/>
    <x v="16"/>
    <x v="23"/>
    <n v="2"/>
    <x v="1"/>
    <s v="Filip Samoščanec_x000a_"/>
    <s v="0993047438_x000a_"/>
    <s v="filip.samoscanec@tvz.hr_x000a_"/>
    <s v="Vrbik 8"/>
    <s v="Konavoska 2"/>
    <s v="8814003451"/>
    <x v="3"/>
    <d v="2026-04-14T00:00:00"/>
    <m/>
    <s v="AVC/Senco"/>
    <s v="King"/>
  </r>
  <r>
    <m/>
    <n v="520"/>
    <s v="368"/>
    <x v="16"/>
    <x v="6"/>
    <n v="1"/>
    <x v="3"/>
    <s v="Ivana Delistović Duić_x000a_"/>
    <s v="098/654-710_x000a_"/>
    <s v="idelistov@unizd.hr_x000a_"/>
    <s v="Ulica Mihovila Pavlinovića 1"/>
    <s v="Dr. Franje Tuđmana 24, 23000 Zadar "/>
    <s v="10839679016"/>
    <x v="3"/>
    <d v="2026-04-14T00:00:00"/>
    <m/>
    <s v="AVC/Senco"/>
    <s v="Senso"/>
  </r>
  <r>
    <m/>
    <n v="521"/>
    <s v="198"/>
    <x v="16"/>
    <x v="15"/>
    <n v="1"/>
    <x v="10"/>
    <s v="Darko Šprem"/>
    <s v="091 408 9012"/>
    <s v="darko.sprem@gfv.hr"/>
    <s v="Hallerova Aleja 7"/>
    <s v="Hallerova aleja 7, Varaždin"/>
    <s v="16146181375"/>
    <x v="4"/>
    <d v="2026-05-04T00:00:00"/>
    <m/>
    <s v="AVC/Senco"/>
    <s v="King"/>
  </r>
  <r>
    <m/>
    <n v="522"/>
    <s v="136"/>
    <x v="16"/>
    <x v="91"/>
    <n v="2"/>
    <x v="1"/>
    <s v="Stipe Gorenjak"/>
    <s v="091 3658 600"/>
    <s v="stipe.gorenjak@kif.unizg.hr"/>
    <s v="Horvaćanski Zavoj 15"/>
    <s v="Horvaćanski zavoj 15"/>
    <s v="25329931628"/>
    <x v="3"/>
    <d v="2026-04-14T00:00:00"/>
    <m/>
    <s v="AVC/Senco"/>
    <s v="King"/>
  </r>
  <r>
    <m/>
    <n v="523"/>
    <s v="185"/>
    <x v="16"/>
    <x v="43"/>
    <n v="1"/>
    <x v="1"/>
    <s v="Marko Maričević"/>
    <s v="0915193488"/>
    <s v="marko.maricevic@grf.hr"/>
    <s v="Getaldićeva Ulica 2"/>
    <s v="Getaldićeva 2, Zagreb"/>
    <s v="25564990903"/>
    <x v="3"/>
    <d v="2026-04-14T00:00:00"/>
    <m/>
    <s v="AVC/Senco"/>
    <s v="Senso"/>
  </r>
  <r>
    <m/>
    <n v="524"/>
    <s v="290"/>
    <x v="16"/>
    <x v="92"/>
    <n v="2"/>
    <x v="8"/>
    <s v="TEDI KOLANOVIĆ"/>
    <s v="091 604 47 89"/>
    <s v="tedi.kolanovic@efri.uniri.hr"/>
    <s v="Ivana Filipovića 4"/>
    <s v="Ivana Filipovića 4"/>
    <s v="26093119930"/>
    <x v="4"/>
    <d v="2026-05-04T00:00:00"/>
    <m/>
    <s v="AVC/Senco"/>
    <s v="Senso"/>
  </r>
  <r>
    <m/>
    <n v="525"/>
    <s v="168"/>
    <x v="16"/>
    <x v="77"/>
    <n v="1"/>
    <x v="13"/>
    <s v="Bruno Bakarić"/>
    <s v="031/224-508"/>
    <s v="bbakaric@pravos.hr"/>
    <s v="Ulica Stjepana Radića 13"/>
    <s v="Stjepana Radića 13"/>
    <s v="26416570803"/>
    <x v="4"/>
    <d v="2026-05-04T00:00:00"/>
    <m/>
    <s v="AVC/Senco"/>
    <s v="Senso"/>
  </r>
  <r>
    <m/>
    <n v="526"/>
    <s v="205"/>
    <x v="16"/>
    <x v="44"/>
    <n v="1"/>
    <x v="1"/>
    <s v="Mikolaj Martinjak"/>
    <s v="0989478881"/>
    <s v="mika@ffrz.hr"/>
    <s v="Jordanovac 110"/>
    <s v="Jordanovac 110"/>
    <s v="26975482530"/>
    <x v="3"/>
    <d v="2026-04-14T00:00:00"/>
    <m/>
    <s v="AVC/Senco"/>
    <s v="King"/>
  </r>
  <r>
    <m/>
    <n v="527"/>
    <s v="152"/>
    <x v="16"/>
    <x v="93"/>
    <n v="1"/>
    <x v="1"/>
    <s v="Davorin Axmann"/>
    <s v="098271569"/>
    <s v="daxmann@efzg.hr"/>
    <s v="Trg Johna Fitzgeralda Kennedyja 6"/>
    <s v="Trg J.F. Kennedyja 6"/>
    <s v="27208467122"/>
    <x v="3"/>
    <d v="2026-04-14T00:00:00"/>
    <m/>
    <s v="AVC/Senco"/>
    <s v="King"/>
  </r>
  <r>
    <m/>
    <s v="528a_x000a_528b"/>
    <s v="5713"/>
    <x v="16"/>
    <x v="27"/>
    <n v="2"/>
    <x v="11"/>
    <s v="Leida Rizvan_x000a_Marin Gudelj"/>
    <s v="0914433905_x000a_0913344165"/>
    <s v="leida.rizvan@unist.hr_x000a_marin@oss.unist.hr"/>
    <s v="R. Boškovića 31"/>
    <s v="Ruđera Boškovića 31, Split  1 kom._x000a_Kopilica 21, Split 1 kom."/>
    <s v="29845096215"/>
    <x v="4"/>
    <d v="2026-05-04T00:00:00"/>
    <m/>
    <s v="AVC/Senco"/>
    <s v="King"/>
  </r>
  <r>
    <m/>
    <n v="529"/>
    <s v="1972"/>
    <x v="16"/>
    <x v="47"/>
    <n v="1"/>
    <x v="20"/>
    <s v="Damir Lulić"/>
    <s v="0981771615"/>
    <s v="dlulic@unisb.hr"/>
    <s v="Trg &quot;Ivana Brlić Mažuranić&quot; 2"/>
    <s v="Ulica 108. brigade ZNG 32"/>
    <s v="33027834374"/>
    <x v="4"/>
    <d v="2026-05-04T00:00:00"/>
    <m/>
    <s v="AVC/Senco"/>
    <s v="Senso"/>
  </r>
  <r>
    <m/>
    <n v="530"/>
    <s v="154"/>
    <x v="16"/>
    <x v="50"/>
    <n v="2"/>
    <x v="8"/>
    <s v="Daniel Maratović"/>
    <s v="095/9064710"/>
    <s v="daniel.maratovic@riteh.uniri.hr"/>
    <s v="Vukovarska 58"/>
    <s v="Vukovarska 58, HR-51000 Rijeka"/>
    <s v="46319717480"/>
    <x v="4"/>
    <d v="2026-05-04T00:00:00"/>
    <m/>
    <s v="AVC/Senco"/>
    <s v="Senso"/>
  </r>
  <r>
    <m/>
    <s v="531a_x000a_531b"/>
    <s v="215"/>
    <x v="16"/>
    <x v="18"/>
    <n v="2"/>
    <x v="1"/>
    <s v="Ivan Šetin"/>
    <s v="0981839338"/>
    <s v="isetin@adu.hr"/>
    <s v="Trg Republike Hrvatske 5"/>
    <s v="Trg Republike Hrvatske 5_x000a_Frankopanska 22"/>
    <s v="52097842295"/>
    <x v="3"/>
    <d v="2026-04-14T00:00:00"/>
    <m/>
    <s v="AVC/Senco"/>
    <s v="Senso"/>
  </r>
  <r>
    <m/>
    <n v="532"/>
    <s v="125"/>
    <x v="16"/>
    <x v="84"/>
    <n v="2"/>
    <x v="13"/>
    <s v="Damir Kovačević"/>
    <s v="385912244189"/>
    <s v="damir.kovacevic@efos.hr"/>
    <s v="Trg Ljudevita Gaja 7"/>
    <s v="Trg Ljudevita Gaja 7, Osijek"/>
    <s v="52778515544"/>
    <x v="4"/>
    <d v="2026-05-04T00:00:00"/>
    <m/>
    <s v="AVC/Senco"/>
    <s v="King"/>
  </r>
  <r>
    <m/>
    <n v="533"/>
    <s v="1939"/>
    <x v="16"/>
    <x v="76"/>
    <n v="1"/>
    <x v="8"/>
    <s v="Aljoša Brajdić"/>
    <s v="099/2217114"/>
    <s v="aljosa.brajdic@apuri.uniri.hr"/>
    <s v="Slavka Krautzeka 83"/>
    <s v="Slavka Krautzeka 83, 51000 Rijeka"/>
    <s v="55704161999"/>
    <x v="4"/>
    <d v="2026-05-04T00:00:00"/>
    <m/>
    <s v="AVC/Senco"/>
    <s v="Senso"/>
  </r>
  <r>
    <m/>
    <n v="534"/>
    <s v="4497"/>
    <x v="16"/>
    <x v="9"/>
    <n v="1"/>
    <x v="6"/>
    <s v="Branimir Kolman"/>
    <s v="091 244 0130"/>
    <s v="bkolman@unin.hr"/>
    <s v="Trg Dr. Žarka Dolinara 1"/>
    <s v="Ulica 104 brigade 3, VŽ"/>
    <s v="59624928052"/>
    <x v="4"/>
    <d v="2026-05-04T00:00:00"/>
    <m/>
    <s v="AVC/Senco"/>
    <s v="Senso"/>
  </r>
  <r>
    <m/>
    <n v="535"/>
    <s v="3554"/>
    <x v="16"/>
    <x v="10"/>
    <n v="2"/>
    <x v="7"/>
    <s v="Dario Kukuljan"/>
    <s v="0993777446"/>
    <s v="dkukuljan@unipu.hr"/>
    <s v="Zagrebačka Ulica 30"/>
    <s v="Preradovićeva 30, Pula"/>
    <s v="61738073226"/>
    <x v="4"/>
    <d v="2026-05-04T00:00:00"/>
    <m/>
    <s v="AVC/Senco"/>
    <s v="Senso"/>
  </r>
  <r>
    <m/>
    <n v="536"/>
    <s v="1963"/>
    <x v="16"/>
    <x v="72"/>
    <n v="1"/>
    <x v="22"/>
    <s v="Marko Štedul"/>
    <s v="098-9919-742"/>
    <s v="marko.stedul@vuka.hr"/>
    <s v="Ivana Meštrovića 10"/>
    <s v="J. J. Strossmayera 9"/>
    <s v="62820859976"/>
    <x v="3"/>
    <d v="2026-04-14T00:00:00"/>
    <m/>
    <s v="AVC/Senco"/>
    <s v="Senso"/>
  </r>
  <r>
    <m/>
    <n v="537"/>
    <s v="221"/>
    <x v="16"/>
    <x v="11"/>
    <n v="1"/>
    <x v="8"/>
    <s v="Danka Jurjević"/>
    <s v="051/265-884"/>
    <s v="danka.jurjevic@uniri.hr"/>
    <s v="Trg Braće Mažuranića 10"/>
    <s v="Radmile Matejčić 2; 51000 Rijeka"/>
    <s v="64218323816"/>
    <x v="4"/>
    <d v="2026-05-04T00:00:00"/>
    <m/>
    <s v="AVC/Senco"/>
    <s v="King"/>
  </r>
  <r>
    <m/>
    <n v="538"/>
    <s v="1907"/>
    <x v="16"/>
    <x v="94"/>
    <n v="1"/>
    <x v="8"/>
    <s v="Boris Ružić"/>
    <s v="0915765999"/>
    <s v="bruzic@uniri.hr"/>
    <s v="Sveučilišna Avenija 4"/>
    <s v="Sveučilišna avenija 4, 51000 Rijeka"/>
    <s v="70505505759"/>
    <x v="4"/>
    <d v="2026-05-04T00:00:00"/>
    <m/>
    <s v="AVC/Senco"/>
    <s v="Senso"/>
  </r>
  <r>
    <m/>
    <n v="539"/>
    <s v="169"/>
    <x v="16"/>
    <x v="57"/>
    <n v="1"/>
    <x v="8"/>
    <s v="Izv. prof. dr. sc. Jasmin Ćelić"/>
    <s v="0912546777"/>
    <s v="jasmin.celic@uniri.hr"/>
    <s v="Studentska 2"/>
    <s v="Studentska 2"/>
    <s v="76722145702"/>
    <x v="4"/>
    <d v="2026-05-04T00:00:00"/>
    <m/>
    <s v="AVC/Senco"/>
    <s v="Senso"/>
  </r>
  <r>
    <m/>
    <n v="540"/>
    <s v="222"/>
    <x v="16"/>
    <x v="33"/>
    <n v="1"/>
    <x v="13"/>
    <s v="Albert Oswald"/>
    <s v=" +385912241400"/>
    <s v="oswald@unios.hr"/>
    <s v="Trg Sv. Trojstva 3"/>
    <s v="Trg. Sv. Trojstva 3."/>
    <s v="78808975734"/>
    <x v="4"/>
    <d v="2026-05-04T00:00:00"/>
    <m/>
    <s v="AVC/Senco"/>
    <s v="King"/>
  </r>
  <r>
    <m/>
    <n v="541"/>
    <s v="163"/>
    <x v="16"/>
    <x v="58"/>
    <n v="1"/>
    <x v="11"/>
    <s v="Alen Domazet"/>
    <s v="091 568 5994"/>
    <s v="adomazet@gradst.hr"/>
    <s v="Matice Hrvatske 15"/>
    <s v="Matice hrvatske 15, 21000 Split"/>
    <s v="83615500218"/>
    <x v="4"/>
    <d v="2026-05-04T00:00:00"/>
    <m/>
    <s v="AVC/Senco"/>
    <s v="King"/>
  </r>
  <r>
    <m/>
    <n v="542"/>
    <s v="186"/>
    <x v="16"/>
    <x v="60"/>
    <n v="1"/>
    <x v="1"/>
    <s v="Boris Beker"/>
    <s v="098/211-765"/>
    <s v="bbeker@ffzg.hr"/>
    <s v="Ulica Ivana Lučića 3"/>
    <s v="Ivana Lučića 3, Zagreb"/>
    <s v="90633715804"/>
    <x v="3"/>
    <d v="2026-04-14T00:00:00"/>
    <m/>
    <s v="AVC/Senco"/>
    <s v="Senso"/>
  </r>
  <r>
    <m/>
    <n v="543"/>
    <s v="206"/>
    <x v="16"/>
    <x v="35"/>
    <n v="2"/>
    <x v="1"/>
    <s v="Davor Štrk"/>
    <s v="099 3136 671"/>
    <s v="dstrk@fkz.hr"/>
    <s v="Avenija Gojka Šuška 1"/>
    <s v="Av. Gojka Šuška 1, Zagreb"/>
    <s v="36162371878"/>
    <x v="3"/>
    <d v="2026-04-14T00:00:00"/>
    <m/>
    <s v="AVC/Senco"/>
    <s v="King"/>
  </r>
  <r>
    <m/>
    <n v="544"/>
    <s v="188"/>
    <x v="16"/>
    <x v="4"/>
    <n v="1"/>
    <x v="1"/>
    <s v="Boris Rončević"/>
    <s v="099 5327723"/>
    <s v="broncevic@nsk.hr"/>
    <s v="Ul. Hrvatske Bratske Zajednice 4"/>
    <s v="NSK - Ul. Hrvatske Bratske Zajednice 4"/>
    <m/>
    <x v="3"/>
    <d v="2026-04-14T00:00:00"/>
    <m/>
    <s v="AVC/Senco"/>
    <s v="?"/>
  </r>
  <r>
    <m/>
    <m/>
    <m/>
    <x v="17"/>
    <x v="0"/>
    <n v="34"/>
    <x v="0"/>
    <m/>
    <m/>
    <m/>
    <m/>
    <m/>
    <m/>
    <x v="0"/>
    <m/>
    <m/>
    <m/>
    <m/>
  </r>
  <r>
    <m/>
    <n v="545"/>
    <s v="368"/>
    <x v="17"/>
    <x v="6"/>
    <n v="5"/>
    <x v="3"/>
    <s v="Ivan Nimac"/>
    <s v="095/826-5888"/>
    <s v="inimac@unizd.hr"/>
    <s v="Ulica Mihovila Pavlinovića 1"/>
    <s v="Obala kralja Petra Krešimira IV. Br. 2, 23000 Zadar"/>
    <s v="10839679016"/>
    <x v="5"/>
    <m/>
    <m/>
    <m/>
    <m/>
  </r>
  <r>
    <m/>
    <n v="546"/>
    <s v="3986"/>
    <x v="17"/>
    <x v="68"/>
    <n v="1"/>
    <x v="1"/>
    <s v="Petra Mitrović"/>
    <s v="0914810222"/>
    <s v="pmitrovic@muza.hr"/>
    <s v="Trg Republike Hrvatske 12"/>
    <s v="Trg Republike Hrvatske 12"/>
    <s v="18422925218"/>
    <x v="5"/>
    <m/>
    <m/>
    <m/>
    <m/>
  </r>
  <r>
    <m/>
    <n v="547"/>
    <s v="130"/>
    <x v="17"/>
    <x v="45"/>
    <n v="7"/>
    <x v="1"/>
    <s v="Kristian Došen"/>
    <s v="091 7888 474"/>
    <s v="kristian.dosen@fpzg.hr"/>
    <s v="Ulica Ivana Lepušića 6"/>
    <s v="Lepušićeva 6, 10000 Zagreb"/>
    <s v="28011548575"/>
    <x v="5"/>
    <m/>
    <m/>
    <m/>
    <m/>
  </r>
  <r>
    <m/>
    <n v="548"/>
    <s v="469"/>
    <x v="17"/>
    <x v="75"/>
    <n v="1"/>
    <x v="1"/>
    <s v="Krunoslav Komugović"/>
    <s v="385915058109"/>
    <s v="krunoslav.komugovic@pmf.hr"/>
    <s v="Horvatovac 102A"/>
    <s v="Bijenička cesta 30"/>
    <s v="28163265527"/>
    <x v="5"/>
    <m/>
    <m/>
    <m/>
    <m/>
  </r>
  <r>
    <m/>
    <n v="549"/>
    <s v="1972"/>
    <x v="17"/>
    <x v="47"/>
    <n v="3"/>
    <x v="20"/>
    <s v="Damir Lulić"/>
    <s v="0981771615"/>
    <s v="dlulic@unisb.hr"/>
    <s v="Trg &quot;Ivana Brlić Mažuranić&quot; 2"/>
    <s v="Ulica 108. brigade ZNG 36"/>
    <s v="33027834374"/>
    <x v="5"/>
    <m/>
    <m/>
    <m/>
    <m/>
  </r>
  <r>
    <m/>
    <n v="550"/>
    <s v="140"/>
    <x v="17"/>
    <x v="83"/>
    <n v="1"/>
    <x v="1"/>
    <s v="Marko Poletto"/>
    <s v="099/4928854"/>
    <s v="pmarko@vef.unizg.hr"/>
    <s v="Ulica Vjekoslava Heinzela 55"/>
    <s v="Ulica Vjekoslava Heinzela 55, 10000 Zagreb"/>
    <s v="36389528408"/>
    <x v="5"/>
    <m/>
    <m/>
    <m/>
    <m/>
  </r>
  <r>
    <m/>
    <n v="551"/>
    <s v="173"/>
    <x v="17"/>
    <x v="89"/>
    <n v="1"/>
    <x v="8"/>
    <s v="Siniša Lončarić"/>
    <s v="0913011188"/>
    <s v="sloncaric@pravri.uniri.hr"/>
    <s v="Hahlić 6"/>
    <s v="Hahlić 6, Rijeka"/>
    <s v="43767699965"/>
    <x v="5"/>
    <m/>
    <m/>
    <m/>
    <m/>
  </r>
  <r>
    <m/>
    <n v="552"/>
    <s v="165"/>
    <x v="17"/>
    <x v="79"/>
    <n v="2"/>
    <x v="1"/>
    <s v="Mirza Žižak"/>
    <s v="091-595-2783"/>
    <s v="mirza.zizak@mef.hr"/>
    <s v="Šalata 3"/>
    <s v="Šalata 2"/>
    <s v="45001686598"/>
    <x v="5"/>
    <m/>
    <m/>
    <m/>
    <m/>
  </r>
  <r>
    <m/>
    <n v="553"/>
    <s v="3795"/>
    <x v="17"/>
    <x v="2"/>
    <n v="1"/>
    <x v="2"/>
    <s v="Enes Ciriković"/>
    <s v="0989225600"/>
    <s v="enes.cirikovic@vuv.hr"/>
    <s v="Ulica Matije Gupca 78"/>
    <s v="Matije Gupca 78, 33000 Virovitica"/>
    <s v="46576407858"/>
    <x v="5"/>
    <m/>
    <m/>
    <m/>
    <m/>
  </r>
  <r>
    <m/>
    <n v="554"/>
    <s v="210"/>
    <x v="17"/>
    <x v="31"/>
    <n v="1"/>
    <x v="1"/>
    <s v="Taras Barščevski"/>
    <s v="+385(91)5335.699"/>
    <s v="taras.barscevski@kbf.unizg.hr"/>
    <s v="Vlaška Ulica 38"/>
    <s v="Vlaška 38"/>
    <s v="48987767944"/>
    <x v="5"/>
    <m/>
    <m/>
    <m/>
    <m/>
  </r>
  <r>
    <m/>
    <n v="555"/>
    <s v="125"/>
    <x v="17"/>
    <x v="84"/>
    <n v="1"/>
    <x v="13"/>
    <s v="Damir Kovačević"/>
    <s v="385912244189"/>
    <s v="damir.kovacevic@efos.hr"/>
    <s v="Trg Ljudevita Gaja 7"/>
    <s v="Trg Ljudevita Gaja 7, Osijek"/>
    <s v="52778515544"/>
    <x v="5"/>
    <m/>
    <m/>
    <m/>
    <m/>
  </r>
  <r>
    <m/>
    <n v="556"/>
    <s v="4497"/>
    <x v="17"/>
    <x v="9"/>
    <n v="3"/>
    <x v="6"/>
    <s v="Branimir Kolman"/>
    <s v="091 244 0130"/>
    <s v="bkolman@unin.hr"/>
    <s v="Trg Dr. Žarka Dolinara 1"/>
    <s v="Ulica 104 brigade 3, VŽ"/>
    <s v="59624928052"/>
    <x v="5"/>
    <m/>
    <m/>
    <m/>
    <m/>
  </r>
  <r>
    <m/>
    <n v="557"/>
    <s v="3554"/>
    <x v="17"/>
    <x v="10"/>
    <n v="4"/>
    <x v="7"/>
    <s v="Dario Kukuljan"/>
    <s v="0993777446"/>
    <s v="dkukuljan@unipu.hr"/>
    <s v="Zagrebačka Ulica 30"/>
    <s v="Alda Negrija 6, Pila"/>
    <s v="61738073226"/>
    <x v="5"/>
    <m/>
    <m/>
    <m/>
    <m/>
  </r>
  <r>
    <m/>
    <n v="558"/>
    <s v="221"/>
    <x v="17"/>
    <x v="11"/>
    <n v="2"/>
    <x v="8"/>
    <s v="Marko Roža"/>
    <s v="051/265-873"/>
    <s v="marko.roza@uniri.hr"/>
    <s v="Trg Braće Mažuranića 10"/>
    <s v="Radmile Matejčić 2; 51000 Rijeka"/>
    <s v="64218323816"/>
    <x v="5"/>
    <m/>
    <m/>
    <m/>
    <m/>
  </r>
  <r>
    <m/>
    <n v="559"/>
    <s v="6229"/>
    <x v="17"/>
    <x v="55"/>
    <n v="1"/>
    <x v="13"/>
    <s v="Matija Karapetrić"/>
    <s v="0915053478"/>
    <s v="matija.karapetric@kifos.hr"/>
    <s v="Drinska 16A"/>
    <s v="Drinska 16a, 31000 Osijek"/>
    <s v="70788591483"/>
    <x v="5"/>
    <m/>
    <m/>
    <m/>
    <m/>
  </r>
  <r>
    <m/>
    <m/>
    <m/>
    <x v="18"/>
    <x v="0"/>
    <n v="78"/>
    <x v="0"/>
    <m/>
    <m/>
    <m/>
    <m/>
    <m/>
    <m/>
    <x v="0"/>
    <m/>
    <m/>
    <m/>
    <m/>
  </r>
  <r>
    <m/>
    <n v="560"/>
    <s v="133"/>
    <x v="18"/>
    <x v="36"/>
    <n v="1"/>
    <x v="11"/>
    <s v="Zvonimir Torba"/>
    <s v="+385 91 4305 724"/>
    <s v="torba@fesb.hr"/>
    <s v="R. Boškovića 32"/>
    <s v="R. Boškovića 32, 21000 Split"/>
    <s v="857144221"/>
    <x v="4"/>
    <m/>
    <m/>
    <m/>
    <m/>
  </r>
  <r>
    <m/>
    <n v="561"/>
    <s v="3990"/>
    <x v="18"/>
    <x v="37"/>
    <n v="10"/>
    <x v="17"/>
    <s v="Stjepo Hladilo"/>
    <s v="0919322586"/>
    <s v="stjepo.hladilo@unidu.hr"/>
    <s v="Branitelja Dubrovnika 41"/>
    <s v="Ćira Carića 4, Dubrovnik"/>
    <s v="1338491514"/>
    <x v="2"/>
    <m/>
    <m/>
    <m/>
    <m/>
  </r>
  <r>
    <m/>
    <n v="562"/>
    <s v="3689"/>
    <x v="18"/>
    <x v="5"/>
    <n v="15"/>
    <x v="1"/>
    <s v="Nikola Barba"/>
    <s v="099 6081 436"/>
    <s v="nikola.barba@unicath.hr"/>
    <s v="Ilica 244B"/>
    <s v="Ilica 244, 10000 Zagreb"/>
    <s v="7730927366"/>
    <x v="4"/>
    <m/>
    <m/>
    <m/>
    <m/>
  </r>
  <r>
    <m/>
    <n v="563"/>
    <s v="368"/>
    <x v="18"/>
    <x v="6"/>
    <n v="8"/>
    <x v="3"/>
    <s v="Ivan Nimac"/>
    <s v="095/826-5888"/>
    <s v="inimac@unizd.hr"/>
    <s v="Ulica Mihovila Pavlinovića 1"/>
    <s v="Obala kralja Petra Krešimira IV. Br. 2, 23000 Zadar"/>
    <s v="10839679016"/>
    <x v="4"/>
    <m/>
    <m/>
    <m/>
    <m/>
  </r>
  <r>
    <m/>
    <n v="564"/>
    <s v="3986"/>
    <x v="18"/>
    <x v="68"/>
    <n v="1"/>
    <x v="1"/>
    <s v="Petra Mitrović"/>
    <s v="0914810222"/>
    <s v="pmitrovic@muza.hr"/>
    <s v="Trg Republike Hrvatske 12"/>
    <s v="Trg Republike Hrvatske 12"/>
    <s v="18422925218"/>
    <x v="4"/>
    <m/>
    <m/>
    <m/>
    <m/>
  </r>
  <r>
    <m/>
    <n v="565"/>
    <s v="4919"/>
    <x v="18"/>
    <x v="42"/>
    <n v="1"/>
    <x v="11"/>
    <s v="Doris Knego"/>
    <s v="098 9394211,"/>
    <s v="doris.knego@pmfst.hr"/>
    <s v="R. Boškovića 33"/>
    <s v="Ruđera Boškovića 33"/>
    <s v="20858497843"/>
    <x v="4"/>
    <m/>
    <m/>
    <m/>
    <m/>
  </r>
  <r>
    <m/>
    <n v="566"/>
    <s v="168"/>
    <x v="18"/>
    <x v="77"/>
    <n v="1"/>
    <x v="13"/>
    <s v="Bruno Bakarić"/>
    <s v="031/224-508"/>
    <s v="bbakaric@pravos.hr"/>
    <s v="Ulica Stjepana Radića 13"/>
    <s v="Stjepana Radića 13"/>
    <s v="26416570803"/>
    <x v="4"/>
    <m/>
    <m/>
    <m/>
    <m/>
  </r>
  <r>
    <m/>
    <n v="567"/>
    <s v="205"/>
    <x v="18"/>
    <x v="44"/>
    <n v="1"/>
    <x v="1"/>
    <s v="Mikolaj Martinjak"/>
    <s v="0989478881"/>
    <s v="mika@ffrz.hr"/>
    <s v="Jordanovac 110"/>
    <s v="Jordanovac 110"/>
    <s v="26975482530"/>
    <x v="4"/>
    <m/>
    <m/>
    <m/>
    <m/>
  </r>
  <r>
    <m/>
    <n v="568"/>
    <s v="3637"/>
    <x v="18"/>
    <x v="81"/>
    <n v="1"/>
    <x v="13"/>
    <s v="Krunoslav Kurilj"/>
    <s v="0991616166"/>
    <s v="kkurilj@foozos.hr"/>
    <s v="Ulica Cara Hadrijana 10"/>
    <s v="Cara Hadrijana 10, 31 000 Osijek – NASTAVNA ZGRADA"/>
    <s v="28082679513"/>
    <x v="4"/>
    <m/>
    <m/>
    <m/>
    <m/>
  </r>
  <r>
    <m/>
    <n v="569"/>
    <s v="469"/>
    <x v="18"/>
    <x v="75"/>
    <n v="1"/>
    <x v="1"/>
    <s v="Krunoslav Komugović"/>
    <s v="385915058109"/>
    <s v="krunoslav.komugovic@pmf.hr"/>
    <s v="Horvatovac 102A"/>
    <s v="Bijenička cesta 30"/>
    <s v="28163265527"/>
    <x v="4"/>
    <m/>
    <m/>
    <m/>
    <m/>
  </r>
  <r>
    <m/>
    <s v="570a_x000a_570b_x000a_570c"/>
    <s v="5713"/>
    <x v="18"/>
    <x v="27"/>
    <n v="3"/>
    <x v="11"/>
    <s v="Marin Gudelj_x000a_Dalibor Bulić_x000a_Petra Musap"/>
    <s v="0913344165_x000a_021 564815, 0915462104_x000a_0991639750"/>
    <s v="marin@oss.unist.hr_x000a_dalibor.bulic@fzz.unist.hr_x000a_petra.musap@unist.hr"/>
    <s v="R. Boškovića 31"/>
    <s v="Kopilica 21, Split 1 kom._x000a_Ruđera Boškovića 35, Split¸ 1 kom._x000a_Poljana kraljice Jelene 1, Split  1 kom."/>
    <s v="29845096215"/>
    <x v="4"/>
    <m/>
    <m/>
    <m/>
    <m/>
  </r>
  <r>
    <m/>
    <n v="571"/>
    <s v="1972"/>
    <x v="18"/>
    <x v="47"/>
    <n v="3"/>
    <x v="20"/>
    <s v="Damir Lulić"/>
    <s v="0981771615"/>
    <s v="dlulic@unisb.hr"/>
    <s v="Trg &quot;Ivana Brlić Mažuranić&quot; 2"/>
    <s v="Ulica 108. brigade ZNG 36"/>
    <s v="33027834374"/>
    <x v="4"/>
    <m/>
    <m/>
    <m/>
    <m/>
  </r>
  <r>
    <m/>
    <n v="572"/>
    <s v="140"/>
    <x v="18"/>
    <x v="83"/>
    <n v="1"/>
    <x v="1"/>
    <s v="Marko Poletto"/>
    <s v="099/4928854"/>
    <s v="pmarko@vef.unizg.hr"/>
    <s v="Ulica Vjekoslava Heinzela 55"/>
    <s v="Ulica Vjekoslava Heinzela 55, 10000 Zagreb"/>
    <s v="36389528408"/>
    <x v="4"/>
    <m/>
    <m/>
    <m/>
    <m/>
  </r>
  <r>
    <m/>
    <n v="573"/>
    <s v="219"/>
    <x v="18"/>
    <x v="28"/>
    <n v="2"/>
    <x v="1"/>
    <s v="Marin Šperanda"/>
    <s v="091 906 6882"/>
    <s v="marin.speranda@caas.unizg.hr"/>
    <s v="Trg Republike Hrvatske 14"/>
    <s v="Don Frana Bulića 4, 20000 Dubrovnik (CAAS)"/>
    <s v="36612267447"/>
    <x v="4"/>
    <m/>
    <m/>
    <m/>
    <m/>
  </r>
  <r>
    <m/>
    <n v="574"/>
    <s v="3545"/>
    <x v="18"/>
    <x v="29"/>
    <n v="1"/>
    <x v="11"/>
    <s v="Branimir Džaja"/>
    <s v="091-2600324"/>
    <s v="branimir.dzaja@umas.hr"/>
    <s v="Zagrebačka 3"/>
    <s v="Glagoljaška 18a, Gripe"/>
    <s v="38960125358"/>
    <x v="4"/>
    <m/>
    <m/>
    <m/>
    <m/>
  </r>
  <r>
    <m/>
    <n v="575"/>
    <s v="173"/>
    <x v="18"/>
    <x v="89"/>
    <n v="1"/>
    <x v="8"/>
    <s v="Siniša Lončarić"/>
    <s v="0913011188"/>
    <s v="sloncaric@pravri.uniri.hr"/>
    <s v="Hahlić 6"/>
    <s v="Hahlić 6, Rijeka"/>
    <s v="43767699965"/>
    <x v="4"/>
    <m/>
    <m/>
    <m/>
    <m/>
  </r>
  <r>
    <m/>
    <n v="576"/>
    <s v="165"/>
    <x v="18"/>
    <x v="79"/>
    <n v="2"/>
    <x v="1"/>
    <s v="Mirza Žižak"/>
    <s v="091-595-2783"/>
    <s v="mirza.zizak@mef.hr"/>
    <s v="Šalata 3"/>
    <s v="Šalata 2"/>
    <s v="45001686598"/>
    <x v="4"/>
    <m/>
    <m/>
    <m/>
    <m/>
  </r>
  <r>
    <m/>
    <n v="577"/>
    <s v="245"/>
    <x v="18"/>
    <x v="52"/>
    <n v="1"/>
    <x v="1"/>
    <s v="Ozren Digula, Kristijan Zbiljski"/>
    <s v="0914595855, 0914595858"/>
    <s v="ozren.digula@zvu.hr, kristijan.zbiljski@zvu.hr"/>
    <s v="Mlinarska Cesta 38"/>
    <s v="Mlinarska cesta 38"/>
    <s v="50952646228"/>
    <x v="4"/>
    <m/>
    <m/>
    <m/>
    <m/>
  </r>
  <r>
    <m/>
    <n v="578"/>
    <s v="3430"/>
    <x v="18"/>
    <x v="53"/>
    <n v="1"/>
    <x v="11"/>
    <s v="Ante Krolo"/>
    <s v="+385 95 903 76 48"/>
    <s v="ante@kifst.hr"/>
    <s v="Teslina 6"/>
    <s v="Teslina 10"/>
    <s v="57848936921"/>
    <x v="4"/>
    <m/>
    <m/>
    <m/>
    <m/>
  </r>
  <r>
    <m/>
    <n v="579"/>
    <s v="181"/>
    <x v="18"/>
    <x v="80"/>
    <n v="2"/>
    <x v="13"/>
    <s v="Zoltan Juhas"/>
    <s v="091/ 2549 157"/>
    <s v="zoli@ffos.hr"/>
    <s v="Ulica Lorenza Jägera 9"/>
    <s v="Ulica Lorenza Jägera 9"/>
    <s v="58868871646"/>
    <x v="4"/>
    <m/>
    <m/>
    <m/>
    <m/>
  </r>
  <r>
    <m/>
    <n v="580"/>
    <s v="4497"/>
    <x v="18"/>
    <x v="9"/>
    <n v="4"/>
    <x v="6"/>
    <s v="Branimir Kolman"/>
    <s v="091 244 0130"/>
    <s v="bkolman@unin.hr"/>
    <s v="Trg Dr. Žarka Dolinara 1"/>
    <s v="Ulica 104 brigade 3, VŽ"/>
    <s v="59624928052"/>
    <x v="4"/>
    <m/>
    <m/>
    <m/>
    <m/>
  </r>
  <r>
    <m/>
    <n v="581"/>
    <s v="3554"/>
    <x v="18"/>
    <x v="10"/>
    <n v="4"/>
    <x v="7"/>
    <s v="Dario Kukuljan"/>
    <s v="0993777446"/>
    <s v="dkukuljan@unipu.hr"/>
    <s v="Zagrebačka Ulica 30"/>
    <s v="Alda Negrija 6, Pila"/>
    <s v="61738073226"/>
    <x v="4"/>
    <m/>
    <m/>
    <m/>
    <m/>
  </r>
  <r>
    <m/>
    <n v="582"/>
    <s v="221"/>
    <x v="18"/>
    <x v="11"/>
    <n v="3"/>
    <x v="8"/>
    <s v="Marko Roža"/>
    <s v="051/265-873"/>
    <s v="marko.roza@uniri.hr"/>
    <s v="Trg Braće Mažuranića 10"/>
    <s v="Radmile Matejčić 2; 51000 Rijeka"/>
    <s v="64218323816"/>
    <x v="4"/>
    <m/>
    <m/>
    <m/>
    <m/>
  </r>
  <r>
    <m/>
    <n v="583"/>
    <s v="150"/>
    <x v="18"/>
    <x v="12"/>
    <n v="2"/>
    <x v="1"/>
    <s v="Dario Đurasović"/>
    <s v="091 4802 130"/>
    <s v="dario@sfzg.hr"/>
    <s v="Gundulićeva Ulica 5"/>
    <s v="Gundulićeva 5, Zagreb"/>
    <s v="70221464726"/>
    <x v="4"/>
    <m/>
    <m/>
    <m/>
    <m/>
  </r>
  <r>
    <m/>
    <n v="584"/>
    <s v="6229"/>
    <x v="18"/>
    <x v="55"/>
    <n v="1"/>
    <x v="13"/>
    <s v="Matija Karapetrić"/>
    <s v="0915053478"/>
    <s v="matija.karapetric@kifos.hr"/>
    <s v="Drinska 16A"/>
    <s v="Drinska 16a, 31000 Osijek"/>
    <s v="70788591483"/>
    <x v="4"/>
    <m/>
    <m/>
    <m/>
    <m/>
  </r>
  <r>
    <m/>
    <n v="585"/>
    <s v="222"/>
    <x v="18"/>
    <x v="33"/>
    <n v="1"/>
    <x v="13"/>
    <s v="Albert Oswald"/>
    <s v=" +385912241400"/>
    <s v="oswald@unios.hr"/>
    <s v="Trg Sv. Trojstva 3"/>
    <s v="Trg. Sv. Trojstva 3."/>
    <s v="78808975734"/>
    <x v="4"/>
    <m/>
    <m/>
    <m/>
    <m/>
  </r>
  <r>
    <m/>
    <n v="586"/>
    <s v="174"/>
    <x v="18"/>
    <x v="86"/>
    <n v="2"/>
    <x v="23"/>
    <s v="Davor Mijolović"/>
    <s v="098-292-104"/>
    <s v="davor.mijolovic@fthm.hr"/>
    <s v="Primorska 46"/>
    <s v="Primorska 46, 51410  Opatija"/>
    <s v="85799845149"/>
    <x v="4"/>
    <m/>
    <m/>
    <m/>
    <m/>
  </r>
  <r>
    <m/>
    <n v="587"/>
    <s v="199"/>
    <x v="18"/>
    <x v="61"/>
    <n v="2"/>
    <x v="13"/>
    <s v="Mario Miloloza"/>
    <s v="0912246140"/>
    <s v="mario.miloloza@ferit.hr"/>
    <s v="Ulica Kneza Trpimira 2B"/>
    <s v="Cara Hadrijana 10b, Osijek"/>
    <s v="95494259952"/>
    <x v="4"/>
    <m/>
    <m/>
    <m/>
    <m/>
  </r>
  <r>
    <m/>
    <n v="588"/>
    <s v="281"/>
    <x v="18"/>
    <x v="63"/>
    <n v="1"/>
    <x v="8"/>
    <s v="Danka Jurjević"/>
    <s v="265-877"/>
    <s v="danka.jurjevic@uniri.hr"/>
    <s v="Sveučilišna Avenija 6"/>
    <s v="Sveučilišna Avenija 6"/>
    <s v="96996385705"/>
    <x v="4"/>
    <m/>
    <m/>
    <m/>
    <m/>
  </r>
  <r>
    <m/>
    <n v="589"/>
    <s v="5769"/>
    <x v="18"/>
    <x v="64"/>
    <n v="1"/>
    <x v="11"/>
    <s v="Slaven Kušljić"/>
    <s v="021 545545, 091 4443745"/>
    <s v="slaven@ffst.hr"/>
    <s v="Poljička Cesta 35"/>
    <s v="Poljička cesta 35"/>
    <s v="98004523293"/>
    <x v="4"/>
    <m/>
    <m/>
    <m/>
    <m/>
  </r>
  <r>
    <m/>
    <m/>
    <m/>
    <x v="19"/>
    <x v="0"/>
    <n v="131"/>
    <x v="0"/>
    <m/>
    <m/>
    <m/>
    <m/>
    <m/>
    <m/>
    <x v="0"/>
    <m/>
    <m/>
    <m/>
    <m/>
  </r>
  <r>
    <m/>
    <n v="590"/>
    <s v="133"/>
    <x v="19"/>
    <x v="36"/>
    <n v="1"/>
    <x v="11"/>
    <s v="Zvonimir Torba"/>
    <s v="+385 91 4305 724"/>
    <s v="torba@fesb.hr"/>
    <s v="R. Boškovića 32"/>
    <s v="R. Boškovića 32, 21000 Split"/>
    <s v="857144221"/>
    <x v="8"/>
    <m/>
    <m/>
    <m/>
    <m/>
  </r>
  <r>
    <m/>
    <n v="591"/>
    <s v="3990"/>
    <x v="19"/>
    <x v="37"/>
    <n v="23"/>
    <x v="17"/>
    <s v="Stjepo Hladilo"/>
    <s v="0919322586"/>
    <s v="stjepo.hladilo@unidu.hr"/>
    <s v="Branitelja Dubrovnika 41"/>
    <s v="Ćira Carića 4, Dubrovnik"/>
    <s v="1338491514"/>
    <x v="2"/>
    <m/>
    <m/>
    <m/>
    <m/>
  </r>
  <r>
    <m/>
    <n v="592"/>
    <s v="131"/>
    <x v="19"/>
    <x v="66"/>
    <n v="8"/>
    <x v="10"/>
    <s v="Mario Harjač"/>
    <s v="097 610 1011"/>
    <s v="maharjac@foi.unizg.hr"/>
    <s v="Pavlinska Ulica 2"/>
    <s v="Pavlinska ulica 2, Varaždin"/>
    <s v="2024882310"/>
    <x v="8"/>
    <m/>
    <m/>
    <m/>
    <m/>
  </r>
  <r>
    <m/>
    <n v="593"/>
    <s v="149"/>
    <x v="19"/>
    <x v="38"/>
    <n v="1"/>
    <x v="11"/>
    <s v="Dalibor Gabela"/>
    <s v="091-1557942"/>
    <s v="helpdesk@mefst.hr"/>
    <s v="Šoltanska 2"/>
    <s v="Šoltanska 2A, Split"/>
    <s v="2879747067"/>
    <x v="8"/>
    <m/>
    <m/>
    <m/>
    <m/>
  </r>
  <r>
    <m/>
    <n v="594"/>
    <s v="132"/>
    <x v="19"/>
    <x v="39"/>
    <n v="2"/>
    <x v="11"/>
    <s v="Juraj Saratlija"/>
    <s v="0996935026"/>
    <s v="juraj.saratlija@pravst.hr"/>
    <s v="Ulica Domovinskog Rata 8"/>
    <s v="Domovinskog rata 8, Split"/>
    <s v="3541568700"/>
    <x v="8"/>
    <m/>
    <m/>
    <m/>
    <m/>
  </r>
  <r>
    <m/>
    <n v="595"/>
    <s v="153"/>
    <x v="19"/>
    <x v="40"/>
    <n v="1"/>
    <x v="1"/>
    <s v="Mihael Šutalo"/>
    <s v="099/2717915"/>
    <s v="msutalo@sumfak.hr"/>
    <s v="Svetošimunska Cesta 23"/>
    <s v="Svetošimunska cesta 23"/>
    <s v="7699719217"/>
    <x v="8"/>
    <m/>
    <m/>
    <m/>
    <m/>
  </r>
  <r>
    <m/>
    <n v="596"/>
    <s v="3689"/>
    <x v="19"/>
    <x v="5"/>
    <n v="2"/>
    <x v="1"/>
    <s v="Nikola Barba"/>
    <s v="099 6081 436"/>
    <s v="nikola.barba@unicath.hr"/>
    <s v="Ilica 244B"/>
    <s v="Ilica 244, 10000 Zagreb"/>
    <s v="7730927366"/>
    <x v="8"/>
    <m/>
    <m/>
    <m/>
    <m/>
  </r>
  <r>
    <m/>
    <n v="597"/>
    <s v="1918"/>
    <x v="19"/>
    <x v="23"/>
    <n v="1"/>
    <x v="1"/>
    <s v="Ivan Rajković"/>
    <s v="+385998153651"/>
    <s v="ivan.rajkovic@tvz.hr"/>
    <s v="Vrbik 8"/>
    <s v="Vrbik 8"/>
    <s v="8814003451"/>
    <x v="8"/>
    <m/>
    <m/>
    <m/>
    <m/>
  </r>
  <r>
    <m/>
    <n v="598"/>
    <s v="368"/>
    <x v="19"/>
    <x v="6"/>
    <n v="1"/>
    <x v="3"/>
    <s v="Ivan Nimac"/>
    <s v="095/826-5888"/>
    <s v="inimac@unizd.hr"/>
    <s v="Ulica Mihovila Pavlinovića 1"/>
    <s v="Obala kralja Petra Krešimira IV. Br. 2, 23000 Zadar"/>
    <s v="10839679016"/>
    <x v="8"/>
    <m/>
    <m/>
    <m/>
    <m/>
  </r>
  <r>
    <m/>
    <n v="599"/>
    <s v="3409"/>
    <x v="19"/>
    <x v="24"/>
    <n v="2"/>
    <x v="15"/>
    <s v="Ivan Reponj"/>
    <s v="0989389348"/>
    <s v="ireponj@ftrr.hr"/>
    <s v="Vukovarska 17"/>
    <s v="Vukovarska 17, Požega"/>
    <s v="11614501047"/>
    <x v="8"/>
    <m/>
    <m/>
    <m/>
    <m/>
  </r>
  <r>
    <m/>
    <n v="600"/>
    <s v="121"/>
    <x v="19"/>
    <x v="1"/>
    <n v="1"/>
    <x v="1"/>
    <s v="Mate Galić"/>
    <s v="098806500"/>
    <s v="mate.galic@pharma.unizg.hr"/>
    <s v="Ulica Ante Kovačića 1"/>
    <s v="Domagojeva 2"/>
    <s v="14509285435"/>
    <x v="8"/>
    <m/>
    <m/>
    <m/>
    <m/>
  </r>
  <r>
    <m/>
    <s v="601a_x000a_601b"/>
    <s v="3385"/>
    <x v="19"/>
    <x v="41"/>
    <n v="2"/>
    <x v="18"/>
    <s v="Nikola Kanišk"/>
    <s v="099/5246985"/>
    <s v="nikola.kaniski@vhzk.hr"/>
    <s v="Šetalište Hrvatskog Narodnog Preporoda 6"/>
    <s v="Trg S. Radića 8"/>
    <s v="16465214888"/>
    <x v="8"/>
    <m/>
    <m/>
    <m/>
    <m/>
  </r>
  <r>
    <m/>
    <n v="602"/>
    <s v="3986"/>
    <x v="19"/>
    <x v="68"/>
    <n v="1"/>
    <x v="1"/>
    <s v="Petra Mitrović"/>
    <s v="0914810222"/>
    <s v="pmitrovic@muza.hr"/>
    <s v="Trg Republike Hrvatske 12"/>
    <s v="Trg Republike Hrvatske 12"/>
    <s v="18422925218"/>
    <x v="8"/>
    <m/>
    <m/>
    <m/>
    <m/>
  </r>
  <r>
    <m/>
    <n v="603"/>
    <s v="4660"/>
    <x v="19"/>
    <x v="69"/>
    <n v="1"/>
    <x v="8"/>
    <s v="Vedran Ćurković"/>
    <s v="091 / 9536547"/>
    <s v="vedran.curkovic@uniri.hr"/>
    <s v="Viktora Cara Emina 5"/>
    <s v="Viktora Cara Emina 5"/>
    <s v="19213484918"/>
    <x v="8"/>
    <m/>
    <m/>
    <m/>
    <m/>
  </r>
  <r>
    <m/>
    <n v="604"/>
    <s v="536"/>
    <x v="19"/>
    <x v="25"/>
    <n v="1"/>
    <x v="16"/>
    <s v="IGOR BILANDŽIĆ"/>
    <s v="091-444-6885"/>
    <s v="Igor.bilandzic@vevu.hr"/>
    <s v="Županijska 50"/>
    <s v="BLAGE ZADRE 2, VUKOVAR"/>
    <s v="21720825730"/>
    <x v="8"/>
    <m/>
    <m/>
    <m/>
    <m/>
  </r>
  <r>
    <m/>
    <n v="605"/>
    <s v="136"/>
    <x v="19"/>
    <x v="91"/>
    <n v="3"/>
    <x v="1"/>
    <s v="Stipe Gorenjak"/>
    <s v="091 3658 600"/>
    <s v="stipe.gorenjak@kif.unizg.hr"/>
    <s v="Horvaćanski Zavoj 15"/>
    <s v="Horvaćanski zavoj 15"/>
    <s v="25329931628"/>
    <x v="8"/>
    <m/>
    <m/>
    <m/>
    <m/>
  </r>
  <r>
    <m/>
    <n v="606"/>
    <s v="191"/>
    <x v="19"/>
    <x v="88"/>
    <n v="2"/>
    <x v="1"/>
    <s v="Dario Kužić"/>
    <s v="385994988065"/>
    <s v=" dkuzic@fpz.unizg.hr"/>
    <s v="Ulica Lavoslava Vukelića 4"/>
    <s v="Borongajska cesta 83a"/>
    <s v="25410051374"/>
    <x v="8"/>
    <m/>
    <m/>
    <m/>
    <m/>
  </r>
  <r>
    <m/>
    <n v="607"/>
    <s v="130"/>
    <x v="19"/>
    <x v="45"/>
    <n v="1"/>
    <x v="1"/>
    <s v="Kristian Došen"/>
    <s v="091 7888 474"/>
    <s v="kristian.dosen@fpzg.hr"/>
    <s v="Ulica Ivana Lepušića 6"/>
    <s v="Lepušićeva 6, 10000 Zagreb"/>
    <s v="28011548575"/>
    <x v="8"/>
    <m/>
    <m/>
    <m/>
    <m/>
  </r>
  <r>
    <m/>
    <n v="608"/>
    <s v="469"/>
    <x v="19"/>
    <x v="75"/>
    <n v="2"/>
    <x v="1"/>
    <s v="Krunoslav Komugović"/>
    <s v="385915058109"/>
    <s v="krunoslav.komugovic@pmf.hr"/>
    <s v="Horvatovac 102A"/>
    <s v="Bijenička cesta 30"/>
    <s v="28163265527"/>
    <x v="8"/>
    <m/>
    <m/>
    <m/>
    <m/>
  </r>
  <r>
    <m/>
    <n v="609"/>
    <s v="250"/>
    <x v="19"/>
    <x v="17"/>
    <n v="7"/>
    <x v="8"/>
    <s v="Davorin Tadić"/>
    <s v="091 332 1308"/>
    <s v="dtadic@veleri.hr"/>
    <s v="Trpimirova 2"/>
    <s v="Vukovarska 58, Rijeka"/>
    <s v="29573709870"/>
    <x v="8"/>
    <m/>
    <m/>
    <m/>
    <m/>
  </r>
  <r>
    <m/>
    <n v="610"/>
    <s v="5713"/>
    <x v="19"/>
    <x v="27"/>
    <n v="1"/>
    <x v="11"/>
    <s v="Leida Rizvan_x000a_"/>
    <s v="0914433905_x000a_"/>
    <s v="leida.rizvan@unist.hr_x000a_"/>
    <s v="R. Boškovića 31"/>
    <s v="Ruđera Boškovića 31, Split"/>
    <s v="29845096215"/>
    <x v="8"/>
    <m/>
    <m/>
    <m/>
    <m/>
  </r>
  <r>
    <m/>
    <n v="611"/>
    <s v="3482"/>
    <x v="19"/>
    <x v="46"/>
    <n v="1"/>
    <x v="19"/>
    <s v="Željko Hrebak"/>
    <s v="098710398"/>
    <s v="zhrebak@mev.hr"/>
    <s v="Ulica Bana Josipa Jelačića 22A"/>
    <s v="Ul. bana Josipa Jelačića 22a"/>
    <s v="31444990605"/>
    <x v="8"/>
    <m/>
    <m/>
    <m/>
    <m/>
  </r>
  <r>
    <m/>
    <n v="612"/>
    <s v="1972"/>
    <x v="19"/>
    <x v="47"/>
    <n v="4"/>
    <x v="20"/>
    <s v="Damir Lulić"/>
    <s v="0981771615"/>
    <s v="dlulic@unisb.hr"/>
    <s v="Trg &quot;Ivana Brlić Mažuranić&quot; 2"/>
    <s v="Ulica 108. brigade ZNG 36"/>
    <s v="33027834374"/>
    <x v="8"/>
    <m/>
    <m/>
    <m/>
    <m/>
  </r>
  <r>
    <m/>
    <n v="613"/>
    <s v="267"/>
    <x v="19"/>
    <x v="82"/>
    <n v="1"/>
    <x v="11"/>
    <s v="Željko Matas"/>
    <s v="097 7094175"/>
    <s v="zmatas@kbf-st.hr"/>
    <s v="Zrinjsko-Frankopanska 19"/>
    <s v="Zrinjsko-Frankopanska 19, Split"/>
    <s v="36149548625"/>
    <x v="8"/>
    <m/>
    <m/>
    <m/>
    <m/>
  </r>
  <r>
    <m/>
    <n v="614"/>
    <s v="140"/>
    <x v="19"/>
    <x v="83"/>
    <n v="1"/>
    <x v="1"/>
    <s v="Marko Poletto"/>
    <s v="099/4928854"/>
    <s v="pmarko@vef.unizg.hr"/>
    <s v="Ulica Vjekoslava Heinzela 55"/>
    <s v="Ulica Vjekoslava Heinzela 55, 10000 Zagreb"/>
    <s v="36389528408"/>
    <x v="8"/>
    <m/>
    <m/>
    <m/>
    <m/>
  </r>
  <r>
    <m/>
    <s v="615a_x000a_615b"/>
    <s v="219"/>
    <x v="19"/>
    <x v="28"/>
    <n v="3"/>
    <x v="1"/>
    <s v="Siniša Vlahović_x000a_Marin Šperanda"/>
    <s v="098 268 472_x000a_091 906 6882"/>
    <s v="svlahovic@unizg.hr_x000a_marin.speranda@caas.unizg.hr"/>
    <s v="Trg Republike Hrvatske 14"/>
    <s v="Ulica Radoslava Cimermana 88, 10000 Zagreb 2 kom._x000a_Don Frana Bulića 4, 20000 Dubrovnik (CAAS) 1 kom."/>
    <s v="36612267447"/>
    <x v="8"/>
    <m/>
    <m/>
    <m/>
    <m/>
  </r>
  <r>
    <m/>
    <n v="616"/>
    <s v="141"/>
    <x v="19"/>
    <x v="30"/>
    <n v="2"/>
    <x v="1"/>
    <s v="Emil Flatz"/>
    <s v="38598302567"/>
    <s v="eflatz@arhitekt.hr"/>
    <s v="Kačićeva Ulica 26"/>
    <s v="Frankopanska 12"/>
    <s v="42061107444"/>
    <x v="8"/>
    <m/>
    <m/>
    <m/>
    <m/>
  </r>
  <r>
    <m/>
    <n v="617"/>
    <s v="1944"/>
    <x v="19"/>
    <x v="8"/>
    <n v="3"/>
    <x v="5"/>
    <s v="Mile Vičić"/>
    <s v="098675984"/>
    <s v="mvicic@velegs-nikolatesla.hr"/>
    <s v="Ulica Bana Ivana Karlovića 16"/>
    <s v="Ulica bana Ivana Karlovića 16"/>
    <s v="42552392522"/>
    <x v="8"/>
    <m/>
    <m/>
    <m/>
    <m/>
  </r>
  <r>
    <m/>
    <n v="618"/>
    <s v="122"/>
    <x v="19"/>
    <x v="49"/>
    <n v="1"/>
    <x v="1"/>
    <s v="Marijo Seničić"/>
    <s v="099 533 7842"/>
    <s v="marijo.senicic@geof.unizg.hr"/>
    <s v="Kačićeva Ulica 26"/>
    <s v="Kačićeva 26, 10000 Zagreb"/>
    <s v="43594593297"/>
    <x v="8"/>
    <m/>
    <m/>
    <m/>
    <m/>
  </r>
  <r>
    <m/>
    <n v="619"/>
    <s v="154"/>
    <x v="19"/>
    <x v="50"/>
    <n v="1"/>
    <x v="8"/>
    <s v="Daniel Maratović"/>
    <s v="095/9064710"/>
    <s v="daniel.maratovic@riteh.uniri.hr"/>
    <s v="Vukovarska 58"/>
    <s v="Vukovarska 58, HR-51000 Rijeka"/>
    <s v="46319717480"/>
    <x v="8"/>
    <m/>
    <m/>
    <m/>
    <m/>
  </r>
  <r>
    <m/>
    <n v="620"/>
    <s v="3795"/>
    <x v="19"/>
    <x v="2"/>
    <n v="6"/>
    <x v="2"/>
    <s v="Enes Ciriković"/>
    <s v="0989225600"/>
    <s v="enes.cirikovic@vuv.hr"/>
    <s v="Ulica Matije Gupca 78"/>
    <s v="Matije Gupca 78, 33000 Virovitica"/>
    <s v="46576407858"/>
    <x v="8"/>
    <m/>
    <m/>
    <m/>
    <m/>
  </r>
  <r>
    <m/>
    <n v="621"/>
    <s v="146"/>
    <x v="19"/>
    <x v="70"/>
    <n v="2"/>
    <x v="1"/>
    <s v="Ana Vukelić"/>
    <s v="0915677600"/>
    <s v="avukelic@pbf.hr"/>
    <s v="Pierottijeva Ulica 6"/>
    <s v="Pierottijeva 6"/>
    <s v="47824453867"/>
    <x v="8"/>
    <m/>
    <m/>
    <m/>
    <m/>
  </r>
  <r>
    <m/>
    <n v="622"/>
    <s v="210"/>
    <x v="19"/>
    <x v="31"/>
    <n v="1"/>
    <x v="1"/>
    <s v="Taras Barščevski"/>
    <s v="+385(91)5335.699"/>
    <s v="taras.barscevski@kbf.unizg.hr"/>
    <s v="Vlaška Ulica 38"/>
    <s v="Vlaška 38"/>
    <s v="48987767944"/>
    <x v="8"/>
    <m/>
    <m/>
    <m/>
    <m/>
  </r>
  <r>
    <m/>
    <n v="623"/>
    <s v="215"/>
    <x v="19"/>
    <x v="18"/>
    <n v="1"/>
    <x v="1"/>
    <s v="Ivan Šetin"/>
    <s v="0981839338"/>
    <s v="isetin@adu.hr"/>
    <s v="Trg Republike Hrvatske 5"/>
    <s v="Trg Republike Hrvatske 5, Zagreb"/>
    <s v="52097842295"/>
    <x v="8"/>
    <m/>
    <m/>
    <m/>
    <m/>
  </r>
  <r>
    <m/>
    <n v="624"/>
    <s v="125"/>
    <x v="19"/>
    <x v="84"/>
    <n v="2"/>
    <x v="13"/>
    <s v="Damir Kovačević"/>
    <s v="385912244189"/>
    <s v="damir.kovacevic@efos.hr"/>
    <s v="Trg Ljudevita Gaja 7"/>
    <s v="Trg Ljudevita Gaja 7, Osijek"/>
    <s v="52778515544"/>
    <x v="8"/>
    <m/>
    <m/>
    <m/>
    <m/>
  </r>
  <r>
    <m/>
    <n v="625"/>
    <s v="1939"/>
    <x v="19"/>
    <x v="76"/>
    <n v="1"/>
    <x v="8"/>
    <s v="Aljoša Brajdić"/>
    <s v="099/2217114"/>
    <s v="aljosa.brajdic@apuri.uniri.hr"/>
    <s v="Slavka Krautzeka 83"/>
    <s v="Slavka Krautzeka 83, 51000 Rijeka"/>
    <s v="55704161999"/>
    <x v="8"/>
    <m/>
    <m/>
    <m/>
    <m/>
  </r>
  <r>
    <m/>
    <n v="626"/>
    <s v="275"/>
    <x v="19"/>
    <x v="85"/>
    <n v="1"/>
    <x v="13"/>
    <s v="Petar Taler"/>
    <s v="091 224 1039"/>
    <s v="petar@mathos.hr"/>
    <s v="Trg Ljudevita Gaja 6"/>
    <s v="Trg Lj. Gaja 6, Osijek"/>
    <s v="56597320763"/>
    <x v="8"/>
    <m/>
    <m/>
    <m/>
    <m/>
  </r>
  <r>
    <m/>
    <n v="627"/>
    <s v="138"/>
    <x v="19"/>
    <x v="71"/>
    <n v="1"/>
    <x v="1"/>
    <s v="Denis Hernaut"/>
    <s v="+385 91 604 3920"/>
    <s v="denis.hernaut@fer.hr"/>
    <s v="Unska Ulica 3"/>
    <s v="Vukovarska 39, Zagreb"/>
    <s v="57029260362"/>
    <x v="8"/>
    <m/>
    <m/>
    <m/>
    <m/>
  </r>
  <r>
    <m/>
    <n v="628"/>
    <s v="181"/>
    <x v="19"/>
    <x v="80"/>
    <n v="2"/>
    <x v="13"/>
    <s v="Zoltan Juhas"/>
    <s v="091/ 2549 157"/>
    <s v="zoli@ffos.hr"/>
    <s v="Ulica Lorenza Jägera 9"/>
    <s v="Ulica Lorenza Jägera 9"/>
    <s v="58868871646"/>
    <x v="8"/>
    <m/>
    <m/>
    <m/>
    <m/>
  </r>
  <r>
    <m/>
    <n v="629"/>
    <s v="3554"/>
    <x v="19"/>
    <x v="10"/>
    <n v="2"/>
    <x v="7"/>
    <s v="Dario Kukuljan"/>
    <s v="0993777446"/>
    <s v="dkukuljan@unipu.hr"/>
    <s v="Zagrebačka Ulica 30"/>
    <s v="Alda Negrija 6, Pila"/>
    <s v="61738073226"/>
    <x v="8"/>
    <m/>
    <m/>
    <m/>
    <m/>
  </r>
  <r>
    <m/>
    <n v="630"/>
    <s v="1963"/>
    <x v="19"/>
    <x v="72"/>
    <n v="1"/>
    <x v="22"/>
    <s v="Marko Štedul"/>
    <s v="098-9919-742"/>
    <s v="marko.stedul@vuka.hr"/>
    <s v="Ivana Meštrovića 10"/>
    <s v="J. J. Strossmayera 9"/>
    <s v="62820859976"/>
    <x v="8"/>
    <m/>
    <m/>
    <m/>
    <m/>
  </r>
  <r>
    <m/>
    <n v="631"/>
    <s v="161"/>
    <x v="19"/>
    <x v="54"/>
    <n v="1"/>
    <x v="1"/>
    <s v="Sead Berberović"/>
    <s v="0915226263"/>
    <s v="sead.berberovic@grad.unizg.hr"/>
    <s v="Kačićeva Ulica 26"/>
    <s v="Kačićeva 26, Zagreb"/>
    <s v="62924153420"/>
    <x v="8"/>
    <m/>
    <m/>
    <m/>
    <m/>
  </r>
  <r>
    <m/>
    <s v="632a_x000a_632b_x000a_632c"/>
    <s v="221"/>
    <x v="19"/>
    <x v="11"/>
    <n v="10"/>
    <x v="8"/>
    <s v="Linda Petričić,  Nicole Tomišić _x000a_Marko Roža"/>
    <s v="091 165 1207, 0922875203_x000a_051/265-873"/>
    <s v="ntomisic@fdmri.uniri.hr linda.petricic@fdmri.uniri.hr_x000a_marko.roza@uniri.hr"/>
    <s v="Trg Braće Mažuranića 10"/>
    <s v="Krešimirova 40/42, 51000 Rijeak 3 kom._x000a_Radmile Matejčić 2; 51000 Rijeka 7 kom."/>
    <s v="64218323816"/>
    <x v="8"/>
    <m/>
    <m/>
    <m/>
    <m/>
  </r>
  <r>
    <m/>
    <n v="633"/>
    <s v="150"/>
    <x v="19"/>
    <x v="12"/>
    <n v="2"/>
    <x v="1"/>
    <s v="Dario Đurasović"/>
    <s v="091 4802 130"/>
    <s v="dario@sfzg.hr"/>
    <s v="Gundulićeva Ulica 5"/>
    <s v="Gundulićeva 5, Zagreb"/>
    <s v="70221464726"/>
    <x v="8"/>
    <m/>
    <m/>
    <m/>
    <m/>
  </r>
  <r>
    <m/>
    <n v="634"/>
    <s v="184"/>
    <x v="19"/>
    <x v="3"/>
    <n v="1"/>
    <x v="1"/>
    <s v="Igor Horaček"/>
    <s v="091/722-0837"/>
    <s v="igor@fkit.hr"/>
    <s v="Trg Marka Marulića 19"/>
    <s v="Trg Marka Marulića 20, Zagreb, podrum"/>
    <s v="71259740533"/>
    <x v="8"/>
    <m/>
    <m/>
    <m/>
    <m/>
  </r>
  <r>
    <m/>
    <n v="635"/>
    <s v="113"/>
    <x v="19"/>
    <x v="13"/>
    <n v="1"/>
    <x v="9"/>
    <s v="Andreas Mađerić"/>
    <s v="048 279 196"/>
    <s v="amaderic@vguk.hr"/>
    <s v="Ulica Milislava Demerca 1"/>
    <s v="Milislava Demerca 1, 48260 Križevci"/>
    <s v="75480885018"/>
    <x v="8"/>
    <m/>
    <m/>
    <m/>
    <m/>
  </r>
  <r>
    <m/>
    <n v="636"/>
    <s v="222"/>
    <x v="19"/>
    <x v="33"/>
    <n v="1"/>
    <x v="13"/>
    <s v="Tomica Bunjevac"/>
    <s v=" +385913568984"/>
    <s v="tbunjevac@fizika.unios.hr"/>
    <s v="Trg Sv. Trojstva 3"/>
    <s v=" Trg Ljudevita Gaja 6"/>
    <s v="78808975734"/>
    <x v="8"/>
    <m/>
    <m/>
    <m/>
    <m/>
  </r>
  <r>
    <m/>
    <n v="637"/>
    <s v="163"/>
    <x v="19"/>
    <x v="58"/>
    <n v="2"/>
    <x v="11"/>
    <s v="Alen Domazet"/>
    <s v="091 568 5994"/>
    <s v="adomazet@gradst.hr"/>
    <s v="Matice Hrvatske 15"/>
    <s v="Matice hrvatske 15, 21000 Split"/>
    <s v="83615500218"/>
    <x v="8"/>
    <m/>
    <m/>
    <m/>
    <m/>
  </r>
  <r>
    <m/>
    <n v="638"/>
    <s v="5717"/>
    <x v="19"/>
    <x v="59"/>
    <n v="1"/>
    <x v="13"/>
    <s v="Andrija Ljubičić_x000a_"/>
    <s v="091 2241 423_x000a_"/>
    <s v="andrija.ljubicic@fdmz.hr_x000a_"/>
    <s v="Crkvena Ulica 21"/>
    <s v="Crkvena 21"/>
    <s v="83830458507"/>
    <x v="8"/>
    <m/>
    <m/>
    <m/>
    <m/>
  </r>
  <r>
    <m/>
    <n v="639"/>
    <s v="316"/>
    <x v="19"/>
    <x v="20"/>
    <n v="1"/>
    <x v="11"/>
    <s v="Ante Denić"/>
    <s v="(+385)915683877"/>
    <s v="dante@efst.hr"/>
    <s v="Cvite Fiskovića 5"/>
    <s v="Cvite Fiskovića 5, Split"/>
    <s v="84477684422"/>
    <x v="8"/>
    <m/>
    <m/>
    <m/>
    <m/>
  </r>
  <r>
    <m/>
    <n v="640"/>
    <s v="174"/>
    <x v="19"/>
    <x v="86"/>
    <n v="2"/>
    <x v="23"/>
    <s v="Davor Mijolović"/>
    <s v="098-292-104"/>
    <s v="davor.mijolovic@fthm.hr"/>
    <s v="Primorska 46"/>
    <s v="Primorska 46, 51410  Opatija"/>
    <s v="85799845149"/>
    <x v="8"/>
    <m/>
    <m/>
    <m/>
    <m/>
  </r>
  <r>
    <m/>
    <n v="641"/>
    <s v="186"/>
    <x v="19"/>
    <x v="60"/>
    <n v="1"/>
    <x v="1"/>
    <s v="Boris Beker"/>
    <s v="098/211-765"/>
    <s v="bbeker@ffzg.hr"/>
    <s v="Ulica Ivana Lučića 3"/>
    <s v="Ivana Lučića 3"/>
    <s v="90633715804"/>
    <x v="8"/>
    <m/>
    <m/>
    <m/>
    <m/>
  </r>
  <r>
    <m/>
    <n v="642"/>
    <s v="172"/>
    <x v="19"/>
    <x v="95"/>
    <n v="2"/>
    <x v="8"/>
    <s v="Elvis Žic"/>
    <s v="0915038578"/>
    <s v="elvis.zic@uniri.hr"/>
    <s v="Ulica Radmile Matejčić 3"/>
    <s v="Ulica Radmile Matejčić 3, 51000 Rijeka"/>
    <s v="92037849504"/>
    <x v="8"/>
    <m/>
    <m/>
    <m/>
    <m/>
  </r>
  <r>
    <m/>
    <n v="643"/>
    <s v="281"/>
    <x v="19"/>
    <x v="63"/>
    <n v="1"/>
    <x v="8"/>
    <s v="Danka Jurjević"/>
    <s v="265-877"/>
    <s v="danka.jurjevic@uniri.hr"/>
    <s v="Sveučilišna Avenija 6"/>
    <s v="Sveučilišna Avenija 6"/>
    <s v="96996385705"/>
    <x v="8"/>
    <m/>
    <m/>
    <m/>
    <m/>
  </r>
  <r>
    <m/>
    <n v="644"/>
    <s v="147"/>
    <x v="19"/>
    <x v="87"/>
    <n v="2"/>
    <x v="8"/>
    <s v="Teo Brusić_x000a_Zoran Vučinić"/>
    <s v="098/338-182_x000a_091/1651-230"/>
    <s v="teo.brusic@medri.uniri.hr_x000a_zoran.vucinic@medri.uniri.hr"/>
    <s v="Braće Branchetta 20"/>
    <s v="Rijeka, B. Branchetta 20"/>
    <s v="98164324541"/>
    <x v="8"/>
    <m/>
    <m/>
    <m/>
    <m/>
  </r>
  <r>
    <m/>
    <n v="645"/>
    <s v="158"/>
    <x v="19"/>
    <x v="21"/>
    <n v="1"/>
    <x v="13"/>
    <s v="Ivan Rebekić"/>
    <s v="099 304 6109"/>
    <s v="irebekic@fazos.hr"/>
    <s v="Ulica Vladimira Preloga 1"/>
    <s v="Vladimira Preloga 1, 31000 Osijek"/>
    <s v="98816779821"/>
    <x v="8"/>
    <m/>
    <m/>
    <m/>
    <m/>
  </r>
  <r>
    <m/>
    <n v="646"/>
    <s v="203"/>
    <x v="19"/>
    <x v="65"/>
    <n v="1"/>
    <x v="1"/>
    <s v="Marijan Galjar"/>
    <s v="098 855 676"/>
    <s v="marijan.galjar@rgn.hr"/>
    <s v="Pierottijeva Ulica 6"/>
    <s v="Pierottijeva 6"/>
    <s v="99534693762"/>
    <x v="8"/>
    <m/>
    <m/>
    <m/>
    <m/>
  </r>
  <r>
    <m/>
    <m/>
    <m/>
    <x v="20"/>
    <x v="0"/>
    <n v="88"/>
    <x v="0"/>
    <m/>
    <m/>
    <m/>
    <m/>
    <m/>
    <m/>
    <x v="0"/>
    <m/>
    <m/>
    <m/>
    <m/>
  </r>
  <r>
    <m/>
    <n v="647"/>
    <s v="133"/>
    <x v="20"/>
    <x v="36"/>
    <n v="1"/>
    <x v="11"/>
    <s v="Zvonimir Torba"/>
    <s v="+385 91 4305 724"/>
    <s v="torba@fesb.hr"/>
    <s v="R. Boškovića 32"/>
    <s v="R. Boškovića 32, 21000 Split"/>
    <s v="857144221"/>
    <x v="5"/>
    <m/>
    <m/>
    <m/>
    <m/>
  </r>
  <r>
    <m/>
    <n v="648"/>
    <s v="3990"/>
    <x v="20"/>
    <x v="37"/>
    <n v="11"/>
    <x v="17"/>
    <s v="Stjepo Hladilo"/>
    <s v="0919322586"/>
    <s v="stjepo.hladilo@unidu.hr"/>
    <s v="Branitelja Dubrovnika 41"/>
    <s v="Branitelja Dubrovnika 41, Dubrovnik"/>
    <s v="1338491514"/>
    <x v="5"/>
    <m/>
    <m/>
    <m/>
    <m/>
  </r>
  <r>
    <m/>
    <n v="649"/>
    <s v="131"/>
    <x v="20"/>
    <x v="66"/>
    <n v="1"/>
    <x v="10"/>
    <s v="Mario Harjač"/>
    <s v="097 610 1011"/>
    <s v="maharjac@foi.unizg.hr"/>
    <s v="Pavlinska Ulica 2"/>
    <s v="Ulica Petra Preradovića 15, Varaždin"/>
    <s v="2024882310"/>
    <x v="5"/>
    <m/>
    <m/>
    <m/>
    <m/>
  </r>
  <r>
    <m/>
    <n v="650"/>
    <s v="149"/>
    <x v="20"/>
    <x v="38"/>
    <n v="2"/>
    <x v="11"/>
    <s v="Dalibor Gabela"/>
    <s v="091-1557942"/>
    <s v="helpdesk@mefst.hr"/>
    <s v="Šoltanska 2"/>
    <s v="Šoltanska 2A, Split"/>
    <s v="2879747067"/>
    <x v="5"/>
    <m/>
    <m/>
    <m/>
    <m/>
  </r>
  <r>
    <m/>
    <n v="651"/>
    <s v="132"/>
    <x v="20"/>
    <x v="39"/>
    <n v="4"/>
    <x v="11"/>
    <s v="Juraj Saratlija"/>
    <s v="0996935026"/>
    <s v="juraj.saratlija@pravst.hr"/>
    <s v="Ulica Domovinskog Rata 8"/>
    <s v="Domovinskog rata 8, Split"/>
    <s v="3541568700"/>
    <x v="5"/>
    <m/>
    <m/>
    <m/>
    <m/>
  </r>
  <r>
    <m/>
    <n v="652"/>
    <s v="3689"/>
    <x v="20"/>
    <x v="5"/>
    <n v="8"/>
    <x v="1"/>
    <s v="Nikola Barba"/>
    <s v="099 6081 436"/>
    <s v="nikola.barba@unicath.hr"/>
    <s v="Ilica 244B"/>
    <s v="Ilica 244, 10000 Zagreb"/>
    <s v="7730927366"/>
    <x v="5"/>
    <m/>
    <m/>
    <m/>
    <m/>
  </r>
  <r>
    <m/>
    <n v="653"/>
    <s v="368"/>
    <x v="20"/>
    <x v="6"/>
    <n v="5"/>
    <x v="3"/>
    <s v="Ivan Nimac"/>
    <s v="095/826-5888"/>
    <s v="inimac@unizd.hr"/>
    <s v="Ulica Mihovila Pavlinovića 1"/>
    <s v="Obala kralja Petra Krešimira IV. Br. 2, 23000 Zadar"/>
    <s v="10839679016"/>
    <x v="5"/>
    <m/>
    <m/>
    <m/>
    <m/>
  </r>
  <r>
    <m/>
    <n v="654"/>
    <s v="530"/>
    <x v="20"/>
    <x v="7"/>
    <n v="2"/>
    <x v="4"/>
    <s v="Marko Meštrović"/>
    <s v="022/664-451"/>
    <s v="mmestrovic@veleknin.hr"/>
    <s v="Krešimirova 30"/>
    <s v="Krešimirova 30, Knin"/>
    <s v="13664089430"/>
    <x v="5"/>
    <m/>
    <m/>
    <m/>
    <m/>
  </r>
  <r>
    <m/>
    <n v="655"/>
    <s v="137"/>
    <x v="20"/>
    <x v="67"/>
    <n v="1"/>
    <x v="13"/>
    <s v="Bojan Tovjanin"/>
    <s v="0912241440"/>
    <s v="btovjanin@mefos.hr"/>
    <s v="Ulica Josipa Huttlera 4"/>
    <s v="Josipa Huttlera 4"/>
    <s v="16214165873"/>
    <x v="5"/>
    <m/>
    <m/>
    <m/>
    <m/>
  </r>
  <r>
    <m/>
    <n v="656"/>
    <s v="4919"/>
    <x v="20"/>
    <x v="42"/>
    <n v="1"/>
    <x v="11"/>
    <s v="Doris Knego"/>
    <s v="098 9394211,"/>
    <s v="doris.knego@pmfst.hr"/>
    <s v="R. Boškovića 33"/>
    <s v="Ruđera Boškovića 33"/>
    <s v="20858497843"/>
    <x v="5"/>
    <m/>
    <m/>
    <m/>
    <m/>
  </r>
  <r>
    <m/>
    <n v="657"/>
    <s v="4914"/>
    <x v="20"/>
    <x v="16"/>
    <n v="2"/>
    <x v="11"/>
    <s v="Romaldo Singolo"/>
    <s v="091 155 9622"/>
    <s v="romi@pfst.hr"/>
    <s v="R. Boškovića 37"/>
    <s v="Ruđera Boškovića 37, Split"/>
    <s v="24624257529"/>
    <x v="5"/>
    <m/>
    <m/>
    <m/>
    <m/>
  </r>
  <r>
    <m/>
    <n v="658"/>
    <s v="191"/>
    <x v="20"/>
    <x v="88"/>
    <n v="1"/>
    <x v="1"/>
    <s v="Dario Kužić"/>
    <s v="385994988065"/>
    <s v=" dkuzic@fpz.unizg.hr"/>
    <s v="Ulica Lavoslava Vukelića 4"/>
    <s v="Borongajska cesta 83a"/>
    <s v="25410051374"/>
    <x v="5"/>
    <m/>
    <m/>
    <m/>
    <m/>
  </r>
  <r>
    <m/>
    <n v="659"/>
    <s v="185"/>
    <x v="20"/>
    <x v="43"/>
    <n v="1"/>
    <x v="1"/>
    <s v="Marko Maričević"/>
    <s v="0915193488"/>
    <s v="marko.maricevic@grf.hr"/>
    <s v="Getaldićeva Ulica 2"/>
    <s v="Getaldićeva 2, Zagreb"/>
    <s v="25564990903"/>
    <x v="5"/>
    <m/>
    <m/>
    <m/>
    <m/>
  </r>
  <r>
    <m/>
    <n v="660"/>
    <s v="205"/>
    <x v="20"/>
    <x v="44"/>
    <n v="1"/>
    <x v="1"/>
    <s v="Mikolaj Martinjak"/>
    <s v="0989478881"/>
    <s v="mika@ffrz.hr"/>
    <s v="Jordanovac 110"/>
    <s v="Jordanovac 110"/>
    <s v="26975482530"/>
    <x v="5"/>
    <m/>
    <m/>
    <m/>
    <m/>
  </r>
  <r>
    <m/>
    <n v="661"/>
    <s v="3637"/>
    <x v="20"/>
    <x v="81"/>
    <n v="2"/>
    <x v="13"/>
    <s v="Krunoslav Kurilj"/>
    <s v="0991616166"/>
    <s v="kkurilj@foozos.hr"/>
    <s v="Ulica Cara Hadrijana 10"/>
    <s v="Cara Hadrijana 10, 31 000 Osijek – NASTAVNA ZGRADA"/>
    <s v="28082679513"/>
    <x v="5"/>
    <m/>
    <m/>
    <m/>
    <m/>
  </r>
  <r>
    <m/>
    <s v="662a_x000a_662b_x000a_662c_x000a_662d_x000a_662e"/>
    <s v="5713"/>
    <x v="20"/>
    <x v="27"/>
    <n v="6"/>
    <x v="11"/>
    <s v="Leida Rizvan_x000a_Dalibor Bulić_x000a_Maja Krželj_x000a_Prosper Radonić_x000a_Ivan Vuko"/>
    <s v="0914433905_x000a_021 564815, 0915462104_x000a_0913344165_x000a_0995556003_x000a_0914348101"/>
    <s v="leida.rizvan@unist.hr_x000a_dalibor.bulic@fzz.unist.hr_x000a_maja.krzelj@more.unist.hr_x000a_pradonic@medils.unist.hr_x000a_ivan.vuko@svkst.hr"/>
    <s v="R. Boškovića 31"/>
    <s v="Ruđera Boškovića 31, Split 2 kom._x000a_Ruđera Boškovića 35, Split 1 kom._x000a_Ruđera Boškovića 31, Split, 1 kom._x000a_Meštrovićevo šetalište 45, Split 1 kom._x000a_Ruđera Boškovića 31, Split, 1 kom."/>
    <s v="29845096215"/>
    <x v="5"/>
    <m/>
    <m/>
    <m/>
    <m/>
  </r>
  <r>
    <m/>
    <n v="663"/>
    <s v="1972"/>
    <x v="20"/>
    <x v="47"/>
    <n v="2"/>
    <x v="20"/>
    <s v="Damir Lulić"/>
    <s v="0981771615"/>
    <s v="dlulic@unisb.hr"/>
    <s v="Trg &quot;Ivana Brlić Mažuranić&quot; 2"/>
    <s v="Ulica 108. brigade ZNG 36"/>
    <s v="33027834374"/>
    <x v="5"/>
    <m/>
    <m/>
    <m/>
    <m/>
  </r>
  <r>
    <m/>
    <n v="664"/>
    <s v="267"/>
    <x v="20"/>
    <x v="82"/>
    <n v="1"/>
    <x v="11"/>
    <s v="Željko Matas"/>
    <s v="097 7094175"/>
    <s v="zmatas@kbf-st.hr"/>
    <s v="Zrinjsko-Frankopanska 19"/>
    <s v="Zrinjsko-Frankopanska 19, Split"/>
    <s v="36149548625"/>
    <x v="5"/>
    <m/>
    <m/>
    <m/>
    <m/>
  </r>
  <r>
    <m/>
    <s v="665a_x000a_665b"/>
    <s v="219"/>
    <x v="20"/>
    <x v="28"/>
    <n v="2"/>
    <x v="1"/>
    <s v="Siniša Vlahović_x000a_Marin Šperanda"/>
    <s v="098 268 472_x000a_091 906 6882"/>
    <s v="svlahovic@unizg.hr_x000a_marin.speranda@caas.unizg.hr"/>
    <s v="Trg Republike Hrvatske 14"/>
    <s v="Ulica Radoslava Cimermana 88, 10000 Zagreb_x000a_Don Frana Bulića 4, 20000 Dubrovnik (CAAS)"/>
    <s v="36612267447"/>
    <x v="5"/>
    <m/>
    <m/>
    <m/>
    <m/>
  </r>
  <r>
    <m/>
    <n v="666"/>
    <s v="141"/>
    <x v="20"/>
    <x v="30"/>
    <n v="1"/>
    <x v="1"/>
    <s v="Matija Prahin_x000a_"/>
    <s v="385919845267_x000a_"/>
    <s v="mprahin@arhitekt.hr_x000a_"/>
    <s v="Kačićeva Ulica 26"/>
    <s v="Kačićeva 26"/>
    <s v="42061107444"/>
    <x v="5"/>
    <m/>
    <m/>
    <m/>
    <m/>
  </r>
  <r>
    <m/>
    <n v="667"/>
    <s v="177"/>
    <x v="20"/>
    <x v="78"/>
    <n v="1"/>
    <x v="1"/>
    <s v="Srđan Cvetanović"/>
    <s v="095 8000 204_x000a_"/>
    <s v="djani@ttf.hr_x000a_"/>
    <s v="Prilaz Baruna Filipovića 28A"/>
    <s v="Prilaz baruna Filipovića 28a"/>
    <s v="43097527965"/>
    <x v="5"/>
    <m/>
    <m/>
    <m/>
    <m/>
  </r>
  <r>
    <m/>
    <n v="668"/>
    <s v="122"/>
    <x v="20"/>
    <x v="49"/>
    <n v="2"/>
    <x v="1"/>
    <s v="Marijo Seničić"/>
    <s v="099 533 7842"/>
    <s v="marijo.senicic@geof.unizg.hr"/>
    <s v="Kačićeva Ulica 26"/>
    <s v="Kačićeva 26, 10000 Zagreb"/>
    <s v="43594593297"/>
    <x v="5"/>
    <m/>
    <m/>
    <m/>
    <m/>
  </r>
  <r>
    <m/>
    <n v="669"/>
    <s v="173"/>
    <x v="20"/>
    <x v="89"/>
    <n v="1"/>
    <x v="8"/>
    <s v="Siniša Lončarić"/>
    <s v="0913011188"/>
    <s v="sloncaric@pravri.uniri.hr"/>
    <s v="Hahlić 6"/>
    <s v="Hahlić 6, Rijeka"/>
    <s v="43767699965"/>
    <x v="5"/>
    <m/>
    <m/>
    <m/>
    <m/>
  </r>
  <r>
    <m/>
    <n v="670"/>
    <s v="154"/>
    <x v="20"/>
    <x v="50"/>
    <n v="1"/>
    <x v="8"/>
    <s v="Daniel Maratović"/>
    <s v="095/9064710"/>
    <s v="daniel.maratovic@riteh.uniri.hr"/>
    <s v="Vukovarska 58"/>
    <s v="Vukovarska 58, HR-51000 Rijeka"/>
    <s v="46319717480"/>
    <x v="5"/>
    <m/>
    <m/>
    <m/>
    <m/>
  </r>
  <r>
    <m/>
    <n v="671"/>
    <s v="125"/>
    <x v="20"/>
    <x v="84"/>
    <n v="1"/>
    <x v="13"/>
    <s v="Damir Kovačević"/>
    <s v="385912244189"/>
    <s v="damir.kovacevic@efos.hr"/>
    <s v="Trg Ljudevita Gaja 7"/>
    <s v="Trg Ljudevita Gaja 7, Osijek"/>
    <s v="52778515544"/>
    <x v="5"/>
    <m/>
    <m/>
    <m/>
    <m/>
  </r>
  <r>
    <m/>
    <n v="672"/>
    <s v="1939"/>
    <x v="20"/>
    <x v="76"/>
    <n v="1"/>
    <x v="8"/>
    <s v="Aljoša Brajdić"/>
    <s v="099/2217114"/>
    <s v="aljosa.brajdic@apuri.uniri.hr"/>
    <s v="Slavka Krautzeka 83"/>
    <s v="Slavka Krautzeka 83, 51000 Rijeka"/>
    <s v="55704161999"/>
    <x v="5"/>
    <m/>
    <m/>
    <m/>
    <m/>
  </r>
  <r>
    <m/>
    <n v="673"/>
    <s v="275"/>
    <x v="20"/>
    <x v="85"/>
    <n v="1"/>
    <x v="13"/>
    <s v="Petar Taler"/>
    <s v="091 224 1039"/>
    <s v="petar@mathos.hr"/>
    <s v="Trg Ljudevita Gaja 6"/>
    <s v="Trg Lj. Gaja 6, Osijek"/>
    <s v="56597320763"/>
    <x v="5"/>
    <m/>
    <m/>
    <m/>
    <m/>
  </r>
  <r>
    <m/>
    <n v="674"/>
    <s v="138"/>
    <x v="20"/>
    <x v="71"/>
    <n v="1"/>
    <x v="1"/>
    <s v="Denis Hernaut"/>
    <s v="+385 91 604 3920"/>
    <s v="denis.hernaut@fer.hr"/>
    <s v="Unska Ulica 3"/>
    <s v="Vukovarska 39, Zagreb"/>
    <s v="57029260362"/>
    <x v="5"/>
    <m/>
    <m/>
    <m/>
    <m/>
  </r>
  <r>
    <m/>
    <n v="675"/>
    <s v="3430"/>
    <x v="20"/>
    <x v="53"/>
    <n v="1"/>
    <x v="11"/>
    <s v="Ante Krolo"/>
    <s v="+385 95 903 76 48"/>
    <s v="ante@kifst.hr"/>
    <s v="Teslina 6"/>
    <s v="Teslina 10"/>
    <s v="57848936921"/>
    <x v="5"/>
    <m/>
    <m/>
    <m/>
    <m/>
  </r>
  <r>
    <m/>
    <n v="676"/>
    <s v="181"/>
    <x v="20"/>
    <x v="80"/>
    <n v="1"/>
    <x v="13"/>
    <s v="Zoltan Juhas"/>
    <s v="091/ 2549 157"/>
    <s v="zoli@ffos.hr"/>
    <s v="Ulica Lorenza Jägera 9"/>
    <s v="Ulica Lorenza Jägera 9"/>
    <s v="58868871646"/>
    <x v="5"/>
    <m/>
    <m/>
    <m/>
    <m/>
  </r>
  <r>
    <m/>
    <n v="677"/>
    <s v="4497"/>
    <x v="20"/>
    <x v="9"/>
    <n v="1"/>
    <x v="6"/>
    <s v="Branimir Kolman"/>
    <s v="091 244 0130"/>
    <s v="bkolman@unin.hr"/>
    <s v="Trg Dr. Žarka Dolinara 1"/>
    <s v="Ulica 104 brigade 3, VŽ"/>
    <s v="59624928052"/>
    <x v="5"/>
    <m/>
    <m/>
    <m/>
    <m/>
  </r>
  <r>
    <m/>
    <n v="678"/>
    <s v="161"/>
    <x v="20"/>
    <x v="54"/>
    <n v="1"/>
    <x v="1"/>
    <s v="Sead Berberović"/>
    <s v="0915226263"/>
    <s v="sead.berberovic@grad.unizg.hr"/>
    <s v="Kačićeva Ulica 26"/>
    <s v="Kačićeva 26, Zagreb"/>
    <s v="62924153420"/>
    <x v="5"/>
    <m/>
    <m/>
    <m/>
    <m/>
  </r>
  <r>
    <m/>
    <n v="679"/>
    <s v="221"/>
    <x v="20"/>
    <x v="11"/>
    <n v="1"/>
    <x v="8"/>
    <s v="Danka Jurjević"/>
    <s v="051/265-884"/>
    <s v="danka.jurjevic@uniri.hr"/>
    <s v="Trg Braće Mažuranića 10"/>
    <s v="Radmile Matejčić 2; 51000 Rijeka  "/>
    <s v="64218323816"/>
    <x v="5"/>
    <m/>
    <m/>
    <m/>
    <m/>
  </r>
  <r>
    <m/>
    <n v="680"/>
    <s v="150"/>
    <x v="20"/>
    <x v="12"/>
    <n v="1"/>
    <x v="1"/>
    <s v="Dario Đurasović"/>
    <s v="091 4802 130"/>
    <s v="dario@sfzg.hr"/>
    <s v="Gundulićeva Ulica 5"/>
    <s v="Gundulićeva 5, Zagreb"/>
    <s v="70221464726"/>
    <x v="5"/>
    <m/>
    <m/>
    <m/>
    <m/>
  </r>
  <r>
    <m/>
    <n v="681"/>
    <s v="6229"/>
    <x v="20"/>
    <x v="55"/>
    <n v="1"/>
    <x v="13"/>
    <s v="Matija Karapetrić"/>
    <s v="0915053478"/>
    <s v="matija.karapetric@kifos.hr"/>
    <s v="Drinska 16A"/>
    <s v="Drinska 16a, 31000 Osijek"/>
    <s v="70788591483"/>
    <x v="5"/>
    <m/>
    <m/>
    <m/>
    <m/>
  </r>
  <r>
    <m/>
    <n v="662"/>
    <s v="187"/>
    <x v="20"/>
    <x v="56"/>
    <n v="1"/>
    <x v="1"/>
    <s v="Sandi Homolak (Zagreb)"/>
    <s v="091 619 5223"/>
    <s v="informatika.zagreb@ufzg.hr"/>
    <s v="Savska cesta 77, 10000 Zagreb"/>
    <s v="Savska cesta 77, 10000 Zagreb"/>
    <s v="72226488129"/>
    <x v="5"/>
    <m/>
    <m/>
    <m/>
    <m/>
  </r>
  <r>
    <m/>
    <n v="683"/>
    <s v="169"/>
    <x v="20"/>
    <x v="57"/>
    <n v="1"/>
    <x v="8"/>
    <s v="Izv. prof. dr. sc. Jasmin Ćelić"/>
    <s v="0912546777"/>
    <s v="jasmin.celic@uniri.hr"/>
    <s v="Studentska 2"/>
    <s v="Studentska 2"/>
    <s v="76722145702"/>
    <x v="5"/>
    <m/>
    <m/>
    <m/>
    <m/>
  </r>
  <r>
    <m/>
    <n v="684"/>
    <s v="222"/>
    <x v="20"/>
    <x v="33"/>
    <n v="1"/>
    <x v="13"/>
    <s v="Tomica Bunjevac"/>
    <s v=" +385913568984"/>
    <s v="tbunjevac@fizika.unios.hr"/>
    <s v="Trg Sv. Trojstva 3"/>
    <s v=" Trg Ljudevita Gaja 6"/>
    <s v="78808975734"/>
    <x v="5"/>
    <m/>
    <m/>
    <m/>
    <m/>
  </r>
  <r>
    <m/>
    <n v="685"/>
    <s v="316"/>
    <x v="20"/>
    <x v="20"/>
    <n v="1"/>
    <x v="11"/>
    <s v="Ante Denić"/>
    <s v="(+385)915683877"/>
    <s v="dante@efst.hr"/>
    <s v="Cvite Fiskovića 5"/>
    <s v="Cvite Fiskovića 5, Split"/>
    <s v="84477684422"/>
    <x v="5"/>
    <m/>
    <m/>
    <m/>
    <m/>
  </r>
  <r>
    <m/>
    <n v="686"/>
    <s v="174"/>
    <x v="20"/>
    <x v="86"/>
    <n v="1"/>
    <x v="23"/>
    <s v="Davor Mijolović"/>
    <s v="098-292-104"/>
    <s v="davor.mijolovic@fthm.hr"/>
    <s v="Primorska 46"/>
    <s v="Primorska 46, 51410  Opatija"/>
    <s v="85799845149"/>
    <x v="5"/>
    <m/>
    <m/>
    <m/>
    <m/>
  </r>
  <r>
    <m/>
    <n v="687"/>
    <s v="199"/>
    <x v="20"/>
    <x v="61"/>
    <n v="1"/>
    <x v="13"/>
    <s v="Mario Miloloza"/>
    <s v="0912246140"/>
    <s v="mario.miloloza@ferit.hr"/>
    <s v="Ulica Kneza Trpimira 2B"/>
    <s v="Cara Hadrijana 10b, Osijek"/>
    <s v="95494259952"/>
    <x v="5"/>
    <m/>
    <m/>
    <m/>
    <m/>
  </r>
  <r>
    <m/>
    <n v="688"/>
    <s v="214"/>
    <x v="20"/>
    <x v="62"/>
    <n v="1"/>
    <x v="1"/>
    <s v="Goran Hoić"/>
    <s v="099/2550-825"/>
    <s v="goran.hoic@alu.unizg.hr"/>
    <s v="Ilica 85"/>
    <s v="Ilica 85"/>
    <s v="95847257607"/>
    <x v="5"/>
    <m/>
    <m/>
    <m/>
    <m/>
  </r>
  <r>
    <m/>
    <n v="689"/>
    <s v="281"/>
    <x v="20"/>
    <x v="63"/>
    <n v="1"/>
    <x v="8"/>
    <s v="Danka Jurjević"/>
    <s v="265-877"/>
    <s v="danka.jurjevic@uniri.hr"/>
    <s v="Sveučilišna Avenija 6"/>
    <s v="Sveučilišna Avenija 6"/>
    <s v="96996385705"/>
    <x v="5"/>
    <m/>
    <m/>
    <m/>
    <m/>
  </r>
  <r>
    <m/>
    <n v="690"/>
    <s v="147"/>
    <x v="20"/>
    <x v="87"/>
    <n v="1"/>
    <x v="8"/>
    <s v="Teo Brusić_x000a_Zoran Vučinić"/>
    <s v="098/338-182_x000a_091/1651-230"/>
    <s v="teo.brusic@medri.uniri.hr_x000a_zoran.vucinic@medri.uniri.hr"/>
    <s v="Braće Branchetta 20"/>
    <s v="Rijeka, B. Branchetta 20"/>
    <s v="98164324541"/>
    <x v="5"/>
    <m/>
    <m/>
    <m/>
    <m/>
  </r>
  <r>
    <m/>
    <n v="691"/>
    <s v="4917"/>
    <x v="20"/>
    <x v="96"/>
    <n v="1"/>
    <x v="11"/>
    <s v="Domagoj Vučica"/>
    <s v="091/1265-486"/>
    <s v="domagoj@ktf-split.hr"/>
    <s v="R. Boškovića 35"/>
    <s v="R. Boškovića 35"/>
    <s v="99401575594"/>
    <x v="5"/>
    <m/>
    <m/>
    <m/>
    <m/>
  </r>
  <r>
    <m/>
    <n v="692"/>
    <s v="3324"/>
    <x v="20"/>
    <x v="34"/>
    <n v="1"/>
    <x v="1"/>
    <s v="Dario Knežić"/>
    <s v="0917615616"/>
    <s v="dknezic@fhs.unizg.hr"/>
    <s v="Borongajska Cesta 83D"/>
    <s v="Borongajska cesta 83d, Zagreb"/>
    <s v="99454315441"/>
    <x v="5"/>
    <m/>
    <m/>
    <m/>
    <m/>
  </r>
  <r>
    <m/>
    <n v="693"/>
    <s v="203"/>
    <x v="20"/>
    <x v="65"/>
    <n v="1"/>
    <x v="1"/>
    <s v="Marijan Galjar"/>
    <s v="098 855 676"/>
    <s v="marijan.galjar@rgn.hr"/>
    <s v="Pierottijeva Ulica 6"/>
    <s v="Pierottijeva 6"/>
    <s v="99534693762"/>
    <x v="5"/>
    <m/>
    <m/>
    <m/>
    <m/>
  </r>
  <r>
    <m/>
    <n v="694"/>
    <s v="206"/>
    <x v="20"/>
    <x v="35"/>
    <n v="1"/>
    <x v="1"/>
    <s v="Davor Štrk"/>
    <s v="099 3136 671"/>
    <s v="dstrk@fkz.hr"/>
    <s v="Avenija Gojka Šuška 1"/>
    <s v="Av. Gojka Šuška 1, Zagreb"/>
    <s v="36162371878"/>
    <x v="5"/>
    <m/>
    <m/>
    <m/>
    <m/>
  </r>
  <r>
    <m/>
    <n v="695"/>
    <s v="4589"/>
    <x v="20"/>
    <x v="14"/>
    <n v="1"/>
    <x v="1"/>
    <s v="Predrag Šinko"/>
    <s v="095/205-2570"/>
    <s v="predrag.sinko@sois-ft.hr"/>
    <s v="Ilica 256B"/>
    <s v="Ilica 256B, obj. 58"/>
    <s v="36752094474"/>
    <x v="5"/>
    <m/>
    <m/>
    <m/>
    <m/>
  </r>
  <r>
    <m/>
    <n v="696"/>
    <s v="188"/>
    <x v="20"/>
    <x v="4"/>
    <n v="3"/>
    <x v="1"/>
    <s v="Boris Rončević"/>
    <s v="099 5327723"/>
    <s v="broncevic@nsk.hr"/>
    <s v="Ul. Hrvatske Bratske Zajednice 4"/>
    <s v="NSK - Ul. Hrvatske Bratske Zajednice 4"/>
    <m/>
    <x v="5"/>
    <m/>
    <m/>
    <m/>
    <m/>
  </r>
  <r>
    <m/>
    <m/>
    <m/>
    <x v="21"/>
    <x v="0"/>
    <n v="94"/>
    <x v="0"/>
    <m/>
    <m/>
    <m/>
    <m/>
    <m/>
    <m/>
    <x v="0"/>
    <m/>
    <m/>
    <m/>
    <m/>
  </r>
  <r>
    <m/>
    <n v="697"/>
    <s v="3990"/>
    <x v="21"/>
    <x v="37"/>
    <n v="4"/>
    <x v="17"/>
    <s v="Stjepo Hladilo"/>
    <s v="0919322586"/>
    <s v="stjepo.hladilo@unidu.hr"/>
    <s v="Branitelja Dubrovnika 41"/>
    <s v="Ćira Carića 4, Dubrovnik"/>
    <s v="1338491514"/>
    <x v="2"/>
    <m/>
    <m/>
    <m/>
    <m/>
  </r>
  <r>
    <m/>
    <n v="698"/>
    <s v="131"/>
    <x v="21"/>
    <x v="66"/>
    <n v="3"/>
    <x v="10"/>
    <s v="Mario Harjač"/>
    <s v="097 610 1011"/>
    <s v="maharjac@foi.unizg.hr"/>
    <s v="Pavlinska Ulica 2"/>
    <s v="Pavlinska ulica 2, Varaždin"/>
    <s v="2024882310"/>
    <x v="8"/>
    <m/>
    <m/>
    <s v="Senso"/>
    <m/>
  </r>
  <r>
    <m/>
    <n v="699"/>
    <s v="149"/>
    <x v="21"/>
    <x v="38"/>
    <n v="7"/>
    <x v="11"/>
    <s v="Dalibor Gabela"/>
    <s v="091-1557942"/>
    <s v="helpdesk@mefst.hr"/>
    <s v="Šoltanska 2"/>
    <s v="Šoltanska 2A, Split"/>
    <s v="2879747067"/>
    <x v="8"/>
    <m/>
    <m/>
    <s v="Senso"/>
    <m/>
  </r>
  <r>
    <m/>
    <n v="700"/>
    <s v="3689"/>
    <x v="21"/>
    <x v="5"/>
    <n v="1"/>
    <x v="1"/>
    <s v="Nikola Barba"/>
    <s v="099 6081 436"/>
    <s v="nikola.barba@unicath.hr"/>
    <s v="Ilica 244B"/>
    <s v="Ilica 244, 10000 Zagreb"/>
    <s v="7730927366"/>
    <x v="8"/>
    <m/>
    <m/>
    <s v="Senso"/>
    <m/>
  </r>
  <r>
    <m/>
    <n v="701"/>
    <s v="368"/>
    <x v="21"/>
    <x v="6"/>
    <n v="2"/>
    <x v="3"/>
    <s v="Ivan Nimac"/>
    <s v="095/826-5888"/>
    <s v="inimac@unizd.hr"/>
    <s v="Ulica Mihovila Pavlinovića 1"/>
    <s v="Obala kralja Petra Krešimira IV. Br. 2, 23000 Zadar"/>
    <s v="10839679016"/>
    <x v="8"/>
    <m/>
    <m/>
    <s v="Senso"/>
    <m/>
  </r>
  <r>
    <m/>
    <n v="702"/>
    <s v="121"/>
    <x v="21"/>
    <x v="1"/>
    <n v="2"/>
    <x v="1"/>
    <s v="Mate Galić"/>
    <s v="098806500"/>
    <s v="mate.galic@pharma.unizg.hr"/>
    <s v="Ulica Ante Kovačića 1"/>
    <s v="Domagojeva 2"/>
    <s v="14509285435"/>
    <x v="8"/>
    <m/>
    <m/>
    <s v="Senso"/>
    <m/>
  </r>
  <r>
    <m/>
    <n v="703"/>
    <s v="198"/>
    <x v="21"/>
    <x v="15"/>
    <n v="1"/>
    <x v="10"/>
    <s v="Darko Šprem"/>
    <s v="091 408 9012"/>
    <s v="darko.sprem@gfv.hr"/>
    <s v="Hallerova Aleja 7"/>
    <s v="Hallerova aleja 7, Varaždin"/>
    <s v="16146181375"/>
    <x v="8"/>
    <m/>
    <m/>
    <s v="Senso"/>
    <m/>
  </r>
  <r>
    <m/>
    <n v="704"/>
    <s v="137"/>
    <x v="21"/>
    <x v="67"/>
    <n v="1"/>
    <x v="13"/>
    <s v="Bojan Tovjanin"/>
    <s v="0912241440"/>
    <s v="btovjanin@mefos.hr"/>
    <s v="Ulica Josipa Huttlera 4"/>
    <s v="Josipa Huttlera 4"/>
    <s v="16214165873"/>
    <x v="8"/>
    <m/>
    <m/>
    <m/>
    <m/>
  </r>
  <r>
    <m/>
    <n v="705"/>
    <s v="3986"/>
    <x v="21"/>
    <x v="68"/>
    <n v="1"/>
    <x v="1"/>
    <s v="Petra Mitrović"/>
    <s v="0914810222"/>
    <s v="pmitrovic@muza.hr"/>
    <s v="Trg Republike Hrvatske 12"/>
    <s v="Trg Republike Hrvatske 12"/>
    <s v="18422925218"/>
    <x v="8"/>
    <m/>
    <m/>
    <s v="Senso"/>
    <m/>
  </r>
  <r>
    <m/>
    <n v="706"/>
    <s v="4660"/>
    <x v="21"/>
    <x v="69"/>
    <n v="1"/>
    <x v="8"/>
    <s v="Vedran Ćurković"/>
    <s v="091 / 9536547"/>
    <s v="vedran.curkovic@uniri.hr"/>
    <s v="Viktora Cara Emina 5"/>
    <s v="Viktora Cara Emina 5"/>
    <s v="19213484918"/>
    <x v="8"/>
    <m/>
    <m/>
    <s v="Senso"/>
    <m/>
  </r>
  <r>
    <m/>
    <n v="707"/>
    <s v="4919"/>
    <x v="21"/>
    <x v="42"/>
    <n v="1"/>
    <x v="11"/>
    <s v="Doris Knego"/>
    <s v="098 9394211,"/>
    <s v="doris.knego@pmfst.hr"/>
    <s v="R. Boškovića 33"/>
    <s v="Ruđera Boškovića 33"/>
    <s v="20858497843"/>
    <x v="8"/>
    <m/>
    <m/>
    <s v="Senso"/>
    <m/>
  </r>
  <r>
    <m/>
    <n v="708"/>
    <s v="536"/>
    <x v="21"/>
    <x v="25"/>
    <n v="1"/>
    <x v="16"/>
    <s v="IGOR BILANDŽIĆ"/>
    <s v="091-444-6885"/>
    <s v="Igor.bilandzic@vevu.hr"/>
    <s v="Županijska 50"/>
    <s v="BLAGE ZADRE 2, VUKOVAR"/>
    <s v="21720825730"/>
    <x v="8"/>
    <m/>
    <m/>
    <s v="Senso"/>
    <m/>
  </r>
  <r>
    <m/>
    <n v="709"/>
    <s v="136"/>
    <x v="21"/>
    <x v="91"/>
    <n v="1"/>
    <x v="1"/>
    <s v="Stipe Gorenjak"/>
    <s v="091 3658 600"/>
    <s v="stipe.gorenjak@kif.unizg.hr"/>
    <s v="Horvaćanski Zavoj 15"/>
    <s v="Horvaćanski zavoj 15"/>
    <s v="25329931628"/>
    <x v="8"/>
    <m/>
    <m/>
    <s v="Senso"/>
    <m/>
  </r>
  <r>
    <m/>
    <n v="710"/>
    <s v="191"/>
    <x v="21"/>
    <x v="88"/>
    <n v="1"/>
    <x v="1"/>
    <s v="Dario Kužić"/>
    <s v="385994988065"/>
    <s v=" dkuzic@fpz.unizg.hr"/>
    <s v="Ulica Lavoslava Vukelića 4"/>
    <s v="Borongajska cesta 83a"/>
    <s v="25410051374"/>
    <x v="8"/>
    <m/>
    <m/>
    <s v="Senso"/>
    <m/>
  </r>
  <r>
    <m/>
    <n v="711"/>
    <s v="290"/>
    <x v="21"/>
    <x v="92"/>
    <n v="1"/>
    <x v="8"/>
    <s v="TEDI KOLANOVIĆ"/>
    <s v="091 604 47 89"/>
    <s v="tedi.kolanovic@efri.uniri.hr"/>
    <s v="Ivana Filipovića 4"/>
    <s v="Ivana Filipovića 4"/>
    <s v="26093119930"/>
    <x v="8"/>
    <m/>
    <m/>
    <s v="Senso"/>
    <m/>
  </r>
  <r>
    <m/>
    <n v="712"/>
    <s v="130"/>
    <x v="21"/>
    <x v="45"/>
    <n v="2"/>
    <x v="1"/>
    <s v="Kristian Došen"/>
    <s v="091 7888 474"/>
    <s v="kristian.dosen@fpzg.hr"/>
    <s v="Ulica Ivana Lepušića 6"/>
    <s v="Lepušićeva 6, 10000 Zagreb"/>
    <s v="28011548575"/>
    <x v="8"/>
    <m/>
    <m/>
    <s v="Senso"/>
    <m/>
  </r>
  <r>
    <m/>
    <n v="713"/>
    <s v="3637"/>
    <x v="21"/>
    <x v="81"/>
    <n v="11"/>
    <x v="13"/>
    <s v="Krunoslav Kurilj"/>
    <s v="0991616166"/>
    <s v="kkurilj@foozos.hr"/>
    <s v="Ulica Cara Hadrijana 10"/>
    <s v="Cara Hadrijana 10, 31 000 Osijek – NASTAVNA ZGRADA"/>
    <s v="28082679513"/>
    <x v="8"/>
    <m/>
    <m/>
    <s v="Senso"/>
    <m/>
  </r>
  <r>
    <m/>
    <n v="714"/>
    <s v="469"/>
    <x v="21"/>
    <x v="75"/>
    <n v="1"/>
    <x v="1"/>
    <s v="Davor Pintar"/>
    <s v="385998227236"/>
    <s v="davor.pintar@dekanat.pmf.hr"/>
    <s v="Horvatovac 102A"/>
    <s v="Horvatovac 102A"/>
    <s v="28163265527"/>
    <x v="8"/>
    <m/>
    <m/>
    <s v="Senso"/>
    <m/>
  </r>
  <r>
    <m/>
    <n v="715"/>
    <s v="250"/>
    <x v="21"/>
    <x v="17"/>
    <n v="1"/>
    <x v="8"/>
    <s v="Davorin Tadić"/>
    <s v="091 332 1308"/>
    <s v="dtadic@veleri.hr"/>
    <s v="Trpimirova 2"/>
    <s v="Vukovarska 58, Rijeka"/>
    <s v="29573709870"/>
    <x v="8"/>
    <m/>
    <m/>
    <s v="Senso"/>
    <m/>
  </r>
  <r>
    <m/>
    <s v="716a_x000a_716b_x000a_716c_x000a_716d_x000a_716e_x000a_716f_x000a_716g_x000a_716h"/>
    <s v="5713"/>
    <x v="21"/>
    <x v="27"/>
    <n v="10"/>
    <x v="11"/>
    <s v="Marko Pilić / Josip Crnjac_x000a_Dalibor Bulić_x000a_Maja Krželj_x000a_Ivan Vuko_x000a_Marin Gudelj_x000a_Prosper Radonić_x000a_Ivan Tavra_x000a_Petra Musap"/>
    <s v="0919840020 (Pilić), 0981980136 (Crnjac)_x000a_021 564815, 0915462104_x000a_0911556771_x000a_0914348101_x000a_0913344165_x000a_0995556003_x000a_097 6063920_x000a_0991639750"/>
    <s v="mpilic@forenzika.unist.hr, jcrnjac@forenzika.unist.hr_x000a_dalibor.bulic@fzz.unist.hr_x000a_maja.krzelj@more.unist.hr_x000a_ivan.vuko@svkst.hr_x000a_marin@oss.unist.hr_x000a_pradonic@medils.unist.hr_x000a_itavra@unist.hr_x000a_petra.musap@unist.hr"/>
    <s v="R. Boškovića 31"/>
    <s v="Ruđera Boškovića 33, Split  2 kom._x000a_Ruđera Boškovića 35, Split 1 kom._x000a_Ruđera Boškovića 37, Split  2 kom._x000a_Ruđera Boškovića 31, Split, 1 kom._x000a_Kopilica 21, Split  1 kom._x000a_Meštrovićevo šetalište 45, Split  1 kom._x000a_Zrinsko Frankopanska 38, Split  1 kom._x000a_Poljana kraljice Jelene 1, Split  1 kom."/>
    <s v="29845096215"/>
    <x v="8"/>
    <m/>
    <m/>
    <s v="Senso"/>
    <m/>
  </r>
  <r>
    <m/>
    <n v="717"/>
    <s v="1972"/>
    <x v="21"/>
    <x v="47"/>
    <n v="5"/>
    <x v="20"/>
    <s v="Damir Lulić"/>
    <s v="0981771615"/>
    <s v="dlulic@unisb.hr"/>
    <s v="Trg &quot;Ivana Brlić Mažuranić&quot; 2"/>
    <s v="Ulica 108. brigade ZNG 36"/>
    <s v="33027834374"/>
    <x v="8"/>
    <m/>
    <m/>
    <s v="Senso"/>
    <m/>
  </r>
  <r>
    <m/>
    <n v="718"/>
    <s v="267"/>
    <x v="21"/>
    <x v="82"/>
    <n v="1"/>
    <x v="11"/>
    <s v="Željko Matas"/>
    <s v="097 7094175"/>
    <s v="zmatas@kbf-st.hr"/>
    <s v="Zrinjsko-Frankopanska 19"/>
    <s v="Zrinjsko-Frankopanska 19, Split"/>
    <s v="36149548625"/>
    <x v="8"/>
    <m/>
    <m/>
    <s v="Senso"/>
    <m/>
  </r>
  <r>
    <m/>
    <n v="719"/>
    <s v="140"/>
    <x v="21"/>
    <x v="83"/>
    <n v="1"/>
    <x v="1"/>
    <s v="Marko Poletto"/>
    <s v="099/4928854"/>
    <s v="pmarko@vef.unizg.hr"/>
    <s v="Ulica Vjekoslava Heinzela 55"/>
    <s v="Ulica Vjekoslava Heinzela 55, 10000 Zagreb"/>
    <s v="36389528408"/>
    <x v="8"/>
    <m/>
    <m/>
    <s v="Senso"/>
    <m/>
  </r>
  <r>
    <m/>
    <n v="720"/>
    <s v="219"/>
    <x v="21"/>
    <x v="28"/>
    <n v="1"/>
    <x v="1"/>
    <s v="Marin Šperanda"/>
    <s v="091 906 6882"/>
    <s v="marin.speranda@caas.unizg.hr"/>
    <s v="Trg Republike Hrvatske 14"/>
    <s v="Don Frana Bulića 4, 20000 Dubrovnik (CAAS)"/>
    <s v="36612267447"/>
    <x v="8"/>
    <m/>
    <m/>
    <s v="Senso"/>
    <m/>
  </r>
  <r>
    <m/>
    <n v="721"/>
    <s v="3545"/>
    <x v="21"/>
    <x v="29"/>
    <n v="1"/>
    <x v="11"/>
    <s v="Branimir Džaja"/>
    <s v="091-2600324"/>
    <s v="branimir.dzaja@umas.hr"/>
    <s v="Zagrebačka 3"/>
    <s v="Glagoljaška 18a, Gripe"/>
    <s v="38960125358"/>
    <x v="8"/>
    <m/>
    <m/>
    <s v="Senso"/>
    <m/>
  </r>
  <r>
    <m/>
    <n v="722"/>
    <s v="141"/>
    <x v="21"/>
    <x v="30"/>
    <n v="1"/>
    <x v="1"/>
    <s v="Matija Prahin_x000a_"/>
    <s v="385919845267_x000a_"/>
    <s v="mprahin@arhitekt.hr_x000a_"/>
    <s v="Kačićeva Ulica 26"/>
    <s v="Kačićeva 26"/>
    <s v="42061107444"/>
    <x v="8"/>
    <m/>
    <m/>
    <s v="Senso"/>
    <m/>
  </r>
  <r>
    <m/>
    <n v="723"/>
    <s v="173"/>
    <x v="21"/>
    <x v="89"/>
    <n v="1"/>
    <x v="8"/>
    <s v="Siniša Lončarić"/>
    <s v="0913011188"/>
    <s v="sloncaric@pravri.uniri.hr"/>
    <s v="Hahlić 6"/>
    <s v="Hahlić 6, Rijeka"/>
    <s v="43767699965"/>
    <x v="8"/>
    <m/>
    <m/>
    <s v="Senso"/>
    <m/>
  </r>
  <r>
    <m/>
    <n v="724"/>
    <s v="154"/>
    <x v="21"/>
    <x v="50"/>
    <n v="1"/>
    <x v="8"/>
    <s v="Daniel Maratović"/>
    <s v="095/9064710"/>
    <s v="daniel.maratovic@riteh.uniri.hr"/>
    <s v="Vukovarska 58"/>
    <s v="Vukovarska 58, HR-51000 Rijeka"/>
    <s v="46319717480"/>
    <x v="8"/>
    <m/>
    <m/>
    <s v="Senso"/>
    <m/>
  </r>
  <r>
    <m/>
    <n v="725"/>
    <s v="146"/>
    <x v="21"/>
    <x v="70"/>
    <n v="1"/>
    <x v="1"/>
    <s v="Ana Vukelić"/>
    <s v="0915677600"/>
    <s v="avukelic@pbf.hr"/>
    <s v="Pierottijeva Ulica 6"/>
    <s v="Pierottijeva 6"/>
    <s v="47824453867"/>
    <x v="8"/>
    <m/>
    <m/>
    <s v="Senso"/>
    <m/>
  </r>
  <r>
    <m/>
    <n v="726"/>
    <s v="210"/>
    <x v="21"/>
    <x v="31"/>
    <n v="1"/>
    <x v="1"/>
    <s v="Taras Barščevski"/>
    <s v="+385(91)5335.699"/>
    <s v="taras.barscevski@kbf.unizg.hr"/>
    <s v="Vlaška Ulica 38"/>
    <s v="Vlaška 38"/>
    <s v="48987767944"/>
    <x v="8"/>
    <m/>
    <m/>
    <s v="Senso"/>
    <m/>
  </r>
  <r>
    <m/>
    <n v="727"/>
    <s v="215"/>
    <x v="21"/>
    <x v="18"/>
    <n v="1"/>
    <x v="1"/>
    <s v="Ivan Šetin"/>
    <s v="0981839338"/>
    <s v="isetin@adu.hr"/>
    <s v="Trg Republike Hrvatske 5"/>
    <s v="Trg Republike Hrvatske 5, Zagreb"/>
    <s v="52097842295"/>
    <x v="8"/>
    <m/>
    <m/>
    <s v="Senso"/>
    <m/>
  </r>
  <r>
    <m/>
    <n v="728"/>
    <s v="125"/>
    <x v="21"/>
    <x v="84"/>
    <n v="1"/>
    <x v="13"/>
    <s v="Damir Kovačević"/>
    <s v="385912244189"/>
    <s v="damir.kovacevic@efos.hr"/>
    <s v="Trg Ljudevita Gaja 7"/>
    <s v="Trg Ljudevita Gaja 7, Osijek"/>
    <s v="52778515544"/>
    <x v="8"/>
    <m/>
    <m/>
    <s v="Senso"/>
    <m/>
  </r>
  <r>
    <m/>
    <n v="729"/>
    <s v="138"/>
    <x v="21"/>
    <x v="71"/>
    <n v="1"/>
    <x v="1"/>
    <s v="Denis Hernaut"/>
    <s v="+385 91 604 3920"/>
    <s v="denis.hernaut@fer.hr"/>
    <s v="Unska Ulica 3"/>
    <s v="Vukovarska 39, Zagreb"/>
    <s v="57029260362"/>
    <x v="8"/>
    <m/>
    <m/>
    <s v="Senso"/>
    <m/>
  </r>
  <r>
    <m/>
    <n v="730"/>
    <s v="3430"/>
    <x v="21"/>
    <x v="53"/>
    <n v="1"/>
    <x v="11"/>
    <s v="Ante Krolo"/>
    <s v="+385 95 903 76 48"/>
    <s v="ante@kifst.hr"/>
    <s v="Teslina 6"/>
    <s v="Teslina 10"/>
    <s v="57848936921"/>
    <x v="8"/>
    <m/>
    <m/>
    <s v="Senso"/>
    <m/>
  </r>
  <r>
    <m/>
    <n v="731"/>
    <s v="181"/>
    <x v="21"/>
    <x v="80"/>
    <n v="1"/>
    <x v="13"/>
    <s v="Zoltan Juhas"/>
    <s v="091/ 2549 157"/>
    <s v="zoli@ffos.hr"/>
    <s v="Ulica Lorenza Jägera 9"/>
    <s v="Ulica Lorenza Jägera 9"/>
    <s v="58868871646"/>
    <x v="8"/>
    <m/>
    <m/>
    <s v="Senso"/>
    <m/>
  </r>
  <r>
    <m/>
    <n v="732"/>
    <s v="161"/>
    <x v="21"/>
    <x v="54"/>
    <n v="1"/>
    <x v="1"/>
    <s v="Sead Berberović"/>
    <s v="0915226263"/>
    <s v="sead.berberovic@grad.unizg.hr"/>
    <s v="Kačićeva Ulica 26"/>
    <s v="Kačićeva 26, Zagreb"/>
    <s v="62924153420"/>
    <x v="8"/>
    <m/>
    <m/>
    <s v="Senso"/>
    <m/>
  </r>
  <r>
    <m/>
    <n v="733"/>
    <s v="221"/>
    <x v="21"/>
    <x v="11"/>
    <n v="2"/>
    <x v="8"/>
    <s v="Marko Roža"/>
    <s v="051/265-873"/>
    <s v="marko.roza@uniri.hr"/>
    <s v="Trg Braće Mažuranića 10"/>
    <s v="Radmile Matejčić 2; 51000 Rijeka"/>
    <s v="64218323816"/>
    <x v="8"/>
    <m/>
    <m/>
    <s v="Senso"/>
    <m/>
  </r>
  <r>
    <m/>
    <n v="734"/>
    <s v="1907"/>
    <x v="21"/>
    <x v="94"/>
    <n v="1"/>
    <x v="8"/>
    <s v="Boris Ružić"/>
    <s v="0915765999"/>
    <s v="bruzic@uniri.hr"/>
    <s v="Sveučilišna Avenija 4"/>
    <s v="Sveučilišna avenija 4, 51000 Rijeka"/>
    <s v="70505505759"/>
    <x v="8"/>
    <m/>
    <m/>
    <s v="Senso"/>
    <m/>
  </r>
  <r>
    <m/>
    <n v="735"/>
    <s v="113"/>
    <x v="21"/>
    <x v="13"/>
    <n v="1"/>
    <x v="9"/>
    <s v="Andreas Mađerić"/>
    <s v="048 279 196"/>
    <s v="amaderic@vguk.hr"/>
    <s v="Ulica Milislava Demerca 1"/>
    <s v="Milislava Demerca 1, 48260 Križevci"/>
    <s v="75480885018"/>
    <x v="8"/>
    <m/>
    <m/>
    <s v="Senso"/>
    <m/>
  </r>
  <r>
    <m/>
    <n v="736"/>
    <s v="169"/>
    <x v="21"/>
    <x v="57"/>
    <n v="1"/>
    <x v="8"/>
    <s v="Izv. prof. dr. sc. Jasmin Ćelić"/>
    <s v="0912546777"/>
    <s v="jasmin.celic@uniri.hr"/>
    <s v="Studentska 2"/>
    <s v="Studentska 2"/>
    <s v="76722145702"/>
    <x v="8"/>
    <m/>
    <m/>
    <s v="Senso"/>
    <m/>
  </r>
  <r>
    <m/>
    <n v="737"/>
    <s v="222"/>
    <x v="21"/>
    <x v="33"/>
    <n v="1"/>
    <x v="13"/>
    <s v="Tatjana Šajatović"/>
    <s v=" +38598871499"/>
    <s v="tsajatovic@kemija.unios.hr"/>
    <s v="Trg Sv. Trojstva 3"/>
    <s v="Cara Hadrijana 8/A"/>
    <s v="78808975734"/>
    <x v="8"/>
    <m/>
    <m/>
    <s v="Senso"/>
    <m/>
  </r>
  <r>
    <m/>
    <n v="738"/>
    <s v="163"/>
    <x v="21"/>
    <x v="58"/>
    <n v="2"/>
    <x v="11"/>
    <s v="Alen Domazet"/>
    <s v="091 568 5994"/>
    <s v="adomazet@gradst.hr"/>
    <s v="Matice Hrvatske 15"/>
    <s v="Matice hrvatske 15, 21000 Split"/>
    <s v="83615500218"/>
    <x v="8"/>
    <m/>
    <m/>
    <s v="Senso"/>
    <m/>
  </r>
  <r>
    <m/>
    <n v="739"/>
    <s v="316"/>
    <x v="21"/>
    <x v="20"/>
    <n v="1"/>
    <x v="11"/>
    <s v="Ante Denić"/>
    <s v="(+385)915683877"/>
    <s v="dante@efst.hr"/>
    <s v="Cvite Fiskovića 5"/>
    <s v="Cvite Fiskovića 5, Split"/>
    <s v="84477684422"/>
    <x v="8"/>
    <m/>
    <m/>
    <s v="Senso"/>
    <m/>
  </r>
  <r>
    <m/>
    <n v="740"/>
    <s v="174"/>
    <x v="21"/>
    <x v="86"/>
    <n v="1"/>
    <x v="23"/>
    <s v="Davor Mijolović"/>
    <s v="098-292-104"/>
    <s v="davor.mijolovic@fthm.hr"/>
    <s v="Primorska 46"/>
    <s v="Primorska 46, 51410  Opatija"/>
    <s v="85799845149"/>
    <x v="8"/>
    <m/>
    <m/>
    <s v="Senso"/>
    <m/>
  </r>
  <r>
    <m/>
    <n v="741"/>
    <s v="172"/>
    <x v="21"/>
    <x v="95"/>
    <n v="1"/>
    <x v="8"/>
    <s v="Elvis Žic"/>
    <s v="0915038578"/>
    <s v="elvis.zic@uniri.hr"/>
    <s v="Ulica Radmile Matejčić 3"/>
    <s v="Ulica Radmile Matejčić 3, 51000 Rijeka"/>
    <s v="92037849504"/>
    <x v="8"/>
    <m/>
    <m/>
    <s v="Senso"/>
    <m/>
  </r>
  <r>
    <m/>
    <n v="742"/>
    <s v="170"/>
    <x v="21"/>
    <x v="74"/>
    <n v="1"/>
    <x v="13"/>
    <s v="Dražen Marček"/>
    <s v="098/9674947"/>
    <s v="dmarcek@ptfos.hr"/>
    <s v="Franje Kuhača 18"/>
    <s v="F. Kuhača 18"/>
    <s v="96371000697"/>
    <x v="8"/>
    <m/>
    <m/>
    <s v="Senso"/>
    <m/>
  </r>
  <r>
    <m/>
    <n v="743"/>
    <s v="281"/>
    <x v="21"/>
    <x v="63"/>
    <n v="1"/>
    <x v="8"/>
    <s v="Danka Jurjević"/>
    <s v="265-877"/>
    <s v="danka.jurjevic@uniri.hr"/>
    <s v="Sveučilišna Avenija 6"/>
    <s v="Sveučilišna Avenija 6"/>
    <s v="96996385705"/>
    <x v="8"/>
    <m/>
    <m/>
    <s v="Senso"/>
    <m/>
  </r>
  <r>
    <m/>
    <n v="744"/>
    <s v="5769"/>
    <x v="21"/>
    <x v="64"/>
    <n v="1"/>
    <x v="11"/>
    <s v="Slaven Kušljić"/>
    <s v="021 545545, 091 4443745"/>
    <s v="slaven@ffst.hr"/>
    <s v="Poljička Cesta 35"/>
    <s v="Poljička cesta 35"/>
    <s v="98004523293"/>
    <x v="8"/>
    <m/>
    <m/>
    <s v="Senso"/>
    <m/>
  </r>
  <r>
    <m/>
    <n v="745"/>
    <s v="147"/>
    <x v="21"/>
    <x v="87"/>
    <n v="1"/>
    <x v="8"/>
    <s v="Teo Brusić_x000a_Zoran Vučinić"/>
    <s v="098/338-182_x000a_091/1651-230"/>
    <s v="teo.brusic@medri.uniri.hr_x000a_zoran.vucinic@medri.uniri.hr"/>
    <s v="Braće Branchetta 20"/>
    <s v="Rijeka, B. Branchetta 20"/>
    <s v="98164324541"/>
    <x v="8"/>
    <m/>
    <m/>
    <s v="Senso"/>
    <m/>
  </r>
  <r>
    <m/>
    <n v="746"/>
    <s v="158"/>
    <x v="21"/>
    <x v="21"/>
    <n v="1"/>
    <x v="13"/>
    <s v="Ivan Rebekić"/>
    <s v="099 304 6109"/>
    <s v="irebekic@fazos.hr"/>
    <s v="Ulica Vladimira Preloga 1"/>
    <s v="Vladimira Preloga 1, 31000 Osijek"/>
    <s v="98816779821"/>
    <x v="8"/>
    <m/>
    <m/>
    <s v="Senso"/>
    <m/>
  </r>
  <r>
    <m/>
    <n v="747"/>
    <s v="4917"/>
    <x v="21"/>
    <x v="96"/>
    <n v="1"/>
    <x v="11"/>
    <s v="Domagoj Vučica"/>
    <s v="091/1265-486"/>
    <s v="domagoj@ktf-split.hr"/>
    <s v="R. Boškovića 35"/>
    <s v="R. Boškovića 35"/>
    <s v="99401575594"/>
    <x v="8"/>
    <m/>
    <m/>
    <s v="Senso"/>
    <m/>
  </r>
  <r>
    <m/>
    <n v="748"/>
    <s v="3324"/>
    <x v="21"/>
    <x v="34"/>
    <n v="1"/>
    <x v="1"/>
    <s v="Dario Knežić"/>
    <s v="0917615616"/>
    <s v="dknezic@fhs.unizg.hr"/>
    <s v="Borongajska Cesta 83D"/>
    <s v="Borongajska cesta 83d, Zagreb"/>
    <s v="99454315441"/>
    <x v="8"/>
    <m/>
    <m/>
    <s v="Senso"/>
    <m/>
  </r>
  <r>
    <m/>
    <n v="749"/>
    <s v="203"/>
    <x v="21"/>
    <x v="65"/>
    <n v="1"/>
    <x v="1"/>
    <s v="Marijan Galjar"/>
    <s v="098 855 676"/>
    <s v="marijan.galjar@rgn.hr"/>
    <s v="Pierottijeva Ulica 6"/>
    <s v="Pierottijeva 6"/>
    <s v="99534693762"/>
    <x v="8"/>
    <m/>
    <m/>
    <s v="Senso"/>
    <m/>
  </r>
  <r>
    <m/>
    <n v="750"/>
    <s v="206"/>
    <x v="21"/>
    <x v="35"/>
    <n v="1"/>
    <x v="1"/>
    <s v="Davor Štrk"/>
    <s v="099 3136 671"/>
    <s v="dstrk@fkz.hr"/>
    <s v="Avenija Gojka Šuška 1"/>
    <s v="Av. Gojka Šuška 1, Zagreb"/>
    <s v="36162371878"/>
    <x v="8"/>
    <m/>
    <m/>
    <s v="Senso"/>
    <m/>
  </r>
  <r>
    <m/>
    <n v="751"/>
    <s v="188"/>
    <x v="21"/>
    <x v="4"/>
    <n v="1"/>
    <x v="1"/>
    <s v="Boris Rončević"/>
    <s v="099 5327723"/>
    <s v="broncevic@nsk.hr"/>
    <s v="Ul. Hrvatske Bratske Zajednice 4"/>
    <s v="NSK - Ul. Hrvatske Bratske Zajednice 4"/>
    <m/>
    <x v="8"/>
    <m/>
    <m/>
    <s v="Senso"/>
    <m/>
  </r>
  <r>
    <m/>
    <m/>
    <m/>
    <x v="22"/>
    <x v="0"/>
    <n v="47"/>
    <x v="0"/>
    <m/>
    <m/>
    <m/>
    <m/>
    <m/>
    <m/>
    <x v="0"/>
    <m/>
    <m/>
    <m/>
    <m/>
  </r>
  <r>
    <m/>
    <n v="752"/>
    <s v="133"/>
    <x v="22"/>
    <x v="36"/>
    <n v="1"/>
    <x v="11"/>
    <s v="Zvonimir Torba"/>
    <s v="+385 91 4305 724"/>
    <s v="torba@fesb.hr"/>
    <s v="R. Boškovića 32"/>
    <s v="R. Boškovića 32, 21000 Split"/>
    <s v="857144221"/>
    <x v="3"/>
    <m/>
    <m/>
    <m/>
    <m/>
  </r>
  <r>
    <m/>
    <n v="753"/>
    <s v="3990"/>
    <x v="22"/>
    <x v="37"/>
    <n v="3"/>
    <x v="17"/>
    <s v="Stjepo Hladilo"/>
    <s v="0919322586"/>
    <s v="stjepo.hladilo@unidu.hr"/>
    <s v="Branitelja Dubrovnika 41"/>
    <s v="Branitelja Dubrovnika 41, Dubrovnik"/>
    <s v="1338491514"/>
    <x v="3"/>
    <m/>
    <m/>
    <m/>
    <m/>
  </r>
  <r>
    <m/>
    <n v="754"/>
    <s v="3689"/>
    <x v="22"/>
    <x v="5"/>
    <n v="1"/>
    <x v="1"/>
    <s v="Nikola Barba"/>
    <s v="099 6081 436"/>
    <s v="nikola.barba@unicath.hr"/>
    <s v="Ilica 244B"/>
    <s v="Ilica 244, 10000 Zagreb"/>
    <s v="7730927366"/>
    <x v="3"/>
    <m/>
    <m/>
    <m/>
    <m/>
  </r>
  <r>
    <m/>
    <n v="755"/>
    <s v="1918"/>
    <x v="22"/>
    <x v="23"/>
    <n v="1"/>
    <x v="1"/>
    <s v="Ivan Rajković"/>
    <s v="+385998153651"/>
    <s v="ivan.rajkovic@tvz.hr"/>
    <s v="Vrbik 8"/>
    <s v="Vrbik 8"/>
    <s v="8814003451"/>
    <x v="3"/>
    <m/>
    <m/>
    <m/>
    <m/>
  </r>
  <r>
    <m/>
    <n v="756"/>
    <s v="3409"/>
    <x v="22"/>
    <x v="24"/>
    <n v="1"/>
    <x v="15"/>
    <s v="Ivan Reponj"/>
    <s v="0989389348"/>
    <s v="ireponj@ftrr.hr"/>
    <s v="Vukovarska 17"/>
    <s v="Vukovarska 17, Požega"/>
    <s v="11614501047"/>
    <x v="3"/>
    <m/>
    <m/>
    <m/>
    <m/>
  </r>
  <r>
    <m/>
    <n v="757"/>
    <s v="3385"/>
    <x v="22"/>
    <x v="41"/>
    <n v="1"/>
    <x v="18"/>
    <s v="Nikola Kanišk"/>
    <s v="099/5246985"/>
    <s v="nikola.kaniski@vhzk.hr"/>
    <s v="Šetalište Hrvatskog Narodnog Preporoda 6"/>
    <s v="Trg S. Radića 8"/>
    <s v="16465214888"/>
    <x v="3"/>
    <m/>
    <m/>
    <m/>
    <m/>
  </r>
  <r>
    <m/>
    <n v="758"/>
    <s v="536"/>
    <x v="22"/>
    <x v="25"/>
    <n v="1"/>
    <x v="16"/>
    <s v="IGOR BILANDŽIĆ"/>
    <s v="091-444-6885"/>
    <s v="Igor.bilandzic@vevu.hr"/>
    <s v="Županijska 50"/>
    <s v="BLAGE ZADRE 2, VUKOVAR"/>
    <s v="21720825730"/>
    <x v="3"/>
    <m/>
    <m/>
    <m/>
    <m/>
  </r>
  <r>
    <m/>
    <n v="759"/>
    <s v="130"/>
    <x v="22"/>
    <x v="45"/>
    <n v="2"/>
    <x v="1"/>
    <s v="Kristian Došen"/>
    <s v="091 7888 474"/>
    <s v="kristian.dosen@fpzg.hr"/>
    <s v="Ulica Ivana Lepušića 6"/>
    <s v="Lepušićeva 6, 10000 Zagreb"/>
    <s v="28011548575"/>
    <x v="3"/>
    <m/>
    <m/>
    <m/>
    <m/>
  </r>
  <r>
    <m/>
    <n v="760"/>
    <s v="3637"/>
    <x v="22"/>
    <x v="81"/>
    <n v="1"/>
    <x v="13"/>
    <s v="Krunoslav Kurilj"/>
    <s v="0991616166"/>
    <s v="kkurilj@foozos.hr"/>
    <s v="Ulica Cara Hadrijana 10"/>
    <s v="Cara Hadrijana 10, 31 000 Osijek – NASTAVNA ZGRADA"/>
    <s v="28082679513"/>
    <x v="3"/>
    <m/>
    <m/>
    <m/>
    <m/>
  </r>
  <r>
    <m/>
    <s v="761a_x000a_761b"/>
    <s v="5713"/>
    <x v="22"/>
    <x v="27"/>
    <n v="2"/>
    <x v="11"/>
    <s v="Antonija Žaja Čičak_x000a_Petra Musap"/>
    <s v="0914433913_x000a_0991639750"/>
    <s v="antonija.zaja@unist.hr_x000a_petra.musap@unist.hr"/>
    <s v="R. Boškovića 31, Split_x000a_"/>
    <s v="Ruđera Boškovića 31, Split_x000a_Poljana kraljice Jelene 1, Split"/>
    <s v="29845096215"/>
    <x v="3"/>
    <m/>
    <m/>
    <m/>
    <m/>
  </r>
  <r>
    <m/>
    <n v="762"/>
    <s v="1972"/>
    <x v="22"/>
    <x v="47"/>
    <n v="2"/>
    <x v="20"/>
    <s v="Damir Lulić"/>
    <s v="0981771615"/>
    <s v="dlulic@unisb.hr"/>
    <s v="Trg &quot;Ivana Brlić Mažuranić&quot; 2"/>
    <s v="Ulica 108. brigade ZNG 36"/>
    <s v="33027834374"/>
    <x v="3"/>
    <m/>
    <m/>
    <m/>
    <m/>
  </r>
  <r>
    <m/>
    <n v="763"/>
    <s v="267"/>
    <x v="22"/>
    <x v="82"/>
    <n v="1"/>
    <x v="11"/>
    <s v="Željko Matas"/>
    <s v="097 7094175"/>
    <s v="zmatas@kbf-st.hr"/>
    <s v="Zrinjsko-Frankopanska 19"/>
    <s v="Zrinjsko-Frankopanska 19, Split"/>
    <s v="36149548625"/>
    <x v="3"/>
    <m/>
    <m/>
    <m/>
    <m/>
  </r>
  <r>
    <m/>
    <n v="764"/>
    <s v="140"/>
    <x v="22"/>
    <x v="83"/>
    <n v="1"/>
    <x v="1"/>
    <s v="Marko Poletto"/>
    <s v="099/4928854"/>
    <s v="pmarko@vef.unizg.hr"/>
    <s v="Ulica Vjekoslava Heinzela 55"/>
    <s v="Ulica Vjekoslava Heinzela 55, 10000 Zagreb"/>
    <s v="36389528408"/>
    <x v="3"/>
    <m/>
    <m/>
    <m/>
    <m/>
  </r>
  <r>
    <m/>
    <s v="765a_x000a_765b"/>
    <s v="219"/>
    <x v="22"/>
    <x v="28"/>
    <n v="2"/>
    <x v="1"/>
    <s v="Siniša Vlahović_x000a_Marin Šperanda"/>
    <s v="098 268 472_x000a_091 906 6882"/>
    <s v="svlahovic@unizg.hr_x000a_marin.speranda@caas.unizg.hr"/>
    <s v="Trg Republike Hrvatske 14"/>
    <s v="Ulica Radoslava Cimermana 88, 10000 Zagreb_x000a_Don Frana Bulića 4, 20000 Dubrovnik (CAAS)"/>
    <s v="36612267447"/>
    <x v="3"/>
    <m/>
    <m/>
    <m/>
    <m/>
  </r>
  <r>
    <m/>
    <n v="766"/>
    <s v="3545"/>
    <x v="22"/>
    <x v="29"/>
    <n v="1"/>
    <x v="11"/>
    <s v="Branimir Džaja"/>
    <s v="091-2600324"/>
    <s v="branimir.dzaja@umas.hr"/>
    <s v="Zagrebačka 3"/>
    <s v="Glagoljaška 18a, Gripe"/>
    <s v="38960125358"/>
    <x v="3"/>
    <m/>
    <m/>
    <m/>
    <m/>
  </r>
  <r>
    <m/>
    <n v="767"/>
    <s v="141"/>
    <x v="22"/>
    <x v="30"/>
    <n v="1"/>
    <x v="1"/>
    <s v="Emil Flatz"/>
    <s v="38598302567"/>
    <s v="eflatz@arhitekt.hr"/>
    <s v="Kačićeva Ulica 26"/>
    <s v="Frankopanska 12"/>
    <s v="42061107444"/>
    <x v="3"/>
    <m/>
    <m/>
    <m/>
    <m/>
  </r>
  <r>
    <m/>
    <n v="768"/>
    <s v="122"/>
    <x v="22"/>
    <x v="49"/>
    <n v="1"/>
    <x v="1"/>
    <s v="Marijo Seničić"/>
    <s v="099 533 7842"/>
    <s v="marijo.senicic@geof.unizg.hr"/>
    <s v="Kačićeva Ulica 26"/>
    <s v="Kačićeva 26, 10000 Zagreb"/>
    <s v="43594593297"/>
    <x v="3"/>
    <m/>
    <m/>
    <m/>
    <m/>
  </r>
  <r>
    <m/>
    <n v="769"/>
    <s v="173"/>
    <x v="22"/>
    <x v="89"/>
    <n v="1"/>
    <x v="8"/>
    <s v="Siniša Lončarić"/>
    <s v="0913011188"/>
    <s v="sloncaric@pravri.uniri.hr"/>
    <s v="Hahlić 6"/>
    <s v="Hahlić 6, Rijeka"/>
    <s v="43767699965"/>
    <x v="3"/>
    <m/>
    <m/>
    <m/>
    <m/>
  </r>
  <r>
    <m/>
    <n v="770"/>
    <s v="165"/>
    <x v="22"/>
    <x v="79"/>
    <n v="1"/>
    <x v="1"/>
    <s v="Mirza Žižak"/>
    <s v="091-595-2783"/>
    <s v="mirza.zizak@mef.hr"/>
    <s v="Šalata 3"/>
    <s v="Šalata 2"/>
    <s v="45001686598"/>
    <x v="3"/>
    <m/>
    <m/>
    <m/>
    <m/>
  </r>
  <r>
    <m/>
    <n v="771"/>
    <s v="146"/>
    <x v="22"/>
    <x v="70"/>
    <n v="1"/>
    <x v="1"/>
    <s v="Ana Vukelić"/>
    <s v="0915677600"/>
    <s v="avukelic@pbf.hr"/>
    <s v="Pierottijeva Ulica 6"/>
    <s v="Pierottijeva 6"/>
    <s v="47824453867"/>
    <x v="3"/>
    <m/>
    <m/>
    <m/>
    <m/>
  </r>
  <r>
    <m/>
    <n v="772"/>
    <s v="210"/>
    <x v="22"/>
    <x v="31"/>
    <n v="1"/>
    <x v="1"/>
    <s v="Taras Barščevski"/>
    <s v="+385(91)5335.699"/>
    <s v="taras.barscevski@kbf.unizg.hr"/>
    <s v="Vlaška Ulica 38"/>
    <s v="Vlaška 38"/>
    <s v="48987767944"/>
    <x v="3"/>
    <m/>
    <m/>
    <m/>
    <m/>
  </r>
  <r>
    <m/>
    <n v="773"/>
    <s v="275"/>
    <x v="22"/>
    <x v="85"/>
    <n v="1"/>
    <x v="13"/>
    <s v="Petar Taler"/>
    <s v="091 224 1039"/>
    <s v="petar@mathos.hr"/>
    <s v="Trg Ljudevita Gaja 6"/>
    <s v="Trg Lj. Gaja 6, Osijek"/>
    <s v="56597320763"/>
    <x v="3"/>
    <m/>
    <m/>
    <m/>
    <m/>
  </r>
  <r>
    <m/>
    <n v="774"/>
    <s v="3430"/>
    <x v="22"/>
    <x v="53"/>
    <n v="1"/>
    <x v="11"/>
    <s v="Ante Krolo"/>
    <s v="+385 95 903 76 48"/>
    <s v="ante@kifst.hr"/>
    <s v="Teslina 6"/>
    <s v="Teslina 10"/>
    <s v="57848936921"/>
    <x v="3"/>
    <m/>
    <m/>
    <m/>
    <m/>
  </r>
  <r>
    <m/>
    <n v="775"/>
    <s v="181"/>
    <x v="22"/>
    <x v="80"/>
    <n v="1"/>
    <x v="13"/>
    <s v="Zoltan Juhas"/>
    <s v="091/ 2549 157"/>
    <s v="zoli@ffos.hr"/>
    <s v="Ulica Lorenza Jägera 9"/>
    <s v="Ulica Lorenza Jägera 9"/>
    <s v="58868871646"/>
    <x v="3"/>
    <m/>
    <m/>
    <m/>
    <m/>
  </r>
  <r>
    <m/>
    <n v="776"/>
    <s v="4497"/>
    <x v="22"/>
    <x v="9"/>
    <n v="2"/>
    <x v="6"/>
    <s v="Branimir Kolman"/>
    <s v="091 244 0130"/>
    <s v="bkolman@unin.hr"/>
    <s v="Trg Dr. Žarka Dolinara 1"/>
    <s v="Ulica 104 brigade 3, VŽ"/>
    <s v="59624928052"/>
    <x v="3"/>
    <m/>
    <m/>
    <m/>
    <m/>
  </r>
  <r>
    <m/>
    <n v="777"/>
    <s v="3554"/>
    <x v="22"/>
    <x v="10"/>
    <n v="1"/>
    <x v="7"/>
    <s v="Dario Kukuljan"/>
    <s v="0993777446"/>
    <s v="dkukuljan@unipu.hr"/>
    <s v="Zagrebačka Ulica 30"/>
    <s v="Alda Negrija 6, Pila"/>
    <s v="61738073226"/>
    <x v="3"/>
    <m/>
    <m/>
    <m/>
    <m/>
  </r>
  <r>
    <m/>
    <s v="778a_x000a_778b"/>
    <s v="221"/>
    <x v="22"/>
    <x v="11"/>
    <n v="2"/>
    <x v="8"/>
    <s v="Marko Roža_x000a_Jasenko Mandura"/>
    <s v="051/265-873_x000a_+385959017650"/>
    <s v="marko.roza@uniri.hr_x000a_jasenko.mandura@uniri.hr"/>
    <s v="Trg Braće Mažuranića 10"/>
    <s v="Radmile Matejčić 2; 51000 Rijeka_x000a_Trg braće Mažuranića 10; 51000 Rijeka"/>
    <s v="64218323816"/>
    <x v="3"/>
    <m/>
    <m/>
    <m/>
    <m/>
  </r>
  <r>
    <m/>
    <n v="779"/>
    <s v="150"/>
    <x v="22"/>
    <x v="12"/>
    <n v="1"/>
    <x v="1"/>
    <s v="Dario Đurasović"/>
    <s v="091 4802 130"/>
    <s v="dario@sfzg.hr"/>
    <s v="Gundulićeva Ulica 5"/>
    <s v="Gundulićeva 5, Zagreb"/>
    <s v="70221464726"/>
    <x v="3"/>
    <m/>
    <m/>
    <m/>
    <m/>
  </r>
  <r>
    <m/>
    <n v="780"/>
    <s v="6229"/>
    <x v="22"/>
    <x v="55"/>
    <n v="1"/>
    <x v="13"/>
    <s v="Matija Karapetrić"/>
    <s v="0915053478"/>
    <s v="matija.karapetric@kifos.hr"/>
    <s v="Drinska 16A"/>
    <s v="Drinska 16a, 31000 Osijek"/>
    <s v="70788591483"/>
    <x v="3"/>
    <m/>
    <m/>
    <m/>
    <m/>
  </r>
  <r>
    <m/>
    <n v="781"/>
    <s v="169"/>
    <x v="22"/>
    <x v="57"/>
    <n v="1"/>
    <x v="8"/>
    <s v="Izv. prof. dr. sc. Jasmin Ćelić"/>
    <s v="0912546777"/>
    <s v="jasmin.celic@uniri.hr"/>
    <s v="Studentska 2"/>
    <s v="Studentska 2"/>
    <s v="76722145702"/>
    <x v="3"/>
    <m/>
    <m/>
    <m/>
    <m/>
  </r>
  <r>
    <m/>
    <n v="782"/>
    <s v="222"/>
    <x v="22"/>
    <x v="33"/>
    <n v="1"/>
    <x v="13"/>
    <s v="Tatjana Šajatović"/>
    <s v=" +38598871499"/>
    <s v="tsajatovic@kemija.unios.hr"/>
    <s v="Trg Sv. Trojstva 3"/>
    <s v="Cara Hadrijana 8/A"/>
    <s v="78808975734"/>
    <x v="3"/>
    <m/>
    <m/>
    <m/>
    <m/>
  </r>
  <r>
    <m/>
    <n v="783"/>
    <s v="5717"/>
    <x v="22"/>
    <x v="59"/>
    <n v="1"/>
    <x v="13"/>
    <s v="Andrija Ljubičić_x000a_"/>
    <s v="091 2241 423_x000a_"/>
    <s v="andrija.ljubicic@fdmz.hr_x000a_"/>
    <s v="Crkvena Ulica 21"/>
    <s v="Crkvena 21"/>
    <s v="83830458507"/>
    <x v="3"/>
    <m/>
    <m/>
    <m/>
    <m/>
  </r>
  <r>
    <m/>
    <n v="784"/>
    <s v="316"/>
    <x v="22"/>
    <x v="20"/>
    <n v="1"/>
    <x v="11"/>
    <s v="Ante Denić"/>
    <s v="(+385)915683877"/>
    <s v="dante@efst.hr"/>
    <s v="Cvite Fiskovića 5"/>
    <s v="Cvite Fiskovića 5, Split"/>
    <s v="84477684422"/>
    <x v="3"/>
    <m/>
    <m/>
    <m/>
    <m/>
  </r>
  <r>
    <m/>
    <n v="785"/>
    <s v="174"/>
    <x v="22"/>
    <x v="86"/>
    <n v="1"/>
    <x v="23"/>
    <s v="Davor Mijolović"/>
    <s v="098-292-104"/>
    <s v="davor.mijolovic@fthm.hr"/>
    <s v="Primorska 46"/>
    <s v="Primorska 46, 51410  Opatija"/>
    <s v="85799845149"/>
    <x v="3"/>
    <m/>
    <m/>
    <m/>
    <m/>
  </r>
  <r>
    <m/>
    <n v="786"/>
    <s v="199"/>
    <x v="22"/>
    <x v="61"/>
    <n v="1"/>
    <x v="13"/>
    <s v="Mario Miloloza"/>
    <s v="0912246140"/>
    <s v="mario.miloloza@ferit.hr"/>
    <s v="Ulica Kneza Trpimira 2B"/>
    <s v="Cara Hadrijana 10b, Osijek"/>
    <s v="95494259952"/>
    <x v="3"/>
    <m/>
    <m/>
    <m/>
    <m/>
  </r>
  <r>
    <m/>
    <n v="787"/>
    <s v="281"/>
    <x v="22"/>
    <x v="63"/>
    <n v="1"/>
    <x v="8"/>
    <s v="Danka Jurjević"/>
    <s v="265-877"/>
    <s v="danka.jurjevic@uniri.hr"/>
    <s v="Sveučilišna Avenija 6"/>
    <s v="Sveučilišna Avenija 6"/>
    <s v="96996385705"/>
    <x v="3"/>
    <m/>
    <m/>
    <m/>
    <m/>
  </r>
  <r>
    <m/>
    <n v="788"/>
    <s v="5769"/>
    <x v="22"/>
    <x v="64"/>
    <n v="1"/>
    <x v="11"/>
    <s v="Slaven Kušljić"/>
    <s v="021 545545, 091 4443745"/>
    <s v="slaven@ffst.hr"/>
    <s v="Poljička Cesta 35"/>
    <s v="Poljička cesta 35"/>
    <s v="98004523293"/>
    <x v="3"/>
    <m/>
    <m/>
    <m/>
    <m/>
  </r>
  <r>
    <m/>
    <n v="789"/>
    <s v="4917"/>
    <x v="22"/>
    <x v="96"/>
    <n v="1"/>
    <x v="11"/>
    <s v="Domagoj Vučica"/>
    <s v="091/1265-486"/>
    <s v="domagoj@ktf-split.hr"/>
    <s v="R. Boškovića 35"/>
    <s v="R. Boškovića 35"/>
    <s v="99401575594"/>
    <x v="3"/>
    <m/>
    <m/>
    <m/>
    <m/>
  </r>
  <r>
    <m/>
    <n v="790"/>
    <s v="206"/>
    <x v="22"/>
    <x v="35"/>
    <n v="1"/>
    <x v="1"/>
    <s v="Davor Štrk"/>
    <s v="099 3136 671"/>
    <s v="dstrk@fkz.hr"/>
    <s v="Avenija Gojka Šuška 1"/>
    <s v="Av. Gojka Šuška 1, Zagreb"/>
    <s v="36162371878"/>
    <x v="3"/>
    <m/>
    <m/>
    <m/>
    <m/>
  </r>
  <r>
    <m/>
    <m/>
    <m/>
    <x v="23"/>
    <x v="0"/>
    <n v="70"/>
    <x v="0"/>
    <m/>
    <m/>
    <m/>
    <m/>
    <m/>
    <m/>
    <x v="0"/>
    <m/>
    <m/>
    <s v="King"/>
    <m/>
  </r>
  <r>
    <m/>
    <n v="1"/>
    <s v="133"/>
    <x v="23"/>
    <x v="36"/>
    <n v="1"/>
    <x v="11"/>
    <s v="Zvonimir Torba"/>
    <s v="+385 91 4305 724"/>
    <s v="torba@fesb.hr"/>
    <s v="R. Boškovića 32"/>
    <s v="R. Boškovića 32, 21000 Split"/>
    <s v="857144221"/>
    <x v="9"/>
    <m/>
    <m/>
    <s v="King"/>
    <s v="King"/>
  </r>
  <r>
    <m/>
    <n v="66"/>
    <s v="3990"/>
    <x v="23"/>
    <x v="37"/>
    <n v="2"/>
    <x v="17"/>
    <s v="Stjepo Hladilo"/>
    <s v="0919322586"/>
    <s v="stjepo.hladilo@unidu.hr"/>
    <s v="Branitelja Dubrovnika 41"/>
    <s v="Ćira Carića 4, Dubrovnik"/>
    <s v="1338491514"/>
    <x v="2"/>
    <m/>
    <m/>
    <s v="King"/>
    <s v="Senso"/>
  </r>
  <r>
    <m/>
    <n v="2"/>
    <s v="131"/>
    <x v="23"/>
    <x v="66"/>
    <n v="2"/>
    <x v="10"/>
    <s v="Mario Harjač"/>
    <s v="097 610 1011"/>
    <s v="maharjac@foi.unizg.hr"/>
    <s v="Pavlinska Ulica 2"/>
    <s v="Pavlinska ulica 2, Varaždin"/>
    <s v="2024882310"/>
    <x v="9"/>
    <m/>
    <m/>
    <s v="King"/>
    <s v="King"/>
  </r>
  <r>
    <m/>
    <n v="3"/>
    <s v="149"/>
    <x v="23"/>
    <x v="38"/>
    <n v="1"/>
    <x v="11"/>
    <s v="Dalibor Gabela"/>
    <s v="091-1557942"/>
    <s v="helpdesk@mefst.hr"/>
    <s v="Šoltanska 2"/>
    <s v="Šoltanska 2A, Split"/>
    <s v="2879747067"/>
    <x v="9"/>
    <m/>
    <m/>
    <s v="King"/>
    <s v="King"/>
  </r>
  <r>
    <m/>
    <n v="4"/>
    <s v="132"/>
    <x v="23"/>
    <x v="39"/>
    <n v="1"/>
    <x v="11"/>
    <s v="Juraj Saratlija"/>
    <s v="0996935026"/>
    <s v="juraj.saratlija@pravst.hr"/>
    <s v="Ulica Domovinskog Rata 8"/>
    <s v="Domovinskog rata 8, Split"/>
    <s v="3541568700"/>
    <x v="9"/>
    <m/>
    <m/>
    <s v="King"/>
    <s v="King"/>
  </r>
  <r>
    <m/>
    <n v="5"/>
    <s v="3689"/>
    <x v="23"/>
    <x v="5"/>
    <n v="1"/>
    <x v="1"/>
    <s v="Nikola Barba"/>
    <s v="099 6081 436"/>
    <s v="nikola.barba@unicath.hr"/>
    <s v="Ilica 244B"/>
    <s v="Ilica 244, 10000 Zagreb"/>
    <s v="7730927366"/>
    <x v="9"/>
    <m/>
    <m/>
    <s v="King"/>
    <s v="King"/>
  </r>
  <r>
    <m/>
    <n v="6"/>
    <s v="1918"/>
    <x v="23"/>
    <x v="23"/>
    <n v="1"/>
    <x v="1"/>
    <s v="Ivan Rajković"/>
    <s v="+385998153651"/>
    <s v="ivan.rajkovic@tvz.hr"/>
    <s v="Vrbik 8"/>
    <s v="Vrbik 8"/>
    <s v="8814003451"/>
    <x v="9"/>
    <m/>
    <m/>
    <s v="King"/>
    <s v="King"/>
  </r>
  <r>
    <m/>
    <n v="7"/>
    <s v="368"/>
    <x v="23"/>
    <x v="6"/>
    <n v="1"/>
    <x v="3"/>
    <s v="Ivan Nimac"/>
    <s v="095/826-5888"/>
    <s v="inimac@unizd.hr"/>
    <s v="Ulica Mihovila Pavlinovića 1"/>
    <s v="Obala kralja Petra Krešimira IV. Br. 2, 23000 Zadar"/>
    <s v="10839679016"/>
    <x v="9"/>
    <m/>
    <m/>
    <s v="King"/>
    <s v="Senso"/>
  </r>
  <r>
    <m/>
    <n v="8"/>
    <s v="3409"/>
    <x v="23"/>
    <x v="24"/>
    <n v="1"/>
    <x v="15"/>
    <s v="Ivan Reponj"/>
    <s v="0989389348"/>
    <s v="ireponj@ftrr.hr"/>
    <s v="Vukovarska 17"/>
    <s v="Vukovarska 17, Požega"/>
    <s v="11614501047"/>
    <x v="9"/>
    <m/>
    <m/>
    <s v="King"/>
    <s v="Senso"/>
  </r>
  <r>
    <m/>
    <n v="9"/>
    <s v="198"/>
    <x v="23"/>
    <x v="15"/>
    <n v="1"/>
    <x v="10"/>
    <s v="Darko Šprem"/>
    <s v="091 408 9012"/>
    <s v="darko.sprem@gfv.hr"/>
    <s v="Hallerova Aleja 7"/>
    <s v="Hallerova aleja 7, Varaždin"/>
    <s v="16146181375"/>
    <x v="9"/>
    <m/>
    <m/>
    <s v="King"/>
    <s v="King"/>
  </r>
  <r>
    <m/>
    <s v="63a_x000a_63b"/>
    <s v="3385"/>
    <x v="23"/>
    <x v="41"/>
    <n v="2"/>
    <x v="18"/>
    <s v="Nikola Kaniški_x000a_Stjepan Šalković"/>
    <s v="099/5246985_x000a_091/7895599"/>
    <s v="nikola.kaniski@vhzk.hr_x000a_stjepan.salkovic@vhzk.hr"/>
    <s v="Šetalište Hrvatskog Narodnog Preporoda 6"/>
    <s v="Trg S. Radića 8_x000a_Šetalište hrv. nar. prep. 6 (SŠ  Krapina)"/>
    <s v="16465214888"/>
    <x v="1"/>
    <m/>
    <m/>
    <s v="King"/>
    <s v="King"/>
  </r>
  <r>
    <m/>
    <n v="10"/>
    <s v="3986"/>
    <x v="23"/>
    <x v="68"/>
    <n v="1"/>
    <x v="1"/>
    <s v="Petra Mitrović"/>
    <s v="0914810222"/>
    <s v="pmitrovic@muza.hr"/>
    <s v="Trg Republike Hrvatske 12"/>
    <s v="Trg Republike Hrvatske 12"/>
    <s v="18422925218"/>
    <x v="9"/>
    <m/>
    <m/>
    <s v="King"/>
    <s v="Senso"/>
  </r>
  <r>
    <m/>
    <n v="11"/>
    <s v="4660"/>
    <x v="23"/>
    <x v="69"/>
    <n v="1"/>
    <x v="8"/>
    <s v="Vedran Ćurković"/>
    <s v="091 / 9536547"/>
    <s v="vedran.curkovic@uniri.hr"/>
    <s v="Viktora Cara Emina 5"/>
    <s v="Viktora Cara Emina 5"/>
    <s v="19213484918"/>
    <x v="9"/>
    <m/>
    <m/>
    <s v="King"/>
    <s v="Senso"/>
  </r>
  <r>
    <m/>
    <n v="12"/>
    <s v="4919"/>
    <x v="23"/>
    <x v="42"/>
    <n v="1"/>
    <x v="11"/>
    <s v="Doris Knego"/>
    <s v="098 9394211,"/>
    <s v="doris.knego@pmfst.hr"/>
    <s v="R. Boškovića 33"/>
    <s v="Ruđera Boškovića 33"/>
    <s v="20858497843"/>
    <x v="9"/>
    <m/>
    <m/>
    <s v="King"/>
    <s v="King"/>
  </r>
  <r>
    <m/>
    <n v="13"/>
    <s v="536"/>
    <x v="23"/>
    <x v="25"/>
    <n v="1"/>
    <x v="16"/>
    <s v="IGOR BILANDŽIĆ"/>
    <s v="091-444-6885"/>
    <s v="Igor.bilandzic@vevu.hr"/>
    <s v="Županijska 50"/>
    <s v="BLAGE ZADRE 2, VUKOVAR"/>
    <s v="21720825730"/>
    <x v="9"/>
    <m/>
    <m/>
    <s v="King"/>
    <s v="Senso"/>
  </r>
  <r>
    <m/>
    <n v="14"/>
    <s v="4914"/>
    <x v="23"/>
    <x v="16"/>
    <n v="1"/>
    <x v="11"/>
    <s v="Romaldo Singolo"/>
    <s v="091 155 9622"/>
    <s v="romi@pfst.hr"/>
    <s v="R. Boškovića 37"/>
    <s v="Ruđera Boškovića 37, Split"/>
    <s v="24624257529"/>
    <x v="9"/>
    <m/>
    <m/>
    <s v="King"/>
    <s v="King"/>
  </r>
  <r>
    <m/>
    <n v="15"/>
    <s v="185"/>
    <x v="23"/>
    <x v="43"/>
    <n v="1"/>
    <x v="1"/>
    <s v="Marko Maričević"/>
    <s v="0915193488"/>
    <s v="marko.maricevic@grf.hr"/>
    <s v="Getaldićeva Ulica 2"/>
    <s v="Getaldićeva 2, Zagreb"/>
    <s v="25564990903"/>
    <x v="9"/>
    <m/>
    <m/>
    <s v="King"/>
    <s v="Senso"/>
  </r>
  <r>
    <m/>
    <n v="16"/>
    <s v="168"/>
    <x v="23"/>
    <x v="77"/>
    <n v="1"/>
    <x v="13"/>
    <s v="Bruno Bakarić"/>
    <s v="031/224-508"/>
    <s v="bbakaric@pravos.hr"/>
    <s v="Ulica Stjepana Radića 13"/>
    <s v="Stjepana Radića 17"/>
    <s v="26416570803"/>
    <x v="9"/>
    <m/>
    <m/>
    <s v="King"/>
    <s v="Senso"/>
  </r>
  <r>
    <m/>
    <n v="17"/>
    <s v="205"/>
    <x v="23"/>
    <x v="44"/>
    <n v="1"/>
    <x v="1"/>
    <s v="Mikolaj Martinjak"/>
    <s v="0989478881"/>
    <s v="mika@ffrz.hr"/>
    <s v="Jordanovac 110"/>
    <s v="Jordanovac 110"/>
    <s v="26975482530"/>
    <x v="9"/>
    <m/>
    <m/>
    <s v="King"/>
    <s v="King"/>
  </r>
  <r>
    <m/>
    <n v="18"/>
    <s v="130"/>
    <x v="23"/>
    <x v="45"/>
    <n v="1"/>
    <x v="1"/>
    <s v="Kristian Došen"/>
    <s v="091 7888 474"/>
    <s v="kristian.dosen@fpzg.hr"/>
    <s v="Ulica Ivana Lepušića 6"/>
    <s v="Lepušićeva 6, 10000 Zagreb"/>
    <s v="28011548575"/>
    <x v="9"/>
    <m/>
    <m/>
    <s v="King"/>
    <s v="Senso"/>
  </r>
  <r>
    <m/>
    <n v="19"/>
    <s v="3637"/>
    <x v="23"/>
    <x v="81"/>
    <n v="1"/>
    <x v="13"/>
    <s v="Krunoslav Kurilj"/>
    <s v="0991616166"/>
    <s v="kkurilj@foozos.hr"/>
    <s v="Ulica Cara Hadrijana 10"/>
    <s v="Cara Hadrijana 10, 31 000 Osijek – NASTAVNA ZGRADA"/>
    <s v="28082679513"/>
    <x v="9"/>
    <m/>
    <m/>
    <s v="King"/>
    <s v="Senso"/>
  </r>
  <r>
    <m/>
    <n v="20"/>
    <s v="250"/>
    <x v="23"/>
    <x v="17"/>
    <n v="1"/>
    <x v="8"/>
    <s v="Davorin Tadić"/>
    <s v="091 332 1308"/>
    <s v="dtadic@veleri.hr"/>
    <s v="Trpimirova 2"/>
    <s v="Vukovarska 58, Rijeka"/>
    <s v="29573709870"/>
    <x v="9"/>
    <m/>
    <m/>
    <s v="King"/>
    <s v="Senso"/>
  </r>
  <r>
    <m/>
    <n v="21"/>
    <s v="5713"/>
    <x v="23"/>
    <x v="27"/>
    <n v="1"/>
    <x v="11"/>
    <s v="Petra Musap"/>
    <s v="0991639750"/>
    <s v="petra.musap@unist.hr"/>
    <s v="R. Boškovića 31, Split"/>
    <s v="Poljana kraljice Jelene 1, Split"/>
    <s v="29845096215"/>
    <x v="9"/>
    <m/>
    <m/>
    <s v="King"/>
    <s v="King"/>
  </r>
  <r>
    <m/>
    <n v="22"/>
    <s v="1972"/>
    <x v="23"/>
    <x v="47"/>
    <n v="1"/>
    <x v="20"/>
    <s v="Damir Lulić"/>
    <s v="0981771615"/>
    <s v="dlulic@unisb.hr"/>
    <s v="Trg &quot;Ivana Brlić Mažuranić&quot; 2"/>
    <s v="Ulica 108. brigade ZNG 36"/>
    <s v="33027834374"/>
    <x v="9"/>
    <m/>
    <m/>
    <s v="King"/>
    <s v="Senso"/>
  </r>
  <r>
    <m/>
    <n v="23"/>
    <s v="3340"/>
    <x v="23"/>
    <x v="48"/>
    <n v="1"/>
    <x v="1"/>
    <s v="Ivan Cerovec"/>
    <s v="01/2457510"/>
    <s v="ivan.cerovec@erf.unizg.hr"/>
    <s v="Borongajska Cesta 83F"/>
    <s v="Zagreb, Borongajska c.83f"/>
    <s v="34967762426"/>
    <x v="9"/>
    <m/>
    <m/>
    <s v="King"/>
    <s v="King"/>
  </r>
  <r>
    <m/>
    <n v="24"/>
    <s v="267"/>
    <x v="23"/>
    <x v="82"/>
    <n v="1"/>
    <x v="11"/>
    <s v="Željko Matas"/>
    <s v="097 7094175"/>
    <s v="zmatas@kbf-st.hr"/>
    <s v="Zrinsko-Frankopanska 19"/>
    <s v="Zrinsko-Frankopanska 19, Split"/>
    <s v="36149548625"/>
    <x v="9"/>
    <m/>
    <m/>
    <s v="King"/>
    <s v="King"/>
  </r>
  <r>
    <m/>
    <n v="25"/>
    <s v="140"/>
    <x v="23"/>
    <x v="83"/>
    <n v="1"/>
    <x v="1"/>
    <s v="Marko Poletto"/>
    <s v="099/4928854"/>
    <s v="pmarko@vef.unizg.hr"/>
    <s v="Ulica Vjekoslava Heinzela 55"/>
    <s v="Ulica Vjekoslava Heinzela 55, 10000 Zagreb"/>
    <s v="36389528408"/>
    <x v="9"/>
    <m/>
    <m/>
    <s v="King"/>
    <s v="King"/>
  </r>
  <r>
    <m/>
    <n v="26"/>
    <s v="219"/>
    <x v="23"/>
    <x v="28"/>
    <n v="1"/>
    <x v="1"/>
    <s v="Siniša Vlahović_x000a_"/>
    <s v="098 268 472_x000a_"/>
    <s v="svlahovic@unizg.hr_x000a_"/>
    <s v="Trg Republike Hrvatske 14"/>
    <s v="Ulica Radoslava Cimermana 88, 10000 Zagreb"/>
    <s v="36612267447"/>
    <x v="9"/>
    <m/>
    <m/>
    <s v="King"/>
    <s v="Senso"/>
  </r>
  <r>
    <m/>
    <n v="27"/>
    <s v="3545"/>
    <x v="23"/>
    <x v="29"/>
    <n v="1"/>
    <x v="11"/>
    <s v="Branimir Džaja"/>
    <s v="091-2600324"/>
    <s v="branimir.dzaja@umas.hr"/>
    <s v="Zagrebačka 3"/>
    <s v="Fausta Vrančića 19"/>
    <s v="38960125358"/>
    <x v="9"/>
    <m/>
    <m/>
    <s v="King"/>
    <s v="King"/>
  </r>
  <r>
    <m/>
    <n v="28"/>
    <s v="141"/>
    <x v="23"/>
    <x v="30"/>
    <n v="1"/>
    <x v="1"/>
    <s v="Emil Flatz"/>
    <s v="38598302567"/>
    <s v="eflatz@arhitekt.hr"/>
    <s v="Kačićeva Ulica 26"/>
    <s v="Frankopanska 12"/>
    <s v="42061107444"/>
    <x v="9"/>
    <m/>
    <m/>
    <s v="King"/>
    <s v="Senso"/>
  </r>
  <r>
    <m/>
    <n v="29"/>
    <s v="177"/>
    <x v="23"/>
    <x v="78"/>
    <n v="1"/>
    <x v="1"/>
    <s v="Srđan Cvetanović"/>
    <s v="095 8000 204_x000a_"/>
    <s v="djani@ttf.hr_x000a_"/>
    <s v="Prilaz Baruna Filipovića 28A"/>
    <s v="Prilaz baruna Filipovića 28a"/>
    <s v="43097527965"/>
    <x v="9"/>
    <m/>
    <m/>
    <s v="King"/>
    <s v="Senso"/>
  </r>
  <r>
    <m/>
    <n v="30"/>
    <s v="122"/>
    <x v="23"/>
    <x v="49"/>
    <n v="1"/>
    <x v="1"/>
    <s v="Marijo Seničić"/>
    <s v="099 533 7842"/>
    <s v="marijo.senicic@geof.unizg.hr"/>
    <s v="Kačićeva Ulica 26"/>
    <s v="Kačićeva 26, 10000 Zagreb"/>
    <s v="43594593297"/>
    <x v="9"/>
    <m/>
    <m/>
    <s v="King"/>
    <s v="King"/>
  </r>
  <r>
    <m/>
    <n v="31"/>
    <s v="165"/>
    <x v="23"/>
    <x v="79"/>
    <n v="1"/>
    <x v="1"/>
    <s v="Mirza Žižak"/>
    <s v="091-595-2783"/>
    <s v="mirza.zizak@mef.hr"/>
    <s v="Šalata 3"/>
    <s v="Šalata 2"/>
    <s v="45001686598"/>
    <x v="9"/>
    <m/>
    <m/>
    <s v="King"/>
    <s v="King"/>
  </r>
  <r>
    <m/>
    <n v="32"/>
    <s v="146"/>
    <x v="23"/>
    <x v="70"/>
    <n v="1"/>
    <x v="1"/>
    <s v="Ana Vukelić"/>
    <s v="0915677600"/>
    <s v="avukelic@pbf.hr"/>
    <s v="Pierottijeva Ulica 6"/>
    <s v="Pierottijeva 6"/>
    <s v="47824453867"/>
    <x v="9"/>
    <m/>
    <m/>
    <s v="King"/>
    <s v="King"/>
  </r>
  <r>
    <m/>
    <n v="33"/>
    <s v="210"/>
    <x v="23"/>
    <x v="31"/>
    <n v="1"/>
    <x v="1"/>
    <s v="Taras Barščevski"/>
    <s v="+385(91)5335.699"/>
    <s v="taras.barscevski@kbf.unizg.hr"/>
    <s v="Vlaška Ulica 38"/>
    <s v="Vlaška 38"/>
    <s v="48987767944"/>
    <x v="9"/>
    <m/>
    <m/>
    <s v="King"/>
    <s v="Senso"/>
  </r>
  <r>
    <m/>
    <n v="34"/>
    <s v="245"/>
    <x v="23"/>
    <x v="52"/>
    <n v="1"/>
    <x v="1"/>
    <s v="Ozren Digula, Kristijan Zbiljski"/>
    <s v="0914595855, 0914595858"/>
    <s v="ozren.digula@zvu.hr, kristijan.zbiljski@zvu.hr"/>
    <s v="Mlinarska Cesta 38"/>
    <s v="Mlinarska cesta 38"/>
    <s v="50952646228"/>
    <x v="9"/>
    <m/>
    <m/>
    <s v="King"/>
    <s v="King"/>
  </r>
  <r>
    <m/>
    <n v="35"/>
    <s v="215"/>
    <x v="23"/>
    <x v="18"/>
    <n v="1"/>
    <x v="1"/>
    <s v="Ivan Šetin"/>
    <s v="0981839338"/>
    <s v="isetin@adu.hr"/>
    <s v="Trg Republike Hrvatske 5"/>
    <s v="Trg Republike Hrvatske 5, Zagreb"/>
    <s v="52097842295"/>
    <x v="9"/>
    <m/>
    <m/>
    <s v="King"/>
    <s v="Senso"/>
  </r>
  <r>
    <m/>
    <n v="36"/>
    <s v="125"/>
    <x v="23"/>
    <x v="84"/>
    <n v="1"/>
    <x v="13"/>
    <s v="Damir Kovačević"/>
    <s v="385912244189"/>
    <s v="damir.kovacevic@efos.hr"/>
    <s v="Trg Ljudevita Gaja 7"/>
    <s v="Trg Ljudevita Gaja 7, Osijek"/>
    <s v="52778515544"/>
    <x v="9"/>
    <m/>
    <m/>
    <s v="King"/>
    <s v="King"/>
  </r>
  <r>
    <m/>
    <n v="37"/>
    <s v="1939"/>
    <x v="23"/>
    <x v="76"/>
    <n v="1"/>
    <x v="8"/>
    <s v="Aljoša Brajdić"/>
    <s v="099/2217114"/>
    <s v="aljosa.brajdic@apuri.uniri.hr"/>
    <s v="Slavka Krautzeka 83"/>
    <s v="Slavka Krautzeka 83, 51000 Rijeka"/>
    <s v="55704161999"/>
    <x v="9"/>
    <m/>
    <m/>
    <s v="King"/>
    <s v="Senso"/>
  </r>
  <r>
    <m/>
    <n v="38"/>
    <s v="275"/>
    <x v="23"/>
    <x v="85"/>
    <n v="2"/>
    <x v="13"/>
    <s v="Petar Taler"/>
    <s v="091 224 1039"/>
    <s v="petar@mathos.hr"/>
    <s v="Trg Ljudevita Gaja 6"/>
    <s v="Trg Lj. Gaja 6, Osijek"/>
    <s v="56597320763"/>
    <x v="9"/>
    <m/>
    <m/>
    <s v="King"/>
    <s v="King"/>
  </r>
  <r>
    <m/>
    <n v="39"/>
    <s v="138"/>
    <x v="23"/>
    <x v="71"/>
    <n v="1"/>
    <x v="1"/>
    <s v="Denis Hernaut"/>
    <s v="+385 91 604 3920"/>
    <s v="denis.hernaut@fer.hr"/>
    <s v="Unska Ulica 3"/>
    <s v="Vukovarska 39, Zagreb"/>
    <s v="57029260362"/>
    <x v="9"/>
    <m/>
    <m/>
    <s v="King"/>
    <s v="Senso"/>
  </r>
  <r>
    <m/>
    <n v="40"/>
    <s v="3430"/>
    <x v="23"/>
    <x v="53"/>
    <n v="1"/>
    <x v="11"/>
    <s v="Ante Krolo"/>
    <s v="+385 95 903 76 48"/>
    <s v="ante@kifst.hr"/>
    <s v="Teslina 6"/>
    <s v="Teslina 10"/>
    <s v="57848936921"/>
    <x v="9"/>
    <m/>
    <m/>
    <s v="King"/>
    <s v="King"/>
  </r>
  <r>
    <m/>
    <n v="41"/>
    <s v="181"/>
    <x v="23"/>
    <x v="80"/>
    <n v="1"/>
    <x v="13"/>
    <s v="Zoltan Juhas"/>
    <s v="091/ 2549 157"/>
    <s v="zoli@ffos.hr"/>
    <s v="Ulica Lorenza Jägera 9"/>
    <s v="Ulica Lorenza Jägera 9"/>
    <s v="58868871646"/>
    <x v="9"/>
    <m/>
    <m/>
    <s v="King"/>
    <s v="Senso"/>
  </r>
  <r>
    <m/>
    <n v="64"/>
    <s v="4497"/>
    <x v="23"/>
    <x v="9"/>
    <n v="1"/>
    <x v="6"/>
    <s v="Branimir Kolman"/>
    <s v="091 244 0130"/>
    <s v="bkolman@unin.hr"/>
    <s v="Trg Dr. Žarka Dolinara 1"/>
    <s v="Ulica 104 brigade 3, VŽ"/>
    <s v="59624928052"/>
    <x v="1"/>
    <m/>
    <m/>
    <s v="King"/>
    <s v="Senso"/>
  </r>
  <r>
    <m/>
    <n v="42"/>
    <s v="232"/>
    <x v="23"/>
    <x v="19"/>
    <n v="1"/>
    <x v="12"/>
    <s v="Jakov Serajlić"/>
    <s v="38598845215"/>
    <s v="jserajlic@vus.hr"/>
    <s v="Trg A. Hebranga 11"/>
    <s v="Trg Andrije Hebrang 11, 22000 Šibenik"/>
    <s v="61727512157"/>
    <x v="9"/>
    <m/>
    <m/>
    <s v="King"/>
    <s v="Senso"/>
  </r>
  <r>
    <m/>
    <n v="43"/>
    <s v="3554"/>
    <x v="23"/>
    <x v="10"/>
    <n v="1"/>
    <x v="7"/>
    <s v="Dario Kukuljan"/>
    <s v="0993777446"/>
    <s v="dkukuljan@unipu.hr"/>
    <s v="Zagrebačka Ulica 30"/>
    <s v="Alda Negrija 6, Pila"/>
    <s v="61738073226"/>
    <x v="9"/>
    <m/>
    <m/>
    <s v="King"/>
    <s v="Senso"/>
  </r>
  <r>
    <m/>
    <n v="44"/>
    <s v="221"/>
    <x v="23"/>
    <x v="11"/>
    <n v="1"/>
    <x v="8"/>
    <s v="Marko Roža"/>
    <s v="051/265-873"/>
    <s v="marko.roza@uniri.hr"/>
    <s v="Trg Braće Mažuranića 10"/>
    <s v="Radmile Matejčić 2; 51000 Rijeka"/>
    <s v="64218323816"/>
    <x v="9"/>
    <m/>
    <m/>
    <s v="King"/>
    <s v="King"/>
  </r>
  <r>
    <m/>
    <n v="45"/>
    <s v="150"/>
    <x v="23"/>
    <x v="12"/>
    <n v="1"/>
    <x v="1"/>
    <s v="Dario Đurasović"/>
    <s v="091 4802 130"/>
    <s v="dario@sfzg.hr"/>
    <s v="Gundulićeva Ulica 5"/>
    <s v="Gundulićeva 5, Zagreb"/>
    <s v="70221464726"/>
    <x v="9"/>
    <m/>
    <m/>
    <s v="King"/>
    <s v="Senso"/>
  </r>
  <r>
    <m/>
    <n v="46"/>
    <s v="1907"/>
    <x v="23"/>
    <x v="94"/>
    <n v="1"/>
    <x v="8"/>
    <s v="Boris Ružić"/>
    <s v="0915765999"/>
    <s v="bruzic@uniri.hr"/>
    <s v="Sveučilišna Avenija 4"/>
    <s v="Sveučilišna avenija 4, 51000 Rijeka"/>
    <s v="70505505759"/>
    <x v="9"/>
    <m/>
    <m/>
    <s v="King"/>
    <s v="Senso"/>
  </r>
  <r>
    <m/>
    <n v="47"/>
    <s v="6229"/>
    <x v="23"/>
    <x v="55"/>
    <n v="1"/>
    <x v="13"/>
    <s v="Matija Karapetrić"/>
    <s v="0915053478"/>
    <s v="matija.karapetric@kifos.hr"/>
    <s v="Drinska 16A"/>
    <s v="Drinska 16a, 31000 Osijek"/>
    <s v="70788591483"/>
    <x v="9"/>
    <m/>
    <m/>
    <s v="King"/>
    <s v="Senso"/>
  </r>
  <r>
    <m/>
    <n v="48"/>
    <s v="184"/>
    <x v="23"/>
    <x v="3"/>
    <n v="1"/>
    <x v="1"/>
    <s v="Igor Horaček"/>
    <s v="091/722-0837"/>
    <s v="igor@fkit.hr"/>
    <s v="Trg Marka Marulića 19"/>
    <s v="Savska cesta 41, zgrada Zagrepčanka, 2.kat"/>
    <s v="71259740533"/>
    <x v="9"/>
    <m/>
    <m/>
    <s v="King"/>
    <s v="Senso"/>
  </r>
  <r>
    <m/>
    <n v="49"/>
    <s v="113"/>
    <x v="23"/>
    <x v="13"/>
    <n v="1"/>
    <x v="9"/>
    <s v="Andreas Mađerić"/>
    <s v="048 279 196"/>
    <s v="amaderic@vguk.hr"/>
    <s v="Ulica Milislava Demerca 1"/>
    <s v="Milislava Demerca 1, 48260 Križevci"/>
    <s v="75480885018"/>
    <x v="9"/>
    <m/>
    <m/>
    <s v="King"/>
    <s v="King"/>
  </r>
  <r>
    <m/>
    <n v="50"/>
    <s v="169"/>
    <x v="23"/>
    <x v="57"/>
    <n v="1"/>
    <x v="8"/>
    <s v="Izv. prof. dr. sc. Jasmin Ćelić"/>
    <s v="0912546777"/>
    <s v="jasmin.celic@uniri.hr"/>
    <s v="Studentska 2"/>
    <s v="Studentska 2"/>
    <s v="76722145702"/>
    <x v="9"/>
    <m/>
    <m/>
    <s v="King"/>
    <s v="Senso"/>
  </r>
  <r>
    <m/>
    <n v="51"/>
    <s v="222"/>
    <x v="23"/>
    <x v="33"/>
    <n v="1"/>
    <x v="13"/>
    <s v="Tatjana Šajatović"/>
    <s v=" +38598871499"/>
    <s v="tsajatovic@kemija.unios.hr"/>
    <s v="Trg Sv. Trojstva 3"/>
    <s v="Cara Hadrijana 8/A"/>
    <s v="78808975734"/>
    <x v="9"/>
    <m/>
    <m/>
    <s v="King"/>
    <s v="King"/>
  </r>
  <r>
    <m/>
    <n v="52"/>
    <s v="5717"/>
    <x v="23"/>
    <x v="59"/>
    <n v="1"/>
    <x v="13"/>
    <s v="Andrija Ljubičić_x000a_"/>
    <s v="091 2241 423_x000a_"/>
    <s v="andrija.ljubicic@fdmz.hr_x000a_"/>
    <s v="Crkvena Ulica 21"/>
    <s v="Crkvena 21"/>
    <s v="83830458507"/>
    <x v="9"/>
    <m/>
    <m/>
    <s v="King"/>
    <s v="King"/>
  </r>
  <r>
    <m/>
    <n v="53"/>
    <s v="316"/>
    <x v="23"/>
    <x v="20"/>
    <n v="1"/>
    <x v="11"/>
    <s v="Ante Denić"/>
    <s v="(+385)915683877"/>
    <s v="dante@efst.hr"/>
    <s v="Cvite Fiskovića 5"/>
    <s v="Cvite Fiskovića 5, Split"/>
    <s v="84477684422"/>
    <x v="9"/>
    <m/>
    <m/>
    <s v="King"/>
    <s v="King"/>
  </r>
  <r>
    <m/>
    <n v="65"/>
    <s v="174"/>
    <x v="23"/>
    <x v="86"/>
    <n v="1"/>
    <x v="23"/>
    <s v="Davor Mijolović"/>
    <s v="098-292-104"/>
    <s v="davor.mijolovic@fthm.hr"/>
    <s v="Primorska 46"/>
    <s v="Primorska 46, 51410  Opatija"/>
    <s v="85799845149"/>
    <x v="1"/>
    <m/>
    <m/>
    <s v="King"/>
    <s v="Senso"/>
  </r>
  <r>
    <m/>
    <n v="54"/>
    <s v="172"/>
    <x v="23"/>
    <x v="95"/>
    <n v="1"/>
    <x v="8"/>
    <s v="Elvis Žic"/>
    <s v="0915038578"/>
    <s v="elvis.zic@uniri.hr"/>
    <s v="Ulica Radmile Matejčić 3"/>
    <s v="Ulica Radmile Matejčić 3, 51000 Rijeka"/>
    <s v="92037849504"/>
    <x v="9"/>
    <m/>
    <m/>
    <s v="King"/>
    <s v="Senso"/>
  </r>
  <r>
    <m/>
    <n v="55"/>
    <s v="199"/>
    <x v="23"/>
    <x v="61"/>
    <n v="1"/>
    <x v="13"/>
    <s v="Mario Miloloza"/>
    <s v="0912246140"/>
    <s v="mario.miloloza@ferit.hr"/>
    <s v="Ulica Kneza Trpimira 2B"/>
    <s v="Cara Hadrijana 10b, Osijek"/>
    <s v="95494259952"/>
    <x v="9"/>
    <m/>
    <m/>
    <s v="King"/>
    <s v="King"/>
  </r>
  <r>
    <m/>
    <n v="56"/>
    <s v="281"/>
    <x v="23"/>
    <x v="63"/>
    <n v="1"/>
    <x v="8"/>
    <s v="Danka Jurjević"/>
    <s v="265-877"/>
    <s v="danka.jurjevic@uniri.hr"/>
    <s v="Sveučilišna Avenija 6"/>
    <s v="Sveučilišna Avenija 6"/>
    <s v="96996385705"/>
    <x v="9"/>
    <m/>
    <m/>
    <s v="King"/>
    <s v="Senso"/>
  </r>
  <r>
    <m/>
    <n v="57"/>
    <s v="147"/>
    <x v="23"/>
    <x v="87"/>
    <n v="1"/>
    <x v="8"/>
    <s v="Teo Brusić_x000a_Zoran Vučinić"/>
    <s v="098/338-182_x000a_091/1651-230"/>
    <s v="teo.brusic@medri.uniri.hr_x000a_zoran.vucinic@medri.uniri.hr"/>
    <s v="Braće Branchetta 20"/>
    <s v="Rijeka, B. Branchetta 20"/>
    <s v="98164324541"/>
    <x v="9"/>
    <m/>
    <m/>
    <s v="King"/>
    <s v="Senso"/>
  </r>
  <r>
    <m/>
    <n v="58"/>
    <s v="158"/>
    <x v="23"/>
    <x v="21"/>
    <n v="1"/>
    <x v="13"/>
    <s v="Ivan Rebekić"/>
    <s v="099 304 6109"/>
    <s v="irebekic@fazos.hr"/>
    <s v="Ulica Vladimira Preloga 1"/>
    <s v="Vladimira Preloga 1, 31000 Osijek"/>
    <s v="98816779821"/>
    <x v="9"/>
    <m/>
    <m/>
    <s v="King"/>
    <s v="Senso"/>
  </r>
  <r>
    <m/>
    <n v="59"/>
    <s v="3324"/>
    <x v="23"/>
    <x v="34"/>
    <n v="1"/>
    <x v="1"/>
    <s v="Dario Knežić"/>
    <s v="0917615616"/>
    <s v="dknezic@fhs.unizg.hr"/>
    <s v="Borongajska Cesta 83D"/>
    <s v="Borongajska cesta 83d, Zagreb"/>
    <s v="99454315441"/>
    <x v="9"/>
    <m/>
    <m/>
    <s v="King"/>
    <s v="Senso"/>
  </r>
  <r>
    <m/>
    <n v="60"/>
    <s v="203"/>
    <x v="23"/>
    <x v="65"/>
    <n v="1"/>
    <x v="1"/>
    <s v="Marijan Galjar"/>
    <s v="098 855 676"/>
    <s v="marijan.galjar@rgn.hr"/>
    <s v="Pierottijeva Ulica 6"/>
    <s v="Pierottijeva 6"/>
    <s v="99534693762"/>
    <x v="9"/>
    <m/>
    <m/>
    <s v="King"/>
    <s v="Senso"/>
  </r>
  <r>
    <m/>
    <n v="61"/>
    <s v="206"/>
    <x v="23"/>
    <x v="35"/>
    <n v="1"/>
    <x v="1"/>
    <s v="Davor Štrk"/>
    <s v="099 3136 671"/>
    <s v="dstrk@fkz.hr"/>
    <s v="Avenija Gojka Šuška 1"/>
    <s v="Av. Gojka Šuška 1, Zagreb"/>
    <s v="36162371878"/>
    <x v="9"/>
    <m/>
    <m/>
    <s v="King"/>
    <s v="King"/>
  </r>
  <r>
    <m/>
    <n v="62"/>
    <s v="4589"/>
    <x v="23"/>
    <x v="14"/>
    <n v="1"/>
    <x v="1"/>
    <s v="Predrag Šinko"/>
    <s v="095/205-2570"/>
    <s v="predrag.sinko@sois-ft.hr"/>
    <s v="Ilica 256B"/>
    <s v="Ilica 256B, obj. 58"/>
    <s v="36752094474"/>
    <x v="9"/>
    <m/>
    <m/>
    <s v="King"/>
    <s v="King"/>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L127" firstHeaderRow="1" firstDataRow="2" firstDataCol="1" rowPageCount="1" colPageCount="1"/>
  <pivotFields count="20">
    <pivotField showAll="0"/>
    <pivotField showAll="0"/>
    <pivotField showAll="0"/>
    <pivotField axis="axisPage" multipleItemSelectionAllowed="1" showAll="0">
      <items count="25">
        <item x="20"/>
        <item x="22"/>
        <item x="7"/>
        <item x="17"/>
        <item x="11"/>
        <item x="12"/>
        <item x="19"/>
        <item x="14"/>
        <item x="15"/>
        <item x="16"/>
        <item x="8"/>
        <item x="13"/>
        <item x="23"/>
        <item x="10"/>
        <item x="9"/>
        <item x="18"/>
        <item x="21"/>
        <item x="5"/>
        <item x="6"/>
        <item x="4"/>
        <item x="0"/>
        <item x="1"/>
        <item x="2"/>
        <item x="3"/>
        <item t="default"/>
      </items>
    </pivotField>
    <pivotField axis="axisRow" showAll="0">
      <items count="99">
        <item x="73"/>
        <item x="18"/>
        <item x="62"/>
        <item x="76"/>
        <item x="32"/>
        <item x="30"/>
        <item x="48"/>
        <item x="93"/>
        <item x="84"/>
        <item x="20"/>
        <item x="92"/>
        <item x="21"/>
        <item x="71"/>
        <item x="61"/>
        <item x="36"/>
        <item x="44"/>
        <item x="58"/>
        <item x="34"/>
        <item x="3"/>
        <item x="66"/>
        <item x="45"/>
        <item x="85"/>
        <item x="88"/>
        <item x="26"/>
        <item x="40"/>
        <item x="24"/>
        <item x="59"/>
        <item x="86"/>
        <item x="81"/>
        <item x="69"/>
        <item x="1"/>
        <item x="80"/>
        <item x="94"/>
        <item x="64"/>
        <item x="60"/>
        <item x="49"/>
        <item x="15"/>
        <item x="95"/>
        <item x="54"/>
        <item x="90"/>
        <item x="43"/>
        <item x="5"/>
        <item x="22"/>
        <item x="82"/>
        <item x="31"/>
        <item x="96"/>
        <item x="55"/>
        <item x="53"/>
        <item x="91"/>
        <item x="67"/>
        <item x="87"/>
        <item x="38"/>
        <item x="79"/>
        <item x="46"/>
        <item x="51"/>
        <item x="35"/>
        <item x="68"/>
        <item x="4"/>
        <item x="57"/>
        <item x="16"/>
        <item x="77"/>
        <item x="89"/>
        <item x="39"/>
        <item x="97"/>
        <item x="70"/>
        <item x="74"/>
        <item x="42"/>
        <item x="75"/>
        <item x="65"/>
        <item x="12"/>
        <item x="33"/>
        <item x="10"/>
        <item x="14"/>
        <item x="9"/>
        <item x="37"/>
        <item x="11"/>
        <item x="47"/>
        <item x="27"/>
        <item x="6"/>
        <item x="28"/>
        <item x="50"/>
        <item x="23"/>
        <item x="78"/>
        <item x="63"/>
        <item x="56"/>
        <item x="29"/>
        <item x="25"/>
        <item x="7"/>
        <item x="8"/>
        <item x="41"/>
        <item x="72"/>
        <item x="13"/>
        <item x="17"/>
        <item x="19"/>
        <item x="2"/>
        <item x="83"/>
        <item x="52"/>
        <item x="0"/>
        <item t="default"/>
      </items>
    </pivotField>
    <pivotField dataField="1" showAll="0"/>
    <pivotField axis="axisRow" showAll="0">
      <items count="25">
        <item x="19"/>
        <item x="17"/>
        <item x="14"/>
        <item x="5"/>
        <item x="23"/>
        <item x="22"/>
        <item x="4"/>
        <item x="6"/>
        <item x="18"/>
        <item x="9"/>
        <item x="13"/>
        <item x="15"/>
        <item x="7"/>
        <item x="8"/>
        <item x="21"/>
        <item x="20"/>
        <item x="11"/>
        <item x="12"/>
        <item x="10"/>
        <item x="2"/>
        <item x="16"/>
        <item x="3"/>
        <item x="1"/>
        <item x="0"/>
        <item t="default"/>
      </items>
    </pivotField>
    <pivotField showAll="0"/>
    <pivotField showAll="0"/>
    <pivotField showAll="0"/>
    <pivotField showAll="0"/>
    <pivotField showAll="0"/>
    <pivotField showAll="0"/>
    <pivotField axis="axisCol" showAll="0">
      <items count="13">
        <item x="9"/>
        <item x="8"/>
        <item m="1" x="11"/>
        <item x="3"/>
        <item x="5"/>
        <item x="1"/>
        <item x="4"/>
        <item x="2"/>
        <item x="0"/>
        <item x="6"/>
        <item x="7"/>
        <item m="1" x="10"/>
        <item t="default"/>
      </items>
    </pivotField>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2">
    <field x="6"/>
    <field x="4"/>
  </rowFields>
  <rowItems count="123">
    <i>
      <x/>
    </i>
    <i r="1">
      <x v="53"/>
    </i>
    <i>
      <x v="1"/>
    </i>
    <i r="1">
      <x v="74"/>
    </i>
    <i>
      <x v="2"/>
    </i>
    <i r="1">
      <x v="42"/>
    </i>
    <i>
      <x v="3"/>
    </i>
    <i r="1">
      <x v="88"/>
    </i>
    <i>
      <x v="4"/>
    </i>
    <i r="1">
      <x v="27"/>
    </i>
    <i>
      <x v="5"/>
    </i>
    <i r="1">
      <x v="90"/>
    </i>
    <i>
      <x v="6"/>
    </i>
    <i r="1">
      <x v="87"/>
    </i>
    <i>
      <x v="7"/>
    </i>
    <i r="1">
      <x v="73"/>
    </i>
    <i>
      <x v="8"/>
    </i>
    <i r="1">
      <x v="89"/>
    </i>
    <i>
      <x v="9"/>
    </i>
    <i r="1">
      <x v="91"/>
    </i>
    <i>
      <x v="10"/>
    </i>
    <i r="1">
      <x v="4"/>
    </i>
    <i r="1">
      <x v="8"/>
    </i>
    <i r="1">
      <x v="11"/>
    </i>
    <i r="1">
      <x v="13"/>
    </i>
    <i r="1">
      <x v="21"/>
    </i>
    <i r="1">
      <x v="26"/>
    </i>
    <i r="1">
      <x v="28"/>
    </i>
    <i r="1">
      <x v="31"/>
    </i>
    <i r="1">
      <x v="39"/>
    </i>
    <i r="1">
      <x v="46"/>
    </i>
    <i r="1">
      <x v="49"/>
    </i>
    <i r="1">
      <x v="60"/>
    </i>
    <i r="1">
      <x v="65"/>
    </i>
    <i r="1">
      <x v="70"/>
    </i>
    <i>
      <x v="11"/>
    </i>
    <i r="1">
      <x v="25"/>
    </i>
    <i>
      <x v="12"/>
    </i>
    <i r="1">
      <x v="71"/>
    </i>
    <i>
      <x v="13"/>
    </i>
    <i r="1">
      <x v="3"/>
    </i>
    <i r="1">
      <x v="10"/>
    </i>
    <i r="1">
      <x v="29"/>
    </i>
    <i r="1">
      <x v="32"/>
    </i>
    <i r="1">
      <x v="37"/>
    </i>
    <i r="1">
      <x v="50"/>
    </i>
    <i r="1">
      <x v="58"/>
    </i>
    <i r="1">
      <x v="61"/>
    </i>
    <i r="1">
      <x v="75"/>
    </i>
    <i r="1">
      <x v="80"/>
    </i>
    <i r="1">
      <x v="83"/>
    </i>
    <i r="1">
      <x v="92"/>
    </i>
    <i>
      <x v="14"/>
    </i>
    <i r="1">
      <x v="54"/>
    </i>
    <i>
      <x v="15"/>
    </i>
    <i r="1">
      <x v="76"/>
    </i>
    <i>
      <x v="16"/>
    </i>
    <i r="1">
      <x v="9"/>
    </i>
    <i r="1">
      <x v="14"/>
    </i>
    <i r="1">
      <x v="16"/>
    </i>
    <i r="1">
      <x v="33"/>
    </i>
    <i r="1">
      <x v="43"/>
    </i>
    <i r="1">
      <x v="45"/>
    </i>
    <i r="1">
      <x v="47"/>
    </i>
    <i r="1">
      <x v="51"/>
    </i>
    <i r="1">
      <x v="59"/>
    </i>
    <i r="1">
      <x v="62"/>
    </i>
    <i r="1">
      <x v="66"/>
    </i>
    <i r="1">
      <x v="77"/>
    </i>
    <i r="1">
      <x v="85"/>
    </i>
    <i>
      <x v="17"/>
    </i>
    <i r="1">
      <x v="93"/>
    </i>
    <i>
      <x v="18"/>
    </i>
    <i r="1">
      <x v="19"/>
    </i>
    <i r="1">
      <x v="36"/>
    </i>
    <i>
      <x v="19"/>
    </i>
    <i r="1">
      <x v="94"/>
    </i>
    <i>
      <x v="20"/>
    </i>
    <i r="1">
      <x v="86"/>
    </i>
    <i>
      <x v="21"/>
    </i>
    <i r="1">
      <x v="78"/>
    </i>
    <i>
      <x v="22"/>
    </i>
    <i r="1">
      <x/>
    </i>
    <i r="1">
      <x v="1"/>
    </i>
    <i r="1">
      <x v="2"/>
    </i>
    <i r="1">
      <x v="5"/>
    </i>
    <i r="1">
      <x v="6"/>
    </i>
    <i r="1">
      <x v="7"/>
    </i>
    <i r="1">
      <x v="12"/>
    </i>
    <i r="1">
      <x v="15"/>
    </i>
    <i r="1">
      <x v="17"/>
    </i>
    <i r="1">
      <x v="18"/>
    </i>
    <i r="1">
      <x v="20"/>
    </i>
    <i r="1">
      <x v="22"/>
    </i>
    <i r="1">
      <x v="23"/>
    </i>
    <i r="1">
      <x v="24"/>
    </i>
    <i r="1">
      <x v="30"/>
    </i>
    <i r="1">
      <x v="34"/>
    </i>
    <i r="1">
      <x v="35"/>
    </i>
    <i r="1">
      <x v="38"/>
    </i>
    <i r="1">
      <x v="40"/>
    </i>
    <i r="1">
      <x v="41"/>
    </i>
    <i r="1">
      <x v="44"/>
    </i>
    <i r="1">
      <x v="48"/>
    </i>
    <i r="1">
      <x v="52"/>
    </i>
    <i r="1">
      <x v="55"/>
    </i>
    <i r="1">
      <x v="56"/>
    </i>
    <i r="1">
      <x v="57"/>
    </i>
    <i r="1">
      <x v="63"/>
    </i>
    <i r="1">
      <x v="64"/>
    </i>
    <i r="1">
      <x v="67"/>
    </i>
    <i r="1">
      <x v="68"/>
    </i>
    <i r="1">
      <x v="69"/>
    </i>
    <i r="1">
      <x v="72"/>
    </i>
    <i r="1">
      <x v="79"/>
    </i>
    <i r="1">
      <x v="81"/>
    </i>
    <i r="1">
      <x v="82"/>
    </i>
    <i r="1">
      <x v="84"/>
    </i>
    <i r="1">
      <x v="95"/>
    </i>
    <i r="1">
      <x v="96"/>
    </i>
    <i>
      <x v="23"/>
    </i>
    <i r="1">
      <x v="97"/>
    </i>
    <i t="grand">
      <x/>
    </i>
  </rowItems>
  <colFields count="1">
    <field x="13"/>
  </colFields>
  <colItems count="11">
    <i>
      <x/>
    </i>
    <i>
      <x v="1"/>
    </i>
    <i>
      <x v="3"/>
    </i>
    <i>
      <x v="4"/>
    </i>
    <i>
      <x v="5"/>
    </i>
    <i>
      <x v="6"/>
    </i>
    <i>
      <x v="7"/>
    </i>
    <i>
      <x v="8"/>
    </i>
    <i>
      <x v="9"/>
    </i>
    <i>
      <x v="10"/>
    </i>
    <i t="grand">
      <x/>
    </i>
  </colItems>
  <pageFields count="1">
    <pageField fld="3" hier="-1"/>
  </pageFields>
  <dataFields count="1">
    <dataField name="Sum of Kom." fld="5"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A00-000001000000}"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M127" firstHeaderRow="1" firstDataRow="2" firstDataCol="1" rowPageCount="1" colPageCount="1"/>
  <pivotFields count="18">
    <pivotField showAll="0"/>
    <pivotField showAll="0"/>
    <pivotField showAll="0"/>
    <pivotField axis="axisPage" multipleItemSelectionAllowed="1" showAll="0">
      <items count="20">
        <item x="4"/>
        <item x="0"/>
        <item x="1"/>
        <item x="2"/>
        <item x="3"/>
        <item x="12"/>
        <item x="13"/>
        <item x="5"/>
        <item x="6"/>
        <item m="1" x="18"/>
        <item x="7"/>
        <item x="9"/>
        <item x="15"/>
        <item x="14"/>
        <item x="11"/>
        <item x="10"/>
        <item m="1" x="17"/>
        <item x="8"/>
        <item x="16"/>
        <item t="default"/>
      </items>
    </pivotField>
    <pivotField axis="axisRow" showAll="0">
      <items count="99">
        <item x="50"/>
        <item x="89"/>
        <item x="56"/>
        <item x="18"/>
        <item x="45"/>
        <item x="14"/>
        <item x="38"/>
        <item x="96"/>
        <item x="72"/>
        <item x="92"/>
        <item x="34"/>
        <item x="59"/>
        <item x="19"/>
        <item x="55"/>
        <item x="27"/>
        <item x="67"/>
        <item x="74"/>
        <item x="25"/>
        <item x="23"/>
        <item x="85"/>
        <item x="68"/>
        <item x="43"/>
        <item x="7"/>
        <item x="33"/>
        <item x="62"/>
        <item x="31"/>
        <item x="53"/>
        <item x="75"/>
        <item x="97"/>
        <item x="32"/>
        <item x="63"/>
        <item x="73"/>
        <item x="22"/>
        <item x="93"/>
        <item x="76"/>
        <item x="39"/>
        <item x="86"/>
        <item x="54"/>
        <item x="84"/>
        <item x="30"/>
        <item x="8"/>
        <item x="2"/>
        <item x="94"/>
        <item x="12"/>
        <item x="81"/>
        <item x="60"/>
        <item x="49"/>
        <item x="44"/>
        <item x="6"/>
        <item x="5"/>
        <item x="77"/>
        <item x="29"/>
        <item x="17"/>
        <item x="37"/>
        <item x="71"/>
        <item x="26"/>
        <item x="65"/>
        <item x="82"/>
        <item x="51"/>
        <item x="95"/>
        <item x="35"/>
        <item x="70"/>
        <item x="1"/>
        <item x="69"/>
        <item x="41"/>
        <item x="57"/>
        <item x="66"/>
        <item x="36"/>
        <item x="78"/>
        <item x="90"/>
        <item x="52"/>
        <item x="21"/>
        <item x="61"/>
        <item x="20"/>
        <item x="28"/>
        <item x="48"/>
        <item x="11"/>
        <item x="10"/>
        <item x="4"/>
        <item x="87"/>
        <item x="40"/>
        <item x="3"/>
        <item x="16"/>
        <item x="58"/>
        <item x="24"/>
        <item x="88"/>
        <item x="80"/>
        <item x="79"/>
        <item x="15"/>
        <item x="64"/>
        <item x="47"/>
        <item x="91"/>
        <item x="9"/>
        <item x="46"/>
        <item x="83"/>
        <item x="13"/>
        <item x="42"/>
        <item x="0"/>
        <item t="default"/>
      </items>
    </pivotField>
    <pivotField dataField="1" showAll="0"/>
    <pivotField axis="axisRow" showAll="0">
      <items count="25">
        <item x="12"/>
        <item x="10"/>
        <item x="23"/>
        <item x="7"/>
        <item x="17"/>
        <item x="14"/>
        <item x="18"/>
        <item x="8"/>
        <item x="15"/>
        <item x="22"/>
        <item x="4"/>
        <item x="11"/>
        <item x="9"/>
        <item x="5"/>
        <item x="16"/>
        <item x="6"/>
        <item x="1"/>
        <item x="13"/>
        <item x="21"/>
        <item x="20"/>
        <item x="19"/>
        <item x="3"/>
        <item x="2"/>
        <item x="0"/>
        <item t="default"/>
      </items>
    </pivotField>
    <pivotField showAll="0"/>
    <pivotField showAll="0"/>
    <pivotField showAll="0"/>
    <pivotField showAll="0"/>
    <pivotField showAll="0"/>
    <pivotField showAll="0"/>
    <pivotField axis="axisCol" showAll="0">
      <items count="15">
        <item x="7"/>
        <item x="9"/>
        <item x="8"/>
        <item x="5"/>
        <item x="3"/>
        <item x="1"/>
        <item x="10"/>
        <item x="2"/>
        <item m="1" x="11"/>
        <item x="0"/>
        <item m="1" x="13"/>
        <item m="1" x="12"/>
        <item x="4"/>
        <item x="6"/>
        <item t="default"/>
      </items>
    </pivotField>
    <pivotField showAll="0"/>
    <pivotField showAll="0"/>
    <pivotField showAll="0"/>
    <pivotField showAll="0"/>
  </pivotFields>
  <rowFields count="2">
    <field x="6"/>
    <field x="4"/>
  </rowFields>
  <rowItems count="123">
    <i>
      <x/>
    </i>
    <i r="1">
      <x v="53"/>
    </i>
    <i>
      <x v="1"/>
    </i>
    <i r="1">
      <x v="74"/>
    </i>
    <i>
      <x v="2"/>
    </i>
    <i r="1">
      <x v="42"/>
    </i>
    <i>
      <x v="3"/>
    </i>
    <i r="1">
      <x v="88"/>
    </i>
    <i>
      <x v="4"/>
    </i>
    <i r="1">
      <x v="27"/>
    </i>
    <i>
      <x v="5"/>
    </i>
    <i r="1">
      <x v="90"/>
    </i>
    <i>
      <x v="6"/>
    </i>
    <i r="1">
      <x v="87"/>
    </i>
    <i>
      <x v="7"/>
    </i>
    <i r="1">
      <x v="73"/>
    </i>
    <i>
      <x v="8"/>
    </i>
    <i r="1">
      <x v="89"/>
    </i>
    <i>
      <x v="9"/>
    </i>
    <i r="1">
      <x v="91"/>
    </i>
    <i>
      <x v="10"/>
    </i>
    <i r="1">
      <x v="4"/>
    </i>
    <i r="1">
      <x v="8"/>
    </i>
    <i r="1">
      <x v="11"/>
    </i>
    <i r="1">
      <x v="13"/>
    </i>
    <i r="1">
      <x v="21"/>
    </i>
    <i r="1">
      <x v="26"/>
    </i>
    <i r="1">
      <x v="28"/>
    </i>
    <i r="1">
      <x v="31"/>
    </i>
    <i r="1">
      <x v="39"/>
    </i>
    <i r="1">
      <x v="46"/>
    </i>
    <i r="1">
      <x v="49"/>
    </i>
    <i r="1">
      <x v="60"/>
    </i>
    <i r="1">
      <x v="65"/>
    </i>
    <i r="1">
      <x v="70"/>
    </i>
    <i>
      <x v="11"/>
    </i>
    <i r="1">
      <x v="25"/>
    </i>
    <i>
      <x v="12"/>
    </i>
    <i r="1">
      <x v="71"/>
    </i>
    <i>
      <x v="13"/>
    </i>
    <i r="1">
      <x v="3"/>
    </i>
    <i r="1">
      <x v="10"/>
    </i>
    <i r="1">
      <x v="29"/>
    </i>
    <i r="1">
      <x v="32"/>
    </i>
    <i r="1">
      <x v="37"/>
    </i>
    <i r="1">
      <x v="50"/>
    </i>
    <i r="1">
      <x v="58"/>
    </i>
    <i r="1">
      <x v="61"/>
    </i>
    <i r="1">
      <x v="75"/>
    </i>
    <i r="1">
      <x v="80"/>
    </i>
    <i r="1">
      <x v="83"/>
    </i>
    <i r="1">
      <x v="92"/>
    </i>
    <i>
      <x v="14"/>
    </i>
    <i r="1">
      <x v="54"/>
    </i>
    <i>
      <x v="15"/>
    </i>
    <i r="1">
      <x v="76"/>
    </i>
    <i>
      <x v="16"/>
    </i>
    <i r="1">
      <x v="9"/>
    </i>
    <i r="1">
      <x v="14"/>
    </i>
    <i r="1">
      <x v="16"/>
    </i>
    <i r="1">
      <x v="33"/>
    </i>
    <i r="1">
      <x v="43"/>
    </i>
    <i r="1">
      <x v="45"/>
    </i>
    <i r="1">
      <x v="47"/>
    </i>
    <i r="1">
      <x v="51"/>
    </i>
    <i r="1">
      <x v="59"/>
    </i>
    <i r="1">
      <x v="62"/>
    </i>
    <i r="1">
      <x v="66"/>
    </i>
    <i r="1">
      <x v="77"/>
    </i>
    <i r="1">
      <x v="85"/>
    </i>
    <i>
      <x v="17"/>
    </i>
    <i r="1">
      <x v="93"/>
    </i>
    <i>
      <x v="18"/>
    </i>
    <i r="1">
      <x v="19"/>
    </i>
    <i r="1">
      <x v="36"/>
    </i>
    <i>
      <x v="19"/>
    </i>
    <i r="1">
      <x v="94"/>
    </i>
    <i>
      <x v="20"/>
    </i>
    <i r="1">
      <x v="86"/>
    </i>
    <i>
      <x v="21"/>
    </i>
    <i r="1">
      <x v="78"/>
    </i>
    <i>
      <x v="22"/>
    </i>
    <i r="1">
      <x/>
    </i>
    <i r="1">
      <x v="1"/>
    </i>
    <i r="1">
      <x v="2"/>
    </i>
    <i r="1">
      <x v="5"/>
    </i>
    <i r="1">
      <x v="6"/>
    </i>
    <i r="1">
      <x v="7"/>
    </i>
    <i r="1">
      <x v="12"/>
    </i>
    <i r="1">
      <x v="15"/>
    </i>
    <i r="1">
      <x v="17"/>
    </i>
    <i r="1">
      <x v="18"/>
    </i>
    <i r="1">
      <x v="20"/>
    </i>
    <i r="1">
      <x v="22"/>
    </i>
    <i r="1">
      <x v="23"/>
    </i>
    <i r="1">
      <x v="24"/>
    </i>
    <i r="1">
      <x v="30"/>
    </i>
    <i r="1">
      <x v="34"/>
    </i>
    <i r="1">
      <x v="35"/>
    </i>
    <i r="1">
      <x v="38"/>
    </i>
    <i r="1">
      <x v="40"/>
    </i>
    <i r="1">
      <x v="41"/>
    </i>
    <i r="1">
      <x v="44"/>
    </i>
    <i r="1">
      <x v="48"/>
    </i>
    <i r="1">
      <x v="52"/>
    </i>
    <i r="1">
      <x v="55"/>
    </i>
    <i r="1">
      <x v="56"/>
    </i>
    <i r="1">
      <x v="57"/>
    </i>
    <i r="1">
      <x v="63"/>
    </i>
    <i r="1">
      <x v="64"/>
    </i>
    <i r="1">
      <x v="67"/>
    </i>
    <i r="1">
      <x v="68"/>
    </i>
    <i r="1">
      <x v="69"/>
    </i>
    <i r="1">
      <x v="72"/>
    </i>
    <i r="1">
      <x v="79"/>
    </i>
    <i r="1">
      <x v="81"/>
    </i>
    <i r="1">
      <x v="82"/>
    </i>
    <i r="1">
      <x v="84"/>
    </i>
    <i r="1">
      <x v="95"/>
    </i>
    <i r="1">
      <x v="96"/>
    </i>
    <i>
      <x v="23"/>
    </i>
    <i r="1">
      <x v="97"/>
    </i>
    <i t="grand">
      <x/>
    </i>
  </rowItems>
  <colFields count="1">
    <field x="13"/>
  </colFields>
  <colItems count="12">
    <i>
      <x/>
    </i>
    <i>
      <x v="1"/>
    </i>
    <i>
      <x v="2"/>
    </i>
    <i>
      <x v="3"/>
    </i>
    <i>
      <x v="4"/>
    </i>
    <i>
      <x v="5"/>
    </i>
    <i>
      <x v="6"/>
    </i>
    <i>
      <x v="7"/>
    </i>
    <i>
      <x v="9"/>
    </i>
    <i>
      <x v="12"/>
    </i>
    <i>
      <x v="13"/>
    </i>
    <i t="grand">
      <x/>
    </i>
  </colItems>
  <pageFields count="1">
    <pageField fld="3" hier="-1"/>
  </pageFields>
  <dataFields count="1">
    <dataField name="Sum of Kom." fld="5"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3:T66" totalsRowCount="1">
  <autoFilter ref="A3:T65" xr:uid="{00000000-0009-0000-0100-000001000000}"/>
  <sortState xmlns:xlrd2="http://schemas.microsoft.com/office/spreadsheetml/2017/richdata2" ref="A4:T65">
    <sortCondition ref="B3:B65"/>
  </sortState>
  <tableColumns count="20">
    <tableColumn id="1" xr3:uid="{00000000-0010-0000-0000-000001000000}" name="PPZ"/>
    <tableColumn id="2" xr3:uid="{00000000-0010-0000-0000-000002000000}" name="Evid. liste" totalsRowDxfId="25"/>
    <tableColumn id="20" xr3:uid="{00000000-0010-0000-0000-000014000000}" name="Otpremnica" dataDxfId="24"/>
    <tableColumn id="3" xr3:uid="{00000000-0010-0000-0000-000003000000}" name="ID"/>
    <tableColumn id="5" xr3:uid="{00000000-0010-0000-0000-000005000000}" name="Ustanove"/>
    <tableColumn id="4" xr3:uid="{00000000-0010-0000-0000-000004000000}" name="Tip opreme "/>
    <tableColumn id="6" xr3:uid="{00000000-0010-0000-0000-000006000000}" name="Kom." totalsRowFunction="sum"/>
    <tableColumn id="7" xr3:uid="{00000000-0010-0000-0000-000007000000}" name="Lokacija"/>
    <tableColumn id="8" xr3:uid="{00000000-0010-0000-0000-000008000000}" name="Ime i prezime"/>
    <tableColumn id="9" xr3:uid="{00000000-0010-0000-0000-000009000000}" name="Kontakt broj"/>
    <tableColumn id="10" xr3:uid="{00000000-0010-0000-0000-00000A000000}" name="e-mail"/>
    <tableColumn id="11" xr3:uid="{00000000-0010-0000-0000-00000B000000}" name="Matična adresa"/>
    <tableColumn id="12" xr3:uid="{00000000-0010-0000-0000-00000C000000}" name="Adresa/e isporuke"/>
    <tableColumn id="13" xr3:uid="{00000000-0010-0000-0000-00000D000000}" name="OIB"/>
    <tableColumn id="14" xr3:uid="{00000000-0010-0000-0000-00000E000000}" name="Isporuka status"/>
    <tableColumn id="15" xr3:uid="{00000000-0010-0000-0000-00000F000000}" name="Isporuka na lokaciju " dataDxfId="23" totalsRowDxfId="22"/>
    <tableColumn id="16" xr3:uid="{00000000-0010-0000-0000-000010000000}" name="Montaža_x000a_start"/>
    <tableColumn id="17" xr3:uid="{00000000-0010-0000-0000-000011000000}" name="Montaža_x000a_finish"/>
    <tableColumn id="18" xr3:uid="{00000000-0010-0000-0000-000012000000}" name="Instalacija "/>
    <tableColumn id="19" xr3:uid="{00000000-0010-0000-0000-000013000000}" name="Održavanje "/>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3:R114" totalsRowCount="1">
  <autoFilter ref="A3:R113" xr:uid="{00000000-0009-0000-0100-000002000000}">
    <filterColumn colId="3">
      <filters>
        <filter val="Multimedijska oprema - Profesionalna web kamera"/>
      </filters>
    </filterColumn>
  </autoFilter>
  <tableColumns count="18">
    <tableColumn id="1" xr3:uid="{00000000-0010-0000-0100-000001000000}" name="PPZ"/>
    <tableColumn id="2" xr3:uid="{00000000-0010-0000-0100-000002000000}" name="Evid. liste"/>
    <tableColumn id="3" xr3:uid="{00000000-0010-0000-0100-000003000000}" name="ID"/>
    <tableColumn id="4" xr3:uid="{00000000-0010-0000-0100-000004000000}" name="Tip opreme "/>
    <tableColumn id="5" xr3:uid="{00000000-0010-0000-0100-000005000000}" name="Ustanove" dataDxfId="21" totalsRowDxfId="20"/>
    <tableColumn id="6" xr3:uid="{00000000-0010-0000-0100-000006000000}" name="Kom." totalsRowFunction="sum"/>
    <tableColumn id="7" xr3:uid="{00000000-0010-0000-0100-000007000000}" name="Lokacija"/>
    <tableColumn id="8" xr3:uid="{00000000-0010-0000-0100-000008000000}" name="Ime i prezime"/>
    <tableColumn id="9" xr3:uid="{00000000-0010-0000-0100-000009000000}" name="Kontakt broj"/>
    <tableColumn id="10" xr3:uid="{00000000-0010-0000-0100-00000A000000}" name="e-mail"/>
    <tableColumn id="11" xr3:uid="{00000000-0010-0000-0100-00000B000000}" name="Matična adresa"/>
    <tableColumn id="12" xr3:uid="{00000000-0010-0000-0100-00000C000000}" name="Adresa/e isporuke"/>
    <tableColumn id="13" xr3:uid="{00000000-0010-0000-0100-00000D000000}" name="OIB"/>
    <tableColumn id="14" xr3:uid="{00000000-0010-0000-0100-00000E000000}" name="Isporuka na lokaciju " dataDxfId="19" totalsRowDxfId="18"/>
    <tableColumn id="15" xr3:uid="{00000000-0010-0000-0100-00000F000000}" name="Montaža_x000a_start"/>
    <tableColumn id="16" xr3:uid="{00000000-0010-0000-0100-000010000000}" name="Montaža_x000a_finish"/>
    <tableColumn id="17" xr3:uid="{00000000-0010-0000-0100-000011000000}" name="Instalacija "/>
    <tableColumn id="18" xr3:uid="{00000000-0010-0000-0100-000012000000}" name="Održavanje "/>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6" displayName="Table6" ref="A3:R78" totalsRowShown="0">
  <autoFilter ref="A3:R78" xr:uid="{00000000-0009-0000-0100-000003000000}"/>
  <tableColumns count="18">
    <tableColumn id="1" xr3:uid="{00000000-0010-0000-0200-000001000000}" name="PPZ"/>
    <tableColumn id="2" xr3:uid="{00000000-0010-0000-0200-000002000000}" name="ELO"/>
    <tableColumn id="3" xr3:uid="{00000000-0010-0000-0200-000003000000}" name="ID"/>
    <tableColumn id="4" xr3:uid="{00000000-0010-0000-0200-000004000000}" name="Tip opreme "/>
    <tableColumn id="5" xr3:uid="{00000000-0010-0000-0200-000005000000}" name="Ustanove"/>
    <tableColumn id="6" xr3:uid="{00000000-0010-0000-0200-000006000000}" name="Kom."/>
    <tableColumn id="7" xr3:uid="{00000000-0010-0000-0200-000007000000}" name="Lokacija"/>
    <tableColumn id="8" xr3:uid="{00000000-0010-0000-0200-000008000000}" name="Ime i prezime"/>
    <tableColumn id="9" xr3:uid="{00000000-0010-0000-0200-000009000000}" name="Kontakt broj"/>
    <tableColumn id="10" xr3:uid="{00000000-0010-0000-0200-00000A000000}" name="e-mail"/>
    <tableColumn id="11" xr3:uid="{00000000-0010-0000-0200-00000B000000}" name="Matična adresa"/>
    <tableColumn id="12" xr3:uid="{00000000-0010-0000-0200-00000C000000}" name="Adresa/e isporuke"/>
    <tableColumn id="13" xr3:uid="{00000000-0010-0000-0200-00000D000000}" name="OIB"/>
    <tableColumn id="14" xr3:uid="{00000000-0010-0000-0200-00000E000000}" name="Isporuka na lokaciju " dataDxfId="17"/>
    <tableColumn id="15" xr3:uid="{00000000-0010-0000-0200-00000F000000}" name="Montaža_x000a_start"/>
    <tableColumn id="16" xr3:uid="{00000000-0010-0000-0200-000010000000}" name="Montaža_x000a_finish"/>
    <tableColumn id="17" xr3:uid="{00000000-0010-0000-0200-000011000000}" name="Instalacija "/>
    <tableColumn id="18" xr3:uid="{00000000-0010-0000-0200-000012000000}" name="Održavanje "/>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0" displayName="Table10" ref="A3:R117" totalsRowCount="1">
  <tableColumns count="18">
    <tableColumn id="1" xr3:uid="{00000000-0010-0000-0300-000001000000}" name="PPZ"/>
    <tableColumn id="2" xr3:uid="{00000000-0010-0000-0300-000002000000}" name="ELO"/>
    <tableColumn id="3" xr3:uid="{00000000-0010-0000-0300-000003000000}" name="ID"/>
    <tableColumn id="4" xr3:uid="{00000000-0010-0000-0300-000004000000}" name="Tip opreme "/>
    <tableColumn id="5" xr3:uid="{00000000-0010-0000-0300-000005000000}" name="Ustanove"/>
    <tableColumn id="6" xr3:uid="{00000000-0010-0000-0300-000006000000}" name="Kom." totalsRowFunction="sum"/>
    <tableColumn id="7" xr3:uid="{00000000-0010-0000-0300-000007000000}" name="Lokacija"/>
    <tableColumn id="8" xr3:uid="{00000000-0010-0000-0300-000008000000}" name="Ime i prezime"/>
    <tableColumn id="9" xr3:uid="{00000000-0010-0000-0300-000009000000}" name="Kontakt broj"/>
    <tableColumn id="10" xr3:uid="{00000000-0010-0000-0300-00000A000000}" name="e-mail"/>
    <tableColumn id="11" xr3:uid="{00000000-0010-0000-0300-00000B000000}" name="Matična adresa"/>
    <tableColumn id="12" xr3:uid="{00000000-0010-0000-0300-00000C000000}" name="Adresa/e isporuke"/>
    <tableColumn id="13" xr3:uid="{00000000-0010-0000-0300-00000D000000}" name="OIB"/>
    <tableColumn id="14" xr3:uid="{00000000-0010-0000-0300-00000E000000}" name="Isporuka na lokaciju " dataDxfId="16" totalsRowDxfId="15"/>
    <tableColumn id="15" xr3:uid="{00000000-0010-0000-0300-00000F000000}" name="Montaža_x000a_start"/>
    <tableColumn id="16" xr3:uid="{00000000-0010-0000-0300-000010000000}" name="Montaža_x000a_finish"/>
    <tableColumn id="17" xr3:uid="{00000000-0010-0000-0300-000011000000}" name="Instalacija "/>
    <tableColumn id="18" xr3:uid="{00000000-0010-0000-0300-000012000000}" name="Održavanje "/>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4" displayName="Table4" ref="A3:R89" totalsRowCount="1">
  <autoFilter ref="A3:R88" xr:uid="{00000000-0009-0000-0100-000005000000}">
    <filterColumn colId="4">
      <filters>
        <filter val="Multimedijska oprema - Prezentacijski ekran (s uključenim stalkom) "/>
      </filters>
    </filterColumn>
  </autoFilter>
  <tableColumns count="18">
    <tableColumn id="1" xr3:uid="{00000000-0010-0000-0400-000001000000}" name="PPZ"/>
    <tableColumn id="2" xr3:uid="{00000000-0010-0000-0400-000002000000}" name="Evid. liste"/>
    <tableColumn id="3" xr3:uid="{00000000-0010-0000-0400-000003000000}" name="ID"/>
    <tableColumn id="6" xr3:uid="{00000000-0010-0000-0400-000006000000}" name="Ustanove"/>
    <tableColumn id="5" xr3:uid="{00000000-0010-0000-0400-000005000000}" name="Tip opreme "/>
    <tableColumn id="7" xr3:uid="{00000000-0010-0000-0400-000007000000}" name="Kom." totalsRowFunction="sum"/>
    <tableColumn id="8" xr3:uid="{00000000-0010-0000-0400-000008000000}" name="Lokacija"/>
    <tableColumn id="9" xr3:uid="{00000000-0010-0000-0400-000009000000}" name="Ime i prezime"/>
    <tableColumn id="10" xr3:uid="{00000000-0010-0000-0400-00000A000000}" name="Kontakt broj"/>
    <tableColumn id="11" xr3:uid="{00000000-0010-0000-0400-00000B000000}" name="e-mail"/>
    <tableColumn id="12" xr3:uid="{00000000-0010-0000-0400-00000C000000}" name="Matična adresa"/>
    <tableColumn id="13" xr3:uid="{00000000-0010-0000-0400-00000D000000}" name="Adresa/e isporuke"/>
    <tableColumn id="14" xr3:uid="{00000000-0010-0000-0400-00000E000000}" name="OIB"/>
    <tableColumn id="15" xr3:uid="{00000000-0010-0000-0400-00000F000000}" name="Isporuka na lokaciju " dataDxfId="14" totalsRowDxfId="13"/>
    <tableColumn id="16" xr3:uid="{00000000-0010-0000-0400-000010000000}" name="Montaža_x000a_start"/>
    <tableColumn id="17" xr3:uid="{00000000-0010-0000-0400-000011000000}" name="Montaža_x000a_finish"/>
    <tableColumn id="18" xr3:uid="{00000000-0010-0000-0400-000012000000}" name="Instalacija "/>
    <tableColumn id="19" xr3:uid="{00000000-0010-0000-0400-000013000000}" name="Održavanje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5" displayName="Table5" ref="A3:R89" totalsRowCount="1">
  <autoFilter ref="A3:R88" xr:uid="{00000000-0009-0000-0100-000006000000}">
    <filterColumn colId="3">
      <filters>
        <filter val="Multimedijska oprema - Motorizirani stalak za zaslone "/>
      </filters>
    </filterColumn>
  </autoFilter>
  <tableColumns count="18">
    <tableColumn id="1" xr3:uid="{00000000-0010-0000-0500-000001000000}" name="PPZ"/>
    <tableColumn id="2" xr3:uid="{00000000-0010-0000-0500-000002000000}" name="Evid. liste"/>
    <tableColumn id="3" xr3:uid="{00000000-0010-0000-0500-000003000000}" name="ID"/>
    <tableColumn id="4" xr3:uid="{00000000-0010-0000-0500-000004000000}" name="Tip opreme "/>
    <tableColumn id="5" xr3:uid="{00000000-0010-0000-0500-000005000000}" name="Ustanove"/>
    <tableColumn id="6" xr3:uid="{00000000-0010-0000-0500-000006000000}" name="Kom." totalsRowFunction="sum"/>
    <tableColumn id="7" xr3:uid="{00000000-0010-0000-0500-000007000000}" name="Lokacija"/>
    <tableColumn id="8" xr3:uid="{00000000-0010-0000-0500-000008000000}" name="Ime i prezime"/>
    <tableColumn id="9" xr3:uid="{00000000-0010-0000-0500-000009000000}" name="Kontakt broj"/>
    <tableColumn id="10" xr3:uid="{00000000-0010-0000-0500-00000A000000}" name="e-mail"/>
    <tableColumn id="11" xr3:uid="{00000000-0010-0000-0500-00000B000000}" name="Matična adresa"/>
    <tableColumn id="12" xr3:uid="{00000000-0010-0000-0500-00000C000000}" name="Adresa/e isporuke"/>
    <tableColumn id="13" xr3:uid="{00000000-0010-0000-0500-00000D000000}" name="OIB"/>
    <tableColumn id="14" xr3:uid="{00000000-0010-0000-0500-00000E000000}" name="Isporuka na lokaciju " dataDxfId="12" totalsRowDxfId="11"/>
    <tableColumn id="15" xr3:uid="{00000000-0010-0000-0500-00000F000000}" name="Montaža_x000a_start"/>
    <tableColumn id="16" xr3:uid="{00000000-0010-0000-0500-000010000000}" name="Montaža_x000a_finish"/>
    <tableColumn id="17" xr3:uid="{00000000-0010-0000-0500-000011000000}" name="Instalacija "/>
    <tableColumn id="18" xr3:uid="{00000000-0010-0000-0500-000012000000}" name="Održavanje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3:R98" totalsRowShown="0">
  <autoFilter ref="A3:R98" xr:uid="{00000000-0009-0000-0100-000007000000}"/>
  <tableColumns count="18">
    <tableColumn id="1" xr3:uid="{00000000-0010-0000-0600-000001000000}" name="PPZ"/>
    <tableColumn id="2" xr3:uid="{00000000-0010-0000-0600-000002000000}" name="ELO"/>
    <tableColumn id="3" xr3:uid="{00000000-0010-0000-0600-000003000000}" name="ID"/>
    <tableColumn id="4" xr3:uid="{00000000-0010-0000-0600-000004000000}" name="Tip opreme "/>
    <tableColumn id="5" xr3:uid="{00000000-0010-0000-0600-000005000000}" name="Ustanove"/>
    <tableColumn id="6" xr3:uid="{00000000-0010-0000-0600-000006000000}" name="Kom."/>
    <tableColumn id="7" xr3:uid="{00000000-0010-0000-0600-000007000000}" name="Lokacija"/>
    <tableColumn id="8" xr3:uid="{00000000-0010-0000-0600-000008000000}" name="Ime i prezime"/>
    <tableColumn id="9" xr3:uid="{00000000-0010-0000-0600-000009000000}" name="Kontakt broj"/>
    <tableColumn id="10" xr3:uid="{00000000-0010-0000-0600-00000A000000}" name="e-mail"/>
    <tableColumn id="11" xr3:uid="{00000000-0010-0000-0600-00000B000000}" name="Matična adresa"/>
    <tableColumn id="12" xr3:uid="{00000000-0010-0000-0600-00000C000000}" name="Adresa/e isporuke"/>
    <tableColumn id="13" xr3:uid="{00000000-0010-0000-0600-00000D000000}" name="OIB"/>
    <tableColumn id="14" xr3:uid="{00000000-0010-0000-0600-00000E000000}" name="Isporuka na lokaciju " dataDxfId="10"/>
    <tableColumn id="15" xr3:uid="{00000000-0010-0000-0600-00000F000000}" name="Montaža_x000a_start"/>
    <tableColumn id="16" xr3:uid="{00000000-0010-0000-0600-000010000000}" name="Montaža_x000a_finish"/>
    <tableColumn id="17" xr3:uid="{00000000-0010-0000-0600-000011000000}" name="Instalacija "/>
    <tableColumn id="18" xr3:uid="{00000000-0010-0000-0600-000012000000}" name="Održavanje "/>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7" displayName="Table17" ref="A3:R82" totalsRowCount="1">
  <autoFilter ref="A3:R81" xr:uid="{00000000-0009-0000-0100-000008000000}"/>
  <tableColumns count="18">
    <tableColumn id="1" xr3:uid="{00000000-0010-0000-0700-000001000000}" name="PPZ"/>
    <tableColumn id="2" xr3:uid="{00000000-0010-0000-0700-000002000000}" name="ELO"/>
    <tableColumn id="3" xr3:uid="{00000000-0010-0000-0700-000003000000}" name="ID"/>
    <tableColumn id="4" xr3:uid="{00000000-0010-0000-0700-000004000000}" name="Tip opreme "/>
    <tableColumn id="5" xr3:uid="{00000000-0010-0000-0700-000005000000}" name="Ustanove"/>
    <tableColumn id="6" xr3:uid="{00000000-0010-0000-0700-000006000000}" name="Kom." totalsRowFunction="sum"/>
    <tableColumn id="7" xr3:uid="{00000000-0010-0000-0700-000007000000}" name="Lokacija"/>
    <tableColumn id="8" xr3:uid="{00000000-0010-0000-0700-000008000000}" name="Ime i prezime"/>
    <tableColumn id="9" xr3:uid="{00000000-0010-0000-0700-000009000000}" name="Kontakt broj"/>
    <tableColumn id="10" xr3:uid="{00000000-0010-0000-0700-00000A000000}" name="e-mail"/>
    <tableColumn id="11" xr3:uid="{00000000-0010-0000-0700-00000B000000}" name="Matična adresa"/>
    <tableColumn id="12" xr3:uid="{00000000-0010-0000-0700-00000C000000}" name="Adresa/e isporuke"/>
    <tableColumn id="13" xr3:uid="{00000000-0010-0000-0700-00000D000000}" name="OIB"/>
    <tableColumn id="14" xr3:uid="{00000000-0010-0000-0700-00000E000000}" name="Isporuka na lokaciju " dataDxfId="9" totalsRowDxfId="8"/>
    <tableColumn id="15" xr3:uid="{00000000-0010-0000-0700-00000F000000}" name="Montaža_x000a_start"/>
    <tableColumn id="16" xr3:uid="{00000000-0010-0000-0700-000010000000}" name="Montaža_x000a_finish"/>
    <tableColumn id="17" xr3:uid="{00000000-0010-0000-0700-000011000000}" name="Instalacija "/>
    <tableColumn id="18" xr3:uid="{00000000-0010-0000-0700-000012000000}" name="Održavanje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8" Type="http://schemas.openxmlformats.org/officeDocument/2006/relationships/hyperlink" Target="mailto:informatika.zagreb@ufzg.hr" TargetMode="External"/><Relationship Id="rId13" Type="http://schemas.openxmlformats.org/officeDocument/2006/relationships/hyperlink" Target="mailto:kreso@gfos.hr" TargetMode="External"/><Relationship Id="rId3" Type="http://schemas.openxmlformats.org/officeDocument/2006/relationships/hyperlink" Target="mailto:danka.jurjevic@uniri.hr" TargetMode="External"/><Relationship Id="rId7" Type="http://schemas.openxmlformats.org/officeDocument/2006/relationships/hyperlink" Target="mailto:barbara.sestan@uniri.hr%0a" TargetMode="External"/><Relationship Id="rId12" Type="http://schemas.openxmlformats.org/officeDocument/2006/relationships/hyperlink" Target="mailto:krunoslav.fuckor@pravo.hr," TargetMode="External"/><Relationship Id="rId2" Type="http://schemas.openxmlformats.org/officeDocument/2006/relationships/hyperlink" Target="mailto:marko.roza@uniri.hr" TargetMode="External"/><Relationship Id="rId16" Type="http://schemas.openxmlformats.org/officeDocument/2006/relationships/hyperlink" Target="mailto:broncevic@nsk.hr" TargetMode="External"/><Relationship Id="rId1" Type="http://schemas.openxmlformats.org/officeDocument/2006/relationships/hyperlink" Target="mailto:nmarijanovic@unin.hr" TargetMode="External"/><Relationship Id="rId6" Type="http://schemas.openxmlformats.org/officeDocument/2006/relationships/hyperlink" Target="mailto:luka.cvenic@aukos.hr" TargetMode="External"/><Relationship Id="rId11" Type="http://schemas.openxmlformats.org/officeDocument/2006/relationships/hyperlink" Target="mailto:stjepan.salkovic@vhzk.hr" TargetMode="External"/><Relationship Id="rId5" Type="http://schemas.openxmlformats.org/officeDocument/2006/relationships/hyperlink" Target="mailto:informatika.zagreb@ufzg.hr" TargetMode="External"/><Relationship Id="rId15" Type="http://schemas.openxmlformats.org/officeDocument/2006/relationships/hyperlink" Target="mailto:informatika.zagreb@ufzg.hr" TargetMode="External"/><Relationship Id="rId10" Type="http://schemas.openxmlformats.org/officeDocument/2006/relationships/hyperlink" Target="mailto:informatika.zagreb@ufzg.hr" TargetMode="External"/><Relationship Id="rId4" Type="http://schemas.openxmlformats.org/officeDocument/2006/relationships/hyperlink" Target="mailto:djani@ttf.hr%0a" TargetMode="External"/><Relationship Id="rId9" Type="http://schemas.openxmlformats.org/officeDocument/2006/relationships/hyperlink" Target="mailto:denis.hernaut@fer.hr" TargetMode="External"/><Relationship Id="rId14" Type="http://schemas.openxmlformats.org/officeDocument/2006/relationships/hyperlink" Target="mailto:stjepan.salkovic@vhzk.hr"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8" Type="http://schemas.openxmlformats.org/officeDocument/2006/relationships/hyperlink" Target="mailto:informatika.zagreb@ufzg.hr" TargetMode="External"/><Relationship Id="rId3" Type="http://schemas.openxmlformats.org/officeDocument/2006/relationships/hyperlink" Target="mailto:krunoslav.fuckor@pravo.hr," TargetMode="External"/><Relationship Id="rId7" Type="http://schemas.openxmlformats.org/officeDocument/2006/relationships/hyperlink" Target="mailto:krunoslav.fuckor@pravo.hr," TargetMode="External"/><Relationship Id="rId2" Type="http://schemas.openxmlformats.org/officeDocument/2006/relationships/hyperlink" Target="mailto:nikola.kaniski@vhzk.hr%0a" TargetMode="External"/><Relationship Id="rId1" Type="http://schemas.openxmlformats.org/officeDocument/2006/relationships/hyperlink" Target="mailto:mprahin@arhitekt.hr%0a" TargetMode="External"/><Relationship Id="rId6" Type="http://schemas.openxmlformats.org/officeDocument/2006/relationships/hyperlink" Target="mailto:krunoslav.fuckor@pravo.hr," TargetMode="External"/><Relationship Id="rId5" Type="http://schemas.openxmlformats.org/officeDocument/2006/relationships/hyperlink" Target="mailto:krunoslav.fuckor@pravo.hr," TargetMode="External"/><Relationship Id="rId4" Type="http://schemas.openxmlformats.org/officeDocument/2006/relationships/hyperlink" Target="mailto:nikola.kaniski@vhzk.hr%0a" TargetMode="External"/><Relationship Id="rId9" Type="http://schemas.openxmlformats.org/officeDocument/2006/relationships/hyperlink" Target="mailto:nikola.kaniski@vhzk.h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6"/>
  <sheetViews>
    <sheetView topLeftCell="A42" zoomScaleNormal="100" workbookViewId="0">
      <selection activeCell="D66" sqref="D66"/>
    </sheetView>
  </sheetViews>
  <sheetFormatPr defaultColWidth="8.85546875" defaultRowHeight="15" x14ac:dyDescent="0.25"/>
  <cols>
    <col min="1" max="1" width="9.28515625" bestFit="1" customWidth="1"/>
    <col min="2" max="2" width="12.140625" bestFit="1" customWidth="1"/>
    <col min="3" max="3" width="22.42578125" customWidth="1"/>
    <col min="4" max="4" width="9.28515625" bestFit="1" customWidth="1"/>
    <col min="5" max="5" width="58.7109375" customWidth="1"/>
    <col min="6" max="6" width="54.140625" bestFit="1" customWidth="1"/>
    <col min="8" max="8" width="9.28515625" bestFit="1" customWidth="1"/>
    <col min="9" max="9" width="14.140625" bestFit="1" customWidth="1"/>
    <col min="10" max="10" width="28" bestFit="1" customWidth="1"/>
    <col min="11" max="11" width="24.140625" bestFit="1" customWidth="1"/>
    <col min="12" max="12" width="52" bestFit="1" customWidth="1"/>
    <col min="13" max="13" width="26.42578125" bestFit="1" customWidth="1"/>
    <col min="14" max="14" width="57.7109375" bestFit="1" customWidth="1"/>
    <col min="15" max="15" width="12" bestFit="1" customWidth="1"/>
    <col min="16" max="16" width="17.140625" bestFit="1" customWidth="1"/>
    <col min="17" max="17" width="21.7109375" bestFit="1" customWidth="1"/>
    <col min="18" max="18" width="14.85546875" bestFit="1" customWidth="1"/>
    <col min="19" max="19" width="15.85546875" bestFit="1" customWidth="1"/>
    <col min="20" max="20" width="12.85546875" bestFit="1" customWidth="1"/>
    <col min="21" max="21" width="13.7109375" bestFit="1" customWidth="1"/>
  </cols>
  <sheetData>
    <row r="1" spans="1:20" x14ac:dyDescent="0.25">
      <c r="A1" s="12" t="s">
        <v>0</v>
      </c>
      <c r="B1" s="11"/>
    </row>
    <row r="2" spans="1:20" x14ac:dyDescent="0.25">
      <c r="B2" s="11"/>
    </row>
    <row r="3" spans="1:20" x14ac:dyDescent="0.25">
      <c r="A3" t="s">
        <v>1</v>
      </c>
      <c r="B3" s="11" t="s">
        <v>2</v>
      </c>
      <c r="C3" s="14" t="s">
        <v>3</v>
      </c>
      <c r="D3" t="s">
        <v>4</v>
      </c>
      <c r="E3" t="s">
        <v>5</v>
      </c>
      <c r="F3" t="s">
        <v>6</v>
      </c>
      <c r="G3" t="s">
        <v>7</v>
      </c>
      <c r="H3" t="s">
        <v>8</v>
      </c>
      <c r="I3" t="s">
        <v>9</v>
      </c>
      <c r="J3" t="s">
        <v>10</v>
      </c>
      <c r="K3" t="s">
        <v>11</v>
      </c>
      <c r="L3" t="s">
        <v>12</v>
      </c>
      <c r="M3" t="s">
        <v>13</v>
      </c>
      <c r="N3" t="s">
        <v>14</v>
      </c>
      <c r="O3" t="s">
        <v>15</v>
      </c>
      <c r="P3" t="s">
        <v>16</v>
      </c>
      <c r="Q3" t="s">
        <v>17</v>
      </c>
      <c r="R3" t="s">
        <v>18</v>
      </c>
      <c r="S3" t="s">
        <v>19</v>
      </c>
      <c r="T3" t="s">
        <v>20</v>
      </c>
    </row>
    <row r="4" spans="1:20" x14ac:dyDescent="0.25">
      <c r="B4" s="11">
        <v>1</v>
      </c>
      <c r="C4" s="14">
        <v>80086774</v>
      </c>
      <c r="D4" t="s">
        <v>21</v>
      </c>
      <c r="E4" t="s">
        <v>22</v>
      </c>
      <c r="F4" t="s">
        <v>23</v>
      </c>
      <c r="G4">
        <v>1</v>
      </c>
      <c r="H4" t="s">
        <v>24</v>
      </c>
      <c r="I4" t="s">
        <v>25</v>
      </c>
      <c r="J4" t="s">
        <v>26</v>
      </c>
      <c r="K4" t="s">
        <v>27</v>
      </c>
      <c r="L4" t="s">
        <v>28</v>
      </c>
      <c r="M4" t="s">
        <v>29</v>
      </c>
      <c r="N4" t="s">
        <v>30</v>
      </c>
      <c r="P4" s="4">
        <v>46104</v>
      </c>
      <c r="S4" t="s">
        <v>31</v>
      </c>
      <c r="T4" t="s">
        <v>31</v>
      </c>
    </row>
    <row r="5" spans="1:20" ht="36" customHeight="1" x14ac:dyDescent="0.25">
      <c r="B5" s="11" t="s">
        <v>32</v>
      </c>
      <c r="C5" s="15" t="s">
        <v>33</v>
      </c>
      <c r="D5" t="s">
        <v>34</v>
      </c>
      <c r="E5" t="s">
        <v>35</v>
      </c>
      <c r="F5" t="s">
        <v>23</v>
      </c>
      <c r="G5">
        <v>2</v>
      </c>
      <c r="H5" t="s">
        <v>36</v>
      </c>
      <c r="I5" t="s">
        <v>37</v>
      </c>
      <c r="J5" t="s">
        <v>38</v>
      </c>
      <c r="K5" t="s">
        <v>39</v>
      </c>
      <c r="L5" t="s">
        <v>40</v>
      </c>
      <c r="M5" s="11" t="s">
        <v>41</v>
      </c>
      <c r="N5" t="s">
        <v>42</v>
      </c>
      <c r="P5" s="4">
        <v>46104</v>
      </c>
      <c r="S5" t="s">
        <v>31</v>
      </c>
      <c r="T5" t="s">
        <v>31</v>
      </c>
    </row>
    <row r="6" spans="1:20" x14ac:dyDescent="0.25">
      <c r="B6" s="11">
        <v>3</v>
      </c>
      <c r="C6" s="14">
        <v>80086777</v>
      </c>
      <c r="D6" t="s">
        <v>43</v>
      </c>
      <c r="E6" t="s">
        <v>44</v>
      </c>
      <c r="F6" t="s">
        <v>23</v>
      </c>
      <c r="G6">
        <v>1</v>
      </c>
      <c r="H6" t="s">
        <v>24</v>
      </c>
      <c r="I6" t="s">
        <v>45</v>
      </c>
      <c r="J6" t="s">
        <v>46</v>
      </c>
      <c r="K6" t="s">
        <v>47</v>
      </c>
      <c r="L6" t="s">
        <v>48</v>
      </c>
      <c r="M6" t="s">
        <v>49</v>
      </c>
      <c r="N6" t="s">
        <v>50</v>
      </c>
      <c r="P6" s="4">
        <v>46104</v>
      </c>
      <c r="S6" t="s">
        <v>31</v>
      </c>
      <c r="T6" t="s">
        <v>31</v>
      </c>
    </row>
    <row r="7" spans="1:20" x14ac:dyDescent="0.25">
      <c r="B7" s="11">
        <v>4</v>
      </c>
      <c r="C7" s="14">
        <v>80086778</v>
      </c>
      <c r="D7" t="s">
        <v>51</v>
      </c>
      <c r="E7" t="s">
        <v>52</v>
      </c>
      <c r="F7" t="s">
        <v>23</v>
      </c>
      <c r="G7">
        <v>1</v>
      </c>
      <c r="H7" t="s">
        <v>24</v>
      </c>
      <c r="I7" t="s">
        <v>53</v>
      </c>
      <c r="J7" t="s">
        <v>54</v>
      </c>
      <c r="K7" t="s">
        <v>55</v>
      </c>
      <c r="L7" t="s">
        <v>56</v>
      </c>
      <c r="M7" t="s">
        <v>57</v>
      </c>
      <c r="N7" t="s">
        <v>58</v>
      </c>
      <c r="P7" s="4">
        <v>46104</v>
      </c>
      <c r="S7" t="s">
        <v>31</v>
      </c>
      <c r="T7" t="s">
        <v>31</v>
      </c>
    </row>
    <row r="8" spans="1:20" x14ac:dyDescent="0.25">
      <c r="B8" s="11">
        <v>5</v>
      </c>
      <c r="C8" s="14">
        <v>80086779</v>
      </c>
      <c r="D8" t="s">
        <v>59</v>
      </c>
      <c r="E8" t="s">
        <v>60</v>
      </c>
      <c r="F8" t="s">
        <v>23</v>
      </c>
      <c r="G8">
        <v>1</v>
      </c>
      <c r="H8" t="s">
        <v>61</v>
      </c>
      <c r="I8" t="s">
        <v>62</v>
      </c>
      <c r="J8" t="s">
        <v>63</v>
      </c>
      <c r="K8" t="s">
        <v>64</v>
      </c>
      <c r="L8" t="s">
        <v>65</v>
      </c>
      <c r="M8" t="s">
        <v>66</v>
      </c>
      <c r="N8" t="s">
        <v>67</v>
      </c>
      <c r="P8" s="4">
        <v>46104</v>
      </c>
      <c r="S8" t="s">
        <v>31</v>
      </c>
      <c r="T8" t="s">
        <v>31</v>
      </c>
    </row>
    <row r="9" spans="1:20" x14ac:dyDescent="0.25">
      <c r="B9" s="11">
        <v>6</v>
      </c>
      <c r="C9" s="14">
        <v>80086780</v>
      </c>
      <c r="D9" t="s">
        <v>68</v>
      </c>
      <c r="E9" t="s">
        <v>69</v>
      </c>
      <c r="F9" t="s">
        <v>23</v>
      </c>
      <c r="G9">
        <v>1</v>
      </c>
      <c r="H9" t="s">
        <v>61</v>
      </c>
      <c r="I9" t="s">
        <v>70</v>
      </c>
      <c r="J9" t="s">
        <v>71</v>
      </c>
      <c r="K9" t="s">
        <v>72</v>
      </c>
      <c r="L9" t="s">
        <v>73</v>
      </c>
      <c r="M9" t="s">
        <v>73</v>
      </c>
      <c r="N9" t="s">
        <v>74</v>
      </c>
      <c r="P9" s="4">
        <v>46104</v>
      </c>
      <c r="S9" t="s">
        <v>31</v>
      </c>
      <c r="T9" t="s">
        <v>31</v>
      </c>
    </row>
    <row r="10" spans="1:20" x14ac:dyDescent="0.25">
      <c r="B10" s="11">
        <v>7</v>
      </c>
      <c r="C10" s="14">
        <v>80086782</v>
      </c>
      <c r="D10" t="s">
        <v>75</v>
      </c>
      <c r="E10" t="s">
        <v>76</v>
      </c>
      <c r="F10" t="s">
        <v>23</v>
      </c>
      <c r="G10">
        <v>1</v>
      </c>
      <c r="H10" t="s">
        <v>77</v>
      </c>
      <c r="I10" t="s">
        <v>78</v>
      </c>
      <c r="J10" t="s">
        <v>79</v>
      </c>
      <c r="K10" t="s">
        <v>80</v>
      </c>
      <c r="L10" t="s">
        <v>81</v>
      </c>
      <c r="M10" t="s">
        <v>82</v>
      </c>
      <c r="N10" t="s">
        <v>83</v>
      </c>
      <c r="P10" s="4">
        <v>46104</v>
      </c>
      <c r="S10" t="s">
        <v>31</v>
      </c>
      <c r="T10" t="s">
        <v>84</v>
      </c>
    </row>
    <row r="11" spans="1:20" x14ac:dyDescent="0.25">
      <c r="B11" s="11">
        <v>8</v>
      </c>
      <c r="C11" s="14">
        <v>80086784</v>
      </c>
      <c r="D11" t="s">
        <v>85</v>
      </c>
      <c r="E11" t="s">
        <v>86</v>
      </c>
      <c r="F11" t="s">
        <v>23</v>
      </c>
      <c r="G11">
        <v>1</v>
      </c>
      <c r="H11" t="s">
        <v>87</v>
      </c>
      <c r="I11" t="s">
        <v>88</v>
      </c>
      <c r="J11" t="s">
        <v>89</v>
      </c>
      <c r="K11" t="s">
        <v>90</v>
      </c>
      <c r="L11" t="s">
        <v>91</v>
      </c>
      <c r="M11" t="s">
        <v>92</v>
      </c>
      <c r="N11" t="s">
        <v>93</v>
      </c>
      <c r="P11" s="4">
        <v>46104</v>
      </c>
      <c r="S11" t="s">
        <v>31</v>
      </c>
      <c r="T11" t="s">
        <v>84</v>
      </c>
    </row>
    <row r="12" spans="1:20" x14ac:dyDescent="0.25">
      <c r="B12" s="11">
        <v>9</v>
      </c>
      <c r="C12" s="14">
        <v>80086785</v>
      </c>
      <c r="D12" t="s">
        <v>94</v>
      </c>
      <c r="E12" t="s">
        <v>95</v>
      </c>
      <c r="F12" t="s">
        <v>23</v>
      </c>
      <c r="G12">
        <v>1</v>
      </c>
      <c r="H12" t="s">
        <v>36</v>
      </c>
      <c r="I12" t="s">
        <v>96</v>
      </c>
      <c r="J12" t="s">
        <v>97</v>
      </c>
      <c r="K12" t="s">
        <v>98</v>
      </c>
      <c r="L12" t="s">
        <v>99</v>
      </c>
      <c r="M12" t="s">
        <v>100</v>
      </c>
      <c r="N12" t="s">
        <v>101</v>
      </c>
      <c r="P12" s="4">
        <v>46104</v>
      </c>
      <c r="S12" t="s">
        <v>31</v>
      </c>
      <c r="T12" t="s">
        <v>31</v>
      </c>
    </row>
    <row r="13" spans="1:20" x14ac:dyDescent="0.25">
      <c r="B13" s="11">
        <v>10</v>
      </c>
      <c r="C13" s="14">
        <v>80086786</v>
      </c>
      <c r="D13" t="s">
        <v>102</v>
      </c>
      <c r="E13" t="s">
        <v>103</v>
      </c>
      <c r="F13" t="s">
        <v>23</v>
      </c>
      <c r="G13">
        <v>1</v>
      </c>
      <c r="H13" t="s">
        <v>61</v>
      </c>
      <c r="I13" t="s">
        <v>104</v>
      </c>
      <c r="J13" t="s">
        <v>105</v>
      </c>
      <c r="K13" t="s">
        <v>106</v>
      </c>
      <c r="L13" t="s">
        <v>107</v>
      </c>
      <c r="M13" t="s">
        <v>107</v>
      </c>
      <c r="N13" t="s">
        <v>108</v>
      </c>
      <c r="P13" s="4">
        <v>46104</v>
      </c>
      <c r="S13" t="s">
        <v>31</v>
      </c>
      <c r="T13" t="s">
        <v>84</v>
      </c>
    </row>
    <row r="14" spans="1:20" x14ac:dyDescent="0.25">
      <c r="B14" s="11">
        <v>11</v>
      </c>
      <c r="C14" s="14">
        <v>80086791</v>
      </c>
      <c r="D14" t="s">
        <v>109</v>
      </c>
      <c r="E14" t="s">
        <v>110</v>
      </c>
      <c r="F14" t="s">
        <v>23</v>
      </c>
      <c r="G14">
        <v>1</v>
      </c>
      <c r="H14" t="s">
        <v>111</v>
      </c>
      <c r="I14" t="s">
        <v>112</v>
      </c>
      <c r="J14" t="s">
        <v>113</v>
      </c>
      <c r="K14" t="s">
        <v>114</v>
      </c>
      <c r="L14" t="s">
        <v>115</v>
      </c>
      <c r="M14" t="s">
        <v>115</v>
      </c>
      <c r="N14" t="s">
        <v>116</v>
      </c>
      <c r="P14" s="4">
        <v>46104</v>
      </c>
      <c r="S14" t="s">
        <v>31</v>
      </c>
      <c r="T14" t="s">
        <v>84</v>
      </c>
    </row>
    <row r="15" spans="1:20" x14ac:dyDescent="0.25">
      <c r="B15" s="11">
        <v>12</v>
      </c>
      <c r="C15" s="14">
        <v>80086793</v>
      </c>
      <c r="D15" t="s">
        <v>117</v>
      </c>
      <c r="E15" t="s">
        <v>118</v>
      </c>
      <c r="F15" t="s">
        <v>23</v>
      </c>
      <c r="G15">
        <v>1</v>
      </c>
      <c r="H15" t="s">
        <v>24</v>
      </c>
      <c r="I15" t="s">
        <v>119</v>
      </c>
      <c r="J15" t="s">
        <v>120</v>
      </c>
      <c r="K15" t="s">
        <v>121</v>
      </c>
      <c r="L15" t="s">
        <v>122</v>
      </c>
      <c r="M15" t="s">
        <v>123</v>
      </c>
      <c r="N15" t="s">
        <v>124</v>
      </c>
      <c r="P15" s="4">
        <v>46104</v>
      </c>
      <c r="S15" t="s">
        <v>31</v>
      </c>
      <c r="T15" t="s">
        <v>31</v>
      </c>
    </row>
    <row r="16" spans="1:20" x14ac:dyDescent="0.25">
      <c r="B16" s="11">
        <v>13</v>
      </c>
      <c r="C16" s="14">
        <v>80086794</v>
      </c>
      <c r="D16" t="s">
        <v>125</v>
      </c>
      <c r="E16" t="s">
        <v>126</v>
      </c>
      <c r="F16" t="s">
        <v>23</v>
      </c>
      <c r="G16">
        <v>1</v>
      </c>
      <c r="H16" t="s">
        <v>127</v>
      </c>
      <c r="I16" t="s">
        <v>128</v>
      </c>
      <c r="J16" t="s">
        <v>129</v>
      </c>
      <c r="K16" t="s">
        <v>130</v>
      </c>
      <c r="L16" t="s">
        <v>131</v>
      </c>
      <c r="M16" t="s">
        <v>132</v>
      </c>
      <c r="N16" t="s">
        <v>133</v>
      </c>
      <c r="P16" s="4">
        <v>46104</v>
      </c>
      <c r="S16" t="s">
        <v>31</v>
      </c>
      <c r="T16" t="s">
        <v>84</v>
      </c>
    </row>
    <row r="17" spans="2:20" x14ac:dyDescent="0.25">
      <c r="B17" s="11">
        <v>14</v>
      </c>
      <c r="C17" s="14">
        <v>80086795</v>
      </c>
      <c r="D17" t="s">
        <v>134</v>
      </c>
      <c r="E17" t="s">
        <v>135</v>
      </c>
      <c r="F17" t="s">
        <v>23</v>
      </c>
      <c r="G17">
        <v>1</v>
      </c>
      <c r="H17" t="s">
        <v>24</v>
      </c>
      <c r="I17" t="s">
        <v>136</v>
      </c>
      <c r="J17" t="s">
        <v>137</v>
      </c>
      <c r="K17" t="s">
        <v>138</v>
      </c>
      <c r="L17" t="s">
        <v>139</v>
      </c>
      <c r="M17" t="s">
        <v>140</v>
      </c>
      <c r="N17" t="s">
        <v>141</v>
      </c>
      <c r="P17" s="4">
        <v>46104</v>
      </c>
      <c r="S17" t="s">
        <v>31</v>
      </c>
      <c r="T17" t="s">
        <v>31</v>
      </c>
    </row>
    <row r="18" spans="2:20" x14ac:dyDescent="0.25">
      <c r="B18" s="11">
        <v>15</v>
      </c>
      <c r="C18" s="14">
        <v>80086796</v>
      </c>
      <c r="D18" t="s">
        <v>142</v>
      </c>
      <c r="E18" t="s">
        <v>143</v>
      </c>
      <c r="F18" t="s">
        <v>23</v>
      </c>
      <c r="G18">
        <v>1</v>
      </c>
      <c r="H18" t="s">
        <v>61</v>
      </c>
      <c r="I18" t="s">
        <v>144</v>
      </c>
      <c r="J18" t="s">
        <v>145</v>
      </c>
      <c r="K18" t="s">
        <v>146</v>
      </c>
      <c r="L18" t="s">
        <v>147</v>
      </c>
      <c r="M18" t="s">
        <v>148</v>
      </c>
      <c r="N18" t="s">
        <v>149</v>
      </c>
      <c r="P18" s="4">
        <v>46104</v>
      </c>
      <c r="S18" t="s">
        <v>31</v>
      </c>
      <c r="T18" t="s">
        <v>84</v>
      </c>
    </row>
    <row r="19" spans="2:20" x14ac:dyDescent="0.25">
      <c r="B19" s="11">
        <v>16</v>
      </c>
      <c r="C19" s="14">
        <v>80086797</v>
      </c>
      <c r="D19" t="s">
        <v>150</v>
      </c>
      <c r="E19" t="s">
        <v>151</v>
      </c>
      <c r="F19" t="s">
        <v>23</v>
      </c>
      <c r="G19">
        <v>1</v>
      </c>
      <c r="H19" t="s">
        <v>152</v>
      </c>
      <c r="I19" t="s">
        <v>153</v>
      </c>
      <c r="J19" t="s">
        <v>154</v>
      </c>
      <c r="K19" t="s">
        <v>155</v>
      </c>
      <c r="L19" t="s">
        <v>156</v>
      </c>
      <c r="M19" t="s">
        <v>157</v>
      </c>
      <c r="N19" t="s">
        <v>158</v>
      </c>
      <c r="P19" s="4">
        <v>46104</v>
      </c>
      <c r="S19" t="s">
        <v>31</v>
      </c>
      <c r="T19" t="s">
        <v>84</v>
      </c>
    </row>
    <row r="20" spans="2:20" x14ac:dyDescent="0.25">
      <c r="B20" s="11">
        <v>17</v>
      </c>
      <c r="C20" s="14">
        <v>80086798</v>
      </c>
      <c r="D20" t="s">
        <v>159</v>
      </c>
      <c r="E20" t="s">
        <v>160</v>
      </c>
      <c r="F20" t="s">
        <v>23</v>
      </c>
      <c r="G20">
        <v>1</v>
      </c>
      <c r="H20" t="s">
        <v>61</v>
      </c>
      <c r="I20" t="s">
        <v>161</v>
      </c>
      <c r="J20" t="s">
        <v>162</v>
      </c>
      <c r="K20" t="s">
        <v>163</v>
      </c>
      <c r="L20" t="s">
        <v>164</v>
      </c>
      <c r="M20" t="s">
        <v>164</v>
      </c>
      <c r="N20" t="s">
        <v>165</v>
      </c>
      <c r="P20" s="4">
        <v>46104</v>
      </c>
      <c r="S20" t="s">
        <v>31</v>
      </c>
      <c r="T20" t="s">
        <v>31</v>
      </c>
    </row>
    <row r="21" spans="2:20" x14ac:dyDescent="0.25">
      <c r="B21" s="11">
        <v>18</v>
      </c>
      <c r="C21" s="14">
        <v>80086799</v>
      </c>
      <c r="D21" t="s">
        <v>166</v>
      </c>
      <c r="E21" t="s">
        <v>167</v>
      </c>
      <c r="F21" t="s">
        <v>23</v>
      </c>
      <c r="G21">
        <v>1</v>
      </c>
      <c r="H21" t="s">
        <v>61</v>
      </c>
      <c r="I21" t="s">
        <v>168</v>
      </c>
      <c r="J21" t="s">
        <v>169</v>
      </c>
      <c r="K21" t="s">
        <v>170</v>
      </c>
      <c r="L21" t="s">
        <v>171</v>
      </c>
      <c r="M21" t="s">
        <v>172</v>
      </c>
      <c r="N21" t="s">
        <v>173</v>
      </c>
      <c r="P21" s="4">
        <v>46104</v>
      </c>
      <c r="S21" t="s">
        <v>31</v>
      </c>
      <c r="T21" t="s">
        <v>84</v>
      </c>
    </row>
    <row r="22" spans="2:20" x14ac:dyDescent="0.25">
      <c r="B22" s="11">
        <v>19</v>
      </c>
      <c r="C22" s="14">
        <v>80086800</v>
      </c>
      <c r="D22" t="s">
        <v>174</v>
      </c>
      <c r="E22" t="s">
        <v>175</v>
      </c>
      <c r="F22" t="s">
        <v>23</v>
      </c>
      <c r="G22">
        <v>1</v>
      </c>
      <c r="H22" t="s">
        <v>152</v>
      </c>
      <c r="I22" t="s">
        <v>176</v>
      </c>
      <c r="J22" t="s">
        <v>177</v>
      </c>
      <c r="K22" t="s">
        <v>178</v>
      </c>
      <c r="L22" t="s">
        <v>179</v>
      </c>
      <c r="M22" t="s">
        <v>180</v>
      </c>
      <c r="N22" t="s">
        <v>181</v>
      </c>
      <c r="P22" s="4">
        <v>46104</v>
      </c>
      <c r="S22" t="s">
        <v>31</v>
      </c>
      <c r="T22" t="s">
        <v>84</v>
      </c>
    </row>
    <row r="23" spans="2:20" x14ac:dyDescent="0.25">
      <c r="B23" s="11">
        <v>20</v>
      </c>
      <c r="C23" s="14">
        <v>80086801</v>
      </c>
      <c r="D23" t="s">
        <v>182</v>
      </c>
      <c r="E23" t="s">
        <v>183</v>
      </c>
      <c r="F23" t="s">
        <v>23</v>
      </c>
      <c r="G23">
        <v>1</v>
      </c>
      <c r="H23" t="s">
        <v>111</v>
      </c>
      <c r="I23" t="s">
        <v>184</v>
      </c>
      <c r="J23" t="s">
        <v>185</v>
      </c>
      <c r="K23" t="s">
        <v>186</v>
      </c>
      <c r="L23" t="s">
        <v>187</v>
      </c>
      <c r="M23" t="s">
        <v>188</v>
      </c>
      <c r="N23" t="s">
        <v>189</v>
      </c>
      <c r="P23" s="4">
        <v>46104</v>
      </c>
      <c r="S23" t="s">
        <v>31</v>
      </c>
      <c r="T23" t="s">
        <v>84</v>
      </c>
    </row>
    <row r="24" spans="2:20" x14ac:dyDescent="0.25">
      <c r="B24" s="11">
        <v>21</v>
      </c>
      <c r="C24" s="14">
        <v>80086802</v>
      </c>
      <c r="D24" t="s">
        <v>190</v>
      </c>
      <c r="E24" t="s">
        <v>191</v>
      </c>
      <c r="F24" t="s">
        <v>23</v>
      </c>
      <c r="G24">
        <v>1</v>
      </c>
      <c r="H24" t="s">
        <v>24</v>
      </c>
      <c r="I24" t="s">
        <v>192</v>
      </c>
      <c r="J24" t="s">
        <v>193</v>
      </c>
      <c r="K24" t="s">
        <v>194</v>
      </c>
      <c r="L24" t="s">
        <v>195</v>
      </c>
      <c r="M24" t="s">
        <v>196</v>
      </c>
      <c r="N24" t="s">
        <v>197</v>
      </c>
      <c r="P24" s="4">
        <v>46104</v>
      </c>
      <c r="S24" t="s">
        <v>31</v>
      </c>
      <c r="T24" t="s">
        <v>31</v>
      </c>
    </row>
    <row r="25" spans="2:20" x14ac:dyDescent="0.25">
      <c r="B25" s="11">
        <v>22</v>
      </c>
      <c r="C25" s="14">
        <v>80086804</v>
      </c>
      <c r="D25" t="s">
        <v>198</v>
      </c>
      <c r="E25" t="s">
        <v>199</v>
      </c>
      <c r="F25" t="s">
        <v>23</v>
      </c>
      <c r="G25">
        <v>1</v>
      </c>
      <c r="H25" t="s">
        <v>200</v>
      </c>
      <c r="I25" t="s">
        <v>201</v>
      </c>
      <c r="J25" t="s">
        <v>202</v>
      </c>
      <c r="K25" t="s">
        <v>203</v>
      </c>
      <c r="L25" t="s">
        <v>204</v>
      </c>
      <c r="M25" t="s">
        <v>205</v>
      </c>
      <c r="N25" t="s">
        <v>206</v>
      </c>
      <c r="P25" s="4">
        <v>46104</v>
      </c>
      <c r="S25" t="s">
        <v>31</v>
      </c>
      <c r="T25" t="s">
        <v>84</v>
      </c>
    </row>
    <row r="26" spans="2:20" x14ac:dyDescent="0.25">
      <c r="B26" s="11">
        <v>23</v>
      </c>
      <c r="C26" s="14">
        <v>80086805</v>
      </c>
      <c r="D26" t="s">
        <v>207</v>
      </c>
      <c r="E26" t="s">
        <v>208</v>
      </c>
      <c r="F26" t="s">
        <v>23</v>
      </c>
      <c r="G26">
        <v>1</v>
      </c>
      <c r="H26" t="s">
        <v>61</v>
      </c>
      <c r="I26" t="s">
        <v>209</v>
      </c>
      <c r="J26" t="s">
        <v>210</v>
      </c>
      <c r="K26" t="s">
        <v>211</v>
      </c>
      <c r="L26" t="s">
        <v>212</v>
      </c>
      <c r="M26" t="s">
        <v>213</v>
      </c>
      <c r="N26" t="s">
        <v>214</v>
      </c>
      <c r="P26" s="4">
        <v>46104</v>
      </c>
      <c r="S26" t="s">
        <v>31</v>
      </c>
      <c r="T26" t="s">
        <v>31</v>
      </c>
    </row>
    <row r="27" spans="2:20" x14ac:dyDescent="0.25">
      <c r="B27" s="11">
        <v>24</v>
      </c>
      <c r="C27" s="14">
        <v>80086806</v>
      </c>
      <c r="D27" t="s">
        <v>215</v>
      </c>
      <c r="E27" t="s">
        <v>216</v>
      </c>
      <c r="F27" t="s">
        <v>23</v>
      </c>
      <c r="G27">
        <v>1</v>
      </c>
      <c r="H27" t="s">
        <v>24</v>
      </c>
      <c r="I27" t="s">
        <v>217</v>
      </c>
      <c r="J27" t="s">
        <v>218</v>
      </c>
      <c r="K27" t="s">
        <v>219</v>
      </c>
      <c r="L27" t="s">
        <v>220</v>
      </c>
      <c r="M27" t="s">
        <v>221</v>
      </c>
      <c r="N27" t="s">
        <v>222</v>
      </c>
      <c r="P27" s="4">
        <v>46104</v>
      </c>
      <c r="S27" t="s">
        <v>31</v>
      </c>
      <c r="T27" t="s">
        <v>31</v>
      </c>
    </row>
    <row r="28" spans="2:20" x14ac:dyDescent="0.25">
      <c r="B28" s="11">
        <v>25</v>
      </c>
      <c r="C28" s="14">
        <v>80086807</v>
      </c>
      <c r="D28" t="s">
        <v>223</v>
      </c>
      <c r="E28" t="s">
        <v>224</v>
      </c>
      <c r="F28" t="s">
        <v>23</v>
      </c>
      <c r="G28">
        <v>1</v>
      </c>
      <c r="H28" t="s">
        <v>61</v>
      </c>
      <c r="I28" t="s">
        <v>225</v>
      </c>
      <c r="J28" t="s">
        <v>226</v>
      </c>
      <c r="K28" t="s">
        <v>227</v>
      </c>
      <c r="L28" t="s">
        <v>228</v>
      </c>
      <c r="M28" t="s">
        <v>229</v>
      </c>
      <c r="N28" t="s">
        <v>230</v>
      </c>
      <c r="P28" s="4">
        <v>46104</v>
      </c>
      <c r="S28" t="s">
        <v>31</v>
      </c>
      <c r="T28" t="s">
        <v>31</v>
      </c>
    </row>
    <row r="29" spans="2:20" ht="30" customHeight="1" x14ac:dyDescent="0.25">
      <c r="B29" s="11">
        <v>26</v>
      </c>
      <c r="C29" s="14">
        <v>80086809</v>
      </c>
      <c r="D29" t="s">
        <v>231</v>
      </c>
      <c r="E29" t="s">
        <v>232</v>
      </c>
      <c r="F29" t="s">
        <v>23</v>
      </c>
      <c r="G29">
        <v>1</v>
      </c>
      <c r="H29" t="s">
        <v>61</v>
      </c>
      <c r="I29" s="11" t="s">
        <v>233</v>
      </c>
      <c r="J29" s="11" t="s">
        <v>234</v>
      </c>
      <c r="K29" s="11" t="s">
        <v>235</v>
      </c>
      <c r="L29" t="s">
        <v>236</v>
      </c>
      <c r="M29" s="11" t="s">
        <v>237</v>
      </c>
      <c r="N29" t="s">
        <v>238</v>
      </c>
      <c r="P29" s="4">
        <v>46104</v>
      </c>
      <c r="S29" t="s">
        <v>31</v>
      </c>
      <c r="T29" t="s">
        <v>84</v>
      </c>
    </row>
    <row r="30" spans="2:20" x14ac:dyDescent="0.25">
      <c r="B30" s="11">
        <v>27</v>
      </c>
      <c r="C30" s="14">
        <v>80086810</v>
      </c>
      <c r="D30" t="s">
        <v>239</v>
      </c>
      <c r="E30" t="s">
        <v>240</v>
      </c>
      <c r="F30" t="s">
        <v>23</v>
      </c>
      <c r="G30">
        <v>1</v>
      </c>
      <c r="H30" t="s">
        <v>24</v>
      </c>
      <c r="I30" t="s">
        <v>241</v>
      </c>
      <c r="J30" t="s">
        <v>242</v>
      </c>
      <c r="K30" t="s">
        <v>243</v>
      </c>
      <c r="L30" t="s">
        <v>244</v>
      </c>
      <c r="M30" t="s">
        <v>245</v>
      </c>
      <c r="N30" t="s">
        <v>246</v>
      </c>
      <c r="P30" s="4">
        <v>46104</v>
      </c>
      <c r="S30" t="s">
        <v>31</v>
      </c>
      <c r="T30" t="s">
        <v>31</v>
      </c>
    </row>
    <row r="31" spans="2:20" ht="30" customHeight="1" x14ac:dyDescent="0.25">
      <c r="B31" s="11">
        <v>28</v>
      </c>
      <c r="C31" s="14">
        <v>80086811</v>
      </c>
      <c r="D31" t="s">
        <v>247</v>
      </c>
      <c r="E31" t="s">
        <v>248</v>
      </c>
      <c r="F31" t="s">
        <v>23</v>
      </c>
      <c r="G31">
        <v>1</v>
      </c>
      <c r="H31" t="s">
        <v>61</v>
      </c>
      <c r="I31" s="11" t="s">
        <v>249</v>
      </c>
      <c r="J31" s="11" t="s">
        <v>250</v>
      </c>
      <c r="K31" s="11" t="s">
        <v>251</v>
      </c>
      <c r="L31" t="s">
        <v>252</v>
      </c>
      <c r="M31" s="11" t="s">
        <v>253</v>
      </c>
      <c r="N31" t="s">
        <v>254</v>
      </c>
      <c r="P31" s="4">
        <v>46104</v>
      </c>
      <c r="S31" t="s">
        <v>31</v>
      </c>
      <c r="T31" t="s">
        <v>84</v>
      </c>
    </row>
    <row r="32" spans="2:20" ht="30" customHeight="1" x14ac:dyDescent="0.25">
      <c r="B32" s="11">
        <v>29</v>
      </c>
      <c r="C32" s="14">
        <v>80086812</v>
      </c>
      <c r="D32" t="s">
        <v>255</v>
      </c>
      <c r="E32" t="s">
        <v>256</v>
      </c>
      <c r="F32" t="s">
        <v>23</v>
      </c>
      <c r="G32">
        <v>1</v>
      </c>
      <c r="H32" t="s">
        <v>61</v>
      </c>
      <c r="I32" t="s">
        <v>257</v>
      </c>
      <c r="J32" s="11" t="s">
        <v>258</v>
      </c>
      <c r="K32" s="11" t="s">
        <v>259</v>
      </c>
      <c r="L32" t="s">
        <v>260</v>
      </c>
      <c r="M32" s="11" t="s">
        <v>261</v>
      </c>
      <c r="N32" t="s">
        <v>262</v>
      </c>
      <c r="P32" s="4">
        <v>46104</v>
      </c>
      <c r="S32" t="s">
        <v>31</v>
      </c>
      <c r="T32" t="s">
        <v>84</v>
      </c>
    </row>
    <row r="33" spans="2:20" x14ac:dyDescent="0.25">
      <c r="B33" s="11">
        <v>30</v>
      </c>
      <c r="C33" s="14">
        <v>80086813</v>
      </c>
      <c r="D33" t="s">
        <v>263</v>
      </c>
      <c r="E33" t="s">
        <v>264</v>
      </c>
      <c r="F33" t="s">
        <v>23</v>
      </c>
      <c r="G33">
        <v>1</v>
      </c>
      <c r="H33" t="s">
        <v>61</v>
      </c>
      <c r="I33" t="s">
        <v>265</v>
      </c>
      <c r="J33" t="s">
        <v>266</v>
      </c>
      <c r="K33" t="s">
        <v>267</v>
      </c>
      <c r="L33" t="s">
        <v>252</v>
      </c>
      <c r="M33" t="s">
        <v>268</v>
      </c>
      <c r="N33" t="s">
        <v>269</v>
      </c>
      <c r="P33" s="4">
        <v>46104</v>
      </c>
      <c r="S33" t="s">
        <v>31</v>
      </c>
      <c r="T33" t="s">
        <v>31</v>
      </c>
    </row>
    <row r="34" spans="2:20" ht="30" customHeight="1" x14ac:dyDescent="0.25">
      <c r="B34" s="11">
        <v>31</v>
      </c>
      <c r="C34" s="14">
        <v>80086816</v>
      </c>
      <c r="D34" t="s">
        <v>270</v>
      </c>
      <c r="E34" t="s">
        <v>271</v>
      </c>
      <c r="F34" t="s">
        <v>23</v>
      </c>
      <c r="G34">
        <v>1</v>
      </c>
      <c r="H34" t="s">
        <v>61</v>
      </c>
      <c r="I34" t="s">
        <v>272</v>
      </c>
      <c r="J34" t="s">
        <v>273</v>
      </c>
      <c r="K34" t="s">
        <v>274</v>
      </c>
      <c r="L34" t="s">
        <v>275</v>
      </c>
      <c r="M34" s="11" t="s">
        <v>276</v>
      </c>
      <c r="N34" t="s">
        <v>277</v>
      </c>
      <c r="P34" s="4">
        <v>46104</v>
      </c>
      <c r="S34" t="s">
        <v>31</v>
      </c>
      <c r="T34" t="s">
        <v>31</v>
      </c>
    </row>
    <row r="35" spans="2:20" x14ac:dyDescent="0.25">
      <c r="B35" s="11">
        <v>32</v>
      </c>
      <c r="C35" s="14">
        <v>80086817</v>
      </c>
      <c r="D35" t="s">
        <v>278</v>
      </c>
      <c r="E35" t="s">
        <v>279</v>
      </c>
      <c r="F35" t="s">
        <v>23</v>
      </c>
      <c r="G35">
        <v>1</v>
      </c>
      <c r="H35" t="s">
        <v>61</v>
      </c>
      <c r="I35" t="s">
        <v>280</v>
      </c>
      <c r="J35" t="s">
        <v>281</v>
      </c>
      <c r="K35" t="s">
        <v>282</v>
      </c>
      <c r="L35" t="s">
        <v>283</v>
      </c>
      <c r="M35" t="s">
        <v>284</v>
      </c>
      <c r="N35" t="s">
        <v>285</v>
      </c>
      <c r="P35" s="4">
        <v>46104</v>
      </c>
      <c r="S35" t="s">
        <v>31</v>
      </c>
      <c r="T35" t="s">
        <v>31</v>
      </c>
    </row>
    <row r="36" spans="2:20" x14ac:dyDescent="0.25">
      <c r="B36" s="11">
        <v>33</v>
      </c>
      <c r="C36" s="14">
        <v>80086818</v>
      </c>
      <c r="D36" t="s">
        <v>286</v>
      </c>
      <c r="E36" t="s">
        <v>287</v>
      </c>
      <c r="F36" t="s">
        <v>23</v>
      </c>
      <c r="G36">
        <v>1</v>
      </c>
      <c r="H36" t="s">
        <v>61</v>
      </c>
      <c r="I36" t="s">
        <v>288</v>
      </c>
      <c r="J36" t="s">
        <v>289</v>
      </c>
      <c r="K36" t="s">
        <v>290</v>
      </c>
      <c r="L36" t="s">
        <v>291</v>
      </c>
      <c r="M36" t="s">
        <v>292</v>
      </c>
      <c r="N36" t="s">
        <v>293</v>
      </c>
      <c r="P36" s="4">
        <v>46104</v>
      </c>
      <c r="S36" t="s">
        <v>31</v>
      </c>
      <c r="T36" t="s">
        <v>84</v>
      </c>
    </row>
    <row r="37" spans="2:20" ht="30" customHeight="1" x14ac:dyDescent="0.25">
      <c r="B37" s="11">
        <v>34</v>
      </c>
      <c r="C37" s="14">
        <v>80086819</v>
      </c>
      <c r="D37" t="s">
        <v>294</v>
      </c>
      <c r="E37" t="s">
        <v>295</v>
      </c>
      <c r="F37" t="s">
        <v>23</v>
      </c>
      <c r="G37">
        <v>1</v>
      </c>
      <c r="H37" t="s">
        <v>61</v>
      </c>
      <c r="I37" s="11" t="s">
        <v>296</v>
      </c>
      <c r="J37" s="11" t="s">
        <v>297</v>
      </c>
      <c r="K37" s="11" t="s">
        <v>298</v>
      </c>
      <c r="L37" t="s">
        <v>299</v>
      </c>
      <c r="M37" t="s">
        <v>300</v>
      </c>
      <c r="N37" t="s">
        <v>301</v>
      </c>
      <c r="P37" s="4">
        <v>46104</v>
      </c>
      <c r="S37" t="s">
        <v>31</v>
      </c>
      <c r="T37" t="s">
        <v>31</v>
      </c>
    </row>
    <row r="38" spans="2:20" ht="30" customHeight="1" x14ac:dyDescent="0.25">
      <c r="B38" s="11">
        <v>35</v>
      </c>
      <c r="C38" s="14">
        <v>80086820</v>
      </c>
      <c r="D38" t="s">
        <v>302</v>
      </c>
      <c r="E38" t="s">
        <v>303</v>
      </c>
      <c r="F38" t="s">
        <v>23</v>
      </c>
      <c r="G38">
        <v>1</v>
      </c>
      <c r="H38" t="s">
        <v>61</v>
      </c>
      <c r="I38" t="s">
        <v>304</v>
      </c>
      <c r="J38" t="s">
        <v>305</v>
      </c>
      <c r="K38" t="s">
        <v>306</v>
      </c>
      <c r="L38" t="s">
        <v>307</v>
      </c>
      <c r="M38" s="11" t="s">
        <v>308</v>
      </c>
      <c r="N38" t="s">
        <v>309</v>
      </c>
      <c r="P38" s="4">
        <v>46104</v>
      </c>
      <c r="S38" t="s">
        <v>31</v>
      </c>
      <c r="T38" t="s">
        <v>84</v>
      </c>
    </row>
    <row r="39" spans="2:20" x14ac:dyDescent="0.25">
      <c r="B39" s="11">
        <v>36</v>
      </c>
      <c r="C39" s="14">
        <v>80086821</v>
      </c>
      <c r="D39" t="s">
        <v>310</v>
      </c>
      <c r="E39" t="s">
        <v>311</v>
      </c>
      <c r="F39" t="s">
        <v>23</v>
      </c>
      <c r="G39">
        <v>1</v>
      </c>
      <c r="H39" t="s">
        <v>152</v>
      </c>
      <c r="I39" t="s">
        <v>312</v>
      </c>
      <c r="J39" t="s">
        <v>313</v>
      </c>
      <c r="K39" t="s">
        <v>314</v>
      </c>
      <c r="L39" t="s">
        <v>315</v>
      </c>
      <c r="M39" t="s">
        <v>316</v>
      </c>
      <c r="N39" t="s">
        <v>317</v>
      </c>
      <c r="P39" s="4">
        <v>46104</v>
      </c>
      <c r="S39" t="s">
        <v>31</v>
      </c>
      <c r="T39" t="s">
        <v>31</v>
      </c>
    </row>
    <row r="40" spans="2:20" x14ac:dyDescent="0.25">
      <c r="B40" s="11">
        <v>37</v>
      </c>
      <c r="C40" s="14">
        <v>80086822</v>
      </c>
      <c r="D40" t="s">
        <v>318</v>
      </c>
      <c r="E40" t="s">
        <v>319</v>
      </c>
      <c r="F40" t="s">
        <v>23</v>
      </c>
      <c r="G40">
        <v>1</v>
      </c>
      <c r="H40" t="s">
        <v>111</v>
      </c>
      <c r="I40" t="s">
        <v>320</v>
      </c>
      <c r="J40" t="s">
        <v>321</v>
      </c>
      <c r="K40" t="s">
        <v>322</v>
      </c>
      <c r="L40" t="s">
        <v>323</v>
      </c>
      <c r="M40" t="s">
        <v>324</v>
      </c>
      <c r="N40" t="s">
        <v>325</v>
      </c>
      <c r="P40" s="4">
        <v>46104</v>
      </c>
      <c r="S40" t="s">
        <v>31</v>
      </c>
      <c r="T40" t="s">
        <v>84</v>
      </c>
    </row>
    <row r="41" spans="2:20" x14ac:dyDescent="0.25">
      <c r="B41" s="79">
        <v>38</v>
      </c>
      <c r="C41" s="13">
        <v>80086823</v>
      </c>
      <c r="D41" t="s">
        <v>326</v>
      </c>
      <c r="E41" t="s">
        <v>327</v>
      </c>
      <c r="F41" t="s">
        <v>23</v>
      </c>
      <c r="G41">
        <v>2</v>
      </c>
      <c r="H41" t="s">
        <v>152</v>
      </c>
      <c r="I41" t="s">
        <v>328</v>
      </c>
      <c r="J41" t="s">
        <v>329</v>
      </c>
      <c r="K41" t="s">
        <v>330</v>
      </c>
      <c r="L41" t="s">
        <v>331</v>
      </c>
      <c r="M41" t="s">
        <v>332</v>
      </c>
      <c r="N41" t="s">
        <v>333</v>
      </c>
      <c r="P41" s="4">
        <v>46104</v>
      </c>
      <c r="S41" t="s">
        <v>31</v>
      </c>
      <c r="T41" t="s">
        <v>31</v>
      </c>
    </row>
    <row r="42" spans="2:20" ht="30" customHeight="1" x14ac:dyDescent="0.25">
      <c r="B42" s="11">
        <v>39</v>
      </c>
      <c r="C42" s="14">
        <v>80086824</v>
      </c>
      <c r="D42" t="s">
        <v>334</v>
      </c>
      <c r="E42" t="s">
        <v>335</v>
      </c>
      <c r="F42" t="s">
        <v>23</v>
      </c>
      <c r="G42">
        <v>1</v>
      </c>
      <c r="H42" t="s">
        <v>61</v>
      </c>
      <c r="I42" t="s">
        <v>336</v>
      </c>
      <c r="J42" t="s">
        <v>337</v>
      </c>
      <c r="K42" t="s">
        <v>338</v>
      </c>
      <c r="L42" t="s">
        <v>339</v>
      </c>
      <c r="M42" s="11" t="s">
        <v>340</v>
      </c>
      <c r="N42" t="s">
        <v>341</v>
      </c>
      <c r="P42" s="4">
        <v>46104</v>
      </c>
      <c r="S42" t="s">
        <v>31</v>
      </c>
      <c r="T42" t="s">
        <v>84</v>
      </c>
    </row>
    <row r="43" spans="2:20" x14ac:dyDescent="0.25">
      <c r="B43" s="11">
        <v>40</v>
      </c>
      <c r="C43" s="14">
        <v>80086825</v>
      </c>
      <c r="D43" t="s">
        <v>342</v>
      </c>
      <c r="E43" t="s">
        <v>343</v>
      </c>
      <c r="F43" t="s">
        <v>23</v>
      </c>
      <c r="G43">
        <v>1</v>
      </c>
      <c r="H43" t="s">
        <v>24</v>
      </c>
      <c r="I43" t="s">
        <v>344</v>
      </c>
      <c r="J43" t="s">
        <v>345</v>
      </c>
      <c r="K43" t="s">
        <v>346</v>
      </c>
      <c r="L43" t="s">
        <v>347</v>
      </c>
      <c r="M43" t="s">
        <v>348</v>
      </c>
      <c r="N43" t="s">
        <v>349</v>
      </c>
      <c r="P43" s="4">
        <v>46104</v>
      </c>
      <c r="S43" t="s">
        <v>31</v>
      </c>
      <c r="T43" t="s">
        <v>31</v>
      </c>
    </row>
    <row r="44" spans="2:20" x14ac:dyDescent="0.25">
      <c r="B44" s="11">
        <v>41</v>
      </c>
      <c r="C44" s="14">
        <v>80086827</v>
      </c>
      <c r="D44" t="s">
        <v>350</v>
      </c>
      <c r="E44" t="s">
        <v>351</v>
      </c>
      <c r="F44" t="s">
        <v>23</v>
      </c>
      <c r="G44">
        <v>1</v>
      </c>
      <c r="H44" t="s">
        <v>152</v>
      </c>
      <c r="I44" t="s">
        <v>352</v>
      </c>
      <c r="J44" t="s">
        <v>353</v>
      </c>
      <c r="K44" t="s">
        <v>354</v>
      </c>
      <c r="L44" t="s">
        <v>355</v>
      </c>
      <c r="M44" t="s">
        <v>355</v>
      </c>
      <c r="N44" t="s">
        <v>356</v>
      </c>
      <c r="P44" s="4">
        <v>46104</v>
      </c>
      <c r="S44" t="s">
        <v>31</v>
      </c>
      <c r="T44" t="s">
        <v>84</v>
      </c>
    </row>
    <row r="45" spans="2:20" x14ac:dyDescent="0.25">
      <c r="B45" s="11">
        <v>42</v>
      </c>
      <c r="C45" s="14">
        <v>80086828</v>
      </c>
      <c r="D45" t="s">
        <v>357</v>
      </c>
      <c r="E45" t="s">
        <v>358</v>
      </c>
      <c r="F45" t="s">
        <v>23</v>
      </c>
      <c r="G45">
        <v>1</v>
      </c>
      <c r="H45" t="s">
        <v>359</v>
      </c>
      <c r="I45" t="s">
        <v>360</v>
      </c>
      <c r="J45" t="s">
        <v>361</v>
      </c>
      <c r="K45" t="s">
        <v>362</v>
      </c>
      <c r="L45" t="s">
        <v>363</v>
      </c>
      <c r="M45" t="s">
        <v>364</v>
      </c>
      <c r="N45" t="s">
        <v>365</v>
      </c>
      <c r="P45" s="4">
        <v>46104</v>
      </c>
      <c r="S45" t="s">
        <v>31</v>
      </c>
      <c r="T45" t="s">
        <v>84</v>
      </c>
    </row>
    <row r="46" spans="2:20" x14ac:dyDescent="0.25">
      <c r="B46" s="11">
        <v>43</v>
      </c>
      <c r="C46" s="14">
        <v>80086829</v>
      </c>
      <c r="D46" t="s">
        <v>366</v>
      </c>
      <c r="E46" t="s">
        <v>367</v>
      </c>
      <c r="F46" t="s">
        <v>23</v>
      </c>
      <c r="G46">
        <v>1</v>
      </c>
      <c r="H46" t="s">
        <v>368</v>
      </c>
      <c r="I46" t="s">
        <v>369</v>
      </c>
      <c r="J46" t="s">
        <v>370</v>
      </c>
      <c r="K46" t="s">
        <v>371</v>
      </c>
      <c r="L46" t="s">
        <v>372</v>
      </c>
      <c r="M46" t="s">
        <v>373</v>
      </c>
      <c r="N46" t="s">
        <v>374</v>
      </c>
      <c r="P46" s="4">
        <v>46104</v>
      </c>
      <c r="S46" t="s">
        <v>31</v>
      </c>
      <c r="T46" t="s">
        <v>84</v>
      </c>
    </row>
    <row r="47" spans="2:20" x14ac:dyDescent="0.25">
      <c r="B47" s="11">
        <v>44</v>
      </c>
      <c r="C47" s="14">
        <v>80086830</v>
      </c>
      <c r="D47" t="s">
        <v>375</v>
      </c>
      <c r="E47" t="s">
        <v>376</v>
      </c>
      <c r="F47" t="s">
        <v>23</v>
      </c>
      <c r="G47">
        <v>1</v>
      </c>
      <c r="H47" t="s">
        <v>111</v>
      </c>
      <c r="I47" t="s">
        <v>377</v>
      </c>
      <c r="J47" t="s">
        <v>378</v>
      </c>
      <c r="K47" t="s">
        <v>379</v>
      </c>
      <c r="L47" t="s">
        <v>380</v>
      </c>
      <c r="M47" t="s">
        <v>381</v>
      </c>
      <c r="N47" t="s">
        <v>382</v>
      </c>
      <c r="P47" s="4">
        <v>46104</v>
      </c>
      <c r="S47" t="s">
        <v>31</v>
      </c>
      <c r="T47" t="s">
        <v>31</v>
      </c>
    </row>
    <row r="48" spans="2:20" x14ac:dyDescent="0.25">
      <c r="B48" s="11">
        <v>45</v>
      </c>
      <c r="C48" s="14">
        <v>80086831</v>
      </c>
      <c r="D48" t="s">
        <v>383</v>
      </c>
      <c r="E48" t="s">
        <v>384</v>
      </c>
      <c r="F48" t="s">
        <v>23</v>
      </c>
      <c r="G48">
        <v>1</v>
      </c>
      <c r="H48" t="s">
        <v>61</v>
      </c>
      <c r="I48" t="s">
        <v>385</v>
      </c>
      <c r="J48" t="s">
        <v>386</v>
      </c>
      <c r="K48" t="s">
        <v>387</v>
      </c>
      <c r="L48" t="s">
        <v>388</v>
      </c>
      <c r="M48" t="s">
        <v>389</v>
      </c>
      <c r="N48" t="s">
        <v>390</v>
      </c>
      <c r="P48" s="4">
        <v>46104</v>
      </c>
      <c r="S48" t="s">
        <v>31</v>
      </c>
      <c r="T48" t="s">
        <v>84</v>
      </c>
    </row>
    <row r="49" spans="2:20" x14ac:dyDescent="0.25">
      <c r="B49" s="11">
        <v>46</v>
      </c>
      <c r="C49" s="14">
        <v>80086832</v>
      </c>
      <c r="D49" t="s">
        <v>391</v>
      </c>
      <c r="E49" t="s">
        <v>392</v>
      </c>
      <c r="F49" t="s">
        <v>23</v>
      </c>
      <c r="G49">
        <v>1</v>
      </c>
      <c r="H49" t="s">
        <v>111</v>
      </c>
      <c r="I49" t="s">
        <v>393</v>
      </c>
      <c r="J49" t="s">
        <v>394</v>
      </c>
      <c r="K49" t="s">
        <v>395</v>
      </c>
      <c r="L49" t="s">
        <v>396</v>
      </c>
      <c r="M49" t="s">
        <v>397</v>
      </c>
      <c r="N49" t="s">
        <v>398</v>
      </c>
      <c r="P49" s="4">
        <v>46104</v>
      </c>
      <c r="S49" t="s">
        <v>31</v>
      </c>
      <c r="T49" t="s">
        <v>84</v>
      </c>
    </row>
    <row r="50" spans="2:20" ht="45" customHeight="1" x14ac:dyDescent="0.25">
      <c r="B50" s="11">
        <v>47</v>
      </c>
      <c r="C50" s="14">
        <v>80086833</v>
      </c>
      <c r="D50" t="s">
        <v>399</v>
      </c>
      <c r="E50" t="s">
        <v>400</v>
      </c>
      <c r="F50" t="s">
        <v>23</v>
      </c>
      <c r="G50">
        <v>1</v>
      </c>
      <c r="H50" t="s">
        <v>152</v>
      </c>
      <c r="I50" t="s">
        <v>401</v>
      </c>
      <c r="J50" t="s">
        <v>402</v>
      </c>
      <c r="K50" t="s">
        <v>403</v>
      </c>
      <c r="L50" t="s">
        <v>404</v>
      </c>
      <c r="M50" s="11" t="s">
        <v>405</v>
      </c>
      <c r="N50" t="s">
        <v>406</v>
      </c>
      <c r="P50" s="4">
        <v>46104</v>
      </c>
      <c r="S50" t="s">
        <v>31</v>
      </c>
      <c r="T50" t="s">
        <v>84</v>
      </c>
    </row>
    <row r="51" spans="2:20" ht="30" customHeight="1" x14ac:dyDescent="0.25">
      <c r="B51" s="11">
        <v>48</v>
      </c>
      <c r="C51" s="14">
        <v>80086834</v>
      </c>
      <c r="D51" t="s">
        <v>407</v>
      </c>
      <c r="E51" t="s">
        <v>408</v>
      </c>
      <c r="F51" t="s">
        <v>23</v>
      </c>
      <c r="G51">
        <v>1</v>
      </c>
      <c r="H51" t="s">
        <v>61</v>
      </c>
      <c r="I51" t="s">
        <v>409</v>
      </c>
      <c r="J51" t="s">
        <v>410</v>
      </c>
      <c r="K51" t="s">
        <v>411</v>
      </c>
      <c r="L51" t="s">
        <v>412</v>
      </c>
      <c r="M51" s="11" t="s">
        <v>413</v>
      </c>
      <c r="N51" t="s">
        <v>414</v>
      </c>
      <c r="P51" s="4">
        <v>46104</v>
      </c>
      <c r="S51" t="s">
        <v>31</v>
      </c>
      <c r="T51" t="s">
        <v>84</v>
      </c>
    </row>
    <row r="52" spans="2:20" x14ac:dyDescent="0.25">
      <c r="B52" s="11">
        <v>49</v>
      </c>
      <c r="C52" s="14">
        <v>80086835</v>
      </c>
      <c r="D52" t="s">
        <v>415</v>
      </c>
      <c r="E52" t="s">
        <v>416</v>
      </c>
      <c r="F52" t="s">
        <v>23</v>
      </c>
      <c r="G52">
        <v>1</v>
      </c>
      <c r="H52" t="s">
        <v>417</v>
      </c>
      <c r="I52" t="s">
        <v>418</v>
      </c>
      <c r="J52" t="s">
        <v>419</v>
      </c>
      <c r="K52" t="s">
        <v>420</v>
      </c>
      <c r="L52" t="s">
        <v>421</v>
      </c>
      <c r="M52" t="s">
        <v>422</v>
      </c>
      <c r="N52" t="s">
        <v>423</v>
      </c>
      <c r="P52" s="4">
        <v>46104</v>
      </c>
      <c r="S52" t="s">
        <v>31</v>
      </c>
      <c r="T52" t="s">
        <v>31</v>
      </c>
    </row>
    <row r="53" spans="2:20" x14ac:dyDescent="0.25">
      <c r="B53" s="11">
        <v>50</v>
      </c>
      <c r="C53" s="14">
        <v>80086836</v>
      </c>
      <c r="D53" t="s">
        <v>424</v>
      </c>
      <c r="E53" t="s">
        <v>425</v>
      </c>
      <c r="F53" t="s">
        <v>23</v>
      </c>
      <c r="G53">
        <v>1</v>
      </c>
      <c r="H53" t="s">
        <v>111</v>
      </c>
      <c r="I53" t="s">
        <v>426</v>
      </c>
      <c r="J53" t="s">
        <v>427</v>
      </c>
      <c r="K53" t="s">
        <v>428</v>
      </c>
      <c r="L53" t="s">
        <v>429</v>
      </c>
      <c r="M53" t="s">
        <v>429</v>
      </c>
      <c r="N53" t="s">
        <v>430</v>
      </c>
      <c r="P53" s="4">
        <v>46104</v>
      </c>
      <c r="S53" t="s">
        <v>31</v>
      </c>
      <c r="T53" t="s">
        <v>84</v>
      </c>
    </row>
    <row r="54" spans="2:20" x14ac:dyDescent="0.25">
      <c r="B54" s="11">
        <v>51</v>
      </c>
      <c r="C54" s="14">
        <v>80086837</v>
      </c>
      <c r="D54" t="s">
        <v>431</v>
      </c>
      <c r="E54" t="s">
        <v>432</v>
      </c>
      <c r="F54" t="s">
        <v>23</v>
      </c>
      <c r="G54">
        <v>1</v>
      </c>
      <c r="H54" t="s">
        <v>152</v>
      </c>
      <c r="I54" t="s">
        <v>433</v>
      </c>
      <c r="J54" t="s">
        <v>434</v>
      </c>
      <c r="K54" t="s">
        <v>435</v>
      </c>
      <c r="L54" t="s">
        <v>436</v>
      </c>
      <c r="M54" t="s">
        <v>437</v>
      </c>
      <c r="N54" t="s">
        <v>438</v>
      </c>
      <c r="P54" s="4">
        <v>46104</v>
      </c>
      <c r="S54" t="s">
        <v>31</v>
      </c>
      <c r="T54" t="s">
        <v>31</v>
      </c>
    </row>
    <row r="55" spans="2:20" ht="30" customHeight="1" x14ac:dyDescent="0.25">
      <c r="B55" s="11">
        <v>52</v>
      </c>
      <c r="C55" s="14">
        <v>80086838</v>
      </c>
      <c r="D55" t="s">
        <v>439</v>
      </c>
      <c r="E55" t="s">
        <v>440</v>
      </c>
      <c r="F55" t="s">
        <v>23</v>
      </c>
      <c r="G55">
        <v>1</v>
      </c>
      <c r="H55" t="s">
        <v>152</v>
      </c>
      <c r="I55" s="11" t="s">
        <v>441</v>
      </c>
      <c r="J55" s="11" t="s">
        <v>442</v>
      </c>
      <c r="K55" s="11" t="s">
        <v>443</v>
      </c>
      <c r="L55" t="s">
        <v>444</v>
      </c>
      <c r="M55" s="11" t="s">
        <v>445</v>
      </c>
      <c r="N55" t="s">
        <v>446</v>
      </c>
      <c r="P55" s="4">
        <v>46104</v>
      </c>
      <c r="S55" t="s">
        <v>31</v>
      </c>
      <c r="T55" t="s">
        <v>31</v>
      </c>
    </row>
    <row r="56" spans="2:20" x14ac:dyDescent="0.25">
      <c r="B56" s="11">
        <v>53</v>
      </c>
      <c r="C56" s="14">
        <v>80086839</v>
      </c>
      <c r="D56" t="s">
        <v>447</v>
      </c>
      <c r="E56" t="s">
        <v>448</v>
      </c>
      <c r="F56" t="s">
        <v>23</v>
      </c>
      <c r="G56">
        <v>1</v>
      </c>
      <c r="H56" t="s">
        <v>24</v>
      </c>
      <c r="I56" t="s">
        <v>449</v>
      </c>
      <c r="J56" t="s">
        <v>450</v>
      </c>
      <c r="K56" t="s">
        <v>451</v>
      </c>
      <c r="L56" t="s">
        <v>452</v>
      </c>
      <c r="M56" t="s">
        <v>453</v>
      </c>
      <c r="N56" t="s">
        <v>454</v>
      </c>
      <c r="P56" s="4">
        <v>46104</v>
      </c>
      <c r="S56" t="s">
        <v>31</v>
      </c>
      <c r="T56" t="s">
        <v>31</v>
      </c>
    </row>
    <row r="57" spans="2:20" x14ac:dyDescent="0.25">
      <c r="B57" s="11">
        <v>54</v>
      </c>
      <c r="C57" s="14">
        <v>80086840</v>
      </c>
      <c r="D57" t="s">
        <v>455</v>
      </c>
      <c r="E57" t="s">
        <v>456</v>
      </c>
      <c r="F57" t="s">
        <v>23</v>
      </c>
      <c r="G57">
        <v>1</v>
      </c>
      <c r="H57" t="s">
        <v>111</v>
      </c>
      <c r="I57" t="s">
        <v>457</v>
      </c>
      <c r="J57" t="s">
        <v>458</v>
      </c>
      <c r="K57" t="s">
        <v>459</v>
      </c>
      <c r="L57" t="s">
        <v>460</v>
      </c>
      <c r="M57" t="s">
        <v>461</v>
      </c>
      <c r="N57" t="s">
        <v>462</v>
      </c>
      <c r="P57" s="4">
        <v>46104</v>
      </c>
      <c r="S57" t="s">
        <v>31</v>
      </c>
      <c r="T57" t="s">
        <v>84</v>
      </c>
    </row>
    <row r="58" spans="2:20" x14ac:dyDescent="0.25">
      <c r="B58" s="11">
        <v>55</v>
      </c>
      <c r="C58" s="14">
        <v>80086841</v>
      </c>
      <c r="D58" t="s">
        <v>463</v>
      </c>
      <c r="E58" t="s">
        <v>464</v>
      </c>
      <c r="F58" t="s">
        <v>23</v>
      </c>
      <c r="G58">
        <v>1</v>
      </c>
      <c r="H58" t="s">
        <v>152</v>
      </c>
      <c r="I58" t="s">
        <v>465</v>
      </c>
      <c r="J58" t="s">
        <v>466</v>
      </c>
      <c r="K58" t="s">
        <v>467</v>
      </c>
      <c r="L58" t="s">
        <v>468</v>
      </c>
      <c r="M58" t="s">
        <v>469</v>
      </c>
      <c r="N58" t="s">
        <v>470</v>
      </c>
      <c r="P58" s="4">
        <v>46104</v>
      </c>
      <c r="S58" t="s">
        <v>31</v>
      </c>
      <c r="T58" t="s">
        <v>31</v>
      </c>
    </row>
    <row r="59" spans="2:20" x14ac:dyDescent="0.25">
      <c r="B59" s="11">
        <v>56</v>
      </c>
      <c r="C59" s="14">
        <v>80086842</v>
      </c>
      <c r="D59" t="s">
        <v>471</v>
      </c>
      <c r="E59" t="s">
        <v>472</v>
      </c>
      <c r="F59" t="s">
        <v>23</v>
      </c>
      <c r="G59">
        <v>1</v>
      </c>
      <c r="H59" t="s">
        <v>111</v>
      </c>
      <c r="I59" t="s">
        <v>473</v>
      </c>
      <c r="J59" t="s">
        <v>474</v>
      </c>
      <c r="K59" t="s">
        <v>475</v>
      </c>
      <c r="L59" t="s">
        <v>476</v>
      </c>
      <c r="M59" t="s">
        <v>476</v>
      </c>
      <c r="N59" t="s">
        <v>477</v>
      </c>
      <c r="P59" s="4">
        <v>46104</v>
      </c>
      <c r="S59" t="s">
        <v>31</v>
      </c>
      <c r="T59" t="s">
        <v>84</v>
      </c>
    </row>
    <row r="60" spans="2:20" ht="30" customHeight="1" x14ac:dyDescent="0.25">
      <c r="B60" s="11">
        <v>57</v>
      </c>
      <c r="C60" s="14">
        <v>80086843</v>
      </c>
      <c r="D60" t="s">
        <v>478</v>
      </c>
      <c r="E60" t="s">
        <v>479</v>
      </c>
      <c r="F60" t="s">
        <v>23</v>
      </c>
      <c r="G60">
        <v>1</v>
      </c>
      <c r="H60" t="s">
        <v>111</v>
      </c>
      <c r="I60" s="11" t="s">
        <v>480</v>
      </c>
      <c r="J60" s="11" t="s">
        <v>481</v>
      </c>
      <c r="K60" s="11" t="s">
        <v>482</v>
      </c>
      <c r="L60" t="s">
        <v>483</v>
      </c>
      <c r="M60" s="11" t="s">
        <v>484</v>
      </c>
      <c r="N60" t="s">
        <v>485</v>
      </c>
      <c r="P60" s="4">
        <v>46104</v>
      </c>
      <c r="S60" t="s">
        <v>31</v>
      </c>
      <c r="T60" t="s">
        <v>84</v>
      </c>
    </row>
    <row r="61" spans="2:20" x14ac:dyDescent="0.25">
      <c r="B61" s="11">
        <v>58</v>
      </c>
      <c r="C61" s="14">
        <v>80086845</v>
      </c>
      <c r="D61" t="s">
        <v>486</v>
      </c>
      <c r="E61" t="s">
        <v>487</v>
      </c>
      <c r="F61" t="s">
        <v>23</v>
      </c>
      <c r="G61">
        <v>1</v>
      </c>
      <c r="H61" t="s">
        <v>152</v>
      </c>
      <c r="I61" t="s">
        <v>488</v>
      </c>
      <c r="J61" t="s">
        <v>489</v>
      </c>
      <c r="K61" t="s">
        <v>490</v>
      </c>
      <c r="L61" t="s">
        <v>491</v>
      </c>
      <c r="M61" t="s">
        <v>492</v>
      </c>
      <c r="N61" t="s">
        <v>493</v>
      </c>
      <c r="P61" s="4">
        <v>46104</v>
      </c>
      <c r="S61" t="s">
        <v>31</v>
      </c>
      <c r="T61" t="s">
        <v>84</v>
      </c>
    </row>
    <row r="62" spans="2:20" x14ac:dyDescent="0.25">
      <c r="B62" s="11">
        <v>59</v>
      </c>
      <c r="C62" s="14">
        <v>80086848</v>
      </c>
      <c r="D62" t="s">
        <v>494</v>
      </c>
      <c r="E62" t="s">
        <v>495</v>
      </c>
      <c r="F62" t="s">
        <v>23</v>
      </c>
      <c r="G62">
        <v>1</v>
      </c>
      <c r="H62" t="s">
        <v>61</v>
      </c>
      <c r="I62" t="s">
        <v>496</v>
      </c>
      <c r="J62" t="s">
        <v>497</v>
      </c>
      <c r="K62" t="s">
        <v>498</v>
      </c>
      <c r="L62" t="s">
        <v>499</v>
      </c>
      <c r="M62" t="s">
        <v>500</v>
      </c>
      <c r="N62" t="s">
        <v>501</v>
      </c>
      <c r="P62" s="4">
        <v>46104</v>
      </c>
      <c r="S62" t="s">
        <v>31</v>
      </c>
      <c r="T62" t="s">
        <v>84</v>
      </c>
    </row>
    <row r="63" spans="2:20" x14ac:dyDescent="0.25">
      <c r="B63" s="11">
        <v>60</v>
      </c>
      <c r="C63" s="14">
        <v>80086850</v>
      </c>
      <c r="D63" t="s">
        <v>502</v>
      </c>
      <c r="E63" t="s">
        <v>503</v>
      </c>
      <c r="F63" t="s">
        <v>23</v>
      </c>
      <c r="G63">
        <v>1</v>
      </c>
      <c r="H63" t="s">
        <v>61</v>
      </c>
      <c r="I63" t="s">
        <v>504</v>
      </c>
      <c r="J63" t="s">
        <v>505</v>
      </c>
      <c r="K63" t="s">
        <v>506</v>
      </c>
      <c r="L63" t="s">
        <v>283</v>
      </c>
      <c r="M63" t="s">
        <v>284</v>
      </c>
      <c r="N63" t="s">
        <v>507</v>
      </c>
      <c r="P63" s="4">
        <v>46104</v>
      </c>
      <c r="S63" t="s">
        <v>31</v>
      </c>
      <c r="T63" t="s">
        <v>84</v>
      </c>
    </row>
    <row r="64" spans="2:20" x14ac:dyDescent="0.25">
      <c r="B64" s="11">
        <v>61</v>
      </c>
      <c r="C64" s="14">
        <v>80086851</v>
      </c>
      <c r="D64" t="s">
        <v>508</v>
      </c>
      <c r="E64" t="s">
        <v>509</v>
      </c>
      <c r="F64" t="s">
        <v>23</v>
      </c>
      <c r="G64">
        <v>1</v>
      </c>
      <c r="H64" t="s">
        <v>61</v>
      </c>
      <c r="I64" t="s">
        <v>510</v>
      </c>
      <c r="J64" t="s">
        <v>511</v>
      </c>
      <c r="K64" t="s">
        <v>512</v>
      </c>
      <c r="L64" t="s">
        <v>513</v>
      </c>
      <c r="M64" t="s">
        <v>514</v>
      </c>
      <c r="N64" t="s">
        <v>515</v>
      </c>
      <c r="P64" s="4">
        <v>46104</v>
      </c>
      <c r="S64" t="s">
        <v>31</v>
      </c>
      <c r="T64" t="s">
        <v>31</v>
      </c>
    </row>
    <row r="65" spans="2:20" x14ac:dyDescent="0.25">
      <c r="B65" s="11">
        <v>62</v>
      </c>
      <c r="C65" s="14">
        <v>80086853</v>
      </c>
      <c r="D65" t="s">
        <v>516</v>
      </c>
      <c r="E65" t="s">
        <v>517</v>
      </c>
      <c r="F65" t="s">
        <v>23</v>
      </c>
      <c r="G65">
        <v>1</v>
      </c>
      <c r="H65" t="s">
        <v>61</v>
      </c>
      <c r="I65" t="s">
        <v>518</v>
      </c>
      <c r="J65" t="s">
        <v>519</v>
      </c>
      <c r="K65" t="s">
        <v>520</v>
      </c>
      <c r="L65" t="s">
        <v>521</v>
      </c>
      <c r="M65" t="s">
        <v>522</v>
      </c>
      <c r="N65" t="s">
        <v>523</v>
      </c>
      <c r="P65" s="4">
        <v>46104</v>
      </c>
      <c r="S65" t="s">
        <v>31</v>
      </c>
      <c r="T65" t="s">
        <v>31</v>
      </c>
    </row>
    <row r="66" spans="2:20" x14ac:dyDescent="0.25">
      <c r="B66" s="11"/>
      <c r="G66">
        <f>SUBTOTAL(109,Table3[Kom.])</f>
        <v>64</v>
      </c>
      <c r="P66" s="4"/>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14"/>
  <sheetViews>
    <sheetView topLeftCell="C104" zoomScale="124" zoomScaleNormal="40" workbookViewId="0">
      <selection activeCell="F114" sqref="F114"/>
    </sheetView>
  </sheetViews>
  <sheetFormatPr defaultColWidth="8.85546875" defaultRowHeight="15" x14ac:dyDescent="0.25"/>
  <cols>
    <col min="1" max="1" width="9.28515625" bestFit="1" customWidth="1"/>
    <col min="2" max="2" width="40.140625" bestFit="1" customWidth="1"/>
    <col min="3" max="3" width="9.28515625" bestFit="1" customWidth="1"/>
    <col min="4" max="4" width="80.7109375" bestFit="1" customWidth="1"/>
    <col min="5" max="5" width="90.28515625" bestFit="1" customWidth="1"/>
    <col min="6" max="6" width="9.28515625" bestFit="1" customWidth="1"/>
    <col min="7" max="7" width="14.140625" bestFit="1" customWidth="1"/>
    <col min="8" max="8" width="28" bestFit="1" customWidth="1"/>
    <col min="9" max="9" width="36.7109375" bestFit="1" customWidth="1"/>
    <col min="10" max="10" width="50.42578125" bestFit="1" customWidth="1"/>
    <col min="11" max="11" width="39" customWidth="1"/>
    <col min="12" max="12" width="68.140625" customWidth="1"/>
    <col min="13" max="13" width="12" customWidth="1"/>
    <col min="14" max="14" width="21.7109375" bestFit="1" customWidth="1"/>
    <col min="15" max="15" width="14.85546875" bestFit="1" customWidth="1"/>
    <col min="16" max="16" width="15.85546875" bestFit="1" customWidth="1"/>
    <col min="17" max="17" width="12.85546875" bestFit="1" customWidth="1"/>
    <col min="18" max="18" width="13.7109375" bestFit="1" customWidth="1"/>
  </cols>
  <sheetData>
    <row r="1" spans="1:18" x14ac:dyDescent="0.25">
      <c r="A1" s="12" t="s">
        <v>524</v>
      </c>
    </row>
    <row r="3" spans="1:18" x14ac:dyDescent="0.25">
      <c r="A3" t="s">
        <v>1</v>
      </c>
      <c r="B3" t="s">
        <v>2</v>
      </c>
      <c r="C3" t="s">
        <v>4</v>
      </c>
      <c r="D3" t="s">
        <v>6</v>
      </c>
      <c r="E3" t="s">
        <v>5</v>
      </c>
      <c r="F3" t="s">
        <v>7</v>
      </c>
      <c r="G3" t="s">
        <v>8</v>
      </c>
      <c r="H3" t="s">
        <v>9</v>
      </c>
      <c r="I3" t="s">
        <v>10</v>
      </c>
      <c r="J3" t="s">
        <v>11</v>
      </c>
      <c r="K3" t="s">
        <v>12</v>
      </c>
      <c r="L3" t="s">
        <v>13</v>
      </c>
      <c r="M3" t="s">
        <v>14</v>
      </c>
      <c r="N3" t="s">
        <v>16</v>
      </c>
      <c r="O3" t="s">
        <v>17</v>
      </c>
      <c r="P3" t="s">
        <v>18</v>
      </c>
      <c r="Q3" t="s">
        <v>19</v>
      </c>
      <c r="R3" t="s">
        <v>20</v>
      </c>
    </row>
    <row r="4" spans="1:18" hidden="1" x14ac:dyDescent="0.25">
      <c r="B4">
        <v>727</v>
      </c>
      <c r="C4" t="s">
        <v>302</v>
      </c>
      <c r="D4" t="s">
        <v>525</v>
      </c>
      <c r="E4" t="s">
        <v>303</v>
      </c>
      <c r="F4">
        <v>1</v>
      </c>
      <c r="G4" t="s">
        <v>61</v>
      </c>
      <c r="H4" t="s">
        <v>304</v>
      </c>
      <c r="I4" t="s">
        <v>305</v>
      </c>
      <c r="J4" t="s">
        <v>306</v>
      </c>
      <c r="K4" t="s">
        <v>307</v>
      </c>
      <c r="L4" t="s">
        <v>526</v>
      </c>
      <c r="M4" t="s">
        <v>309</v>
      </c>
      <c r="N4" s="4">
        <v>46111</v>
      </c>
      <c r="Q4" t="s">
        <v>84</v>
      </c>
    </row>
    <row r="5" spans="1:18" x14ac:dyDescent="0.25">
      <c r="B5">
        <v>623</v>
      </c>
      <c r="C5" t="s">
        <v>302</v>
      </c>
      <c r="D5" t="s">
        <v>527</v>
      </c>
      <c r="E5" t="s">
        <v>303</v>
      </c>
      <c r="F5">
        <v>1</v>
      </c>
      <c r="G5" t="s">
        <v>61</v>
      </c>
      <c r="H5" t="s">
        <v>304</v>
      </c>
      <c r="I5" t="s">
        <v>305</v>
      </c>
      <c r="J5" t="s">
        <v>306</v>
      </c>
      <c r="K5" t="s">
        <v>307</v>
      </c>
      <c r="L5" t="s">
        <v>526</v>
      </c>
      <c r="M5" t="s">
        <v>309</v>
      </c>
      <c r="N5" s="4">
        <v>46111</v>
      </c>
    </row>
    <row r="6" spans="1:18" x14ac:dyDescent="0.25">
      <c r="B6">
        <v>625</v>
      </c>
      <c r="C6" t="s">
        <v>318</v>
      </c>
      <c r="D6" t="s">
        <v>527</v>
      </c>
      <c r="E6" t="s">
        <v>319</v>
      </c>
      <c r="F6">
        <v>1</v>
      </c>
      <c r="G6" t="s">
        <v>111</v>
      </c>
      <c r="H6" t="s">
        <v>320</v>
      </c>
      <c r="I6" t="s">
        <v>321</v>
      </c>
      <c r="J6" t="s">
        <v>322</v>
      </c>
      <c r="K6" t="s">
        <v>323</v>
      </c>
      <c r="L6" t="s">
        <v>324</v>
      </c>
      <c r="M6" t="s">
        <v>325</v>
      </c>
      <c r="N6" s="4">
        <v>46111</v>
      </c>
    </row>
    <row r="7" spans="1:18" ht="30" hidden="1" customHeight="1" x14ac:dyDescent="0.25">
      <c r="B7">
        <v>722</v>
      </c>
      <c r="C7" t="s">
        <v>247</v>
      </c>
      <c r="D7" t="s">
        <v>525</v>
      </c>
      <c r="E7" t="s">
        <v>248</v>
      </c>
      <c r="F7">
        <v>1</v>
      </c>
      <c r="G7" t="s">
        <v>61</v>
      </c>
      <c r="H7" s="11" t="s">
        <v>528</v>
      </c>
      <c r="I7" s="11" t="s">
        <v>529</v>
      </c>
      <c r="J7" s="11" t="s">
        <v>530</v>
      </c>
      <c r="K7" t="s">
        <v>252</v>
      </c>
      <c r="L7" t="s">
        <v>531</v>
      </c>
      <c r="M7" t="s">
        <v>254</v>
      </c>
      <c r="N7" s="4">
        <v>46111</v>
      </c>
      <c r="Q7" t="s">
        <v>84</v>
      </c>
    </row>
    <row r="8" spans="1:18" x14ac:dyDescent="0.25">
      <c r="B8">
        <v>616</v>
      </c>
      <c r="C8" t="s">
        <v>247</v>
      </c>
      <c r="D8" t="s">
        <v>527</v>
      </c>
      <c r="E8" t="s">
        <v>248</v>
      </c>
      <c r="F8">
        <v>2</v>
      </c>
      <c r="G8" t="s">
        <v>61</v>
      </c>
      <c r="H8" t="s">
        <v>532</v>
      </c>
      <c r="I8" t="s">
        <v>533</v>
      </c>
      <c r="J8" t="s">
        <v>534</v>
      </c>
      <c r="K8" t="s">
        <v>252</v>
      </c>
      <c r="L8" t="s">
        <v>535</v>
      </c>
      <c r="M8" t="s">
        <v>254</v>
      </c>
      <c r="N8" s="4">
        <v>46111</v>
      </c>
    </row>
    <row r="9" spans="1:18" hidden="1" x14ac:dyDescent="0.25">
      <c r="B9">
        <v>728</v>
      </c>
      <c r="C9" t="s">
        <v>310</v>
      </c>
      <c r="D9" t="s">
        <v>525</v>
      </c>
      <c r="E9" t="s">
        <v>311</v>
      </c>
      <c r="F9">
        <v>1</v>
      </c>
      <c r="G9" t="s">
        <v>152</v>
      </c>
      <c r="H9" t="s">
        <v>312</v>
      </c>
      <c r="I9" t="s">
        <v>313</v>
      </c>
      <c r="J9" t="s">
        <v>314</v>
      </c>
      <c r="K9" t="s">
        <v>315</v>
      </c>
      <c r="L9" t="s">
        <v>316</v>
      </c>
      <c r="M9" t="s">
        <v>317</v>
      </c>
      <c r="N9" s="4">
        <v>46111</v>
      </c>
      <c r="Q9" t="s">
        <v>84</v>
      </c>
    </row>
    <row r="10" spans="1:18" x14ac:dyDescent="0.25">
      <c r="B10">
        <v>624</v>
      </c>
      <c r="C10" t="s">
        <v>310</v>
      </c>
      <c r="D10" t="s">
        <v>527</v>
      </c>
      <c r="E10" t="s">
        <v>311</v>
      </c>
      <c r="F10">
        <v>2</v>
      </c>
      <c r="G10" t="s">
        <v>152</v>
      </c>
      <c r="H10" t="s">
        <v>312</v>
      </c>
      <c r="I10" t="s">
        <v>313</v>
      </c>
      <c r="J10" t="s">
        <v>314</v>
      </c>
      <c r="K10" t="s">
        <v>315</v>
      </c>
      <c r="L10" t="s">
        <v>316</v>
      </c>
      <c r="M10" t="s">
        <v>317</v>
      </c>
      <c r="N10" s="4">
        <v>46111</v>
      </c>
    </row>
    <row r="11" spans="1:18" hidden="1" x14ac:dyDescent="0.25">
      <c r="B11">
        <v>739</v>
      </c>
      <c r="C11" t="s">
        <v>447</v>
      </c>
      <c r="D11" t="s">
        <v>525</v>
      </c>
      <c r="E11" t="s">
        <v>448</v>
      </c>
      <c r="F11">
        <v>1</v>
      </c>
      <c r="G11" t="s">
        <v>24</v>
      </c>
      <c r="H11" t="s">
        <v>449</v>
      </c>
      <c r="I11" t="s">
        <v>450</v>
      </c>
      <c r="J11" t="s">
        <v>451</v>
      </c>
      <c r="K11" t="s">
        <v>452</v>
      </c>
      <c r="L11" t="s">
        <v>453</v>
      </c>
      <c r="M11" t="s">
        <v>454</v>
      </c>
      <c r="N11" s="4">
        <v>46111</v>
      </c>
      <c r="Q11" t="s">
        <v>84</v>
      </c>
    </row>
    <row r="12" spans="1:18" x14ac:dyDescent="0.25">
      <c r="B12">
        <v>639</v>
      </c>
      <c r="C12" t="s">
        <v>447</v>
      </c>
      <c r="D12" t="s">
        <v>527</v>
      </c>
      <c r="E12" t="s">
        <v>448</v>
      </c>
      <c r="F12">
        <v>1</v>
      </c>
      <c r="G12" t="s">
        <v>24</v>
      </c>
      <c r="H12" t="s">
        <v>449</v>
      </c>
      <c r="I12" t="s">
        <v>450</v>
      </c>
      <c r="J12" t="s">
        <v>451</v>
      </c>
      <c r="K12" t="s">
        <v>452</v>
      </c>
      <c r="L12" t="s">
        <v>453</v>
      </c>
      <c r="M12" t="s">
        <v>454</v>
      </c>
      <c r="N12" s="4">
        <v>46111</v>
      </c>
    </row>
    <row r="13" spans="1:18" hidden="1" x14ac:dyDescent="0.25">
      <c r="B13">
        <v>711</v>
      </c>
      <c r="C13" t="s">
        <v>536</v>
      </c>
      <c r="D13" t="s">
        <v>525</v>
      </c>
      <c r="E13" t="s">
        <v>537</v>
      </c>
      <c r="F13">
        <v>1</v>
      </c>
      <c r="G13" t="s">
        <v>111</v>
      </c>
      <c r="H13" t="s">
        <v>538</v>
      </c>
      <c r="I13" t="s">
        <v>539</v>
      </c>
      <c r="J13" t="s">
        <v>540</v>
      </c>
      <c r="K13" t="s">
        <v>541</v>
      </c>
      <c r="L13" t="s">
        <v>541</v>
      </c>
      <c r="M13" t="s">
        <v>542</v>
      </c>
      <c r="N13" s="4">
        <v>46111</v>
      </c>
      <c r="Q13" t="s">
        <v>84</v>
      </c>
    </row>
    <row r="14" spans="1:18" hidden="1" x14ac:dyDescent="0.25">
      <c r="B14">
        <v>746</v>
      </c>
      <c r="C14" t="s">
        <v>486</v>
      </c>
      <c r="D14" t="s">
        <v>525</v>
      </c>
      <c r="E14" t="s">
        <v>487</v>
      </c>
      <c r="F14">
        <v>1</v>
      </c>
      <c r="G14" t="s">
        <v>152</v>
      </c>
      <c r="H14" t="s">
        <v>488</v>
      </c>
      <c r="I14" t="s">
        <v>489</v>
      </c>
      <c r="J14" t="s">
        <v>490</v>
      </c>
      <c r="K14" t="s">
        <v>491</v>
      </c>
      <c r="L14" t="s">
        <v>492</v>
      </c>
      <c r="M14" t="s">
        <v>493</v>
      </c>
      <c r="N14" s="4">
        <v>46111</v>
      </c>
      <c r="Q14" t="s">
        <v>84</v>
      </c>
    </row>
    <row r="15" spans="1:18" x14ac:dyDescent="0.25">
      <c r="B15">
        <v>645</v>
      </c>
      <c r="C15" t="s">
        <v>486</v>
      </c>
      <c r="D15" t="s">
        <v>527</v>
      </c>
      <c r="E15" t="s">
        <v>487</v>
      </c>
      <c r="F15">
        <v>1</v>
      </c>
      <c r="G15" t="s">
        <v>152</v>
      </c>
      <c r="H15" t="s">
        <v>488</v>
      </c>
      <c r="I15" t="s">
        <v>489</v>
      </c>
      <c r="J15" t="s">
        <v>490</v>
      </c>
      <c r="K15" t="s">
        <v>491</v>
      </c>
      <c r="L15" t="s">
        <v>492</v>
      </c>
      <c r="M15" t="s">
        <v>493</v>
      </c>
      <c r="N15" s="4">
        <v>46111</v>
      </c>
    </row>
    <row r="16" spans="1:18" hidden="1" x14ac:dyDescent="0.25">
      <c r="B16">
        <v>729</v>
      </c>
      <c r="C16" t="s">
        <v>334</v>
      </c>
      <c r="D16" t="s">
        <v>525</v>
      </c>
      <c r="E16" t="s">
        <v>335</v>
      </c>
      <c r="F16">
        <v>1</v>
      </c>
      <c r="G16" t="s">
        <v>61</v>
      </c>
      <c r="H16" t="s">
        <v>336</v>
      </c>
      <c r="I16" t="s">
        <v>337</v>
      </c>
      <c r="J16" t="s">
        <v>338</v>
      </c>
      <c r="K16" t="s">
        <v>339</v>
      </c>
      <c r="L16" t="s">
        <v>543</v>
      </c>
      <c r="M16" t="s">
        <v>341</v>
      </c>
      <c r="N16" s="4">
        <v>46111</v>
      </c>
      <c r="Q16" t="s">
        <v>84</v>
      </c>
    </row>
    <row r="17" spans="2:17" x14ac:dyDescent="0.25">
      <c r="B17">
        <v>627</v>
      </c>
      <c r="C17" t="s">
        <v>334</v>
      </c>
      <c r="D17" t="s">
        <v>527</v>
      </c>
      <c r="E17" t="s">
        <v>335</v>
      </c>
      <c r="F17">
        <v>1</v>
      </c>
      <c r="G17" t="s">
        <v>61</v>
      </c>
      <c r="H17" t="s">
        <v>336</v>
      </c>
      <c r="I17" t="s">
        <v>337</v>
      </c>
      <c r="J17" t="s">
        <v>338</v>
      </c>
      <c r="K17" t="s">
        <v>339</v>
      </c>
      <c r="L17" t="s">
        <v>543</v>
      </c>
      <c r="M17" t="s">
        <v>341</v>
      </c>
      <c r="N17" s="4">
        <v>46111</v>
      </c>
    </row>
    <row r="18" spans="2:17" x14ac:dyDescent="0.25">
      <c r="B18">
        <v>590</v>
      </c>
      <c r="C18" t="s">
        <v>21</v>
      </c>
      <c r="D18" t="s">
        <v>527</v>
      </c>
      <c r="E18" t="s">
        <v>22</v>
      </c>
      <c r="F18">
        <v>1</v>
      </c>
      <c r="G18" t="s">
        <v>24</v>
      </c>
      <c r="H18" t="s">
        <v>25</v>
      </c>
      <c r="I18" t="s">
        <v>26</v>
      </c>
      <c r="J18" t="s">
        <v>27</v>
      </c>
      <c r="K18" t="s">
        <v>28</v>
      </c>
      <c r="L18" t="s">
        <v>29</v>
      </c>
      <c r="M18" t="s">
        <v>30</v>
      </c>
      <c r="N18" s="4">
        <v>46111</v>
      </c>
    </row>
    <row r="19" spans="2:17" hidden="1" x14ac:dyDescent="0.25">
      <c r="B19">
        <v>738</v>
      </c>
      <c r="C19" t="s">
        <v>544</v>
      </c>
      <c r="D19" t="s">
        <v>525</v>
      </c>
      <c r="E19" t="s">
        <v>545</v>
      </c>
      <c r="F19">
        <v>2</v>
      </c>
      <c r="G19" t="s">
        <v>24</v>
      </c>
      <c r="H19" t="s">
        <v>546</v>
      </c>
      <c r="I19" t="s">
        <v>547</v>
      </c>
      <c r="J19" t="s">
        <v>548</v>
      </c>
      <c r="K19" t="s">
        <v>549</v>
      </c>
      <c r="L19" t="s">
        <v>550</v>
      </c>
      <c r="M19" t="s">
        <v>551</v>
      </c>
      <c r="N19" s="4">
        <v>46111</v>
      </c>
      <c r="Q19" t="s">
        <v>84</v>
      </c>
    </row>
    <row r="20" spans="2:17" x14ac:dyDescent="0.25">
      <c r="B20">
        <v>637</v>
      </c>
      <c r="C20" t="s">
        <v>544</v>
      </c>
      <c r="D20" t="s">
        <v>527</v>
      </c>
      <c r="E20" t="s">
        <v>545</v>
      </c>
      <c r="F20">
        <v>2</v>
      </c>
      <c r="G20" t="s">
        <v>24</v>
      </c>
      <c r="H20" t="s">
        <v>546</v>
      </c>
      <c r="I20" t="s">
        <v>547</v>
      </c>
      <c r="J20" t="s">
        <v>548</v>
      </c>
      <c r="K20" t="s">
        <v>549</v>
      </c>
      <c r="L20" t="s">
        <v>550</v>
      </c>
      <c r="M20" t="s">
        <v>551</v>
      </c>
      <c r="N20" s="4">
        <v>46111</v>
      </c>
    </row>
    <row r="21" spans="2:17" hidden="1" x14ac:dyDescent="0.25">
      <c r="B21">
        <v>748</v>
      </c>
      <c r="C21" t="s">
        <v>494</v>
      </c>
      <c r="D21" t="s">
        <v>525</v>
      </c>
      <c r="E21" t="s">
        <v>495</v>
      </c>
      <c r="F21">
        <v>1</v>
      </c>
      <c r="G21" t="s">
        <v>61</v>
      </c>
      <c r="H21" t="s">
        <v>496</v>
      </c>
      <c r="I21" t="s">
        <v>497</v>
      </c>
      <c r="J21" t="s">
        <v>498</v>
      </c>
      <c r="K21" t="s">
        <v>499</v>
      </c>
      <c r="L21" t="s">
        <v>500</v>
      </c>
      <c r="M21" t="s">
        <v>501</v>
      </c>
      <c r="N21" s="4">
        <v>46111</v>
      </c>
      <c r="Q21" t="s">
        <v>84</v>
      </c>
    </row>
    <row r="22" spans="2:17" x14ac:dyDescent="0.25">
      <c r="B22">
        <v>634</v>
      </c>
      <c r="C22" t="s">
        <v>407</v>
      </c>
      <c r="D22" t="s">
        <v>527</v>
      </c>
      <c r="E22" t="s">
        <v>408</v>
      </c>
      <c r="F22">
        <v>1</v>
      </c>
      <c r="G22" t="s">
        <v>61</v>
      </c>
      <c r="H22" t="s">
        <v>409</v>
      </c>
      <c r="I22" t="s">
        <v>410</v>
      </c>
      <c r="J22" t="s">
        <v>411</v>
      </c>
      <c r="K22" t="s">
        <v>412</v>
      </c>
      <c r="L22" t="s">
        <v>552</v>
      </c>
      <c r="M22" t="s">
        <v>414</v>
      </c>
      <c r="N22" s="4">
        <v>46111</v>
      </c>
    </row>
    <row r="23" spans="2:17" hidden="1" x14ac:dyDescent="0.25">
      <c r="B23">
        <v>698</v>
      </c>
      <c r="C23" t="s">
        <v>34</v>
      </c>
      <c r="D23" t="s">
        <v>525</v>
      </c>
      <c r="E23" t="s">
        <v>35</v>
      </c>
      <c r="F23">
        <v>3</v>
      </c>
      <c r="G23" t="s">
        <v>36</v>
      </c>
      <c r="H23" t="s">
        <v>37</v>
      </c>
      <c r="I23" t="s">
        <v>38</v>
      </c>
      <c r="J23" t="s">
        <v>39</v>
      </c>
      <c r="K23" t="s">
        <v>40</v>
      </c>
      <c r="L23" t="s">
        <v>553</v>
      </c>
      <c r="M23" t="s">
        <v>42</v>
      </c>
      <c r="N23" s="4">
        <v>46111</v>
      </c>
      <c r="Q23" t="s">
        <v>84</v>
      </c>
    </row>
    <row r="24" spans="2:17" x14ac:dyDescent="0.25">
      <c r="B24">
        <v>592</v>
      </c>
      <c r="C24" t="s">
        <v>34</v>
      </c>
      <c r="D24" t="s">
        <v>527</v>
      </c>
      <c r="E24" t="s">
        <v>35</v>
      </c>
      <c r="F24">
        <v>8</v>
      </c>
      <c r="G24" t="s">
        <v>36</v>
      </c>
      <c r="H24" t="s">
        <v>37</v>
      </c>
      <c r="I24" t="s">
        <v>38</v>
      </c>
      <c r="J24" t="s">
        <v>39</v>
      </c>
      <c r="K24" t="s">
        <v>40</v>
      </c>
      <c r="L24" t="s">
        <v>553</v>
      </c>
      <c r="M24" t="s">
        <v>42</v>
      </c>
      <c r="N24" s="4">
        <v>46111</v>
      </c>
    </row>
    <row r="25" spans="2:17" hidden="1" x14ac:dyDescent="0.25">
      <c r="B25">
        <v>712</v>
      </c>
      <c r="C25" t="s">
        <v>166</v>
      </c>
      <c r="D25" t="s">
        <v>525</v>
      </c>
      <c r="E25" t="s">
        <v>167</v>
      </c>
      <c r="F25">
        <v>2</v>
      </c>
      <c r="G25" t="s">
        <v>61</v>
      </c>
      <c r="H25" t="s">
        <v>168</v>
      </c>
      <c r="I25" t="s">
        <v>169</v>
      </c>
      <c r="J25" t="s">
        <v>170</v>
      </c>
      <c r="K25" t="s">
        <v>171</v>
      </c>
      <c r="L25" t="s">
        <v>172</v>
      </c>
      <c r="M25" t="s">
        <v>173</v>
      </c>
      <c r="N25" s="4">
        <v>46111</v>
      </c>
      <c r="Q25" t="s">
        <v>84</v>
      </c>
    </row>
    <row r="26" spans="2:17" x14ac:dyDescent="0.25">
      <c r="B26">
        <v>607</v>
      </c>
      <c r="C26" t="s">
        <v>166</v>
      </c>
      <c r="D26" t="s">
        <v>527</v>
      </c>
      <c r="E26" t="s">
        <v>167</v>
      </c>
      <c r="F26">
        <v>1</v>
      </c>
      <c r="G26" t="s">
        <v>61</v>
      </c>
      <c r="H26" t="s">
        <v>168</v>
      </c>
      <c r="I26" t="s">
        <v>169</v>
      </c>
      <c r="J26" t="s">
        <v>170</v>
      </c>
      <c r="K26" t="s">
        <v>171</v>
      </c>
      <c r="L26" t="s">
        <v>172</v>
      </c>
      <c r="M26" t="s">
        <v>173</v>
      </c>
      <c r="N26" s="4">
        <v>46111</v>
      </c>
    </row>
    <row r="27" spans="2:17" x14ac:dyDescent="0.25">
      <c r="B27">
        <v>626</v>
      </c>
      <c r="C27" t="s">
        <v>326</v>
      </c>
      <c r="D27" t="s">
        <v>527</v>
      </c>
      <c r="E27" t="s">
        <v>327</v>
      </c>
      <c r="F27">
        <v>1</v>
      </c>
      <c r="G27" t="s">
        <v>152</v>
      </c>
      <c r="H27" t="s">
        <v>328</v>
      </c>
      <c r="I27" t="s">
        <v>329</v>
      </c>
      <c r="J27" t="s">
        <v>330</v>
      </c>
      <c r="K27" t="s">
        <v>331</v>
      </c>
      <c r="L27" t="s">
        <v>332</v>
      </c>
      <c r="M27" t="s">
        <v>333</v>
      </c>
      <c r="N27" s="4">
        <v>46111</v>
      </c>
    </row>
    <row r="28" spans="2:17" hidden="1" x14ac:dyDescent="0.25">
      <c r="B28">
        <v>710</v>
      </c>
      <c r="C28" t="s">
        <v>554</v>
      </c>
      <c r="D28" t="s">
        <v>525</v>
      </c>
      <c r="E28" t="s">
        <v>555</v>
      </c>
      <c r="F28">
        <v>1</v>
      </c>
      <c r="G28" t="s">
        <v>61</v>
      </c>
      <c r="H28" t="s">
        <v>556</v>
      </c>
      <c r="I28" t="s">
        <v>557</v>
      </c>
      <c r="J28" t="s">
        <v>558</v>
      </c>
      <c r="K28" t="s">
        <v>559</v>
      </c>
      <c r="L28" t="s">
        <v>560</v>
      </c>
      <c r="M28" t="s">
        <v>561</v>
      </c>
      <c r="N28" s="4">
        <v>46111</v>
      </c>
      <c r="Q28" t="s">
        <v>84</v>
      </c>
    </row>
    <row r="29" spans="2:17" x14ac:dyDescent="0.25">
      <c r="B29">
        <v>606</v>
      </c>
      <c r="C29" t="s">
        <v>554</v>
      </c>
      <c r="D29" t="s">
        <v>527</v>
      </c>
      <c r="E29" t="s">
        <v>555</v>
      </c>
      <c r="F29">
        <v>2</v>
      </c>
      <c r="G29" t="s">
        <v>61</v>
      </c>
      <c r="H29" t="s">
        <v>556</v>
      </c>
      <c r="I29" t="s">
        <v>557</v>
      </c>
      <c r="J29" t="s">
        <v>558</v>
      </c>
      <c r="K29" t="s">
        <v>559</v>
      </c>
      <c r="L29" t="s">
        <v>560</v>
      </c>
      <c r="M29" t="s">
        <v>561</v>
      </c>
      <c r="N29" s="4">
        <v>46111</v>
      </c>
    </row>
    <row r="30" spans="2:17" x14ac:dyDescent="0.25">
      <c r="B30">
        <v>595</v>
      </c>
      <c r="C30" t="s">
        <v>562</v>
      </c>
      <c r="D30" t="s">
        <v>527</v>
      </c>
      <c r="E30" t="s">
        <v>563</v>
      </c>
      <c r="F30">
        <v>1</v>
      </c>
      <c r="G30" t="s">
        <v>61</v>
      </c>
      <c r="H30" t="s">
        <v>564</v>
      </c>
      <c r="I30" t="s">
        <v>565</v>
      </c>
      <c r="J30" t="s">
        <v>566</v>
      </c>
      <c r="K30" t="s">
        <v>567</v>
      </c>
      <c r="L30" t="s">
        <v>568</v>
      </c>
      <c r="M30" t="s">
        <v>569</v>
      </c>
      <c r="N30" s="4">
        <v>46111</v>
      </c>
    </row>
    <row r="31" spans="2:17" x14ac:dyDescent="0.25">
      <c r="B31">
        <v>599</v>
      </c>
      <c r="C31" t="s">
        <v>85</v>
      </c>
      <c r="D31" t="s">
        <v>527</v>
      </c>
      <c r="E31" t="s">
        <v>86</v>
      </c>
      <c r="F31">
        <v>2</v>
      </c>
      <c r="G31" t="s">
        <v>87</v>
      </c>
      <c r="H31" t="s">
        <v>88</v>
      </c>
      <c r="I31" t="s">
        <v>89</v>
      </c>
      <c r="J31" t="s">
        <v>90</v>
      </c>
      <c r="K31" t="s">
        <v>91</v>
      </c>
      <c r="L31" t="s">
        <v>92</v>
      </c>
      <c r="M31" t="s">
        <v>93</v>
      </c>
      <c r="N31" s="4">
        <v>46111</v>
      </c>
    </row>
    <row r="32" spans="2:17" ht="30" customHeight="1" x14ac:dyDescent="0.25">
      <c r="B32">
        <v>638</v>
      </c>
      <c r="C32" t="s">
        <v>439</v>
      </c>
      <c r="D32" t="s">
        <v>527</v>
      </c>
      <c r="E32" t="s">
        <v>440</v>
      </c>
      <c r="F32">
        <v>1</v>
      </c>
      <c r="G32" t="s">
        <v>152</v>
      </c>
      <c r="H32" s="11" t="s">
        <v>441</v>
      </c>
      <c r="I32" s="11" t="s">
        <v>442</v>
      </c>
      <c r="J32" s="11" t="s">
        <v>443</v>
      </c>
      <c r="K32" t="s">
        <v>444</v>
      </c>
      <c r="L32" t="s">
        <v>570</v>
      </c>
      <c r="M32" t="s">
        <v>446</v>
      </c>
      <c r="N32" s="4">
        <v>46111</v>
      </c>
    </row>
    <row r="33" spans="2:17" hidden="1" x14ac:dyDescent="0.25">
      <c r="B33">
        <v>740</v>
      </c>
      <c r="C33" t="s">
        <v>571</v>
      </c>
      <c r="D33" t="s">
        <v>525</v>
      </c>
      <c r="E33" t="s">
        <v>572</v>
      </c>
      <c r="F33">
        <v>1</v>
      </c>
      <c r="G33" t="s">
        <v>573</v>
      </c>
      <c r="H33" t="s">
        <v>574</v>
      </c>
      <c r="I33" t="s">
        <v>575</v>
      </c>
      <c r="J33" t="s">
        <v>576</v>
      </c>
      <c r="K33" t="s">
        <v>577</v>
      </c>
      <c r="L33" t="s">
        <v>578</v>
      </c>
      <c r="M33" t="s">
        <v>579</v>
      </c>
      <c r="N33" s="4">
        <v>46111</v>
      </c>
      <c r="Q33" t="s">
        <v>84</v>
      </c>
    </row>
    <row r="34" spans="2:17" x14ac:dyDescent="0.25">
      <c r="B34">
        <v>640</v>
      </c>
      <c r="C34" t="s">
        <v>571</v>
      </c>
      <c r="D34" t="s">
        <v>527</v>
      </c>
      <c r="E34" t="s">
        <v>572</v>
      </c>
      <c r="F34">
        <v>2</v>
      </c>
      <c r="G34" t="s">
        <v>573</v>
      </c>
      <c r="H34" t="s">
        <v>574</v>
      </c>
      <c r="I34" t="s">
        <v>575</v>
      </c>
      <c r="J34" t="s">
        <v>576</v>
      </c>
      <c r="K34" t="s">
        <v>577</v>
      </c>
      <c r="L34" t="s">
        <v>578</v>
      </c>
      <c r="M34" t="s">
        <v>579</v>
      </c>
      <c r="N34" s="4">
        <v>46111</v>
      </c>
    </row>
    <row r="35" spans="2:17" hidden="1" x14ac:dyDescent="0.25">
      <c r="B35">
        <v>713</v>
      </c>
      <c r="C35" t="s">
        <v>174</v>
      </c>
      <c r="D35" t="s">
        <v>525</v>
      </c>
      <c r="E35" t="s">
        <v>175</v>
      </c>
      <c r="F35">
        <v>11</v>
      </c>
      <c r="G35" t="s">
        <v>152</v>
      </c>
      <c r="H35" t="s">
        <v>176</v>
      </c>
      <c r="I35" t="s">
        <v>177</v>
      </c>
      <c r="J35" t="s">
        <v>178</v>
      </c>
      <c r="K35" t="s">
        <v>179</v>
      </c>
      <c r="L35" t="s">
        <v>180</v>
      </c>
      <c r="M35" t="s">
        <v>181</v>
      </c>
      <c r="N35" s="4">
        <v>46111</v>
      </c>
      <c r="Q35" t="s">
        <v>84</v>
      </c>
    </row>
    <row r="36" spans="2:17" hidden="1" x14ac:dyDescent="0.25">
      <c r="B36">
        <v>706</v>
      </c>
      <c r="C36" t="s">
        <v>109</v>
      </c>
      <c r="D36" t="s">
        <v>525</v>
      </c>
      <c r="E36" t="s">
        <v>110</v>
      </c>
      <c r="F36">
        <v>1</v>
      </c>
      <c r="G36" t="s">
        <v>111</v>
      </c>
      <c r="H36" t="s">
        <v>112</v>
      </c>
      <c r="I36" t="s">
        <v>113</v>
      </c>
      <c r="J36" t="s">
        <v>114</v>
      </c>
      <c r="K36" t="s">
        <v>115</v>
      </c>
      <c r="L36" t="s">
        <v>115</v>
      </c>
      <c r="M36" t="s">
        <v>116</v>
      </c>
      <c r="N36" s="4">
        <v>46111</v>
      </c>
      <c r="Q36" t="s">
        <v>84</v>
      </c>
    </row>
    <row r="37" spans="2:17" x14ac:dyDescent="0.25">
      <c r="B37">
        <v>603</v>
      </c>
      <c r="C37" t="s">
        <v>109</v>
      </c>
      <c r="D37" t="s">
        <v>527</v>
      </c>
      <c r="E37" t="s">
        <v>110</v>
      </c>
      <c r="F37">
        <v>1</v>
      </c>
      <c r="G37" t="s">
        <v>111</v>
      </c>
      <c r="H37" t="s">
        <v>112</v>
      </c>
      <c r="I37" t="s">
        <v>113</v>
      </c>
      <c r="J37" t="s">
        <v>114</v>
      </c>
      <c r="K37" t="s">
        <v>115</v>
      </c>
      <c r="L37" t="s">
        <v>115</v>
      </c>
      <c r="M37" t="s">
        <v>116</v>
      </c>
      <c r="N37" s="4">
        <v>46111</v>
      </c>
    </row>
    <row r="38" spans="2:17" hidden="1" x14ac:dyDescent="0.25">
      <c r="B38">
        <v>702</v>
      </c>
      <c r="C38" t="s">
        <v>580</v>
      </c>
      <c r="D38" t="s">
        <v>525</v>
      </c>
      <c r="E38" t="s">
        <v>581</v>
      </c>
      <c r="F38">
        <v>2</v>
      </c>
      <c r="G38" t="s">
        <v>61</v>
      </c>
      <c r="H38" t="s">
        <v>582</v>
      </c>
      <c r="I38" t="s">
        <v>583</v>
      </c>
      <c r="J38" t="s">
        <v>584</v>
      </c>
      <c r="K38" t="s">
        <v>585</v>
      </c>
      <c r="L38" t="s">
        <v>586</v>
      </c>
      <c r="M38" t="s">
        <v>587</v>
      </c>
      <c r="N38" s="4">
        <v>46111</v>
      </c>
      <c r="Q38" t="s">
        <v>84</v>
      </c>
    </row>
    <row r="39" spans="2:17" x14ac:dyDescent="0.25">
      <c r="B39">
        <v>600</v>
      </c>
      <c r="C39" t="s">
        <v>580</v>
      </c>
      <c r="D39" t="s">
        <v>527</v>
      </c>
      <c r="E39" t="s">
        <v>581</v>
      </c>
      <c r="F39">
        <v>1</v>
      </c>
      <c r="G39" t="s">
        <v>61</v>
      </c>
      <c r="H39" t="s">
        <v>582</v>
      </c>
      <c r="I39" t="s">
        <v>583</v>
      </c>
      <c r="J39" t="s">
        <v>584</v>
      </c>
      <c r="K39" t="s">
        <v>585</v>
      </c>
      <c r="L39" t="s">
        <v>586</v>
      </c>
      <c r="M39" t="s">
        <v>587</v>
      </c>
      <c r="N39" s="4">
        <v>46111</v>
      </c>
    </row>
    <row r="40" spans="2:17" hidden="1" x14ac:dyDescent="0.25">
      <c r="B40">
        <v>731</v>
      </c>
      <c r="C40" t="s">
        <v>350</v>
      </c>
      <c r="D40" t="s">
        <v>525</v>
      </c>
      <c r="E40" t="s">
        <v>351</v>
      </c>
      <c r="F40">
        <v>1</v>
      </c>
      <c r="G40" t="s">
        <v>152</v>
      </c>
      <c r="H40" t="s">
        <v>352</v>
      </c>
      <c r="I40" t="s">
        <v>353</v>
      </c>
      <c r="J40" t="s">
        <v>354</v>
      </c>
      <c r="K40" t="s">
        <v>355</v>
      </c>
      <c r="L40" t="s">
        <v>355</v>
      </c>
      <c r="M40" t="s">
        <v>356</v>
      </c>
      <c r="N40" s="4">
        <v>46111</v>
      </c>
      <c r="Q40" t="s">
        <v>84</v>
      </c>
    </row>
    <row r="41" spans="2:17" x14ac:dyDescent="0.25">
      <c r="B41">
        <v>628</v>
      </c>
      <c r="C41" t="s">
        <v>350</v>
      </c>
      <c r="D41" t="s">
        <v>527</v>
      </c>
      <c r="E41" t="s">
        <v>351</v>
      </c>
      <c r="F41">
        <v>2</v>
      </c>
      <c r="G41" t="s">
        <v>152</v>
      </c>
      <c r="H41" t="s">
        <v>352</v>
      </c>
      <c r="I41" t="s">
        <v>353</v>
      </c>
      <c r="J41" t="s">
        <v>354</v>
      </c>
      <c r="K41" t="s">
        <v>355</v>
      </c>
      <c r="L41" t="s">
        <v>355</v>
      </c>
      <c r="M41" t="s">
        <v>356</v>
      </c>
      <c r="N41" s="4">
        <v>46111</v>
      </c>
    </row>
    <row r="42" spans="2:17" hidden="1" x14ac:dyDescent="0.25">
      <c r="B42">
        <v>734</v>
      </c>
      <c r="C42" t="s">
        <v>391</v>
      </c>
      <c r="D42" t="s">
        <v>525</v>
      </c>
      <c r="E42" t="s">
        <v>392</v>
      </c>
      <c r="F42">
        <v>1</v>
      </c>
      <c r="G42" t="s">
        <v>111</v>
      </c>
      <c r="H42" t="s">
        <v>393</v>
      </c>
      <c r="I42" t="s">
        <v>394</v>
      </c>
      <c r="J42" t="s">
        <v>395</v>
      </c>
      <c r="K42" t="s">
        <v>396</v>
      </c>
      <c r="L42" t="s">
        <v>397</v>
      </c>
      <c r="M42" t="s">
        <v>398</v>
      </c>
      <c r="N42" s="4">
        <v>46111</v>
      </c>
      <c r="Q42" t="s">
        <v>84</v>
      </c>
    </row>
    <row r="43" spans="2:17" hidden="1" x14ac:dyDescent="0.25">
      <c r="B43">
        <v>744</v>
      </c>
      <c r="C43" t="s">
        <v>588</v>
      </c>
      <c r="D43" t="s">
        <v>525</v>
      </c>
      <c r="E43" t="s">
        <v>589</v>
      </c>
      <c r="F43">
        <v>1</v>
      </c>
      <c r="G43" t="s">
        <v>24</v>
      </c>
      <c r="H43" t="s">
        <v>590</v>
      </c>
      <c r="I43" t="s">
        <v>591</v>
      </c>
      <c r="J43" t="s">
        <v>592</v>
      </c>
      <c r="K43" t="s">
        <v>593</v>
      </c>
      <c r="L43" t="s">
        <v>594</v>
      </c>
      <c r="M43" t="s">
        <v>595</v>
      </c>
      <c r="N43" s="4">
        <v>46111</v>
      </c>
      <c r="Q43" t="s">
        <v>84</v>
      </c>
    </row>
    <row r="44" spans="2:17" x14ac:dyDescent="0.25">
      <c r="B44">
        <v>641</v>
      </c>
      <c r="C44" t="s">
        <v>596</v>
      </c>
      <c r="D44" t="s">
        <v>527</v>
      </c>
      <c r="E44" t="s">
        <v>597</v>
      </c>
      <c r="F44">
        <v>1</v>
      </c>
      <c r="G44" t="s">
        <v>61</v>
      </c>
      <c r="H44" t="s">
        <v>598</v>
      </c>
      <c r="I44" t="s">
        <v>599</v>
      </c>
      <c r="J44" t="s">
        <v>600</v>
      </c>
      <c r="K44" t="s">
        <v>601</v>
      </c>
      <c r="L44" t="s">
        <v>602</v>
      </c>
      <c r="M44" t="s">
        <v>603</v>
      </c>
      <c r="N44" s="4">
        <v>46111</v>
      </c>
    </row>
    <row r="45" spans="2:17" x14ac:dyDescent="0.25">
      <c r="B45">
        <v>618</v>
      </c>
      <c r="C45" t="s">
        <v>263</v>
      </c>
      <c r="D45" t="s">
        <v>527</v>
      </c>
      <c r="E45" t="s">
        <v>264</v>
      </c>
      <c r="F45">
        <v>1</v>
      </c>
      <c r="G45" t="s">
        <v>61</v>
      </c>
      <c r="H45" t="s">
        <v>265</v>
      </c>
      <c r="I45" t="s">
        <v>266</v>
      </c>
      <c r="J45" t="s">
        <v>267</v>
      </c>
      <c r="K45" t="s">
        <v>252</v>
      </c>
      <c r="L45" t="s">
        <v>268</v>
      </c>
      <c r="M45" t="s">
        <v>269</v>
      </c>
      <c r="N45" s="4">
        <v>46111</v>
      </c>
    </row>
    <row r="46" spans="2:17" hidden="1" x14ac:dyDescent="0.25">
      <c r="B46">
        <v>703</v>
      </c>
      <c r="C46" t="s">
        <v>94</v>
      </c>
      <c r="D46" t="s">
        <v>525</v>
      </c>
      <c r="E46" t="s">
        <v>95</v>
      </c>
      <c r="F46">
        <v>1</v>
      </c>
      <c r="G46" t="s">
        <v>36</v>
      </c>
      <c r="H46" t="s">
        <v>96</v>
      </c>
      <c r="I46" t="s">
        <v>97</v>
      </c>
      <c r="J46" t="s">
        <v>98</v>
      </c>
      <c r="K46" t="s">
        <v>99</v>
      </c>
      <c r="L46" t="s">
        <v>100</v>
      </c>
      <c r="M46" t="s">
        <v>101</v>
      </c>
      <c r="N46" s="4">
        <v>46111</v>
      </c>
      <c r="Q46" t="s">
        <v>84</v>
      </c>
    </row>
    <row r="47" spans="2:17" hidden="1" x14ac:dyDescent="0.25">
      <c r="B47">
        <v>741</v>
      </c>
      <c r="C47" t="s">
        <v>455</v>
      </c>
      <c r="D47" t="s">
        <v>525</v>
      </c>
      <c r="E47" t="s">
        <v>456</v>
      </c>
      <c r="F47">
        <v>1</v>
      </c>
      <c r="G47" t="s">
        <v>111</v>
      </c>
      <c r="H47" t="s">
        <v>457</v>
      </c>
      <c r="I47" t="s">
        <v>458</v>
      </c>
      <c r="J47" t="s">
        <v>459</v>
      </c>
      <c r="K47" t="s">
        <v>460</v>
      </c>
      <c r="L47" t="s">
        <v>461</v>
      </c>
      <c r="M47" t="s">
        <v>462</v>
      </c>
      <c r="N47" s="4">
        <v>46111</v>
      </c>
      <c r="Q47" t="s">
        <v>84</v>
      </c>
    </row>
    <row r="48" spans="2:17" x14ac:dyDescent="0.25">
      <c r="B48">
        <v>642</v>
      </c>
      <c r="C48" t="s">
        <v>455</v>
      </c>
      <c r="D48" t="s">
        <v>527</v>
      </c>
      <c r="E48" t="s">
        <v>456</v>
      </c>
      <c r="F48">
        <v>2</v>
      </c>
      <c r="G48" t="s">
        <v>111</v>
      </c>
      <c r="H48" t="s">
        <v>457</v>
      </c>
      <c r="I48" t="s">
        <v>458</v>
      </c>
      <c r="J48" t="s">
        <v>459</v>
      </c>
      <c r="K48" t="s">
        <v>460</v>
      </c>
      <c r="L48" t="s">
        <v>461</v>
      </c>
      <c r="M48" t="s">
        <v>462</v>
      </c>
      <c r="N48" s="4">
        <v>46111</v>
      </c>
    </row>
    <row r="49" spans="2:17" hidden="1" x14ac:dyDescent="0.25">
      <c r="B49">
        <v>732</v>
      </c>
      <c r="C49" t="s">
        <v>604</v>
      </c>
      <c r="D49" t="s">
        <v>525</v>
      </c>
      <c r="E49" t="s">
        <v>605</v>
      </c>
      <c r="F49">
        <v>1</v>
      </c>
      <c r="G49" t="s">
        <v>61</v>
      </c>
      <c r="H49" t="s">
        <v>606</v>
      </c>
      <c r="I49" t="s">
        <v>607</v>
      </c>
      <c r="J49" t="s">
        <v>608</v>
      </c>
      <c r="K49" t="s">
        <v>252</v>
      </c>
      <c r="L49" t="s">
        <v>609</v>
      </c>
      <c r="M49" t="s">
        <v>610</v>
      </c>
      <c r="N49" s="4">
        <v>46111</v>
      </c>
      <c r="Q49" t="s">
        <v>84</v>
      </c>
    </row>
    <row r="50" spans="2:17" x14ac:dyDescent="0.25">
      <c r="B50">
        <v>631</v>
      </c>
      <c r="C50" t="s">
        <v>604</v>
      </c>
      <c r="D50" t="s">
        <v>527</v>
      </c>
      <c r="E50" t="s">
        <v>605</v>
      </c>
      <c r="F50">
        <v>1</v>
      </c>
      <c r="G50" t="s">
        <v>61</v>
      </c>
      <c r="H50" t="s">
        <v>606</v>
      </c>
      <c r="I50" t="s">
        <v>607</v>
      </c>
      <c r="J50" t="s">
        <v>608</v>
      </c>
      <c r="K50" t="s">
        <v>252</v>
      </c>
      <c r="L50" t="s">
        <v>609</v>
      </c>
      <c r="M50" t="s">
        <v>610</v>
      </c>
      <c r="N50" s="4">
        <v>46111</v>
      </c>
    </row>
    <row r="51" spans="2:17" hidden="1" x14ac:dyDescent="0.25">
      <c r="B51">
        <v>700</v>
      </c>
      <c r="C51" t="s">
        <v>59</v>
      </c>
      <c r="D51" t="s">
        <v>525</v>
      </c>
      <c r="E51" t="s">
        <v>60</v>
      </c>
      <c r="F51">
        <v>1</v>
      </c>
      <c r="G51" t="s">
        <v>61</v>
      </c>
      <c r="H51" t="s">
        <v>62</v>
      </c>
      <c r="I51" t="s">
        <v>63</v>
      </c>
      <c r="J51" t="s">
        <v>64</v>
      </c>
      <c r="K51" t="s">
        <v>65</v>
      </c>
      <c r="L51" t="s">
        <v>66</v>
      </c>
      <c r="M51" t="s">
        <v>67</v>
      </c>
      <c r="N51" s="4">
        <v>46111</v>
      </c>
      <c r="Q51" t="s">
        <v>84</v>
      </c>
    </row>
    <row r="52" spans="2:17" x14ac:dyDescent="0.25">
      <c r="B52">
        <v>596</v>
      </c>
      <c r="C52" t="s">
        <v>59</v>
      </c>
      <c r="D52" t="s">
        <v>527</v>
      </c>
      <c r="E52" t="s">
        <v>60</v>
      </c>
      <c r="F52">
        <v>2</v>
      </c>
      <c r="G52" t="s">
        <v>61</v>
      </c>
      <c r="H52" t="s">
        <v>62</v>
      </c>
      <c r="I52" t="s">
        <v>63</v>
      </c>
      <c r="J52" t="s">
        <v>64</v>
      </c>
      <c r="K52" t="s">
        <v>65</v>
      </c>
      <c r="L52" t="s">
        <v>66</v>
      </c>
      <c r="M52" t="s">
        <v>67</v>
      </c>
      <c r="N52" s="4">
        <v>46111</v>
      </c>
    </row>
    <row r="53" spans="2:17" hidden="1" x14ac:dyDescent="0.25">
      <c r="B53">
        <v>718</v>
      </c>
      <c r="C53" t="s">
        <v>215</v>
      </c>
      <c r="D53" t="s">
        <v>525</v>
      </c>
      <c r="E53" t="s">
        <v>216</v>
      </c>
      <c r="F53">
        <v>1</v>
      </c>
      <c r="G53" t="s">
        <v>24</v>
      </c>
      <c r="H53" t="s">
        <v>217</v>
      </c>
      <c r="I53" t="s">
        <v>218</v>
      </c>
      <c r="J53" t="s">
        <v>219</v>
      </c>
      <c r="K53" t="s">
        <v>220</v>
      </c>
      <c r="L53" t="s">
        <v>221</v>
      </c>
      <c r="M53" t="s">
        <v>222</v>
      </c>
      <c r="N53" s="4">
        <v>46111</v>
      </c>
      <c r="Q53" t="s">
        <v>84</v>
      </c>
    </row>
    <row r="54" spans="2:17" x14ac:dyDescent="0.25">
      <c r="B54">
        <v>613</v>
      </c>
      <c r="C54" t="s">
        <v>215</v>
      </c>
      <c r="D54" t="s">
        <v>527</v>
      </c>
      <c r="E54" t="s">
        <v>216</v>
      </c>
      <c r="F54">
        <v>1</v>
      </c>
      <c r="G54" t="s">
        <v>24</v>
      </c>
      <c r="H54" t="s">
        <v>217</v>
      </c>
      <c r="I54" t="s">
        <v>218</v>
      </c>
      <c r="J54" t="s">
        <v>219</v>
      </c>
      <c r="K54" t="s">
        <v>220</v>
      </c>
      <c r="L54" t="s">
        <v>221</v>
      </c>
      <c r="M54" t="s">
        <v>222</v>
      </c>
      <c r="N54" s="4">
        <v>46111</v>
      </c>
    </row>
    <row r="55" spans="2:17" hidden="1" x14ac:dyDescent="0.25">
      <c r="B55">
        <v>726</v>
      </c>
      <c r="C55" t="s">
        <v>286</v>
      </c>
      <c r="D55" t="s">
        <v>525</v>
      </c>
      <c r="E55" t="s">
        <v>287</v>
      </c>
      <c r="F55">
        <v>1</v>
      </c>
      <c r="G55" t="s">
        <v>61</v>
      </c>
      <c r="H55" t="s">
        <v>288</v>
      </c>
      <c r="I55" t="s">
        <v>289</v>
      </c>
      <c r="J55" t="s">
        <v>290</v>
      </c>
      <c r="K55" t="s">
        <v>291</v>
      </c>
      <c r="L55" t="s">
        <v>292</v>
      </c>
      <c r="M55" t="s">
        <v>293</v>
      </c>
      <c r="N55" s="4">
        <v>46111</v>
      </c>
      <c r="Q55" t="s">
        <v>84</v>
      </c>
    </row>
    <row r="56" spans="2:17" x14ac:dyDescent="0.25">
      <c r="B56">
        <v>622</v>
      </c>
      <c r="C56" t="s">
        <v>286</v>
      </c>
      <c r="D56" t="s">
        <v>527</v>
      </c>
      <c r="E56" t="s">
        <v>287</v>
      </c>
      <c r="F56">
        <v>1</v>
      </c>
      <c r="G56" t="s">
        <v>61</v>
      </c>
      <c r="H56" t="s">
        <v>288</v>
      </c>
      <c r="I56" t="s">
        <v>289</v>
      </c>
      <c r="J56" t="s">
        <v>290</v>
      </c>
      <c r="K56" t="s">
        <v>291</v>
      </c>
      <c r="L56" t="s">
        <v>292</v>
      </c>
      <c r="M56" t="s">
        <v>293</v>
      </c>
      <c r="N56" s="4">
        <v>46111</v>
      </c>
    </row>
    <row r="57" spans="2:17" hidden="1" x14ac:dyDescent="0.25">
      <c r="B57">
        <v>747</v>
      </c>
      <c r="C57" t="s">
        <v>611</v>
      </c>
      <c r="D57" t="s">
        <v>525</v>
      </c>
      <c r="E57" t="s">
        <v>612</v>
      </c>
      <c r="F57">
        <v>1</v>
      </c>
      <c r="G57" t="s">
        <v>24</v>
      </c>
      <c r="H57" t="s">
        <v>613</v>
      </c>
      <c r="I57" t="s">
        <v>614</v>
      </c>
      <c r="J57" t="s">
        <v>615</v>
      </c>
      <c r="K57" t="s">
        <v>616</v>
      </c>
      <c r="L57" t="s">
        <v>616</v>
      </c>
      <c r="M57" t="s">
        <v>617</v>
      </c>
      <c r="N57" s="4">
        <v>46111</v>
      </c>
      <c r="Q57" t="s">
        <v>84</v>
      </c>
    </row>
    <row r="58" spans="2:17" hidden="1" x14ac:dyDescent="0.25">
      <c r="B58">
        <v>730</v>
      </c>
      <c r="C58" t="s">
        <v>342</v>
      </c>
      <c r="D58" t="s">
        <v>525</v>
      </c>
      <c r="E58" t="s">
        <v>343</v>
      </c>
      <c r="F58">
        <v>1</v>
      </c>
      <c r="G58" t="s">
        <v>24</v>
      </c>
      <c r="H58" t="s">
        <v>344</v>
      </c>
      <c r="I58" t="s">
        <v>345</v>
      </c>
      <c r="J58" t="s">
        <v>346</v>
      </c>
      <c r="K58" t="s">
        <v>347</v>
      </c>
      <c r="L58" t="s">
        <v>348</v>
      </c>
      <c r="M58" t="s">
        <v>349</v>
      </c>
      <c r="N58" s="4">
        <v>46111</v>
      </c>
      <c r="Q58" t="s">
        <v>84</v>
      </c>
    </row>
    <row r="59" spans="2:17" hidden="1" x14ac:dyDescent="0.25">
      <c r="B59">
        <v>709</v>
      </c>
      <c r="C59" t="s">
        <v>618</v>
      </c>
      <c r="D59" t="s">
        <v>525</v>
      </c>
      <c r="E59" t="s">
        <v>619</v>
      </c>
      <c r="F59">
        <v>1</v>
      </c>
      <c r="G59" t="s">
        <v>61</v>
      </c>
      <c r="H59" t="s">
        <v>620</v>
      </c>
      <c r="I59" t="s">
        <v>621</v>
      </c>
      <c r="J59" t="s">
        <v>622</v>
      </c>
      <c r="K59" t="s">
        <v>623</v>
      </c>
      <c r="L59" t="s">
        <v>624</v>
      </c>
      <c r="M59" t="s">
        <v>625</v>
      </c>
      <c r="N59" s="4">
        <v>46111</v>
      </c>
      <c r="Q59" t="s">
        <v>84</v>
      </c>
    </row>
    <row r="60" spans="2:17" x14ac:dyDescent="0.25">
      <c r="B60">
        <v>605</v>
      </c>
      <c r="C60" t="s">
        <v>618</v>
      </c>
      <c r="D60" t="s">
        <v>527</v>
      </c>
      <c r="E60" t="s">
        <v>619</v>
      </c>
      <c r="F60">
        <v>3</v>
      </c>
      <c r="G60" t="s">
        <v>61</v>
      </c>
      <c r="H60" t="s">
        <v>620</v>
      </c>
      <c r="I60" t="s">
        <v>621</v>
      </c>
      <c r="J60" t="s">
        <v>622</v>
      </c>
      <c r="K60" t="s">
        <v>623</v>
      </c>
      <c r="L60" t="s">
        <v>624</v>
      </c>
      <c r="M60" t="s">
        <v>625</v>
      </c>
      <c r="N60" s="4">
        <v>46111</v>
      </c>
    </row>
    <row r="61" spans="2:17" hidden="1" x14ac:dyDescent="0.25">
      <c r="B61">
        <v>704</v>
      </c>
      <c r="C61" t="s">
        <v>626</v>
      </c>
      <c r="D61" t="s">
        <v>525</v>
      </c>
      <c r="E61" t="s">
        <v>627</v>
      </c>
      <c r="F61">
        <v>1</v>
      </c>
      <c r="G61" t="s">
        <v>152</v>
      </c>
      <c r="H61" t="s">
        <v>628</v>
      </c>
      <c r="I61" t="s">
        <v>629</v>
      </c>
      <c r="J61" t="s">
        <v>630</v>
      </c>
      <c r="K61" t="s">
        <v>631</v>
      </c>
      <c r="L61" t="s">
        <v>632</v>
      </c>
      <c r="M61" t="s">
        <v>633</v>
      </c>
      <c r="N61" s="4">
        <v>46111</v>
      </c>
    </row>
    <row r="62" spans="2:17" ht="30" hidden="1" customHeight="1" x14ac:dyDescent="0.25">
      <c r="B62">
        <v>745</v>
      </c>
      <c r="C62" t="s">
        <v>478</v>
      </c>
      <c r="D62" t="s">
        <v>525</v>
      </c>
      <c r="E62" t="s">
        <v>479</v>
      </c>
      <c r="F62">
        <v>1</v>
      </c>
      <c r="G62" t="s">
        <v>111</v>
      </c>
      <c r="H62" s="11" t="s">
        <v>480</v>
      </c>
      <c r="I62" s="11" t="s">
        <v>481</v>
      </c>
      <c r="J62" s="11" t="s">
        <v>482</v>
      </c>
      <c r="K62" t="s">
        <v>483</v>
      </c>
      <c r="L62" t="s">
        <v>634</v>
      </c>
      <c r="M62" t="s">
        <v>485</v>
      </c>
      <c r="N62" s="4">
        <v>46111</v>
      </c>
      <c r="Q62" t="s">
        <v>84</v>
      </c>
    </row>
    <row r="63" spans="2:17" ht="30" customHeight="1" x14ac:dyDescent="0.25">
      <c r="B63">
        <v>644</v>
      </c>
      <c r="C63" t="s">
        <v>478</v>
      </c>
      <c r="D63" t="s">
        <v>527</v>
      </c>
      <c r="E63" t="s">
        <v>479</v>
      </c>
      <c r="F63">
        <v>2</v>
      </c>
      <c r="G63" t="s">
        <v>111</v>
      </c>
      <c r="H63" s="11" t="s">
        <v>480</v>
      </c>
      <c r="I63" s="11" t="s">
        <v>481</v>
      </c>
      <c r="J63" s="11" t="s">
        <v>482</v>
      </c>
      <c r="K63" t="s">
        <v>483</v>
      </c>
      <c r="L63" t="s">
        <v>634</v>
      </c>
      <c r="M63" t="s">
        <v>485</v>
      </c>
      <c r="N63" s="4">
        <v>46111</v>
      </c>
    </row>
    <row r="64" spans="2:17" hidden="1" x14ac:dyDescent="0.25">
      <c r="B64">
        <v>699</v>
      </c>
      <c r="C64" t="s">
        <v>43</v>
      </c>
      <c r="D64" t="s">
        <v>525</v>
      </c>
      <c r="E64" t="s">
        <v>44</v>
      </c>
      <c r="F64">
        <v>7</v>
      </c>
      <c r="G64" t="s">
        <v>24</v>
      </c>
      <c r="H64" t="s">
        <v>45</v>
      </c>
      <c r="I64" t="s">
        <v>46</v>
      </c>
      <c r="J64" t="s">
        <v>47</v>
      </c>
      <c r="K64" t="s">
        <v>48</v>
      </c>
      <c r="L64" t="s">
        <v>49</v>
      </c>
      <c r="M64" t="s">
        <v>50</v>
      </c>
      <c r="N64" s="4">
        <v>46111</v>
      </c>
      <c r="Q64" t="s">
        <v>84</v>
      </c>
    </row>
    <row r="65" spans="2:17" x14ac:dyDescent="0.25">
      <c r="B65">
        <v>593</v>
      </c>
      <c r="C65" t="s">
        <v>43</v>
      </c>
      <c r="D65" t="s">
        <v>527</v>
      </c>
      <c r="E65" t="s">
        <v>44</v>
      </c>
      <c r="F65">
        <v>1</v>
      </c>
      <c r="G65" t="s">
        <v>24</v>
      </c>
      <c r="H65" t="s">
        <v>45</v>
      </c>
      <c r="I65" t="s">
        <v>46</v>
      </c>
      <c r="J65" t="s">
        <v>47</v>
      </c>
      <c r="K65" t="s">
        <v>48</v>
      </c>
      <c r="L65" t="s">
        <v>49</v>
      </c>
      <c r="M65" t="s">
        <v>50</v>
      </c>
      <c r="N65" s="4">
        <v>46111</v>
      </c>
    </row>
    <row r="66" spans="2:17" x14ac:dyDescent="0.25">
      <c r="B66">
        <v>611</v>
      </c>
      <c r="C66" t="s">
        <v>635</v>
      </c>
      <c r="D66" t="s">
        <v>527</v>
      </c>
      <c r="E66" t="s">
        <v>636</v>
      </c>
      <c r="F66">
        <v>1</v>
      </c>
      <c r="G66" t="s">
        <v>637</v>
      </c>
      <c r="H66" t="s">
        <v>638</v>
      </c>
      <c r="I66" t="s">
        <v>639</v>
      </c>
      <c r="J66" t="s">
        <v>640</v>
      </c>
      <c r="K66" t="s">
        <v>641</v>
      </c>
      <c r="L66" t="s">
        <v>642</v>
      </c>
      <c r="M66" t="s">
        <v>643</v>
      </c>
      <c r="N66" s="4">
        <v>46111</v>
      </c>
    </row>
    <row r="67" spans="2:17" hidden="1" x14ac:dyDescent="0.25">
      <c r="B67">
        <v>750</v>
      </c>
      <c r="C67" t="s">
        <v>508</v>
      </c>
      <c r="D67" t="s">
        <v>525</v>
      </c>
      <c r="E67" t="s">
        <v>509</v>
      </c>
      <c r="F67">
        <v>1</v>
      </c>
      <c r="G67" t="s">
        <v>61</v>
      </c>
      <c r="H67" t="s">
        <v>510</v>
      </c>
      <c r="I67" t="s">
        <v>511</v>
      </c>
      <c r="J67" t="s">
        <v>512</v>
      </c>
      <c r="K67" t="s">
        <v>513</v>
      </c>
      <c r="L67" t="s">
        <v>514</v>
      </c>
      <c r="M67" t="s">
        <v>515</v>
      </c>
      <c r="N67" s="4">
        <v>46111</v>
      </c>
      <c r="Q67" t="s">
        <v>84</v>
      </c>
    </row>
    <row r="68" spans="2:17" hidden="1" x14ac:dyDescent="0.25">
      <c r="B68">
        <v>705</v>
      </c>
      <c r="C68" t="s">
        <v>102</v>
      </c>
      <c r="D68" t="s">
        <v>525</v>
      </c>
      <c r="E68" t="s">
        <v>103</v>
      </c>
      <c r="F68">
        <v>1</v>
      </c>
      <c r="G68" t="s">
        <v>61</v>
      </c>
      <c r="H68" t="s">
        <v>104</v>
      </c>
      <c r="I68" t="s">
        <v>105</v>
      </c>
      <c r="J68" t="s">
        <v>106</v>
      </c>
      <c r="K68" t="s">
        <v>107</v>
      </c>
      <c r="L68" t="s">
        <v>107</v>
      </c>
      <c r="M68" t="s">
        <v>108</v>
      </c>
      <c r="N68" s="4">
        <v>46111</v>
      </c>
      <c r="Q68" t="s">
        <v>84</v>
      </c>
    </row>
    <row r="69" spans="2:17" x14ac:dyDescent="0.25">
      <c r="B69">
        <v>602</v>
      </c>
      <c r="C69" t="s">
        <v>102</v>
      </c>
      <c r="D69" t="s">
        <v>527</v>
      </c>
      <c r="E69" t="s">
        <v>103</v>
      </c>
      <c r="F69">
        <v>1</v>
      </c>
      <c r="G69" t="s">
        <v>61</v>
      </c>
      <c r="H69" t="s">
        <v>104</v>
      </c>
      <c r="I69" t="s">
        <v>105</v>
      </c>
      <c r="J69" t="s">
        <v>106</v>
      </c>
      <c r="K69" t="s">
        <v>107</v>
      </c>
      <c r="L69" t="s">
        <v>107</v>
      </c>
      <c r="M69" t="s">
        <v>108</v>
      </c>
      <c r="N69" s="4">
        <v>46111</v>
      </c>
    </row>
    <row r="70" spans="2:17" hidden="1" x14ac:dyDescent="0.25">
      <c r="B70">
        <v>751</v>
      </c>
      <c r="C70" t="s">
        <v>644</v>
      </c>
      <c r="D70" t="s">
        <v>525</v>
      </c>
      <c r="E70" t="s">
        <v>645</v>
      </c>
      <c r="F70">
        <v>1</v>
      </c>
      <c r="G70" t="s">
        <v>61</v>
      </c>
      <c r="H70" t="s">
        <v>646</v>
      </c>
      <c r="I70" t="s">
        <v>647</v>
      </c>
      <c r="J70" t="s">
        <v>648</v>
      </c>
      <c r="K70" t="s">
        <v>649</v>
      </c>
      <c r="L70" t="s">
        <v>650</v>
      </c>
      <c r="N70" s="4">
        <v>46111</v>
      </c>
      <c r="Q70" t="s">
        <v>84</v>
      </c>
    </row>
    <row r="71" spans="2:17" hidden="1" x14ac:dyDescent="0.25">
      <c r="B71">
        <v>736</v>
      </c>
      <c r="C71" t="s">
        <v>424</v>
      </c>
      <c r="D71" t="s">
        <v>525</v>
      </c>
      <c r="E71" t="s">
        <v>425</v>
      </c>
      <c r="F71">
        <v>1</v>
      </c>
      <c r="G71" t="s">
        <v>111</v>
      </c>
      <c r="H71" t="s">
        <v>426</v>
      </c>
      <c r="I71" t="s">
        <v>427</v>
      </c>
      <c r="J71" t="s">
        <v>428</v>
      </c>
      <c r="K71" t="s">
        <v>429</v>
      </c>
      <c r="L71" t="s">
        <v>429</v>
      </c>
      <c r="M71" t="s">
        <v>430</v>
      </c>
      <c r="N71" s="4">
        <v>46111</v>
      </c>
      <c r="Q71" t="s">
        <v>84</v>
      </c>
    </row>
    <row r="72" spans="2:17" hidden="1" x14ac:dyDescent="0.25">
      <c r="B72">
        <v>723</v>
      </c>
      <c r="C72" t="s">
        <v>651</v>
      </c>
      <c r="D72" t="s">
        <v>525</v>
      </c>
      <c r="E72" t="s">
        <v>652</v>
      </c>
      <c r="F72">
        <v>1</v>
      </c>
      <c r="G72" t="s">
        <v>111</v>
      </c>
      <c r="H72" t="s">
        <v>653</v>
      </c>
      <c r="I72" t="s">
        <v>654</v>
      </c>
      <c r="J72" t="s">
        <v>655</v>
      </c>
      <c r="K72" t="s">
        <v>656</v>
      </c>
      <c r="L72" t="s">
        <v>657</v>
      </c>
      <c r="M72" t="s">
        <v>658</v>
      </c>
      <c r="N72" s="4">
        <v>46111</v>
      </c>
      <c r="Q72" t="s">
        <v>84</v>
      </c>
    </row>
    <row r="73" spans="2:17" x14ac:dyDescent="0.25">
      <c r="B73">
        <v>594</v>
      </c>
      <c r="C73" t="s">
        <v>51</v>
      </c>
      <c r="D73" t="s">
        <v>527</v>
      </c>
      <c r="E73" t="s">
        <v>52</v>
      </c>
      <c r="F73">
        <v>2</v>
      </c>
      <c r="G73" t="s">
        <v>24</v>
      </c>
      <c r="H73" t="s">
        <v>53</v>
      </c>
      <c r="I73" t="s">
        <v>54</v>
      </c>
      <c r="J73" t="s">
        <v>55</v>
      </c>
      <c r="K73" t="s">
        <v>56</v>
      </c>
      <c r="L73" t="s">
        <v>57</v>
      </c>
      <c r="M73" t="s">
        <v>58</v>
      </c>
      <c r="N73" s="4">
        <v>46111</v>
      </c>
    </row>
    <row r="74" spans="2:17" hidden="1" x14ac:dyDescent="0.25">
      <c r="B74">
        <v>725</v>
      </c>
      <c r="C74" t="s">
        <v>278</v>
      </c>
      <c r="D74" t="s">
        <v>525</v>
      </c>
      <c r="E74" t="s">
        <v>279</v>
      </c>
      <c r="F74">
        <v>1</v>
      </c>
      <c r="G74" t="s">
        <v>61</v>
      </c>
      <c r="H74" t="s">
        <v>280</v>
      </c>
      <c r="I74" t="s">
        <v>281</v>
      </c>
      <c r="J74" t="s">
        <v>282</v>
      </c>
      <c r="K74" t="s">
        <v>283</v>
      </c>
      <c r="L74" t="s">
        <v>284</v>
      </c>
      <c r="M74" t="s">
        <v>285</v>
      </c>
      <c r="N74" s="4">
        <v>46111</v>
      </c>
      <c r="Q74" t="s">
        <v>84</v>
      </c>
    </row>
    <row r="75" spans="2:17" x14ac:dyDescent="0.25">
      <c r="B75">
        <v>621</v>
      </c>
      <c r="C75" t="s">
        <v>278</v>
      </c>
      <c r="D75" t="s">
        <v>527</v>
      </c>
      <c r="E75" t="s">
        <v>279</v>
      </c>
      <c r="F75">
        <v>2</v>
      </c>
      <c r="G75" t="s">
        <v>61</v>
      </c>
      <c r="H75" t="s">
        <v>280</v>
      </c>
      <c r="I75" t="s">
        <v>281</v>
      </c>
      <c r="J75" t="s">
        <v>282</v>
      </c>
      <c r="K75" t="s">
        <v>283</v>
      </c>
      <c r="L75" t="s">
        <v>284</v>
      </c>
      <c r="M75" t="s">
        <v>285</v>
      </c>
      <c r="N75" s="4">
        <v>46111</v>
      </c>
    </row>
    <row r="76" spans="2:17" hidden="1" x14ac:dyDescent="0.25">
      <c r="B76">
        <v>742</v>
      </c>
      <c r="C76" t="s">
        <v>659</v>
      </c>
      <c r="D76" t="s">
        <v>525</v>
      </c>
      <c r="E76" t="s">
        <v>660</v>
      </c>
      <c r="F76">
        <v>1</v>
      </c>
      <c r="G76" t="s">
        <v>152</v>
      </c>
      <c r="H76" t="s">
        <v>661</v>
      </c>
      <c r="I76" t="s">
        <v>662</v>
      </c>
      <c r="J76" t="s">
        <v>663</v>
      </c>
      <c r="K76" t="s">
        <v>664</v>
      </c>
      <c r="L76" t="s">
        <v>665</v>
      </c>
      <c r="M76" t="s">
        <v>666</v>
      </c>
      <c r="N76" s="4">
        <v>46111</v>
      </c>
      <c r="Q76" t="s">
        <v>84</v>
      </c>
    </row>
    <row r="77" spans="2:17" hidden="1" x14ac:dyDescent="0.25">
      <c r="B77">
        <v>707</v>
      </c>
      <c r="C77" t="s">
        <v>117</v>
      </c>
      <c r="D77" t="s">
        <v>525</v>
      </c>
      <c r="E77" t="s">
        <v>118</v>
      </c>
      <c r="F77">
        <v>1</v>
      </c>
      <c r="G77" t="s">
        <v>24</v>
      </c>
      <c r="H77" t="s">
        <v>119</v>
      </c>
      <c r="I77" t="s">
        <v>120</v>
      </c>
      <c r="J77" t="s">
        <v>121</v>
      </c>
      <c r="K77" t="s">
        <v>122</v>
      </c>
      <c r="L77" t="s">
        <v>123</v>
      </c>
      <c r="M77" t="s">
        <v>124</v>
      </c>
      <c r="N77" s="4">
        <v>46111</v>
      </c>
      <c r="Q77" t="s">
        <v>84</v>
      </c>
    </row>
    <row r="78" spans="2:17" hidden="1" x14ac:dyDescent="0.25">
      <c r="B78">
        <v>714</v>
      </c>
      <c r="C78" t="s">
        <v>667</v>
      </c>
      <c r="D78" t="s">
        <v>525</v>
      </c>
      <c r="E78" t="s">
        <v>668</v>
      </c>
      <c r="F78">
        <v>1</v>
      </c>
      <c r="G78" t="s">
        <v>61</v>
      </c>
      <c r="H78" t="s">
        <v>669</v>
      </c>
      <c r="I78" t="s">
        <v>670</v>
      </c>
      <c r="J78" t="s">
        <v>671</v>
      </c>
      <c r="K78" t="s">
        <v>672</v>
      </c>
      <c r="L78" t="s">
        <v>672</v>
      </c>
      <c r="M78" t="s">
        <v>673</v>
      </c>
      <c r="N78" s="4">
        <v>46111</v>
      </c>
      <c r="Q78" t="s">
        <v>84</v>
      </c>
    </row>
    <row r="79" spans="2:17" x14ac:dyDescent="0.25">
      <c r="B79">
        <v>608</v>
      </c>
      <c r="C79" t="s">
        <v>667</v>
      </c>
      <c r="D79" t="s">
        <v>527</v>
      </c>
      <c r="E79" t="s">
        <v>668</v>
      </c>
      <c r="F79">
        <v>2</v>
      </c>
      <c r="G79" t="s">
        <v>61</v>
      </c>
      <c r="H79" t="s">
        <v>674</v>
      </c>
      <c r="I79" t="s">
        <v>675</v>
      </c>
      <c r="J79" t="s">
        <v>676</v>
      </c>
      <c r="K79" t="s">
        <v>672</v>
      </c>
      <c r="L79" t="s">
        <v>677</v>
      </c>
      <c r="M79" t="s">
        <v>673</v>
      </c>
      <c r="N79" s="4">
        <v>46111</v>
      </c>
    </row>
    <row r="80" spans="2:17" hidden="1" x14ac:dyDescent="0.25">
      <c r="B80">
        <v>749</v>
      </c>
      <c r="C80" t="s">
        <v>502</v>
      </c>
      <c r="D80" t="s">
        <v>525</v>
      </c>
      <c r="E80" t="s">
        <v>503</v>
      </c>
      <c r="F80">
        <v>1</v>
      </c>
      <c r="G80" t="s">
        <v>61</v>
      </c>
      <c r="H80" t="s">
        <v>504</v>
      </c>
      <c r="I80" t="s">
        <v>505</v>
      </c>
      <c r="J80" t="s">
        <v>506</v>
      </c>
      <c r="K80" t="s">
        <v>283</v>
      </c>
      <c r="L80" t="s">
        <v>284</v>
      </c>
      <c r="M80" t="s">
        <v>507</v>
      </c>
      <c r="N80" s="4">
        <v>46111</v>
      </c>
      <c r="Q80" t="s">
        <v>84</v>
      </c>
    </row>
    <row r="81" spans="2:17" x14ac:dyDescent="0.25">
      <c r="B81">
        <v>646</v>
      </c>
      <c r="C81" t="s">
        <v>502</v>
      </c>
      <c r="D81" t="s">
        <v>527</v>
      </c>
      <c r="E81" t="s">
        <v>503</v>
      </c>
      <c r="F81">
        <v>1</v>
      </c>
      <c r="G81" t="s">
        <v>61</v>
      </c>
      <c r="H81" t="s">
        <v>504</v>
      </c>
      <c r="I81" t="s">
        <v>505</v>
      </c>
      <c r="J81" t="s">
        <v>506</v>
      </c>
      <c r="K81" t="s">
        <v>283</v>
      </c>
      <c r="L81" t="s">
        <v>284</v>
      </c>
      <c r="M81" t="s">
        <v>507</v>
      </c>
      <c r="N81" s="4">
        <v>46111</v>
      </c>
    </row>
    <row r="82" spans="2:17" x14ac:dyDescent="0.25">
      <c r="B82">
        <v>633</v>
      </c>
      <c r="C82" t="s">
        <v>383</v>
      </c>
      <c r="D82" t="s">
        <v>527</v>
      </c>
      <c r="E82" t="s">
        <v>384</v>
      </c>
      <c r="F82">
        <v>2</v>
      </c>
      <c r="G82" t="s">
        <v>61</v>
      </c>
      <c r="H82" t="s">
        <v>385</v>
      </c>
      <c r="I82" t="s">
        <v>386</v>
      </c>
      <c r="J82" t="s">
        <v>387</v>
      </c>
      <c r="K82" t="s">
        <v>388</v>
      </c>
      <c r="L82" t="s">
        <v>389</v>
      </c>
      <c r="M82" t="s">
        <v>390</v>
      </c>
      <c r="N82" s="4">
        <v>46111</v>
      </c>
    </row>
    <row r="83" spans="2:17" hidden="1" x14ac:dyDescent="0.25">
      <c r="B83">
        <v>737</v>
      </c>
      <c r="C83" t="s">
        <v>431</v>
      </c>
      <c r="D83" t="s">
        <v>525</v>
      </c>
      <c r="E83" t="s">
        <v>432</v>
      </c>
      <c r="F83">
        <v>1</v>
      </c>
      <c r="G83" t="s">
        <v>152</v>
      </c>
      <c r="H83" t="s">
        <v>433</v>
      </c>
      <c r="I83" t="s">
        <v>434</v>
      </c>
      <c r="J83" t="s">
        <v>435</v>
      </c>
      <c r="K83" t="s">
        <v>436</v>
      </c>
      <c r="L83" t="s">
        <v>437</v>
      </c>
      <c r="M83" t="s">
        <v>438</v>
      </c>
      <c r="N83" s="4">
        <v>46111</v>
      </c>
      <c r="Q83" t="s">
        <v>84</v>
      </c>
    </row>
    <row r="84" spans="2:17" x14ac:dyDescent="0.25">
      <c r="B84">
        <v>636</v>
      </c>
      <c r="C84" t="s">
        <v>431</v>
      </c>
      <c r="D84" t="s">
        <v>527</v>
      </c>
      <c r="E84" t="s">
        <v>432</v>
      </c>
      <c r="F84">
        <v>1</v>
      </c>
      <c r="G84" t="s">
        <v>152</v>
      </c>
      <c r="H84" t="s">
        <v>678</v>
      </c>
      <c r="I84" t="s">
        <v>679</v>
      </c>
      <c r="J84" t="s">
        <v>680</v>
      </c>
      <c r="K84" t="s">
        <v>436</v>
      </c>
      <c r="L84" t="s">
        <v>681</v>
      </c>
      <c r="M84" t="s">
        <v>438</v>
      </c>
      <c r="N84" s="4">
        <v>46111</v>
      </c>
    </row>
    <row r="85" spans="2:17" x14ac:dyDescent="0.25">
      <c r="B85">
        <v>629</v>
      </c>
      <c r="C85" t="s">
        <v>366</v>
      </c>
      <c r="D85" t="s">
        <v>527</v>
      </c>
      <c r="E85" t="s">
        <v>367</v>
      </c>
      <c r="F85">
        <v>2</v>
      </c>
      <c r="G85" t="s">
        <v>368</v>
      </c>
      <c r="H85" t="s">
        <v>369</v>
      </c>
      <c r="I85" t="s">
        <v>370</v>
      </c>
      <c r="J85" t="s">
        <v>371</v>
      </c>
      <c r="K85" t="s">
        <v>372</v>
      </c>
      <c r="L85" t="s">
        <v>682</v>
      </c>
      <c r="M85" t="s">
        <v>374</v>
      </c>
      <c r="N85" s="4">
        <v>46111</v>
      </c>
    </row>
    <row r="86" spans="2:17" hidden="1" x14ac:dyDescent="0.25">
      <c r="B86">
        <v>733</v>
      </c>
      <c r="C86" t="s">
        <v>375</v>
      </c>
      <c r="D86" t="s">
        <v>525</v>
      </c>
      <c r="E86" t="s">
        <v>376</v>
      </c>
      <c r="F86">
        <v>2</v>
      </c>
      <c r="G86" t="s">
        <v>111</v>
      </c>
      <c r="H86" t="s">
        <v>377</v>
      </c>
      <c r="I86" t="s">
        <v>378</v>
      </c>
      <c r="J86" t="s">
        <v>379</v>
      </c>
      <c r="K86" t="s">
        <v>380</v>
      </c>
      <c r="L86" t="s">
        <v>381</v>
      </c>
      <c r="M86" t="s">
        <v>382</v>
      </c>
      <c r="N86" s="4">
        <v>46111</v>
      </c>
      <c r="Q86" t="s">
        <v>84</v>
      </c>
    </row>
    <row r="87" spans="2:17" ht="45" customHeight="1" x14ac:dyDescent="0.25">
      <c r="B87" s="11" t="s">
        <v>683</v>
      </c>
      <c r="C87" t="s">
        <v>375</v>
      </c>
      <c r="D87" t="s">
        <v>527</v>
      </c>
      <c r="E87" t="s">
        <v>376</v>
      </c>
      <c r="F87">
        <v>10</v>
      </c>
      <c r="G87" t="s">
        <v>111</v>
      </c>
      <c r="H87" s="11" t="s">
        <v>684</v>
      </c>
      <c r="I87" s="11" t="s">
        <v>685</v>
      </c>
      <c r="J87" s="11" t="s">
        <v>686</v>
      </c>
      <c r="K87" t="s">
        <v>380</v>
      </c>
      <c r="L87" s="11" t="s">
        <v>687</v>
      </c>
      <c r="M87" t="s">
        <v>382</v>
      </c>
      <c r="N87" s="4">
        <v>46111</v>
      </c>
    </row>
    <row r="88" spans="2:17" hidden="1" x14ac:dyDescent="0.25">
      <c r="B88">
        <v>717</v>
      </c>
      <c r="C88" t="s">
        <v>198</v>
      </c>
      <c r="D88" t="s">
        <v>525</v>
      </c>
      <c r="E88" t="s">
        <v>199</v>
      </c>
      <c r="F88">
        <v>5</v>
      </c>
      <c r="G88" t="s">
        <v>200</v>
      </c>
      <c r="H88" t="s">
        <v>201</v>
      </c>
      <c r="I88" t="s">
        <v>202</v>
      </c>
      <c r="J88" t="s">
        <v>203</v>
      </c>
      <c r="K88" t="s">
        <v>204</v>
      </c>
      <c r="L88" t="s">
        <v>205</v>
      </c>
      <c r="M88" t="s">
        <v>206</v>
      </c>
      <c r="N88" s="4">
        <v>46111</v>
      </c>
      <c r="Q88" t="s">
        <v>84</v>
      </c>
    </row>
    <row r="89" spans="2:17" x14ac:dyDescent="0.25">
      <c r="B89">
        <v>612</v>
      </c>
      <c r="C89" t="s">
        <v>198</v>
      </c>
      <c r="D89" t="s">
        <v>527</v>
      </c>
      <c r="E89" t="s">
        <v>199</v>
      </c>
      <c r="F89">
        <v>4</v>
      </c>
      <c r="G89" t="s">
        <v>200</v>
      </c>
      <c r="H89" t="s">
        <v>201</v>
      </c>
      <c r="I89" t="s">
        <v>202</v>
      </c>
      <c r="J89" t="s">
        <v>203</v>
      </c>
      <c r="K89" t="s">
        <v>204</v>
      </c>
      <c r="L89" t="s">
        <v>205</v>
      </c>
      <c r="M89" t="s">
        <v>206</v>
      </c>
      <c r="N89" s="4">
        <v>46111</v>
      </c>
    </row>
    <row r="90" spans="2:17" ht="120" hidden="1" customHeight="1" x14ac:dyDescent="0.25">
      <c r="B90" s="11" t="s">
        <v>688</v>
      </c>
      <c r="C90" t="s">
        <v>190</v>
      </c>
      <c r="D90" t="s">
        <v>525</v>
      </c>
      <c r="E90" t="s">
        <v>191</v>
      </c>
      <c r="F90">
        <v>10</v>
      </c>
      <c r="G90" t="s">
        <v>24</v>
      </c>
      <c r="H90" s="11" t="s">
        <v>689</v>
      </c>
      <c r="I90" s="11" t="s">
        <v>690</v>
      </c>
      <c r="J90" s="11" t="s">
        <v>691</v>
      </c>
      <c r="K90" t="s">
        <v>195</v>
      </c>
      <c r="L90" s="11" t="s">
        <v>692</v>
      </c>
      <c r="M90" t="s">
        <v>197</v>
      </c>
      <c r="N90" s="4">
        <v>46111</v>
      </c>
      <c r="Q90" t="s">
        <v>84</v>
      </c>
    </row>
    <row r="91" spans="2:17" ht="30" customHeight="1" x14ac:dyDescent="0.25">
      <c r="B91">
        <v>610</v>
      </c>
      <c r="C91" t="s">
        <v>190</v>
      </c>
      <c r="D91" t="s">
        <v>527</v>
      </c>
      <c r="E91" t="s">
        <v>191</v>
      </c>
      <c r="F91">
        <v>1</v>
      </c>
      <c r="G91" t="s">
        <v>24</v>
      </c>
      <c r="H91" s="11" t="s">
        <v>693</v>
      </c>
      <c r="I91" s="11" t="s">
        <v>694</v>
      </c>
      <c r="J91" s="11" t="s">
        <v>695</v>
      </c>
      <c r="K91" t="s">
        <v>195</v>
      </c>
      <c r="L91" t="s">
        <v>696</v>
      </c>
      <c r="M91" t="s">
        <v>197</v>
      </c>
      <c r="N91" s="4">
        <v>46111</v>
      </c>
    </row>
    <row r="92" spans="2:17" hidden="1" x14ac:dyDescent="0.25">
      <c r="B92">
        <v>701</v>
      </c>
      <c r="C92" t="s">
        <v>75</v>
      </c>
      <c r="D92" t="s">
        <v>525</v>
      </c>
      <c r="E92" t="s">
        <v>76</v>
      </c>
      <c r="F92">
        <v>2</v>
      </c>
      <c r="G92" t="s">
        <v>77</v>
      </c>
      <c r="H92" t="s">
        <v>78</v>
      </c>
      <c r="I92" t="s">
        <v>79</v>
      </c>
      <c r="J92" t="s">
        <v>80</v>
      </c>
      <c r="K92" t="s">
        <v>81</v>
      </c>
      <c r="L92" t="s">
        <v>82</v>
      </c>
      <c r="M92" t="s">
        <v>83</v>
      </c>
      <c r="N92" s="4">
        <v>46111</v>
      </c>
      <c r="Q92" t="s">
        <v>84</v>
      </c>
    </row>
    <row r="93" spans="2:17" x14ac:dyDescent="0.25">
      <c r="B93">
        <v>598</v>
      </c>
      <c r="C93" t="s">
        <v>75</v>
      </c>
      <c r="D93" t="s">
        <v>527</v>
      </c>
      <c r="E93" t="s">
        <v>76</v>
      </c>
      <c r="F93">
        <v>1</v>
      </c>
      <c r="G93" t="s">
        <v>77</v>
      </c>
      <c r="H93" t="s">
        <v>78</v>
      </c>
      <c r="I93" t="s">
        <v>79</v>
      </c>
      <c r="J93" t="s">
        <v>80</v>
      </c>
      <c r="K93" t="s">
        <v>81</v>
      </c>
      <c r="L93" t="s">
        <v>82</v>
      </c>
      <c r="M93" t="s">
        <v>83</v>
      </c>
      <c r="N93" s="4">
        <v>46111</v>
      </c>
    </row>
    <row r="94" spans="2:17" hidden="1" x14ac:dyDescent="0.25">
      <c r="B94">
        <v>720</v>
      </c>
      <c r="C94" t="s">
        <v>231</v>
      </c>
      <c r="D94" t="s">
        <v>525</v>
      </c>
      <c r="E94" t="s">
        <v>232</v>
      </c>
      <c r="F94">
        <v>1</v>
      </c>
      <c r="G94" t="s">
        <v>61</v>
      </c>
      <c r="H94" t="s">
        <v>697</v>
      </c>
      <c r="I94" t="s">
        <v>698</v>
      </c>
      <c r="J94" t="s">
        <v>699</v>
      </c>
      <c r="K94" t="s">
        <v>236</v>
      </c>
      <c r="L94" t="s">
        <v>700</v>
      </c>
      <c r="M94" t="s">
        <v>238</v>
      </c>
      <c r="N94" s="4">
        <v>46111</v>
      </c>
      <c r="Q94" t="s">
        <v>84</v>
      </c>
    </row>
    <row r="95" spans="2:17" ht="30" customHeight="1" x14ac:dyDescent="0.25">
      <c r="B95" s="11" t="s">
        <v>701</v>
      </c>
      <c r="C95" t="s">
        <v>231</v>
      </c>
      <c r="D95" t="s">
        <v>527</v>
      </c>
      <c r="E95" t="s">
        <v>232</v>
      </c>
      <c r="F95">
        <v>3</v>
      </c>
      <c r="G95" t="s">
        <v>61</v>
      </c>
      <c r="H95" s="11" t="s">
        <v>702</v>
      </c>
      <c r="I95" s="11" t="s">
        <v>703</v>
      </c>
      <c r="J95" s="11" t="s">
        <v>704</v>
      </c>
      <c r="K95" t="s">
        <v>236</v>
      </c>
      <c r="L95" s="11" t="s">
        <v>705</v>
      </c>
      <c r="M95" t="s">
        <v>238</v>
      </c>
      <c r="N95" s="4">
        <v>46111</v>
      </c>
    </row>
    <row r="96" spans="2:17" hidden="1" x14ac:dyDescent="0.25">
      <c r="B96">
        <v>724</v>
      </c>
      <c r="C96" t="s">
        <v>706</v>
      </c>
      <c r="D96" t="s">
        <v>525</v>
      </c>
      <c r="E96" t="s">
        <v>707</v>
      </c>
      <c r="F96">
        <v>1</v>
      </c>
      <c r="G96" t="s">
        <v>111</v>
      </c>
      <c r="H96" t="s">
        <v>708</v>
      </c>
      <c r="I96" t="s">
        <v>709</v>
      </c>
      <c r="J96" t="s">
        <v>710</v>
      </c>
      <c r="K96" t="s">
        <v>711</v>
      </c>
      <c r="L96" t="s">
        <v>712</v>
      </c>
      <c r="M96" t="s">
        <v>713</v>
      </c>
      <c r="N96" s="4">
        <v>46111</v>
      </c>
      <c r="Q96" t="s">
        <v>84</v>
      </c>
    </row>
    <row r="97" spans="2:17" x14ac:dyDescent="0.25">
      <c r="B97">
        <v>619</v>
      </c>
      <c r="C97" t="s">
        <v>706</v>
      </c>
      <c r="D97" t="s">
        <v>527</v>
      </c>
      <c r="E97" t="s">
        <v>707</v>
      </c>
      <c r="F97">
        <v>1</v>
      </c>
      <c r="G97" t="s">
        <v>111</v>
      </c>
      <c r="H97" t="s">
        <v>708</v>
      </c>
      <c r="I97" t="s">
        <v>709</v>
      </c>
      <c r="J97" t="s">
        <v>710</v>
      </c>
      <c r="K97" t="s">
        <v>711</v>
      </c>
      <c r="L97" t="s">
        <v>712</v>
      </c>
      <c r="M97" t="s">
        <v>713</v>
      </c>
      <c r="N97" s="4">
        <v>46111</v>
      </c>
    </row>
    <row r="98" spans="2:17" x14ac:dyDescent="0.25">
      <c r="B98">
        <v>597</v>
      </c>
      <c r="C98" t="s">
        <v>68</v>
      </c>
      <c r="D98" t="s">
        <v>527</v>
      </c>
      <c r="E98" t="s">
        <v>69</v>
      </c>
      <c r="F98">
        <v>1</v>
      </c>
      <c r="G98" t="s">
        <v>61</v>
      </c>
      <c r="H98" t="s">
        <v>70</v>
      </c>
      <c r="I98" t="s">
        <v>71</v>
      </c>
      <c r="J98" t="s">
        <v>72</v>
      </c>
      <c r="K98" t="s">
        <v>73</v>
      </c>
      <c r="L98" t="s">
        <v>73</v>
      </c>
      <c r="M98" t="s">
        <v>74</v>
      </c>
      <c r="N98" s="4">
        <v>46111</v>
      </c>
    </row>
    <row r="99" spans="2:17" hidden="1" x14ac:dyDescent="0.25">
      <c r="B99">
        <v>743</v>
      </c>
      <c r="C99" t="s">
        <v>471</v>
      </c>
      <c r="D99" t="s">
        <v>525</v>
      </c>
      <c r="E99" t="s">
        <v>472</v>
      </c>
      <c r="F99">
        <v>1</v>
      </c>
      <c r="G99" t="s">
        <v>111</v>
      </c>
      <c r="H99" t="s">
        <v>473</v>
      </c>
      <c r="I99" t="s">
        <v>474</v>
      </c>
      <c r="J99" t="s">
        <v>475</v>
      </c>
      <c r="K99" t="s">
        <v>476</v>
      </c>
      <c r="L99" t="s">
        <v>476</v>
      </c>
      <c r="M99" t="s">
        <v>477</v>
      </c>
      <c r="N99" s="4">
        <v>46111</v>
      </c>
      <c r="Q99" t="s">
        <v>84</v>
      </c>
    </row>
    <row r="100" spans="2:17" x14ac:dyDescent="0.25">
      <c r="B100">
        <v>643</v>
      </c>
      <c r="C100" t="s">
        <v>471</v>
      </c>
      <c r="D100" t="s">
        <v>527</v>
      </c>
      <c r="E100" t="s">
        <v>472</v>
      </c>
      <c r="F100">
        <v>1</v>
      </c>
      <c r="G100" t="s">
        <v>111</v>
      </c>
      <c r="H100" t="s">
        <v>473</v>
      </c>
      <c r="I100" t="s">
        <v>474</v>
      </c>
      <c r="J100" t="s">
        <v>475</v>
      </c>
      <c r="K100" t="s">
        <v>476</v>
      </c>
      <c r="L100" t="s">
        <v>476</v>
      </c>
      <c r="M100" t="s">
        <v>477</v>
      </c>
      <c r="N100" s="4">
        <v>46111</v>
      </c>
    </row>
    <row r="101" spans="2:17" hidden="1" x14ac:dyDescent="0.25">
      <c r="B101">
        <v>721</v>
      </c>
      <c r="C101" t="s">
        <v>239</v>
      </c>
      <c r="D101" t="s">
        <v>525</v>
      </c>
      <c r="E101" t="s">
        <v>240</v>
      </c>
      <c r="F101">
        <v>1</v>
      </c>
      <c r="G101" t="s">
        <v>24</v>
      </c>
      <c r="H101" t="s">
        <v>241</v>
      </c>
      <c r="I101" t="s">
        <v>242</v>
      </c>
      <c r="J101" t="s">
        <v>243</v>
      </c>
      <c r="K101" t="s">
        <v>244</v>
      </c>
      <c r="L101" t="s">
        <v>714</v>
      </c>
      <c r="M101" t="s">
        <v>246</v>
      </c>
      <c r="N101" s="4">
        <v>46111</v>
      </c>
      <c r="Q101" t="s">
        <v>84</v>
      </c>
    </row>
    <row r="102" spans="2:17" hidden="1" x14ac:dyDescent="0.25">
      <c r="B102">
        <v>708</v>
      </c>
      <c r="C102" t="s">
        <v>125</v>
      </c>
      <c r="D102" t="s">
        <v>525</v>
      </c>
      <c r="E102" t="s">
        <v>126</v>
      </c>
      <c r="F102">
        <v>1</v>
      </c>
      <c r="G102" t="s">
        <v>127</v>
      </c>
      <c r="H102" t="s">
        <v>128</v>
      </c>
      <c r="I102" t="s">
        <v>129</v>
      </c>
      <c r="J102" t="s">
        <v>130</v>
      </c>
      <c r="K102" t="s">
        <v>131</v>
      </c>
      <c r="L102" t="s">
        <v>132</v>
      </c>
      <c r="M102" t="s">
        <v>133</v>
      </c>
      <c r="N102" s="4">
        <v>46111</v>
      </c>
      <c r="Q102" t="s">
        <v>84</v>
      </c>
    </row>
    <row r="103" spans="2:17" x14ac:dyDescent="0.25">
      <c r="B103">
        <v>604</v>
      </c>
      <c r="C103" t="s">
        <v>125</v>
      </c>
      <c r="D103" t="s">
        <v>527</v>
      </c>
      <c r="E103" t="s">
        <v>126</v>
      </c>
      <c r="F103">
        <v>1</v>
      </c>
      <c r="G103" t="s">
        <v>127</v>
      </c>
      <c r="H103" t="s">
        <v>128</v>
      </c>
      <c r="I103" t="s">
        <v>129</v>
      </c>
      <c r="J103" t="s">
        <v>130</v>
      </c>
      <c r="K103" t="s">
        <v>131</v>
      </c>
      <c r="L103" t="s">
        <v>132</v>
      </c>
      <c r="M103" t="s">
        <v>133</v>
      </c>
      <c r="N103" s="4">
        <v>46111</v>
      </c>
    </row>
    <row r="104" spans="2:17" x14ac:dyDescent="0.25">
      <c r="B104">
        <v>617</v>
      </c>
      <c r="C104" t="s">
        <v>715</v>
      </c>
      <c r="D104" t="s">
        <v>527</v>
      </c>
      <c r="E104" t="s">
        <v>716</v>
      </c>
      <c r="F104">
        <v>3</v>
      </c>
      <c r="G104" t="s">
        <v>717</v>
      </c>
      <c r="H104" t="s">
        <v>718</v>
      </c>
      <c r="I104" t="s">
        <v>719</v>
      </c>
      <c r="J104" t="s">
        <v>720</v>
      </c>
      <c r="K104" t="s">
        <v>721</v>
      </c>
      <c r="L104" t="s">
        <v>722</v>
      </c>
      <c r="M104" t="s">
        <v>723</v>
      </c>
      <c r="N104" s="4">
        <v>46111</v>
      </c>
    </row>
    <row r="105" spans="2:17" ht="30" customHeight="1" x14ac:dyDescent="0.25">
      <c r="B105" s="11" t="s">
        <v>724</v>
      </c>
      <c r="C105" t="s">
        <v>725</v>
      </c>
      <c r="D105" t="s">
        <v>527</v>
      </c>
      <c r="E105" t="s">
        <v>726</v>
      </c>
      <c r="F105">
        <v>2</v>
      </c>
      <c r="G105" t="s">
        <v>727</v>
      </c>
      <c r="H105" t="s">
        <v>728</v>
      </c>
      <c r="I105" t="s">
        <v>729</v>
      </c>
      <c r="J105" t="s">
        <v>730</v>
      </c>
      <c r="K105" t="s">
        <v>731</v>
      </c>
      <c r="L105" t="s">
        <v>732</v>
      </c>
      <c r="M105" t="s">
        <v>733</v>
      </c>
      <c r="N105" s="4">
        <v>46111</v>
      </c>
    </row>
    <row r="106" spans="2:17" x14ac:dyDescent="0.25">
      <c r="B106">
        <v>630</v>
      </c>
      <c r="C106" t="s">
        <v>734</v>
      </c>
      <c r="D106" t="s">
        <v>527</v>
      </c>
      <c r="E106" t="s">
        <v>735</v>
      </c>
      <c r="F106">
        <v>1</v>
      </c>
      <c r="G106" t="s">
        <v>736</v>
      </c>
      <c r="H106" t="s">
        <v>737</v>
      </c>
      <c r="I106" t="s">
        <v>738</v>
      </c>
      <c r="J106" t="s">
        <v>739</v>
      </c>
      <c r="K106" t="s">
        <v>740</v>
      </c>
      <c r="L106" t="s">
        <v>741</v>
      </c>
      <c r="M106" t="s">
        <v>742</v>
      </c>
      <c r="N106" s="4">
        <v>46111</v>
      </c>
    </row>
    <row r="107" spans="2:17" hidden="1" x14ac:dyDescent="0.25">
      <c r="B107">
        <v>735</v>
      </c>
      <c r="C107" t="s">
        <v>415</v>
      </c>
      <c r="D107" t="s">
        <v>525</v>
      </c>
      <c r="E107" t="s">
        <v>416</v>
      </c>
      <c r="F107">
        <v>1</v>
      </c>
      <c r="G107" t="s">
        <v>417</v>
      </c>
      <c r="H107" t="s">
        <v>418</v>
      </c>
      <c r="I107" t="s">
        <v>419</v>
      </c>
      <c r="J107" t="s">
        <v>420</v>
      </c>
      <c r="K107" t="s">
        <v>421</v>
      </c>
      <c r="L107" t="s">
        <v>422</v>
      </c>
      <c r="M107" t="s">
        <v>423</v>
      </c>
      <c r="N107" s="4">
        <v>46111</v>
      </c>
      <c r="Q107" t="s">
        <v>84</v>
      </c>
    </row>
    <row r="108" spans="2:17" x14ac:dyDescent="0.25">
      <c r="B108">
        <v>635</v>
      </c>
      <c r="C108" t="s">
        <v>415</v>
      </c>
      <c r="D108" t="s">
        <v>527</v>
      </c>
      <c r="E108" t="s">
        <v>416</v>
      </c>
      <c r="F108">
        <v>1</v>
      </c>
      <c r="G108" t="s">
        <v>417</v>
      </c>
      <c r="H108" t="s">
        <v>418</v>
      </c>
      <c r="I108" t="s">
        <v>419</v>
      </c>
      <c r="J108" t="s">
        <v>420</v>
      </c>
      <c r="K108" t="s">
        <v>421</v>
      </c>
      <c r="L108" t="s">
        <v>422</v>
      </c>
      <c r="M108" t="s">
        <v>423</v>
      </c>
      <c r="N108" s="4">
        <v>46111</v>
      </c>
    </row>
    <row r="109" spans="2:17" hidden="1" x14ac:dyDescent="0.25">
      <c r="B109">
        <v>715</v>
      </c>
      <c r="C109" t="s">
        <v>182</v>
      </c>
      <c r="D109" t="s">
        <v>525</v>
      </c>
      <c r="E109" t="s">
        <v>183</v>
      </c>
      <c r="F109">
        <v>1</v>
      </c>
      <c r="G109" t="s">
        <v>111</v>
      </c>
      <c r="H109" t="s">
        <v>184</v>
      </c>
      <c r="I109" t="s">
        <v>185</v>
      </c>
      <c r="J109" t="s">
        <v>186</v>
      </c>
      <c r="K109" t="s">
        <v>187</v>
      </c>
      <c r="L109" t="s">
        <v>188</v>
      </c>
      <c r="M109" t="s">
        <v>189</v>
      </c>
      <c r="N109" s="4">
        <v>46111</v>
      </c>
      <c r="Q109" t="s">
        <v>84</v>
      </c>
    </row>
    <row r="110" spans="2:17" x14ac:dyDescent="0.25">
      <c r="B110">
        <v>609</v>
      </c>
      <c r="C110" t="s">
        <v>182</v>
      </c>
      <c r="D110" t="s">
        <v>527</v>
      </c>
      <c r="E110" t="s">
        <v>183</v>
      </c>
      <c r="F110">
        <v>7</v>
      </c>
      <c r="G110" t="s">
        <v>111</v>
      </c>
      <c r="H110" t="s">
        <v>184</v>
      </c>
      <c r="I110" t="s">
        <v>185</v>
      </c>
      <c r="J110" t="s">
        <v>186</v>
      </c>
      <c r="K110" t="s">
        <v>187</v>
      </c>
      <c r="L110" t="s">
        <v>188</v>
      </c>
      <c r="M110" t="s">
        <v>189</v>
      </c>
      <c r="N110" s="4">
        <v>46111</v>
      </c>
    </row>
    <row r="111" spans="2:17" x14ac:dyDescent="0.25">
      <c r="B111">
        <v>620</v>
      </c>
      <c r="C111" t="s">
        <v>743</v>
      </c>
      <c r="D111" t="s">
        <v>527</v>
      </c>
      <c r="E111" t="s">
        <v>744</v>
      </c>
      <c r="F111">
        <v>6</v>
      </c>
      <c r="G111" t="s">
        <v>745</v>
      </c>
      <c r="H111" t="s">
        <v>746</v>
      </c>
      <c r="I111" t="s">
        <v>747</v>
      </c>
      <c r="J111" t="s">
        <v>748</v>
      </c>
      <c r="K111" t="s">
        <v>749</v>
      </c>
      <c r="L111" t="s">
        <v>750</v>
      </c>
      <c r="M111" t="s">
        <v>751</v>
      </c>
      <c r="N111" s="4">
        <v>46111</v>
      </c>
    </row>
    <row r="112" spans="2:17" hidden="1" x14ac:dyDescent="0.25">
      <c r="B112">
        <v>719</v>
      </c>
      <c r="C112" t="s">
        <v>223</v>
      </c>
      <c r="D112" t="s">
        <v>525</v>
      </c>
      <c r="E112" t="s">
        <v>224</v>
      </c>
      <c r="F112">
        <v>1</v>
      </c>
      <c r="G112" t="s">
        <v>61</v>
      </c>
      <c r="H112" t="s">
        <v>225</v>
      </c>
      <c r="I112" t="s">
        <v>226</v>
      </c>
      <c r="J112" t="s">
        <v>227</v>
      </c>
      <c r="K112" t="s">
        <v>228</v>
      </c>
      <c r="L112" t="s">
        <v>229</v>
      </c>
      <c r="M112" t="s">
        <v>230</v>
      </c>
      <c r="N112" s="4">
        <v>46111</v>
      </c>
      <c r="Q112" t="s">
        <v>84</v>
      </c>
    </row>
    <row r="113" spans="2:14" x14ac:dyDescent="0.25">
      <c r="B113">
        <v>614</v>
      </c>
      <c r="C113" t="s">
        <v>223</v>
      </c>
      <c r="D113" t="s">
        <v>527</v>
      </c>
      <c r="E113" t="s">
        <v>224</v>
      </c>
      <c r="F113">
        <v>1</v>
      </c>
      <c r="G113" t="s">
        <v>61</v>
      </c>
      <c r="H113" t="s">
        <v>225</v>
      </c>
      <c r="I113" t="s">
        <v>226</v>
      </c>
      <c r="J113" t="s">
        <v>227</v>
      </c>
      <c r="K113" t="s">
        <v>228</v>
      </c>
      <c r="L113" t="s">
        <v>229</v>
      </c>
      <c r="M113" t="s">
        <v>230</v>
      </c>
      <c r="N113" s="4">
        <v>46111</v>
      </c>
    </row>
    <row r="114" spans="2:14" x14ac:dyDescent="0.25">
      <c r="F114">
        <f>SUBTOTAL(109,Table2[Kom.])</f>
        <v>108</v>
      </c>
      <c r="N114" s="4"/>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78"/>
  <sheetViews>
    <sheetView workbookViewId="0">
      <selection activeCell="A3" sqref="A3:R78"/>
    </sheetView>
  </sheetViews>
  <sheetFormatPr defaultColWidth="8.85546875" defaultRowHeight="15" x14ac:dyDescent="0.25"/>
  <cols>
    <col min="1" max="1" width="9.28515625" bestFit="1" customWidth="1"/>
    <col min="2" max="2" width="15.140625" bestFit="1" customWidth="1"/>
    <col min="3" max="3" width="9.28515625" bestFit="1" customWidth="1"/>
    <col min="4" max="4" width="58.85546875" bestFit="1" customWidth="1"/>
    <col min="5" max="5" width="90.28515625" bestFit="1" customWidth="1"/>
    <col min="6" max="6" width="9.28515625" bestFit="1" customWidth="1"/>
    <col min="7" max="7" width="14.140625" bestFit="1" customWidth="1"/>
    <col min="8" max="8" width="29.42578125" bestFit="1" customWidth="1"/>
    <col min="9" max="9" width="55.85546875" bestFit="1" customWidth="1"/>
    <col min="10" max="10" width="48.42578125" bestFit="1" customWidth="1"/>
    <col min="11" max="11" width="39" bestFit="1" customWidth="1"/>
    <col min="12" max="12" width="117.85546875" bestFit="1" customWidth="1"/>
    <col min="13" max="13" width="12" bestFit="1" customWidth="1"/>
    <col min="14" max="14" width="21.7109375" bestFit="1" customWidth="1"/>
    <col min="15" max="15" width="14.85546875" bestFit="1" customWidth="1"/>
    <col min="16" max="16" width="15.85546875" bestFit="1" customWidth="1"/>
    <col min="17" max="17" width="12.85546875" bestFit="1" customWidth="1"/>
    <col min="18" max="18" width="13.7109375" bestFit="1" customWidth="1"/>
  </cols>
  <sheetData>
    <row r="1" spans="1:18" x14ac:dyDescent="0.25">
      <c r="A1" s="12" t="s">
        <v>752</v>
      </c>
    </row>
    <row r="3" spans="1:18" x14ac:dyDescent="0.25">
      <c r="A3" t="s">
        <v>1</v>
      </c>
      <c r="B3" t="s">
        <v>753</v>
      </c>
      <c r="C3" t="s">
        <v>4</v>
      </c>
      <c r="D3" t="s">
        <v>6</v>
      </c>
      <c r="E3" t="s">
        <v>5</v>
      </c>
      <c r="F3" t="s">
        <v>7</v>
      </c>
      <c r="G3" t="s">
        <v>8</v>
      </c>
      <c r="H3" t="s">
        <v>9</v>
      </c>
      <c r="I3" t="s">
        <v>10</v>
      </c>
      <c r="J3" t="s">
        <v>11</v>
      </c>
      <c r="K3" t="s">
        <v>12</v>
      </c>
      <c r="L3" t="s">
        <v>13</v>
      </c>
      <c r="M3" t="s">
        <v>14</v>
      </c>
      <c r="N3" t="s">
        <v>16</v>
      </c>
      <c r="O3" t="s">
        <v>17</v>
      </c>
      <c r="P3" t="s">
        <v>18</v>
      </c>
      <c r="Q3" t="s">
        <v>19</v>
      </c>
      <c r="R3" t="s">
        <v>20</v>
      </c>
    </row>
    <row r="4" spans="1:18" ht="30" customHeight="1" x14ac:dyDescent="0.25">
      <c r="B4" s="11" t="s">
        <v>754</v>
      </c>
      <c r="C4" t="s">
        <v>302</v>
      </c>
      <c r="D4" t="s">
        <v>755</v>
      </c>
      <c r="E4" t="s">
        <v>303</v>
      </c>
      <c r="F4">
        <v>2</v>
      </c>
      <c r="G4" t="s">
        <v>61</v>
      </c>
      <c r="H4" t="s">
        <v>304</v>
      </c>
      <c r="I4" t="s">
        <v>305</v>
      </c>
      <c r="J4" t="s">
        <v>306</v>
      </c>
      <c r="K4" t="s">
        <v>307</v>
      </c>
      <c r="L4" s="11" t="s">
        <v>756</v>
      </c>
      <c r="M4" t="s">
        <v>309</v>
      </c>
      <c r="N4" s="4">
        <v>46119</v>
      </c>
      <c r="O4" s="4">
        <v>46126</v>
      </c>
      <c r="Q4" t="s">
        <v>757</v>
      </c>
      <c r="R4" t="s">
        <v>84</v>
      </c>
    </row>
    <row r="5" spans="1:18" x14ac:dyDescent="0.25">
      <c r="B5">
        <v>494</v>
      </c>
      <c r="C5" t="s">
        <v>302</v>
      </c>
      <c r="D5" t="s">
        <v>758</v>
      </c>
      <c r="E5" t="s">
        <v>303</v>
      </c>
      <c r="F5">
        <v>1</v>
      </c>
      <c r="G5" t="s">
        <v>61</v>
      </c>
      <c r="H5" t="s">
        <v>304</v>
      </c>
      <c r="I5" t="s">
        <v>305</v>
      </c>
      <c r="J5" t="s">
        <v>306</v>
      </c>
      <c r="K5" t="s">
        <v>307</v>
      </c>
      <c r="L5" t="s">
        <v>759</v>
      </c>
      <c r="M5" t="s">
        <v>309</v>
      </c>
      <c r="N5" s="4">
        <v>46119</v>
      </c>
      <c r="O5" s="4">
        <v>46126</v>
      </c>
      <c r="Q5" t="s">
        <v>757</v>
      </c>
      <c r="R5" t="s">
        <v>84</v>
      </c>
    </row>
    <row r="6" spans="1:18" x14ac:dyDescent="0.25">
      <c r="B6">
        <v>509</v>
      </c>
      <c r="C6" t="s">
        <v>760</v>
      </c>
      <c r="D6" t="s">
        <v>758</v>
      </c>
      <c r="E6" t="s">
        <v>761</v>
      </c>
      <c r="F6">
        <v>1</v>
      </c>
      <c r="G6" t="s">
        <v>61</v>
      </c>
      <c r="H6" t="s">
        <v>762</v>
      </c>
      <c r="I6" t="s">
        <v>763</v>
      </c>
      <c r="J6" t="s">
        <v>764</v>
      </c>
      <c r="K6" t="s">
        <v>765</v>
      </c>
      <c r="L6" t="s">
        <v>765</v>
      </c>
      <c r="M6" t="s">
        <v>766</v>
      </c>
      <c r="N6" s="4">
        <v>46119</v>
      </c>
      <c r="O6" s="4">
        <v>46126</v>
      </c>
      <c r="Q6" t="s">
        <v>757</v>
      </c>
      <c r="R6" t="s">
        <v>84</v>
      </c>
    </row>
    <row r="7" spans="1:18" x14ac:dyDescent="0.25">
      <c r="B7">
        <v>767</v>
      </c>
      <c r="C7" t="s">
        <v>247</v>
      </c>
      <c r="D7" t="s">
        <v>767</v>
      </c>
      <c r="E7" t="s">
        <v>248</v>
      </c>
      <c r="F7">
        <v>1</v>
      </c>
      <c r="G7" t="s">
        <v>61</v>
      </c>
      <c r="H7" t="s">
        <v>532</v>
      </c>
      <c r="I7" t="s">
        <v>533</v>
      </c>
      <c r="J7" t="s">
        <v>534</v>
      </c>
      <c r="K7" t="s">
        <v>252</v>
      </c>
      <c r="L7" t="s">
        <v>535</v>
      </c>
      <c r="M7" t="s">
        <v>254</v>
      </c>
      <c r="N7" s="4">
        <v>46119</v>
      </c>
    </row>
    <row r="8" spans="1:18" x14ac:dyDescent="0.25">
      <c r="B8">
        <v>491</v>
      </c>
      <c r="C8" t="s">
        <v>247</v>
      </c>
      <c r="D8" t="s">
        <v>758</v>
      </c>
      <c r="E8" t="s">
        <v>248</v>
      </c>
      <c r="F8">
        <v>1</v>
      </c>
      <c r="G8" t="s">
        <v>61</v>
      </c>
      <c r="H8" t="s">
        <v>532</v>
      </c>
      <c r="I8" t="s">
        <v>533</v>
      </c>
      <c r="J8" t="s">
        <v>534</v>
      </c>
      <c r="K8" t="s">
        <v>252</v>
      </c>
      <c r="L8" t="s">
        <v>535</v>
      </c>
      <c r="M8" t="s">
        <v>254</v>
      </c>
      <c r="N8" s="4">
        <v>46119</v>
      </c>
      <c r="O8" s="4">
        <v>46126</v>
      </c>
      <c r="Q8" t="s">
        <v>757</v>
      </c>
      <c r="R8" t="s">
        <v>84</v>
      </c>
    </row>
    <row r="9" spans="1:18" x14ac:dyDescent="0.25">
      <c r="B9">
        <v>488</v>
      </c>
      <c r="C9" t="s">
        <v>207</v>
      </c>
      <c r="D9" t="s">
        <v>758</v>
      </c>
      <c r="E9" t="s">
        <v>208</v>
      </c>
      <c r="F9">
        <v>1</v>
      </c>
      <c r="G9" t="s">
        <v>61</v>
      </c>
      <c r="H9" t="s">
        <v>209</v>
      </c>
      <c r="I9" t="s">
        <v>210</v>
      </c>
      <c r="J9" t="s">
        <v>211</v>
      </c>
      <c r="K9" t="s">
        <v>212</v>
      </c>
      <c r="L9" t="s">
        <v>213</v>
      </c>
      <c r="M9" t="s">
        <v>214</v>
      </c>
      <c r="N9" s="4">
        <v>46119</v>
      </c>
      <c r="O9" s="4">
        <v>46126</v>
      </c>
      <c r="Q9" t="s">
        <v>757</v>
      </c>
      <c r="R9" t="s">
        <v>31</v>
      </c>
    </row>
    <row r="10" spans="1:18" x14ac:dyDescent="0.25">
      <c r="B10">
        <v>527</v>
      </c>
      <c r="C10" t="s">
        <v>768</v>
      </c>
      <c r="D10" t="s">
        <v>755</v>
      </c>
      <c r="E10" t="s">
        <v>769</v>
      </c>
      <c r="F10">
        <v>1</v>
      </c>
      <c r="G10" t="s">
        <v>61</v>
      </c>
      <c r="H10" t="s">
        <v>770</v>
      </c>
      <c r="I10" t="s">
        <v>771</v>
      </c>
      <c r="J10" t="s">
        <v>772</v>
      </c>
      <c r="K10" t="s">
        <v>773</v>
      </c>
      <c r="L10" t="s">
        <v>774</v>
      </c>
      <c r="M10" t="s">
        <v>775</v>
      </c>
      <c r="N10" s="4">
        <v>46119</v>
      </c>
      <c r="O10" s="4">
        <v>46126</v>
      </c>
      <c r="Q10" t="s">
        <v>757</v>
      </c>
      <c r="R10" t="s">
        <v>31</v>
      </c>
    </row>
    <row r="11" spans="1:18" x14ac:dyDescent="0.25">
      <c r="B11">
        <v>483</v>
      </c>
      <c r="C11" t="s">
        <v>768</v>
      </c>
      <c r="D11" t="s">
        <v>758</v>
      </c>
      <c r="E11" t="s">
        <v>769</v>
      </c>
      <c r="F11">
        <v>8</v>
      </c>
      <c r="G11" t="s">
        <v>61</v>
      </c>
      <c r="H11" t="s">
        <v>770</v>
      </c>
      <c r="I11" t="s">
        <v>771</v>
      </c>
      <c r="J11" t="s">
        <v>772</v>
      </c>
      <c r="K11" t="s">
        <v>773</v>
      </c>
      <c r="L11" t="s">
        <v>774</v>
      </c>
      <c r="M11" t="s">
        <v>775</v>
      </c>
      <c r="N11" s="4">
        <v>46119</v>
      </c>
      <c r="O11" s="4">
        <v>46126</v>
      </c>
      <c r="Q11" t="s">
        <v>757</v>
      </c>
      <c r="R11" t="s">
        <v>31</v>
      </c>
    </row>
    <row r="12" spans="1:18" ht="30" customHeight="1" x14ac:dyDescent="0.25">
      <c r="B12" s="11" t="s">
        <v>776</v>
      </c>
      <c r="C12" t="s">
        <v>768</v>
      </c>
      <c r="D12" t="s">
        <v>777</v>
      </c>
      <c r="E12" t="s">
        <v>769</v>
      </c>
      <c r="F12">
        <v>1</v>
      </c>
      <c r="G12" t="s">
        <v>61</v>
      </c>
      <c r="H12" t="s">
        <v>770</v>
      </c>
      <c r="I12" t="s">
        <v>771</v>
      </c>
      <c r="J12" t="s">
        <v>772</v>
      </c>
      <c r="K12" t="s">
        <v>773</v>
      </c>
      <c r="L12" t="s">
        <v>774</v>
      </c>
      <c r="M12" t="s">
        <v>775</v>
      </c>
      <c r="N12" s="4">
        <v>46119</v>
      </c>
      <c r="Q12" t="s">
        <v>31</v>
      </c>
      <c r="R12" t="s">
        <v>31</v>
      </c>
    </row>
    <row r="13" spans="1:18" x14ac:dyDescent="0.25">
      <c r="B13">
        <v>784</v>
      </c>
      <c r="C13" t="s">
        <v>447</v>
      </c>
      <c r="D13" t="s">
        <v>767</v>
      </c>
      <c r="E13" t="s">
        <v>448</v>
      </c>
      <c r="F13">
        <v>1</v>
      </c>
      <c r="G13" t="s">
        <v>24</v>
      </c>
      <c r="H13" t="s">
        <v>449</v>
      </c>
      <c r="I13" t="s">
        <v>450</v>
      </c>
      <c r="J13" t="s">
        <v>451</v>
      </c>
      <c r="K13" t="s">
        <v>452</v>
      </c>
      <c r="L13" t="s">
        <v>453</v>
      </c>
      <c r="M13" t="s">
        <v>454</v>
      </c>
      <c r="N13" s="4">
        <v>46119</v>
      </c>
    </row>
    <row r="14" spans="1:18" x14ac:dyDescent="0.25">
      <c r="B14">
        <v>498</v>
      </c>
      <c r="C14" t="s">
        <v>334</v>
      </c>
      <c r="D14" t="s">
        <v>758</v>
      </c>
      <c r="E14" t="s">
        <v>335</v>
      </c>
      <c r="F14">
        <v>1</v>
      </c>
      <c r="G14" t="s">
        <v>61</v>
      </c>
      <c r="H14" t="s">
        <v>336</v>
      </c>
      <c r="I14" t="s">
        <v>337</v>
      </c>
      <c r="J14" t="s">
        <v>338</v>
      </c>
      <c r="K14" t="s">
        <v>339</v>
      </c>
      <c r="L14" t="s">
        <v>543</v>
      </c>
      <c r="M14" t="s">
        <v>341</v>
      </c>
      <c r="N14" s="4">
        <v>46119</v>
      </c>
      <c r="O14" s="4">
        <v>46126</v>
      </c>
      <c r="Q14" t="s">
        <v>757</v>
      </c>
      <c r="R14" t="s">
        <v>84</v>
      </c>
    </row>
    <row r="15" spans="1:18" x14ac:dyDescent="0.25">
      <c r="B15">
        <v>786</v>
      </c>
      <c r="C15" t="s">
        <v>463</v>
      </c>
      <c r="D15" t="s">
        <v>767</v>
      </c>
      <c r="E15" t="s">
        <v>464</v>
      </c>
      <c r="F15">
        <v>1</v>
      </c>
      <c r="G15" t="s">
        <v>152</v>
      </c>
      <c r="H15" t="s">
        <v>465</v>
      </c>
      <c r="I15" t="s">
        <v>466</v>
      </c>
      <c r="J15" t="s">
        <v>467</v>
      </c>
      <c r="K15" t="s">
        <v>468</v>
      </c>
      <c r="L15" t="s">
        <v>469</v>
      </c>
      <c r="M15" t="s">
        <v>470</v>
      </c>
      <c r="N15" s="4">
        <v>46119</v>
      </c>
    </row>
    <row r="16" spans="1:18" ht="30" customHeight="1" x14ac:dyDescent="0.25">
      <c r="B16" s="11" t="s">
        <v>778</v>
      </c>
      <c r="C16" t="s">
        <v>463</v>
      </c>
      <c r="D16" t="s">
        <v>777</v>
      </c>
      <c r="E16" t="s">
        <v>464</v>
      </c>
      <c r="F16">
        <v>3</v>
      </c>
      <c r="G16" t="s">
        <v>152</v>
      </c>
      <c r="H16" t="s">
        <v>465</v>
      </c>
      <c r="I16" t="s">
        <v>466</v>
      </c>
      <c r="J16" t="s">
        <v>467</v>
      </c>
      <c r="K16" t="s">
        <v>468</v>
      </c>
      <c r="L16" s="11" t="s">
        <v>779</v>
      </c>
      <c r="M16" t="s">
        <v>470</v>
      </c>
      <c r="N16" s="4">
        <v>46119</v>
      </c>
      <c r="Q16" t="s">
        <v>31</v>
      </c>
      <c r="R16" t="s">
        <v>31</v>
      </c>
    </row>
    <row r="17" spans="2:18" x14ac:dyDescent="0.25">
      <c r="B17">
        <v>752</v>
      </c>
      <c r="C17" t="s">
        <v>21</v>
      </c>
      <c r="D17" t="s">
        <v>767</v>
      </c>
      <c r="E17" t="s">
        <v>22</v>
      </c>
      <c r="F17">
        <v>1</v>
      </c>
      <c r="G17" t="s">
        <v>24</v>
      </c>
      <c r="H17" t="s">
        <v>25</v>
      </c>
      <c r="I17" t="s">
        <v>26</v>
      </c>
      <c r="J17" t="s">
        <v>27</v>
      </c>
      <c r="K17" t="s">
        <v>28</v>
      </c>
      <c r="L17" t="s">
        <v>29</v>
      </c>
      <c r="M17" t="s">
        <v>30</v>
      </c>
      <c r="N17" s="4">
        <v>46119</v>
      </c>
    </row>
    <row r="18" spans="2:18" x14ac:dyDescent="0.25">
      <c r="B18">
        <v>526</v>
      </c>
      <c r="C18" t="s">
        <v>159</v>
      </c>
      <c r="D18" t="s">
        <v>755</v>
      </c>
      <c r="E18" t="s">
        <v>160</v>
      </c>
      <c r="F18">
        <v>1</v>
      </c>
      <c r="G18" t="s">
        <v>61</v>
      </c>
      <c r="H18" t="s">
        <v>161</v>
      </c>
      <c r="I18" t="s">
        <v>162</v>
      </c>
      <c r="J18" t="s">
        <v>163</v>
      </c>
      <c r="K18" t="s">
        <v>164</v>
      </c>
      <c r="L18" t="s">
        <v>164</v>
      </c>
      <c r="M18" t="s">
        <v>165</v>
      </c>
      <c r="N18" s="4">
        <v>46119</v>
      </c>
      <c r="O18" s="4">
        <v>46126</v>
      </c>
      <c r="Q18" t="s">
        <v>757</v>
      </c>
      <c r="R18" t="s">
        <v>31</v>
      </c>
    </row>
    <row r="19" spans="2:18" x14ac:dyDescent="0.25">
      <c r="B19">
        <v>482</v>
      </c>
      <c r="C19" t="s">
        <v>159</v>
      </c>
      <c r="D19" t="s">
        <v>758</v>
      </c>
      <c r="E19" t="s">
        <v>160</v>
      </c>
      <c r="F19">
        <v>1</v>
      </c>
      <c r="G19" t="s">
        <v>61</v>
      </c>
      <c r="H19" t="s">
        <v>161</v>
      </c>
      <c r="I19" t="s">
        <v>162</v>
      </c>
      <c r="J19" t="s">
        <v>163</v>
      </c>
      <c r="K19" t="s">
        <v>164</v>
      </c>
      <c r="L19" t="s">
        <v>164</v>
      </c>
      <c r="M19" t="s">
        <v>165</v>
      </c>
      <c r="N19" s="4">
        <v>46119</v>
      </c>
      <c r="O19" s="4">
        <v>46126</v>
      </c>
      <c r="Q19" t="s">
        <v>757</v>
      </c>
      <c r="R19" t="s">
        <v>31</v>
      </c>
    </row>
    <row r="20" spans="2:18" x14ac:dyDescent="0.25">
      <c r="B20">
        <v>759</v>
      </c>
      <c r="C20" t="s">
        <v>166</v>
      </c>
      <c r="D20" t="s">
        <v>767</v>
      </c>
      <c r="E20" t="s">
        <v>167</v>
      </c>
      <c r="F20">
        <v>2</v>
      </c>
      <c r="G20" t="s">
        <v>61</v>
      </c>
      <c r="H20" t="s">
        <v>168</v>
      </c>
      <c r="I20" t="s">
        <v>169</v>
      </c>
      <c r="J20" t="s">
        <v>170</v>
      </c>
      <c r="K20" t="s">
        <v>171</v>
      </c>
      <c r="L20" t="s">
        <v>172</v>
      </c>
      <c r="M20" t="s">
        <v>173</v>
      </c>
      <c r="N20" s="4">
        <v>46119</v>
      </c>
    </row>
    <row r="21" spans="2:18" x14ac:dyDescent="0.25">
      <c r="B21">
        <v>773</v>
      </c>
      <c r="C21" t="s">
        <v>326</v>
      </c>
      <c r="D21" t="s">
        <v>767</v>
      </c>
      <c r="E21" t="s">
        <v>327</v>
      </c>
      <c r="F21">
        <v>1</v>
      </c>
      <c r="G21" t="s">
        <v>152</v>
      </c>
      <c r="H21" t="s">
        <v>328</v>
      </c>
      <c r="I21" t="s">
        <v>329</v>
      </c>
      <c r="J21" t="s">
        <v>330</v>
      </c>
      <c r="K21" t="s">
        <v>331</v>
      </c>
      <c r="L21" t="s">
        <v>332</v>
      </c>
      <c r="M21" t="s">
        <v>333</v>
      </c>
      <c r="N21" s="4">
        <v>46119</v>
      </c>
    </row>
    <row r="22" spans="2:18" x14ac:dyDescent="0.25">
      <c r="B22">
        <v>479</v>
      </c>
      <c r="C22" t="s">
        <v>554</v>
      </c>
      <c r="D22" t="s">
        <v>758</v>
      </c>
      <c r="E22" t="s">
        <v>555</v>
      </c>
      <c r="F22">
        <v>1</v>
      </c>
      <c r="G22" t="s">
        <v>61</v>
      </c>
      <c r="H22" t="s">
        <v>556</v>
      </c>
      <c r="I22" t="s">
        <v>557</v>
      </c>
      <c r="J22" t="s">
        <v>558</v>
      </c>
      <c r="K22" t="s">
        <v>559</v>
      </c>
      <c r="L22" t="s">
        <v>560</v>
      </c>
      <c r="M22" t="s">
        <v>561</v>
      </c>
      <c r="N22" s="4">
        <v>46119</v>
      </c>
      <c r="O22" s="4">
        <v>46126</v>
      </c>
      <c r="Q22" t="s">
        <v>757</v>
      </c>
      <c r="R22" t="s">
        <v>31</v>
      </c>
    </row>
    <row r="23" spans="2:18" x14ac:dyDescent="0.25">
      <c r="B23">
        <v>111</v>
      </c>
      <c r="C23" t="s">
        <v>562</v>
      </c>
      <c r="D23" t="s">
        <v>780</v>
      </c>
      <c r="E23" t="s">
        <v>563</v>
      </c>
      <c r="F23">
        <v>1</v>
      </c>
      <c r="G23" t="s">
        <v>61</v>
      </c>
      <c r="H23" t="s">
        <v>564</v>
      </c>
      <c r="I23" t="s">
        <v>565</v>
      </c>
      <c r="J23" t="s">
        <v>566</v>
      </c>
      <c r="K23" t="s">
        <v>567</v>
      </c>
      <c r="L23" t="s">
        <v>568</v>
      </c>
      <c r="M23" t="s">
        <v>569</v>
      </c>
      <c r="N23" s="4">
        <v>46119</v>
      </c>
      <c r="Q23" t="s">
        <v>31</v>
      </c>
      <c r="R23" t="s">
        <v>31</v>
      </c>
    </row>
    <row r="24" spans="2:18" x14ac:dyDescent="0.25">
      <c r="B24">
        <v>756</v>
      </c>
      <c r="C24" t="s">
        <v>85</v>
      </c>
      <c r="D24" t="s">
        <v>767</v>
      </c>
      <c r="E24" t="s">
        <v>86</v>
      </c>
      <c r="F24">
        <v>1</v>
      </c>
      <c r="G24" t="s">
        <v>87</v>
      </c>
      <c r="H24" t="s">
        <v>88</v>
      </c>
      <c r="I24" t="s">
        <v>89</v>
      </c>
      <c r="J24" t="s">
        <v>90</v>
      </c>
      <c r="K24" t="s">
        <v>91</v>
      </c>
      <c r="L24" t="s">
        <v>92</v>
      </c>
      <c r="M24" t="s">
        <v>93</v>
      </c>
      <c r="N24" s="4">
        <v>46119</v>
      </c>
    </row>
    <row r="25" spans="2:18" ht="30" customHeight="1" x14ac:dyDescent="0.25">
      <c r="B25">
        <v>783</v>
      </c>
      <c r="C25" t="s">
        <v>439</v>
      </c>
      <c r="D25" t="s">
        <v>767</v>
      </c>
      <c r="E25" t="s">
        <v>440</v>
      </c>
      <c r="F25">
        <v>1</v>
      </c>
      <c r="G25" t="s">
        <v>152</v>
      </c>
      <c r="H25" s="11" t="s">
        <v>441</v>
      </c>
      <c r="I25" s="11" t="s">
        <v>442</v>
      </c>
      <c r="J25" s="11" t="s">
        <v>443</v>
      </c>
      <c r="K25" t="s">
        <v>444</v>
      </c>
      <c r="L25" t="s">
        <v>570</v>
      </c>
      <c r="M25" t="s">
        <v>446</v>
      </c>
      <c r="N25" s="4">
        <v>46119</v>
      </c>
    </row>
    <row r="26" spans="2:18" x14ac:dyDescent="0.25">
      <c r="B26">
        <v>785</v>
      </c>
      <c r="C26" t="s">
        <v>571</v>
      </c>
      <c r="D26" t="s">
        <v>767</v>
      </c>
      <c r="E26" t="s">
        <v>572</v>
      </c>
      <c r="F26">
        <v>1</v>
      </c>
      <c r="G26" t="s">
        <v>573</v>
      </c>
      <c r="H26" t="s">
        <v>574</v>
      </c>
      <c r="I26" t="s">
        <v>575</v>
      </c>
      <c r="J26" t="s">
        <v>576</v>
      </c>
      <c r="K26" t="s">
        <v>577</v>
      </c>
      <c r="L26" t="s">
        <v>578</v>
      </c>
      <c r="M26" t="s">
        <v>579</v>
      </c>
      <c r="N26" s="4">
        <v>46119</v>
      </c>
    </row>
    <row r="27" spans="2:18" x14ac:dyDescent="0.25">
      <c r="B27">
        <v>760</v>
      </c>
      <c r="C27" t="s">
        <v>174</v>
      </c>
      <c r="D27" t="s">
        <v>767</v>
      </c>
      <c r="E27" t="s">
        <v>175</v>
      </c>
      <c r="F27">
        <v>1</v>
      </c>
      <c r="G27" t="s">
        <v>152</v>
      </c>
      <c r="H27" t="s">
        <v>176</v>
      </c>
      <c r="I27" t="s">
        <v>177</v>
      </c>
      <c r="J27" t="s">
        <v>178</v>
      </c>
      <c r="K27" t="s">
        <v>179</v>
      </c>
      <c r="L27" t="s">
        <v>180</v>
      </c>
      <c r="M27" t="s">
        <v>181</v>
      </c>
      <c r="N27" s="4">
        <v>46119</v>
      </c>
    </row>
    <row r="28" spans="2:18" x14ac:dyDescent="0.25">
      <c r="B28">
        <v>473</v>
      </c>
      <c r="C28" t="s">
        <v>580</v>
      </c>
      <c r="D28" t="s">
        <v>758</v>
      </c>
      <c r="E28" t="s">
        <v>581</v>
      </c>
      <c r="F28">
        <v>1</v>
      </c>
      <c r="G28" t="s">
        <v>61</v>
      </c>
      <c r="H28" t="s">
        <v>582</v>
      </c>
      <c r="I28" t="s">
        <v>583</v>
      </c>
      <c r="J28" t="s">
        <v>584</v>
      </c>
      <c r="K28" t="s">
        <v>585</v>
      </c>
      <c r="L28" t="s">
        <v>586</v>
      </c>
      <c r="M28" t="s">
        <v>587</v>
      </c>
      <c r="N28" s="4">
        <v>46119</v>
      </c>
      <c r="O28" s="4">
        <v>46126</v>
      </c>
      <c r="Q28" t="s">
        <v>757</v>
      </c>
      <c r="R28" t="s">
        <v>84</v>
      </c>
    </row>
    <row r="29" spans="2:18" x14ac:dyDescent="0.25">
      <c r="B29">
        <v>775</v>
      </c>
      <c r="C29" t="s">
        <v>350</v>
      </c>
      <c r="D29" t="s">
        <v>767</v>
      </c>
      <c r="E29" t="s">
        <v>351</v>
      </c>
      <c r="F29">
        <v>1</v>
      </c>
      <c r="G29" t="s">
        <v>152</v>
      </c>
      <c r="H29" t="s">
        <v>352</v>
      </c>
      <c r="I29" t="s">
        <v>353</v>
      </c>
      <c r="J29" t="s">
        <v>354</v>
      </c>
      <c r="K29" t="s">
        <v>355</v>
      </c>
      <c r="L29" t="s">
        <v>355</v>
      </c>
      <c r="M29" t="s">
        <v>356</v>
      </c>
      <c r="N29" s="4">
        <v>46119</v>
      </c>
    </row>
    <row r="30" spans="2:18" x14ac:dyDescent="0.25">
      <c r="B30">
        <v>459</v>
      </c>
      <c r="C30" t="s">
        <v>391</v>
      </c>
      <c r="D30" t="s">
        <v>777</v>
      </c>
      <c r="E30" t="s">
        <v>392</v>
      </c>
      <c r="F30">
        <v>8</v>
      </c>
      <c r="G30" t="s">
        <v>111</v>
      </c>
      <c r="H30" t="s">
        <v>393</v>
      </c>
      <c r="I30" t="s">
        <v>394</v>
      </c>
      <c r="J30" t="s">
        <v>395</v>
      </c>
      <c r="K30" t="s">
        <v>396</v>
      </c>
      <c r="L30" t="s">
        <v>397</v>
      </c>
      <c r="M30" t="s">
        <v>398</v>
      </c>
      <c r="N30" s="4">
        <v>46119</v>
      </c>
      <c r="Q30" t="s">
        <v>31</v>
      </c>
      <c r="R30" t="s">
        <v>84</v>
      </c>
    </row>
    <row r="31" spans="2:18" x14ac:dyDescent="0.25">
      <c r="B31">
        <v>788</v>
      </c>
      <c r="C31" t="s">
        <v>588</v>
      </c>
      <c r="D31" t="s">
        <v>767</v>
      </c>
      <c r="E31" t="s">
        <v>589</v>
      </c>
      <c r="F31">
        <v>1</v>
      </c>
      <c r="G31" t="s">
        <v>24</v>
      </c>
      <c r="H31" t="s">
        <v>590</v>
      </c>
      <c r="I31" t="s">
        <v>591</v>
      </c>
      <c r="J31" t="s">
        <v>592</v>
      </c>
      <c r="K31" t="s">
        <v>593</v>
      </c>
      <c r="L31" t="s">
        <v>594</v>
      </c>
      <c r="M31" t="s">
        <v>595</v>
      </c>
      <c r="N31" s="4">
        <v>46119</v>
      </c>
    </row>
    <row r="32" spans="2:18" x14ac:dyDescent="0.25">
      <c r="B32">
        <v>542</v>
      </c>
      <c r="C32" t="s">
        <v>596</v>
      </c>
      <c r="D32" t="s">
        <v>755</v>
      </c>
      <c r="E32" t="s">
        <v>597</v>
      </c>
      <c r="F32">
        <v>1</v>
      </c>
      <c r="G32" t="s">
        <v>61</v>
      </c>
      <c r="H32" t="s">
        <v>598</v>
      </c>
      <c r="I32" t="s">
        <v>599</v>
      </c>
      <c r="J32" t="s">
        <v>600</v>
      </c>
      <c r="K32" t="s">
        <v>601</v>
      </c>
      <c r="L32" t="s">
        <v>781</v>
      </c>
      <c r="M32" t="s">
        <v>603</v>
      </c>
      <c r="N32" s="4">
        <v>46119</v>
      </c>
      <c r="O32" s="4">
        <v>46126</v>
      </c>
      <c r="Q32" t="s">
        <v>757</v>
      </c>
      <c r="R32" t="s">
        <v>84</v>
      </c>
    </row>
    <row r="33" spans="2:18" x14ac:dyDescent="0.25">
      <c r="B33">
        <v>768</v>
      </c>
      <c r="C33" t="s">
        <v>263</v>
      </c>
      <c r="D33" t="s">
        <v>767</v>
      </c>
      <c r="E33" t="s">
        <v>264</v>
      </c>
      <c r="F33">
        <v>1</v>
      </c>
      <c r="G33" t="s">
        <v>61</v>
      </c>
      <c r="H33" t="s">
        <v>265</v>
      </c>
      <c r="I33" t="s">
        <v>266</v>
      </c>
      <c r="J33" t="s">
        <v>267</v>
      </c>
      <c r="K33" t="s">
        <v>252</v>
      </c>
      <c r="L33" t="s">
        <v>268</v>
      </c>
      <c r="M33" t="s">
        <v>269</v>
      </c>
      <c r="N33" s="4">
        <v>46119</v>
      </c>
    </row>
    <row r="34" spans="2:18" x14ac:dyDescent="0.25">
      <c r="B34">
        <v>523</v>
      </c>
      <c r="C34" t="s">
        <v>142</v>
      </c>
      <c r="D34" t="s">
        <v>755</v>
      </c>
      <c r="E34" t="s">
        <v>143</v>
      </c>
      <c r="F34">
        <v>1</v>
      </c>
      <c r="G34" t="s">
        <v>61</v>
      </c>
      <c r="H34" t="s">
        <v>144</v>
      </c>
      <c r="I34" t="s">
        <v>145</v>
      </c>
      <c r="J34" t="s">
        <v>146</v>
      </c>
      <c r="K34" t="s">
        <v>147</v>
      </c>
      <c r="L34" t="s">
        <v>148</v>
      </c>
      <c r="M34" t="s">
        <v>149</v>
      </c>
      <c r="N34" s="4">
        <v>46119</v>
      </c>
      <c r="O34" s="4">
        <v>46126</v>
      </c>
      <c r="Q34" t="s">
        <v>757</v>
      </c>
      <c r="R34" t="s">
        <v>84</v>
      </c>
    </row>
    <row r="35" spans="2:18" x14ac:dyDescent="0.25">
      <c r="B35">
        <v>754</v>
      </c>
      <c r="C35" t="s">
        <v>59</v>
      </c>
      <c r="D35" t="s">
        <v>767</v>
      </c>
      <c r="E35" t="s">
        <v>60</v>
      </c>
      <c r="F35">
        <v>1</v>
      </c>
      <c r="G35" t="s">
        <v>61</v>
      </c>
      <c r="H35" t="s">
        <v>62</v>
      </c>
      <c r="I35" t="s">
        <v>63</v>
      </c>
      <c r="J35" t="s">
        <v>64</v>
      </c>
      <c r="K35" t="s">
        <v>65</v>
      </c>
      <c r="L35" t="s">
        <v>66</v>
      </c>
      <c r="M35" t="s">
        <v>67</v>
      </c>
      <c r="N35" s="4">
        <v>46119</v>
      </c>
    </row>
    <row r="36" spans="2:18" x14ac:dyDescent="0.25">
      <c r="B36">
        <v>112</v>
      </c>
      <c r="C36" t="s">
        <v>59</v>
      </c>
      <c r="D36" t="s">
        <v>780</v>
      </c>
      <c r="E36" t="s">
        <v>60</v>
      </c>
      <c r="F36">
        <v>2</v>
      </c>
      <c r="G36" t="s">
        <v>61</v>
      </c>
      <c r="H36" t="s">
        <v>62</v>
      </c>
      <c r="I36" t="s">
        <v>63</v>
      </c>
      <c r="J36" t="s">
        <v>64</v>
      </c>
      <c r="K36" t="s">
        <v>65</v>
      </c>
      <c r="L36" t="s">
        <v>66</v>
      </c>
      <c r="M36" t="s">
        <v>67</v>
      </c>
      <c r="N36" s="4">
        <v>46119</v>
      </c>
      <c r="Q36" t="s">
        <v>31</v>
      </c>
      <c r="R36" t="s">
        <v>31</v>
      </c>
    </row>
    <row r="37" spans="2:18" x14ac:dyDescent="0.25">
      <c r="B37">
        <v>518</v>
      </c>
      <c r="C37" t="s">
        <v>59</v>
      </c>
      <c r="D37" t="s">
        <v>755</v>
      </c>
      <c r="E37" t="s">
        <v>60</v>
      </c>
      <c r="F37">
        <v>1</v>
      </c>
      <c r="G37" t="s">
        <v>61</v>
      </c>
      <c r="H37" t="s">
        <v>62</v>
      </c>
      <c r="I37" t="s">
        <v>63</v>
      </c>
      <c r="J37" t="s">
        <v>64</v>
      </c>
      <c r="K37" t="s">
        <v>65</v>
      </c>
      <c r="L37" t="s">
        <v>66</v>
      </c>
      <c r="M37" t="s">
        <v>67</v>
      </c>
      <c r="N37" s="4">
        <v>46119</v>
      </c>
      <c r="O37" s="4">
        <v>46126</v>
      </c>
      <c r="Q37" t="s">
        <v>757</v>
      </c>
      <c r="R37" t="s">
        <v>31</v>
      </c>
    </row>
    <row r="38" spans="2:18" x14ac:dyDescent="0.25">
      <c r="B38">
        <v>469</v>
      </c>
      <c r="C38" t="s">
        <v>59</v>
      </c>
      <c r="D38" t="s">
        <v>758</v>
      </c>
      <c r="E38" t="s">
        <v>60</v>
      </c>
      <c r="F38">
        <v>3</v>
      </c>
      <c r="G38" t="s">
        <v>61</v>
      </c>
      <c r="H38" t="s">
        <v>62</v>
      </c>
      <c r="I38" t="s">
        <v>63</v>
      </c>
      <c r="J38" t="s">
        <v>64</v>
      </c>
      <c r="K38" t="s">
        <v>65</v>
      </c>
      <c r="L38" t="s">
        <v>66</v>
      </c>
      <c r="M38" t="s">
        <v>67</v>
      </c>
      <c r="N38" s="4">
        <v>46119</v>
      </c>
      <c r="O38" s="4">
        <v>46126</v>
      </c>
      <c r="Q38" t="s">
        <v>757</v>
      </c>
      <c r="R38" t="s">
        <v>31</v>
      </c>
    </row>
    <row r="39" spans="2:18" x14ac:dyDescent="0.25">
      <c r="B39">
        <v>517</v>
      </c>
      <c r="C39" t="s">
        <v>782</v>
      </c>
      <c r="D39" t="s">
        <v>755</v>
      </c>
      <c r="E39" t="s">
        <v>783</v>
      </c>
      <c r="F39">
        <v>1</v>
      </c>
      <c r="G39" t="s">
        <v>784</v>
      </c>
      <c r="H39" t="s">
        <v>785</v>
      </c>
      <c r="I39" t="s">
        <v>786</v>
      </c>
      <c r="J39" t="s">
        <v>787</v>
      </c>
      <c r="K39" t="s">
        <v>788</v>
      </c>
      <c r="L39" t="s">
        <v>789</v>
      </c>
      <c r="M39" t="s">
        <v>790</v>
      </c>
      <c r="N39" s="4">
        <v>46119</v>
      </c>
      <c r="O39" s="4">
        <v>46126</v>
      </c>
      <c r="Q39" t="s">
        <v>757</v>
      </c>
      <c r="R39" t="s">
        <v>31</v>
      </c>
    </row>
    <row r="40" spans="2:18" x14ac:dyDescent="0.25">
      <c r="B40">
        <v>763</v>
      </c>
      <c r="C40" t="s">
        <v>215</v>
      </c>
      <c r="D40" t="s">
        <v>767</v>
      </c>
      <c r="E40" t="s">
        <v>216</v>
      </c>
      <c r="F40">
        <v>1</v>
      </c>
      <c r="G40" t="s">
        <v>24</v>
      </c>
      <c r="H40" t="s">
        <v>217</v>
      </c>
      <c r="I40" t="s">
        <v>218</v>
      </c>
      <c r="J40" t="s">
        <v>219</v>
      </c>
      <c r="K40" t="s">
        <v>220</v>
      </c>
      <c r="L40" t="s">
        <v>221</v>
      </c>
      <c r="M40" t="s">
        <v>222</v>
      </c>
      <c r="N40" s="4">
        <v>46119</v>
      </c>
    </row>
    <row r="41" spans="2:18" x14ac:dyDescent="0.25">
      <c r="B41">
        <v>772</v>
      </c>
      <c r="C41" t="s">
        <v>286</v>
      </c>
      <c r="D41" t="s">
        <v>767</v>
      </c>
      <c r="E41" t="s">
        <v>287</v>
      </c>
      <c r="F41">
        <v>1</v>
      </c>
      <c r="G41" t="s">
        <v>61</v>
      </c>
      <c r="H41" t="s">
        <v>288</v>
      </c>
      <c r="I41" t="s">
        <v>289</v>
      </c>
      <c r="J41" t="s">
        <v>290</v>
      </c>
      <c r="K41" t="s">
        <v>291</v>
      </c>
      <c r="L41" t="s">
        <v>292</v>
      </c>
      <c r="M41" t="s">
        <v>293</v>
      </c>
      <c r="N41" s="4">
        <v>46119</v>
      </c>
    </row>
    <row r="42" spans="2:18" x14ac:dyDescent="0.25">
      <c r="B42">
        <v>789</v>
      </c>
      <c r="C42" t="s">
        <v>611</v>
      </c>
      <c r="D42" t="s">
        <v>767</v>
      </c>
      <c r="E42" t="s">
        <v>612</v>
      </c>
      <c r="F42">
        <v>1</v>
      </c>
      <c r="G42" t="s">
        <v>24</v>
      </c>
      <c r="H42" t="s">
        <v>613</v>
      </c>
      <c r="I42" t="s">
        <v>614</v>
      </c>
      <c r="J42" t="s">
        <v>615</v>
      </c>
      <c r="K42" t="s">
        <v>616</v>
      </c>
      <c r="L42" t="s">
        <v>616</v>
      </c>
      <c r="M42" t="s">
        <v>617</v>
      </c>
      <c r="N42" s="4">
        <v>46119</v>
      </c>
    </row>
    <row r="43" spans="2:18" x14ac:dyDescent="0.25">
      <c r="B43">
        <v>780</v>
      </c>
      <c r="C43" t="s">
        <v>399</v>
      </c>
      <c r="D43" t="s">
        <v>767</v>
      </c>
      <c r="E43" t="s">
        <v>400</v>
      </c>
      <c r="F43">
        <v>1</v>
      </c>
      <c r="G43" t="s">
        <v>152</v>
      </c>
      <c r="H43" t="s">
        <v>401</v>
      </c>
      <c r="I43" t="s">
        <v>402</v>
      </c>
      <c r="J43" t="s">
        <v>403</v>
      </c>
      <c r="K43" t="s">
        <v>404</v>
      </c>
      <c r="L43" t="s">
        <v>791</v>
      </c>
      <c r="M43" t="s">
        <v>406</v>
      </c>
      <c r="N43" s="4">
        <v>46119</v>
      </c>
    </row>
    <row r="44" spans="2:18" x14ac:dyDescent="0.25">
      <c r="B44">
        <v>774</v>
      </c>
      <c r="C44" t="s">
        <v>342</v>
      </c>
      <c r="D44" t="s">
        <v>767</v>
      </c>
      <c r="E44" t="s">
        <v>343</v>
      </c>
      <c r="F44">
        <v>1</v>
      </c>
      <c r="G44" t="s">
        <v>24</v>
      </c>
      <c r="H44" t="s">
        <v>344</v>
      </c>
      <c r="I44" t="s">
        <v>345</v>
      </c>
      <c r="J44" t="s">
        <v>346</v>
      </c>
      <c r="K44" t="s">
        <v>347</v>
      </c>
      <c r="L44" t="s">
        <v>348</v>
      </c>
      <c r="M44" t="s">
        <v>349</v>
      </c>
      <c r="N44" s="4">
        <v>46119</v>
      </c>
    </row>
    <row r="45" spans="2:18" x14ac:dyDescent="0.25">
      <c r="B45">
        <v>522</v>
      </c>
      <c r="C45" t="s">
        <v>618</v>
      </c>
      <c r="D45" t="s">
        <v>755</v>
      </c>
      <c r="E45" t="s">
        <v>619</v>
      </c>
      <c r="F45">
        <v>2</v>
      </c>
      <c r="G45" t="s">
        <v>61</v>
      </c>
      <c r="H45" t="s">
        <v>620</v>
      </c>
      <c r="I45" t="s">
        <v>621</v>
      </c>
      <c r="J45" t="s">
        <v>622</v>
      </c>
      <c r="K45" t="s">
        <v>623</v>
      </c>
      <c r="L45" t="s">
        <v>624</v>
      </c>
      <c r="M45" t="s">
        <v>625</v>
      </c>
      <c r="N45" s="4">
        <v>46119</v>
      </c>
      <c r="O45" s="4">
        <v>46126</v>
      </c>
      <c r="Q45" t="s">
        <v>757</v>
      </c>
      <c r="R45" t="s">
        <v>31</v>
      </c>
    </row>
    <row r="46" spans="2:18" x14ac:dyDescent="0.25">
      <c r="B46">
        <v>770</v>
      </c>
      <c r="C46" t="s">
        <v>270</v>
      </c>
      <c r="D46" t="s">
        <v>767</v>
      </c>
      <c r="E46" t="s">
        <v>271</v>
      </c>
      <c r="F46">
        <v>1</v>
      </c>
      <c r="G46" t="s">
        <v>61</v>
      </c>
      <c r="H46" t="s">
        <v>272</v>
      </c>
      <c r="I46" t="s">
        <v>273</v>
      </c>
      <c r="J46" t="s">
        <v>274</v>
      </c>
      <c r="K46" t="s">
        <v>275</v>
      </c>
      <c r="L46" t="s">
        <v>792</v>
      </c>
      <c r="M46" t="s">
        <v>277</v>
      </c>
      <c r="N46" s="4">
        <v>46119</v>
      </c>
    </row>
    <row r="47" spans="2:18" x14ac:dyDescent="0.25">
      <c r="B47">
        <v>790</v>
      </c>
      <c r="C47" t="s">
        <v>508</v>
      </c>
      <c r="D47" t="s">
        <v>767</v>
      </c>
      <c r="E47" t="s">
        <v>509</v>
      </c>
      <c r="F47">
        <v>1</v>
      </c>
      <c r="G47" t="s">
        <v>61</v>
      </c>
      <c r="H47" t="s">
        <v>510</v>
      </c>
      <c r="I47" t="s">
        <v>511</v>
      </c>
      <c r="J47" t="s">
        <v>512</v>
      </c>
      <c r="K47" t="s">
        <v>513</v>
      </c>
      <c r="L47" t="s">
        <v>514</v>
      </c>
      <c r="M47" t="s">
        <v>515</v>
      </c>
      <c r="N47" s="4">
        <v>46119</v>
      </c>
    </row>
    <row r="48" spans="2:18" x14ac:dyDescent="0.25">
      <c r="B48">
        <v>543</v>
      </c>
      <c r="C48" t="s">
        <v>508</v>
      </c>
      <c r="D48" t="s">
        <v>755</v>
      </c>
      <c r="E48" t="s">
        <v>509</v>
      </c>
      <c r="F48">
        <v>2</v>
      </c>
      <c r="G48" t="s">
        <v>61</v>
      </c>
      <c r="H48" t="s">
        <v>510</v>
      </c>
      <c r="I48" t="s">
        <v>511</v>
      </c>
      <c r="J48" t="s">
        <v>512</v>
      </c>
      <c r="K48" t="s">
        <v>513</v>
      </c>
      <c r="L48" t="s">
        <v>514</v>
      </c>
      <c r="M48" t="s">
        <v>515</v>
      </c>
      <c r="N48" s="4">
        <v>46119</v>
      </c>
      <c r="O48" s="4">
        <v>46126</v>
      </c>
      <c r="Q48" t="s">
        <v>757</v>
      </c>
      <c r="R48" t="s">
        <v>31</v>
      </c>
    </row>
    <row r="49" spans="2:18" x14ac:dyDescent="0.25">
      <c r="B49">
        <v>544</v>
      </c>
      <c r="C49" t="s">
        <v>644</v>
      </c>
      <c r="D49" t="s">
        <v>755</v>
      </c>
      <c r="E49" t="s">
        <v>645</v>
      </c>
      <c r="F49">
        <v>1</v>
      </c>
      <c r="G49" t="s">
        <v>61</v>
      </c>
      <c r="H49" t="s">
        <v>646</v>
      </c>
      <c r="I49" t="s">
        <v>647</v>
      </c>
      <c r="J49" t="s">
        <v>648</v>
      </c>
      <c r="K49" t="s">
        <v>649</v>
      </c>
      <c r="L49" t="s">
        <v>650</v>
      </c>
      <c r="N49" s="4">
        <v>46119</v>
      </c>
      <c r="O49" s="4">
        <v>46126</v>
      </c>
      <c r="Q49" t="s">
        <v>757</v>
      </c>
      <c r="R49" t="s">
        <v>793</v>
      </c>
    </row>
    <row r="50" spans="2:18" x14ac:dyDescent="0.25">
      <c r="B50">
        <v>781</v>
      </c>
      <c r="C50" t="s">
        <v>424</v>
      </c>
      <c r="D50" t="s">
        <v>767</v>
      </c>
      <c r="E50" t="s">
        <v>425</v>
      </c>
      <c r="F50">
        <v>1</v>
      </c>
      <c r="G50" t="s">
        <v>111</v>
      </c>
      <c r="H50" t="s">
        <v>426</v>
      </c>
      <c r="I50" t="s">
        <v>427</v>
      </c>
      <c r="J50" t="s">
        <v>428</v>
      </c>
      <c r="K50" t="s">
        <v>429</v>
      </c>
      <c r="L50" t="s">
        <v>429</v>
      </c>
      <c r="M50" t="s">
        <v>430</v>
      </c>
      <c r="N50" s="4">
        <v>46119</v>
      </c>
    </row>
    <row r="51" spans="2:18" x14ac:dyDescent="0.25">
      <c r="B51">
        <v>448</v>
      </c>
      <c r="C51" t="s">
        <v>134</v>
      </c>
      <c r="D51" t="s">
        <v>777</v>
      </c>
      <c r="E51" t="s">
        <v>135</v>
      </c>
      <c r="F51">
        <v>2</v>
      </c>
      <c r="G51" t="s">
        <v>24</v>
      </c>
      <c r="H51" t="s">
        <v>136</v>
      </c>
      <c r="I51" t="s">
        <v>137</v>
      </c>
      <c r="J51" t="s">
        <v>138</v>
      </c>
      <c r="K51" t="s">
        <v>139</v>
      </c>
      <c r="L51" t="s">
        <v>140</v>
      </c>
      <c r="M51" t="s">
        <v>141</v>
      </c>
      <c r="N51" s="4">
        <v>46119</v>
      </c>
      <c r="Q51" t="s">
        <v>31</v>
      </c>
      <c r="R51" t="s">
        <v>31</v>
      </c>
    </row>
    <row r="52" spans="2:18" x14ac:dyDescent="0.25">
      <c r="B52">
        <v>769</v>
      </c>
      <c r="C52" t="s">
        <v>651</v>
      </c>
      <c r="D52" t="s">
        <v>767</v>
      </c>
      <c r="E52" t="s">
        <v>652</v>
      </c>
      <c r="F52">
        <v>1</v>
      </c>
      <c r="G52" t="s">
        <v>111</v>
      </c>
      <c r="H52" t="s">
        <v>653</v>
      </c>
      <c r="I52" t="s">
        <v>654</v>
      </c>
      <c r="J52" t="s">
        <v>655</v>
      </c>
      <c r="K52" t="s">
        <v>656</v>
      </c>
      <c r="L52" t="s">
        <v>657</v>
      </c>
      <c r="M52" t="s">
        <v>658</v>
      </c>
      <c r="N52" s="4">
        <v>46119</v>
      </c>
    </row>
    <row r="53" spans="2:18" x14ac:dyDescent="0.25">
      <c r="B53">
        <v>515</v>
      </c>
      <c r="C53" t="s">
        <v>51</v>
      </c>
      <c r="D53" t="s">
        <v>755</v>
      </c>
      <c r="E53" t="s">
        <v>52</v>
      </c>
      <c r="F53">
        <v>2</v>
      </c>
      <c r="G53" t="s">
        <v>24</v>
      </c>
      <c r="H53" t="s">
        <v>53</v>
      </c>
      <c r="I53" t="s">
        <v>54</v>
      </c>
      <c r="J53" t="s">
        <v>55</v>
      </c>
      <c r="K53" t="s">
        <v>56</v>
      </c>
      <c r="L53" t="s">
        <v>57</v>
      </c>
      <c r="M53" t="s">
        <v>58</v>
      </c>
      <c r="N53" s="4">
        <v>46119</v>
      </c>
      <c r="O53" s="4">
        <v>46126</v>
      </c>
      <c r="Q53" t="s">
        <v>757</v>
      </c>
      <c r="R53" t="s">
        <v>31</v>
      </c>
    </row>
    <row r="54" spans="2:18" ht="30" customHeight="1" x14ac:dyDescent="0.25">
      <c r="B54" s="11" t="s">
        <v>794</v>
      </c>
      <c r="C54" t="s">
        <v>795</v>
      </c>
      <c r="D54" t="s">
        <v>777</v>
      </c>
      <c r="E54" t="s">
        <v>796</v>
      </c>
      <c r="F54">
        <v>5</v>
      </c>
      <c r="G54" t="s">
        <v>61</v>
      </c>
      <c r="H54" s="11" t="s">
        <v>797</v>
      </c>
      <c r="I54" s="11" t="s">
        <v>798</v>
      </c>
      <c r="J54" s="11" t="s">
        <v>799</v>
      </c>
      <c r="K54" t="s">
        <v>236</v>
      </c>
      <c r="L54" t="s">
        <v>800</v>
      </c>
      <c r="M54" t="s">
        <v>801</v>
      </c>
      <c r="N54" s="4">
        <v>46119</v>
      </c>
      <c r="Q54" t="s">
        <v>31</v>
      </c>
      <c r="R54" t="s">
        <v>84</v>
      </c>
    </row>
    <row r="55" spans="2:18" x14ac:dyDescent="0.25">
      <c r="B55">
        <v>771</v>
      </c>
      <c r="C55" t="s">
        <v>278</v>
      </c>
      <c r="D55" t="s">
        <v>767</v>
      </c>
      <c r="E55" t="s">
        <v>279</v>
      </c>
      <c r="F55">
        <v>1</v>
      </c>
      <c r="G55" t="s">
        <v>61</v>
      </c>
      <c r="H55" t="s">
        <v>280</v>
      </c>
      <c r="I55" t="s">
        <v>281</v>
      </c>
      <c r="J55" t="s">
        <v>282</v>
      </c>
      <c r="K55" t="s">
        <v>283</v>
      </c>
      <c r="L55" t="s">
        <v>284</v>
      </c>
      <c r="M55" t="s">
        <v>285</v>
      </c>
      <c r="N55" s="4">
        <v>46119</v>
      </c>
    </row>
    <row r="56" spans="2:18" x14ac:dyDescent="0.25">
      <c r="B56">
        <v>779</v>
      </c>
      <c r="C56" t="s">
        <v>383</v>
      </c>
      <c r="D56" t="s">
        <v>767</v>
      </c>
      <c r="E56" t="s">
        <v>384</v>
      </c>
      <c r="F56">
        <v>1</v>
      </c>
      <c r="G56" t="s">
        <v>61</v>
      </c>
      <c r="H56" t="s">
        <v>385</v>
      </c>
      <c r="I56" t="s">
        <v>386</v>
      </c>
      <c r="J56" t="s">
        <v>387</v>
      </c>
      <c r="K56" t="s">
        <v>388</v>
      </c>
      <c r="L56" t="s">
        <v>389</v>
      </c>
      <c r="M56" t="s">
        <v>390</v>
      </c>
      <c r="N56" s="4">
        <v>46119</v>
      </c>
    </row>
    <row r="57" spans="2:18" x14ac:dyDescent="0.25">
      <c r="B57">
        <v>782</v>
      </c>
      <c r="C57" t="s">
        <v>431</v>
      </c>
      <c r="D57" t="s">
        <v>767</v>
      </c>
      <c r="E57" t="s">
        <v>432</v>
      </c>
      <c r="F57">
        <v>1</v>
      </c>
      <c r="G57" t="s">
        <v>152</v>
      </c>
      <c r="H57" t="s">
        <v>433</v>
      </c>
      <c r="I57" t="s">
        <v>434</v>
      </c>
      <c r="J57" t="s">
        <v>435</v>
      </c>
      <c r="K57" t="s">
        <v>436</v>
      </c>
      <c r="L57" t="s">
        <v>437</v>
      </c>
      <c r="M57" t="s">
        <v>438</v>
      </c>
      <c r="N57" s="4">
        <v>46119</v>
      </c>
    </row>
    <row r="58" spans="2:18" x14ac:dyDescent="0.25">
      <c r="B58">
        <v>777</v>
      </c>
      <c r="C58" t="s">
        <v>366</v>
      </c>
      <c r="D58" t="s">
        <v>767</v>
      </c>
      <c r="E58" t="s">
        <v>367</v>
      </c>
      <c r="F58">
        <v>1</v>
      </c>
      <c r="G58" t="s">
        <v>368</v>
      </c>
      <c r="H58" t="s">
        <v>369</v>
      </c>
      <c r="I58" t="s">
        <v>370</v>
      </c>
      <c r="J58" t="s">
        <v>371</v>
      </c>
      <c r="K58" t="s">
        <v>372</v>
      </c>
      <c r="L58" t="s">
        <v>682</v>
      </c>
      <c r="M58" t="s">
        <v>374</v>
      </c>
      <c r="N58" s="4">
        <v>46119</v>
      </c>
    </row>
    <row r="59" spans="2:18" x14ac:dyDescent="0.25">
      <c r="B59">
        <v>776</v>
      </c>
      <c r="C59" t="s">
        <v>802</v>
      </c>
      <c r="D59" t="s">
        <v>767</v>
      </c>
      <c r="E59" t="s">
        <v>803</v>
      </c>
      <c r="F59">
        <v>2</v>
      </c>
      <c r="G59" t="s">
        <v>804</v>
      </c>
      <c r="H59" t="s">
        <v>805</v>
      </c>
      <c r="I59" t="s">
        <v>806</v>
      </c>
      <c r="J59" t="s">
        <v>807</v>
      </c>
      <c r="K59" t="s">
        <v>808</v>
      </c>
      <c r="L59" t="s">
        <v>809</v>
      </c>
      <c r="M59" t="s">
        <v>810</v>
      </c>
      <c r="N59" s="4">
        <v>46119</v>
      </c>
    </row>
    <row r="60" spans="2:18" x14ac:dyDescent="0.25">
      <c r="B60">
        <v>753</v>
      </c>
      <c r="C60" t="s">
        <v>811</v>
      </c>
      <c r="D60" t="s">
        <v>767</v>
      </c>
      <c r="E60" t="s">
        <v>812</v>
      </c>
      <c r="F60">
        <v>3</v>
      </c>
      <c r="G60" t="s">
        <v>813</v>
      </c>
      <c r="H60" t="s">
        <v>814</v>
      </c>
      <c r="I60" t="s">
        <v>815</v>
      </c>
      <c r="J60" t="s">
        <v>816</v>
      </c>
      <c r="K60" t="s">
        <v>817</v>
      </c>
      <c r="L60" t="s">
        <v>818</v>
      </c>
      <c r="M60" t="s">
        <v>819</v>
      </c>
      <c r="N60" s="4">
        <v>46119</v>
      </c>
    </row>
    <row r="61" spans="2:18" ht="45" customHeight="1" x14ac:dyDescent="0.25">
      <c r="B61" s="11" t="s">
        <v>820</v>
      </c>
      <c r="C61" t="s">
        <v>811</v>
      </c>
      <c r="D61" t="s">
        <v>755</v>
      </c>
      <c r="E61" t="s">
        <v>812</v>
      </c>
      <c r="F61">
        <v>6</v>
      </c>
      <c r="G61" t="s">
        <v>813</v>
      </c>
      <c r="H61" t="s">
        <v>814</v>
      </c>
      <c r="I61" t="s">
        <v>815</v>
      </c>
      <c r="J61" t="s">
        <v>816</v>
      </c>
      <c r="K61" t="s">
        <v>817</v>
      </c>
      <c r="L61" s="11" t="s">
        <v>821</v>
      </c>
      <c r="M61" t="s">
        <v>819</v>
      </c>
      <c r="N61" s="4">
        <v>46119</v>
      </c>
      <c r="Q61" t="s">
        <v>757</v>
      </c>
      <c r="R61" t="s">
        <v>84</v>
      </c>
    </row>
    <row r="62" spans="2:18" ht="30" customHeight="1" x14ac:dyDescent="0.25">
      <c r="B62" s="11" t="s">
        <v>822</v>
      </c>
      <c r="C62" t="s">
        <v>375</v>
      </c>
      <c r="D62" t="s">
        <v>767</v>
      </c>
      <c r="E62" t="s">
        <v>376</v>
      </c>
      <c r="F62">
        <v>2</v>
      </c>
      <c r="G62" t="s">
        <v>111</v>
      </c>
      <c r="H62" s="11" t="s">
        <v>823</v>
      </c>
      <c r="I62" s="11" t="s">
        <v>824</v>
      </c>
      <c r="J62" s="11" t="s">
        <v>825</v>
      </c>
      <c r="K62" t="s">
        <v>380</v>
      </c>
      <c r="L62" s="11" t="s">
        <v>826</v>
      </c>
      <c r="M62" t="s">
        <v>382</v>
      </c>
      <c r="N62" s="4">
        <v>46119</v>
      </c>
    </row>
    <row r="63" spans="2:18" x14ac:dyDescent="0.25">
      <c r="B63">
        <v>762</v>
      </c>
      <c r="C63" t="s">
        <v>198</v>
      </c>
      <c r="D63" t="s">
        <v>767</v>
      </c>
      <c r="E63" t="s">
        <v>199</v>
      </c>
      <c r="F63">
        <v>2</v>
      </c>
      <c r="G63" t="s">
        <v>200</v>
      </c>
      <c r="H63" t="s">
        <v>201</v>
      </c>
      <c r="I63" t="s">
        <v>202</v>
      </c>
      <c r="J63" t="s">
        <v>203</v>
      </c>
      <c r="K63" t="s">
        <v>204</v>
      </c>
      <c r="L63" t="s">
        <v>205</v>
      </c>
      <c r="M63" t="s">
        <v>206</v>
      </c>
      <c r="N63" s="4">
        <v>46119</v>
      </c>
    </row>
    <row r="64" spans="2:18" ht="30" customHeight="1" x14ac:dyDescent="0.25">
      <c r="B64" s="11" t="s">
        <v>827</v>
      </c>
      <c r="C64" t="s">
        <v>190</v>
      </c>
      <c r="D64" t="s">
        <v>767</v>
      </c>
      <c r="E64" t="s">
        <v>191</v>
      </c>
      <c r="F64">
        <v>2</v>
      </c>
      <c r="G64" t="s">
        <v>24</v>
      </c>
      <c r="H64" s="11" t="s">
        <v>828</v>
      </c>
      <c r="I64" s="11" t="s">
        <v>829</v>
      </c>
      <c r="J64" s="11" t="s">
        <v>830</v>
      </c>
      <c r="K64" s="11" t="s">
        <v>831</v>
      </c>
      <c r="L64" s="11" t="s">
        <v>832</v>
      </c>
      <c r="M64" t="s">
        <v>197</v>
      </c>
      <c r="N64" s="4">
        <v>46119</v>
      </c>
    </row>
    <row r="65" spans="2:18" ht="30" customHeight="1" x14ac:dyDescent="0.25">
      <c r="B65">
        <v>520</v>
      </c>
      <c r="C65" t="s">
        <v>75</v>
      </c>
      <c r="D65" t="s">
        <v>755</v>
      </c>
      <c r="E65" t="s">
        <v>76</v>
      </c>
      <c r="F65">
        <v>1</v>
      </c>
      <c r="G65" t="s">
        <v>77</v>
      </c>
      <c r="H65" s="11" t="s">
        <v>833</v>
      </c>
      <c r="I65" s="11" t="s">
        <v>834</v>
      </c>
      <c r="J65" s="11" t="s">
        <v>835</v>
      </c>
      <c r="K65" t="s">
        <v>81</v>
      </c>
      <c r="L65" t="s">
        <v>836</v>
      </c>
      <c r="M65" t="s">
        <v>83</v>
      </c>
      <c r="N65" s="4">
        <v>46119</v>
      </c>
      <c r="O65" s="4">
        <v>46126</v>
      </c>
      <c r="Q65" t="s">
        <v>757</v>
      </c>
      <c r="R65" t="s">
        <v>84</v>
      </c>
    </row>
    <row r="66" spans="2:18" ht="30" customHeight="1" x14ac:dyDescent="0.25">
      <c r="B66">
        <v>471</v>
      </c>
      <c r="C66" t="s">
        <v>75</v>
      </c>
      <c r="D66" t="s">
        <v>758</v>
      </c>
      <c r="E66" t="s">
        <v>76</v>
      </c>
      <c r="F66">
        <v>2</v>
      </c>
      <c r="G66" t="s">
        <v>77</v>
      </c>
      <c r="H66" s="11" t="s">
        <v>833</v>
      </c>
      <c r="I66" s="11" t="s">
        <v>834</v>
      </c>
      <c r="J66" s="11" t="s">
        <v>835</v>
      </c>
      <c r="K66" t="s">
        <v>81</v>
      </c>
      <c r="L66" t="s">
        <v>836</v>
      </c>
      <c r="M66" t="s">
        <v>83</v>
      </c>
      <c r="N66" s="4">
        <v>46119</v>
      </c>
      <c r="O66" s="4">
        <v>46126</v>
      </c>
      <c r="Q66" t="s">
        <v>757</v>
      </c>
      <c r="R66" t="s">
        <v>84</v>
      </c>
    </row>
    <row r="67" spans="2:18" ht="30" customHeight="1" x14ac:dyDescent="0.25">
      <c r="B67" s="11" t="s">
        <v>837</v>
      </c>
      <c r="C67" t="s">
        <v>231</v>
      </c>
      <c r="D67" t="s">
        <v>767</v>
      </c>
      <c r="E67" t="s">
        <v>232</v>
      </c>
      <c r="F67">
        <v>2</v>
      </c>
      <c r="G67" t="s">
        <v>61</v>
      </c>
      <c r="H67" s="11" t="s">
        <v>702</v>
      </c>
      <c r="I67" s="11" t="s">
        <v>703</v>
      </c>
      <c r="J67" s="11" t="s">
        <v>704</v>
      </c>
      <c r="K67" t="s">
        <v>236</v>
      </c>
      <c r="L67" s="11" t="s">
        <v>838</v>
      </c>
      <c r="M67" t="s">
        <v>238</v>
      </c>
      <c r="N67" s="4">
        <v>46119</v>
      </c>
    </row>
    <row r="68" spans="2:18" x14ac:dyDescent="0.25">
      <c r="B68">
        <v>755</v>
      </c>
      <c r="C68" t="s">
        <v>68</v>
      </c>
      <c r="D68" t="s">
        <v>767</v>
      </c>
      <c r="E68" t="s">
        <v>69</v>
      </c>
      <c r="F68">
        <v>1</v>
      </c>
      <c r="G68" t="s">
        <v>61</v>
      </c>
      <c r="H68" t="s">
        <v>70</v>
      </c>
      <c r="I68" t="s">
        <v>71</v>
      </c>
      <c r="J68" t="s">
        <v>72</v>
      </c>
      <c r="K68" t="s">
        <v>73</v>
      </c>
      <c r="L68" t="s">
        <v>73</v>
      </c>
      <c r="M68" t="s">
        <v>74</v>
      </c>
      <c r="N68" s="4">
        <v>46119</v>
      </c>
    </row>
    <row r="69" spans="2:18" ht="30" customHeight="1" x14ac:dyDescent="0.25">
      <c r="B69">
        <v>519</v>
      </c>
      <c r="C69" t="s">
        <v>68</v>
      </c>
      <c r="D69" t="s">
        <v>755</v>
      </c>
      <c r="E69" t="s">
        <v>69</v>
      </c>
      <c r="F69">
        <v>2</v>
      </c>
      <c r="G69" t="s">
        <v>61</v>
      </c>
      <c r="H69" s="11" t="s">
        <v>839</v>
      </c>
      <c r="I69" s="11" t="s">
        <v>840</v>
      </c>
      <c r="J69" s="11" t="s">
        <v>841</v>
      </c>
      <c r="K69" t="s">
        <v>73</v>
      </c>
      <c r="L69" t="s">
        <v>842</v>
      </c>
      <c r="M69" t="s">
        <v>74</v>
      </c>
      <c r="N69" s="4">
        <v>46119</v>
      </c>
      <c r="O69" s="4">
        <v>46126</v>
      </c>
      <c r="Q69" t="s">
        <v>757</v>
      </c>
      <c r="R69" t="s">
        <v>31</v>
      </c>
    </row>
    <row r="70" spans="2:18" ht="30" customHeight="1" x14ac:dyDescent="0.25">
      <c r="B70">
        <v>470</v>
      </c>
      <c r="C70" t="s">
        <v>68</v>
      </c>
      <c r="D70" t="s">
        <v>758</v>
      </c>
      <c r="E70" t="s">
        <v>69</v>
      </c>
      <c r="F70">
        <v>2</v>
      </c>
      <c r="G70" t="s">
        <v>61</v>
      </c>
      <c r="H70" t="s">
        <v>843</v>
      </c>
      <c r="I70" t="s">
        <v>844</v>
      </c>
      <c r="J70" s="11" t="s">
        <v>845</v>
      </c>
      <c r="K70" t="s">
        <v>73</v>
      </c>
      <c r="L70" t="s">
        <v>846</v>
      </c>
      <c r="M70" t="s">
        <v>74</v>
      </c>
      <c r="N70" s="4">
        <v>46119</v>
      </c>
      <c r="O70" s="4">
        <v>46126</v>
      </c>
      <c r="Q70" t="s">
        <v>757</v>
      </c>
      <c r="R70" t="s">
        <v>31</v>
      </c>
    </row>
    <row r="71" spans="2:18" ht="30" customHeight="1" x14ac:dyDescent="0.25">
      <c r="B71">
        <v>492</v>
      </c>
      <c r="C71" t="s">
        <v>255</v>
      </c>
      <c r="D71" t="s">
        <v>758</v>
      </c>
      <c r="E71" t="s">
        <v>256</v>
      </c>
      <c r="F71">
        <v>2</v>
      </c>
      <c r="G71" t="s">
        <v>61</v>
      </c>
      <c r="H71" t="s">
        <v>257</v>
      </c>
      <c r="I71" s="11" t="s">
        <v>258</v>
      </c>
      <c r="J71" s="11" t="s">
        <v>259</v>
      </c>
      <c r="K71" t="s">
        <v>260</v>
      </c>
      <c r="L71" t="s">
        <v>847</v>
      </c>
      <c r="M71" t="s">
        <v>262</v>
      </c>
      <c r="N71" s="4">
        <v>46119</v>
      </c>
      <c r="O71" s="4">
        <v>46126</v>
      </c>
      <c r="Q71" t="s">
        <v>757</v>
      </c>
      <c r="R71" t="s">
        <v>84</v>
      </c>
    </row>
    <row r="72" spans="2:18" x14ac:dyDescent="0.25">
      <c r="B72">
        <v>787</v>
      </c>
      <c r="C72" t="s">
        <v>471</v>
      </c>
      <c r="D72" t="s">
        <v>767</v>
      </c>
      <c r="E72" t="s">
        <v>472</v>
      </c>
      <c r="F72">
        <v>1</v>
      </c>
      <c r="G72" t="s">
        <v>111</v>
      </c>
      <c r="H72" t="s">
        <v>473</v>
      </c>
      <c r="I72" t="s">
        <v>474</v>
      </c>
      <c r="J72" t="s">
        <v>475</v>
      </c>
      <c r="K72" t="s">
        <v>476</v>
      </c>
      <c r="L72" t="s">
        <v>476</v>
      </c>
      <c r="M72" t="s">
        <v>477</v>
      </c>
      <c r="N72" s="4">
        <v>46119</v>
      </c>
    </row>
    <row r="73" spans="2:18" x14ac:dyDescent="0.25">
      <c r="B73">
        <v>766</v>
      </c>
      <c r="C73" t="s">
        <v>239</v>
      </c>
      <c r="D73" t="s">
        <v>767</v>
      </c>
      <c r="E73" t="s">
        <v>240</v>
      </c>
      <c r="F73">
        <v>1</v>
      </c>
      <c r="G73" t="s">
        <v>24</v>
      </c>
      <c r="H73" t="s">
        <v>241</v>
      </c>
      <c r="I73" t="s">
        <v>242</v>
      </c>
      <c r="J73" t="s">
        <v>243</v>
      </c>
      <c r="K73" t="s">
        <v>244</v>
      </c>
      <c r="L73" t="s">
        <v>714</v>
      </c>
      <c r="M73" t="s">
        <v>246</v>
      </c>
      <c r="N73" s="4">
        <v>46119</v>
      </c>
    </row>
    <row r="74" spans="2:18" x14ac:dyDescent="0.25">
      <c r="B74">
        <v>758</v>
      </c>
      <c r="C74" t="s">
        <v>125</v>
      </c>
      <c r="D74" t="s">
        <v>767</v>
      </c>
      <c r="E74" t="s">
        <v>126</v>
      </c>
      <c r="F74">
        <v>1</v>
      </c>
      <c r="G74" t="s">
        <v>127</v>
      </c>
      <c r="H74" t="s">
        <v>128</v>
      </c>
      <c r="I74" t="s">
        <v>129</v>
      </c>
      <c r="J74" t="s">
        <v>130</v>
      </c>
      <c r="K74" t="s">
        <v>131</v>
      </c>
      <c r="L74" t="s">
        <v>132</v>
      </c>
      <c r="M74" t="s">
        <v>133</v>
      </c>
      <c r="N74" s="4">
        <v>46119</v>
      </c>
    </row>
    <row r="75" spans="2:18" x14ac:dyDescent="0.25">
      <c r="B75">
        <v>757</v>
      </c>
      <c r="C75" t="s">
        <v>725</v>
      </c>
      <c r="D75" t="s">
        <v>767</v>
      </c>
      <c r="E75" t="s">
        <v>726</v>
      </c>
      <c r="F75">
        <v>1</v>
      </c>
      <c r="G75" t="s">
        <v>727</v>
      </c>
      <c r="H75" t="s">
        <v>728</v>
      </c>
      <c r="I75" t="s">
        <v>729</v>
      </c>
      <c r="J75" t="s">
        <v>730</v>
      </c>
      <c r="K75" t="s">
        <v>731</v>
      </c>
      <c r="L75" t="s">
        <v>732</v>
      </c>
      <c r="M75" t="s">
        <v>733</v>
      </c>
      <c r="N75" s="4">
        <v>46119</v>
      </c>
    </row>
    <row r="76" spans="2:18" x14ac:dyDescent="0.25">
      <c r="B76">
        <v>446</v>
      </c>
      <c r="C76" t="s">
        <v>725</v>
      </c>
      <c r="D76" t="s">
        <v>777</v>
      </c>
      <c r="E76" t="s">
        <v>726</v>
      </c>
      <c r="F76">
        <v>3</v>
      </c>
      <c r="G76" t="s">
        <v>727</v>
      </c>
      <c r="H76" t="s">
        <v>848</v>
      </c>
      <c r="I76" t="s">
        <v>849</v>
      </c>
      <c r="J76" t="s">
        <v>850</v>
      </c>
      <c r="K76" t="s">
        <v>731</v>
      </c>
      <c r="L76" t="s">
        <v>851</v>
      </c>
      <c r="M76" t="s">
        <v>733</v>
      </c>
      <c r="N76" s="4">
        <v>46119</v>
      </c>
      <c r="Q76" t="s">
        <v>31</v>
      </c>
      <c r="R76" t="s">
        <v>31</v>
      </c>
    </row>
    <row r="77" spans="2:18" x14ac:dyDescent="0.25">
      <c r="B77">
        <v>536</v>
      </c>
      <c r="C77" t="s">
        <v>734</v>
      </c>
      <c r="D77" t="s">
        <v>755</v>
      </c>
      <c r="E77" t="s">
        <v>735</v>
      </c>
      <c r="F77">
        <v>1</v>
      </c>
      <c r="G77" t="s">
        <v>736</v>
      </c>
      <c r="H77" t="s">
        <v>737</v>
      </c>
      <c r="I77" t="s">
        <v>738</v>
      </c>
      <c r="J77" t="s">
        <v>739</v>
      </c>
      <c r="K77" t="s">
        <v>740</v>
      </c>
      <c r="L77" t="s">
        <v>741</v>
      </c>
      <c r="M77" t="s">
        <v>742</v>
      </c>
      <c r="N77" s="4">
        <v>46119</v>
      </c>
      <c r="O77" s="4">
        <v>46126</v>
      </c>
      <c r="Q77" t="s">
        <v>757</v>
      </c>
      <c r="R77" t="s">
        <v>84</v>
      </c>
    </row>
    <row r="78" spans="2:18" x14ac:dyDescent="0.25">
      <c r="B78">
        <v>764</v>
      </c>
      <c r="C78" t="s">
        <v>223</v>
      </c>
      <c r="D78" t="s">
        <v>767</v>
      </c>
      <c r="E78" t="s">
        <v>224</v>
      </c>
      <c r="F78">
        <v>1</v>
      </c>
      <c r="G78" t="s">
        <v>61</v>
      </c>
      <c r="H78" t="s">
        <v>225</v>
      </c>
      <c r="I78" t="s">
        <v>226</v>
      </c>
      <c r="J78" t="s">
        <v>227</v>
      </c>
      <c r="K78" t="s">
        <v>228</v>
      </c>
      <c r="L78" t="s">
        <v>229</v>
      </c>
      <c r="M78" t="s">
        <v>230</v>
      </c>
      <c r="N78" s="4">
        <v>46119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117"/>
  <sheetViews>
    <sheetView workbookViewId="0">
      <selection activeCell="F117" sqref="F117"/>
    </sheetView>
  </sheetViews>
  <sheetFormatPr defaultColWidth="8.85546875" defaultRowHeight="15" x14ac:dyDescent="0.25"/>
  <cols>
    <col min="1" max="1" width="9.28515625" bestFit="1" customWidth="1"/>
    <col min="2" max="2" width="25.28515625" bestFit="1" customWidth="1"/>
    <col min="3" max="3" width="9.28515625" bestFit="1" customWidth="1"/>
    <col min="4" max="4" width="47.42578125" bestFit="1" customWidth="1"/>
    <col min="5" max="5" width="90.28515625" bestFit="1" customWidth="1"/>
    <col min="6" max="6" width="9.28515625" bestFit="1" customWidth="1"/>
    <col min="7" max="7" width="14.140625" bestFit="1" customWidth="1"/>
    <col min="8" max="8" width="57.7109375" bestFit="1" customWidth="1"/>
    <col min="9" max="9" width="66.7109375" bestFit="1" customWidth="1"/>
    <col min="10" max="10" width="113.42578125" bestFit="1" customWidth="1"/>
    <col min="11" max="11" width="29.42578125" bestFit="1" customWidth="1"/>
    <col min="12" max="12" width="157.140625" bestFit="1" customWidth="1"/>
    <col min="13" max="13" width="12" bestFit="1" customWidth="1"/>
    <col min="14" max="14" width="21.7109375" bestFit="1" customWidth="1"/>
    <col min="15" max="15" width="14.85546875" bestFit="1" customWidth="1"/>
    <col min="16" max="16" width="15.85546875" bestFit="1" customWidth="1"/>
    <col min="17" max="17" width="12.85546875" bestFit="1" customWidth="1"/>
    <col min="18" max="18" width="13.7109375" bestFit="1" customWidth="1"/>
  </cols>
  <sheetData>
    <row r="1" spans="1:18" x14ac:dyDescent="0.25">
      <c r="A1" s="12" t="s">
        <v>852</v>
      </c>
    </row>
    <row r="3" spans="1:18" x14ac:dyDescent="0.25">
      <c r="A3" t="s">
        <v>1</v>
      </c>
      <c r="B3" t="s">
        <v>753</v>
      </c>
      <c r="C3" t="s">
        <v>4</v>
      </c>
      <c r="D3" t="s">
        <v>6</v>
      </c>
      <c r="E3" t="s">
        <v>5</v>
      </c>
      <c r="F3" t="s">
        <v>7</v>
      </c>
      <c r="G3" t="s">
        <v>8</v>
      </c>
      <c r="H3" t="s">
        <v>9</v>
      </c>
      <c r="I3" t="s">
        <v>10</v>
      </c>
      <c r="J3" t="s">
        <v>11</v>
      </c>
      <c r="K3" t="s">
        <v>12</v>
      </c>
      <c r="L3" t="s">
        <v>13</v>
      </c>
      <c r="M3" t="s">
        <v>14</v>
      </c>
      <c r="N3" t="s">
        <v>16</v>
      </c>
      <c r="O3" t="s">
        <v>17</v>
      </c>
      <c r="P3" t="s">
        <v>18</v>
      </c>
      <c r="Q3" t="s">
        <v>19</v>
      </c>
      <c r="R3" t="s">
        <v>20</v>
      </c>
    </row>
    <row r="4" spans="1:18" x14ac:dyDescent="0.25">
      <c r="B4">
        <v>214</v>
      </c>
      <c r="C4" t="s">
        <v>302</v>
      </c>
      <c r="D4" t="s">
        <v>853</v>
      </c>
      <c r="E4" t="s">
        <v>303</v>
      </c>
      <c r="F4">
        <v>1</v>
      </c>
      <c r="G4" t="s">
        <v>61</v>
      </c>
      <c r="H4" t="s">
        <v>304</v>
      </c>
      <c r="I4" t="s">
        <v>305</v>
      </c>
      <c r="J4" t="s">
        <v>306</v>
      </c>
      <c r="K4" t="s">
        <v>307</v>
      </c>
      <c r="L4" t="s">
        <v>526</v>
      </c>
      <c r="M4" t="s">
        <v>309</v>
      </c>
      <c r="N4" s="4">
        <v>46125</v>
      </c>
    </row>
    <row r="5" spans="1:18" x14ac:dyDescent="0.25">
      <c r="B5">
        <v>688</v>
      </c>
      <c r="C5" t="s">
        <v>760</v>
      </c>
      <c r="D5" t="s">
        <v>854</v>
      </c>
      <c r="E5" t="s">
        <v>761</v>
      </c>
      <c r="F5">
        <v>1</v>
      </c>
      <c r="G5" t="s">
        <v>61</v>
      </c>
      <c r="H5" t="s">
        <v>762</v>
      </c>
      <c r="I5" t="s">
        <v>763</v>
      </c>
      <c r="J5" t="s">
        <v>764</v>
      </c>
      <c r="K5" t="s">
        <v>765</v>
      </c>
      <c r="L5" t="s">
        <v>765</v>
      </c>
      <c r="M5" t="s">
        <v>766</v>
      </c>
      <c r="N5" s="4">
        <v>46125</v>
      </c>
    </row>
    <row r="6" spans="1:18" x14ac:dyDescent="0.25">
      <c r="B6">
        <v>672</v>
      </c>
      <c r="C6" t="s">
        <v>318</v>
      </c>
      <c r="D6" t="s">
        <v>854</v>
      </c>
      <c r="E6" t="s">
        <v>319</v>
      </c>
      <c r="F6">
        <v>1</v>
      </c>
      <c r="G6" t="s">
        <v>111</v>
      </c>
      <c r="H6" t="s">
        <v>320</v>
      </c>
      <c r="I6" t="s">
        <v>321</v>
      </c>
      <c r="J6" t="s">
        <v>322</v>
      </c>
      <c r="K6" t="s">
        <v>323</v>
      </c>
      <c r="L6" t="s">
        <v>324</v>
      </c>
      <c r="M6" t="s">
        <v>325</v>
      </c>
      <c r="N6" s="4">
        <v>46125</v>
      </c>
    </row>
    <row r="7" spans="1:18" ht="30" customHeight="1" x14ac:dyDescent="0.25">
      <c r="B7">
        <v>666</v>
      </c>
      <c r="C7" t="s">
        <v>247</v>
      </c>
      <c r="D7" t="s">
        <v>854</v>
      </c>
      <c r="E7" t="s">
        <v>248</v>
      </c>
      <c r="F7">
        <v>1</v>
      </c>
      <c r="G7" t="s">
        <v>61</v>
      </c>
      <c r="H7" s="11" t="s">
        <v>528</v>
      </c>
      <c r="I7" s="11" t="s">
        <v>529</v>
      </c>
      <c r="J7" s="11" t="s">
        <v>530</v>
      </c>
      <c r="K7" t="s">
        <v>252</v>
      </c>
      <c r="L7" t="s">
        <v>531</v>
      </c>
      <c r="M7" t="s">
        <v>254</v>
      </c>
      <c r="N7" s="4">
        <v>46125</v>
      </c>
    </row>
    <row r="8" spans="1:18" x14ac:dyDescent="0.25">
      <c r="B8">
        <v>425</v>
      </c>
      <c r="C8" t="s">
        <v>247</v>
      </c>
      <c r="D8" t="s">
        <v>855</v>
      </c>
      <c r="E8" t="s">
        <v>248</v>
      </c>
      <c r="F8">
        <v>1</v>
      </c>
      <c r="G8" t="s">
        <v>61</v>
      </c>
      <c r="H8" t="s">
        <v>532</v>
      </c>
      <c r="I8" t="s">
        <v>533</v>
      </c>
      <c r="J8" t="s">
        <v>534</v>
      </c>
      <c r="K8" t="s">
        <v>252</v>
      </c>
      <c r="L8" t="s">
        <v>535</v>
      </c>
      <c r="M8" t="s">
        <v>254</v>
      </c>
      <c r="N8" s="4">
        <v>46125</v>
      </c>
    </row>
    <row r="9" spans="1:18" x14ac:dyDescent="0.25">
      <c r="B9">
        <v>671</v>
      </c>
      <c r="C9" t="s">
        <v>310</v>
      </c>
      <c r="D9" t="s">
        <v>854</v>
      </c>
      <c r="E9" t="s">
        <v>311</v>
      </c>
      <c r="F9">
        <v>1</v>
      </c>
      <c r="G9" t="s">
        <v>152</v>
      </c>
      <c r="H9" t="s">
        <v>312</v>
      </c>
      <c r="I9" t="s">
        <v>313</v>
      </c>
      <c r="J9" t="s">
        <v>314</v>
      </c>
      <c r="K9" t="s">
        <v>315</v>
      </c>
      <c r="L9" t="s">
        <v>316</v>
      </c>
      <c r="M9" t="s">
        <v>317</v>
      </c>
      <c r="N9" s="4">
        <v>46125</v>
      </c>
    </row>
    <row r="10" spans="1:18" x14ac:dyDescent="0.25">
      <c r="B10">
        <v>555</v>
      </c>
      <c r="C10" t="s">
        <v>310</v>
      </c>
      <c r="D10" t="s">
        <v>856</v>
      </c>
      <c r="E10" t="s">
        <v>311</v>
      </c>
      <c r="F10">
        <v>1</v>
      </c>
      <c r="G10" t="s">
        <v>152</v>
      </c>
      <c r="H10" t="s">
        <v>312</v>
      </c>
      <c r="I10" t="s">
        <v>313</v>
      </c>
      <c r="J10" t="s">
        <v>314</v>
      </c>
      <c r="K10" t="s">
        <v>315</v>
      </c>
      <c r="L10" t="s">
        <v>316</v>
      </c>
      <c r="M10" t="s">
        <v>317</v>
      </c>
      <c r="N10" s="4">
        <v>46125</v>
      </c>
    </row>
    <row r="11" spans="1:18" x14ac:dyDescent="0.25">
      <c r="B11">
        <v>685</v>
      </c>
      <c r="C11" t="s">
        <v>447</v>
      </c>
      <c r="D11" t="s">
        <v>854</v>
      </c>
      <c r="E11" t="s">
        <v>448</v>
      </c>
      <c r="F11">
        <v>1</v>
      </c>
      <c r="G11" t="s">
        <v>24</v>
      </c>
      <c r="H11" t="s">
        <v>449</v>
      </c>
      <c r="I11" t="s">
        <v>450</v>
      </c>
      <c r="J11" t="s">
        <v>451</v>
      </c>
      <c r="K11" t="s">
        <v>452</v>
      </c>
      <c r="L11" t="s">
        <v>453</v>
      </c>
      <c r="M11" t="s">
        <v>454</v>
      </c>
      <c r="N11" s="4">
        <v>46125</v>
      </c>
    </row>
    <row r="12" spans="1:18" x14ac:dyDescent="0.25">
      <c r="B12">
        <v>436</v>
      </c>
      <c r="C12" t="s">
        <v>447</v>
      </c>
      <c r="D12" t="s">
        <v>855</v>
      </c>
      <c r="E12" t="s">
        <v>448</v>
      </c>
      <c r="F12">
        <v>1</v>
      </c>
      <c r="G12" t="s">
        <v>24</v>
      </c>
      <c r="H12" t="s">
        <v>449</v>
      </c>
      <c r="I12" t="s">
        <v>450</v>
      </c>
      <c r="J12" t="s">
        <v>451</v>
      </c>
      <c r="K12" t="s">
        <v>452</v>
      </c>
      <c r="L12" t="s">
        <v>453</v>
      </c>
      <c r="M12" t="s">
        <v>454</v>
      </c>
      <c r="N12" s="4">
        <v>46125</v>
      </c>
    </row>
    <row r="13" spans="1:18" x14ac:dyDescent="0.25">
      <c r="B13">
        <v>220</v>
      </c>
      <c r="C13" t="s">
        <v>447</v>
      </c>
      <c r="D13" t="s">
        <v>853</v>
      </c>
      <c r="E13" t="s">
        <v>448</v>
      </c>
      <c r="F13">
        <v>1</v>
      </c>
      <c r="G13" t="s">
        <v>24</v>
      </c>
      <c r="H13" t="s">
        <v>449</v>
      </c>
      <c r="I13" t="s">
        <v>450</v>
      </c>
      <c r="J13" t="s">
        <v>451</v>
      </c>
      <c r="K13" t="s">
        <v>452</v>
      </c>
      <c r="L13" t="s">
        <v>453</v>
      </c>
      <c r="M13" t="s">
        <v>454</v>
      </c>
      <c r="N13" s="4">
        <v>46125</v>
      </c>
    </row>
    <row r="14" spans="1:18" x14ac:dyDescent="0.25">
      <c r="B14">
        <v>674</v>
      </c>
      <c r="C14" t="s">
        <v>334</v>
      </c>
      <c r="D14" t="s">
        <v>854</v>
      </c>
      <c r="E14" t="s">
        <v>335</v>
      </c>
      <c r="F14">
        <v>1</v>
      </c>
      <c r="G14" t="s">
        <v>61</v>
      </c>
      <c r="H14" t="s">
        <v>336</v>
      </c>
      <c r="I14" t="s">
        <v>337</v>
      </c>
      <c r="J14" t="s">
        <v>338</v>
      </c>
      <c r="K14" t="s">
        <v>339</v>
      </c>
      <c r="L14" t="s">
        <v>543</v>
      </c>
      <c r="M14" t="s">
        <v>341</v>
      </c>
      <c r="N14" s="4">
        <v>46125</v>
      </c>
    </row>
    <row r="15" spans="1:18" x14ac:dyDescent="0.25">
      <c r="B15">
        <v>687</v>
      </c>
      <c r="C15" t="s">
        <v>463</v>
      </c>
      <c r="D15" t="s">
        <v>854</v>
      </c>
      <c r="E15" t="s">
        <v>464</v>
      </c>
      <c r="F15">
        <v>1</v>
      </c>
      <c r="G15" t="s">
        <v>152</v>
      </c>
      <c r="H15" t="s">
        <v>465</v>
      </c>
      <c r="I15" t="s">
        <v>466</v>
      </c>
      <c r="J15" t="s">
        <v>467</v>
      </c>
      <c r="K15" t="s">
        <v>468</v>
      </c>
      <c r="L15" t="s">
        <v>469</v>
      </c>
      <c r="M15" t="s">
        <v>470</v>
      </c>
      <c r="N15" s="4">
        <v>46125</v>
      </c>
    </row>
    <row r="16" spans="1:18" x14ac:dyDescent="0.25">
      <c r="B16">
        <v>438</v>
      </c>
      <c r="C16" t="s">
        <v>463</v>
      </c>
      <c r="D16" t="s">
        <v>855</v>
      </c>
      <c r="E16" t="s">
        <v>464</v>
      </c>
      <c r="F16">
        <v>2</v>
      </c>
      <c r="G16" t="s">
        <v>152</v>
      </c>
      <c r="H16" t="s">
        <v>465</v>
      </c>
      <c r="I16" t="s">
        <v>466</v>
      </c>
      <c r="J16" t="s">
        <v>467</v>
      </c>
      <c r="K16" t="s">
        <v>468</v>
      </c>
      <c r="L16" t="s">
        <v>469</v>
      </c>
      <c r="M16" t="s">
        <v>470</v>
      </c>
      <c r="N16" s="4">
        <v>46125</v>
      </c>
    </row>
    <row r="17" spans="2:14" x14ac:dyDescent="0.25">
      <c r="B17">
        <v>647</v>
      </c>
      <c r="C17" t="s">
        <v>21</v>
      </c>
      <c r="D17" t="s">
        <v>854</v>
      </c>
      <c r="E17" t="s">
        <v>22</v>
      </c>
      <c r="F17">
        <v>1</v>
      </c>
      <c r="G17" t="s">
        <v>24</v>
      </c>
      <c r="H17" t="s">
        <v>25</v>
      </c>
      <c r="I17" t="s">
        <v>26</v>
      </c>
      <c r="J17" t="s">
        <v>27</v>
      </c>
      <c r="K17" t="s">
        <v>28</v>
      </c>
      <c r="L17" t="s">
        <v>29</v>
      </c>
      <c r="M17" t="s">
        <v>30</v>
      </c>
      <c r="N17" s="4">
        <v>46125</v>
      </c>
    </row>
    <row r="18" spans="2:14" x14ac:dyDescent="0.25">
      <c r="B18">
        <v>660</v>
      </c>
      <c r="C18" t="s">
        <v>159</v>
      </c>
      <c r="D18" t="s">
        <v>854</v>
      </c>
      <c r="E18" t="s">
        <v>160</v>
      </c>
      <c r="F18">
        <v>1</v>
      </c>
      <c r="G18" t="s">
        <v>61</v>
      </c>
      <c r="H18" t="s">
        <v>161</v>
      </c>
      <c r="I18" t="s">
        <v>162</v>
      </c>
      <c r="J18" t="s">
        <v>163</v>
      </c>
      <c r="K18" t="s">
        <v>164</v>
      </c>
      <c r="L18" t="s">
        <v>164</v>
      </c>
      <c r="M18" t="s">
        <v>165</v>
      </c>
      <c r="N18" s="4">
        <v>46125</v>
      </c>
    </row>
    <row r="19" spans="2:14" x14ac:dyDescent="0.25">
      <c r="B19">
        <v>419</v>
      </c>
      <c r="C19" t="s">
        <v>857</v>
      </c>
      <c r="D19" t="s">
        <v>855</v>
      </c>
      <c r="E19" t="s">
        <v>160</v>
      </c>
      <c r="F19">
        <v>1</v>
      </c>
      <c r="G19" t="s">
        <v>61</v>
      </c>
      <c r="H19" t="s">
        <v>161</v>
      </c>
      <c r="I19" t="s">
        <v>162</v>
      </c>
      <c r="J19" t="s">
        <v>163</v>
      </c>
      <c r="K19" t="s">
        <v>164</v>
      </c>
      <c r="L19" t="s">
        <v>164</v>
      </c>
      <c r="M19" t="s">
        <v>165</v>
      </c>
      <c r="N19" s="4">
        <v>46125</v>
      </c>
    </row>
    <row r="20" spans="2:14" x14ac:dyDescent="0.25">
      <c r="B20">
        <v>209</v>
      </c>
      <c r="C20" t="s">
        <v>159</v>
      </c>
      <c r="D20" t="s">
        <v>853</v>
      </c>
      <c r="E20" t="s">
        <v>160</v>
      </c>
      <c r="F20">
        <v>1</v>
      </c>
      <c r="G20" t="s">
        <v>61</v>
      </c>
      <c r="H20" t="s">
        <v>161</v>
      </c>
      <c r="I20" t="s">
        <v>162</v>
      </c>
      <c r="J20" t="s">
        <v>163</v>
      </c>
      <c r="K20" t="s">
        <v>164</v>
      </c>
      <c r="L20" t="s">
        <v>164</v>
      </c>
      <c r="M20" t="s">
        <v>165</v>
      </c>
      <c r="N20" s="4">
        <v>46125</v>
      </c>
    </row>
    <row r="21" spans="2:14" x14ac:dyDescent="0.25">
      <c r="B21">
        <v>692</v>
      </c>
      <c r="C21" t="s">
        <v>494</v>
      </c>
      <c r="D21" t="s">
        <v>854</v>
      </c>
      <c r="E21" t="s">
        <v>495</v>
      </c>
      <c r="F21">
        <v>1</v>
      </c>
      <c r="G21" t="s">
        <v>61</v>
      </c>
      <c r="H21" t="s">
        <v>496</v>
      </c>
      <c r="I21" t="s">
        <v>497</v>
      </c>
      <c r="J21" t="s">
        <v>498</v>
      </c>
      <c r="K21" t="s">
        <v>499</v>
      </c>
      <c r="L21" t="s">
        <v>500</v>
      </c>
      <c r="M21" t="s">
        <v>501</v>
      </c>
      <c r="N21" s="4">
        <v>46125</v>
      </c>
    </row>
    <row r="22" spans="2:14" x14ac:dyDescent="0.25">
      <c r="B22">
        <v>649</v>
      </c>
      <c r="C22" t="s">
        <v>34</v>
      </c>
      <c r="D22" t="s">
        <v>854</v>
      </c>
      <c r="E22" t="s">
        <v>35</v>
      </c>
      <c r="F22">
        <v>1</v>
      </c>
      <c r="G22" t="s">
        <v>36</v>
      </c>
      <c r="H22" t="s">
        <v>37</v>
      </c>
      <c r="I22" t="s">
        <v>38</v>
      </c>
      <c r="J22" t="s">
        <v>39</v>
      </c>
      <c r="K22" t="s">
        <v>40</v>
      </c>
      <c r="L22" t="s">
        <v>858</v>
      </c>
      <c r="M22" t="s">
        <v>42</v>
      </c>
      <c r="N22" s="4">
        <v>46125</v>
      </c>
    </row>
    <row r="23" spans="2:14" x14ac:dyDescent="0.25">
      <c r="B23">
        <v>547</v>
      </c>
      <c r="C23" t="s">
        <v>166</v>
      </c>
      <c r="D23" t="s">
        <v>856</v>
      </c>
      <c r="E23" t="s">
        <v>167</v>
      </c>
      <c r="F23">
        <v>7</v>
      </c>
      <c r="G23" t="s">
        <v>61</v>
      </c>
      <c r="H23" t="s">
        <v>168</v>
      </c>
      <c r="I23" t="s">
        <v>169</v>
      </c>
      <c r="J23" t="s">
        <v>170</v>
      </c>
      <c r="K23" t="s">
        <v>171</v>
      </c>
      <c r="L23" t="s">
        <v>172</v>
      </c>
      <c r="M23" t="s">
        <v>173</v>
      </c>
      <c r="N23" s="4">
        <v>46125</v>
      </c>
    </row>
    <row r="24" spans="2:14" x14ac:dyDescent="0.25">
      <c r="B24">
        <v>420</v>
      </c>
      <c r="C24" t="s">
        <v>166</v>
      </c>
      <c r="D24" t="s">
        <v>855</v>
      </c>
      <c r="E24" t="s">
        <v>167</v>
      </c>
      <c r="F24">
        <v>2</v>
      </c>
      <c r="G24" t="s">
        <v>61</v>
      </c>
      <c r="H24" t="s">
        <v>168</v>
      </c>
      <c r="I24" t="s">
        <v>169</v>
      </c>
      <c r="J24" t="s">
        <v>170</v>
      </c>
      <c r="K24" t="s">
        <v>171</v>
      </c>
      <c r="L24" t="s">
        <v>172</v>
      </c>
      <c r="M24" t="s">
        <v>173</v>
      </c>
      <c r="N24" s="4">
        <v>46125</v>
      </c>
    </row>
    <row r="25" spans="2:14" x14ac:dyDescent="0.25">
      <c r="B25">
        <v>210</v>
      </c>
      <c r="C25" t="s">
        <v>166</v>
      </c>
      <c r="D25" t="s">
        <v>853</v>
      </c>
      <c r="E25" t="s">
        <v>167</v>
      </c>
      <c r="F25">
        <v>1</v>
      </c>
      <c r="G25" t="s">
        <v>61</v>
      </c>
      <c r="H25" t="s">
        <v>168</v>
      </c>
      <c r="I25" t="s">
        <v>169</v>
      </c>
      <c r="J25" t="s">
        <v>170</v>
      </c>
      <c r="K25" t="s">
        <v>171</v>
      </c>
      <c r="L25" t="s">
        <v>172</v>
      </c>
      <c r="M25" t="s">
        <v>173</v>
      </c>
      <c r="N25" s="4">
        <v>46125</v>
      </c>
    </row>
    <row r="26" spans="2:14" x14ac:dyDescent="0.25">
      <c r="B26">
        <v>673</v>
      </c>
      <c r="C26" t="s">
        <v>326</v>
      </c>
      <c r="D26" t="s">
        <v>854</v>
      </c>
      <c r="E26" t="s">
        <v>327</v>
      </c>
      <c r="F26">
        <v>1</v>
      </c>
      <c r="G26" t="s">
        <v>152</v>
      </c>
      <c r="H26" t="s">
        <v>328</v>
      </c>
      <c r="I26" t="s">
        <v>329</v>
      </c>
      <c r="J26" t="s">
        <v>330</v>
      </c>
      <c r="K26" t="s">
        <v>331</v>
      </c>
      <c r="L26" t="s">
        <v>332</v>
      </c>
      <c r="M26" t="s">
        <v>333</v>
      </c>
      <c r="N26" s="4">
        <v>46125</v>
      </c>
    </row>
    <row r="27" spans="2:14" x14ac:dyDescent="0.25">
      <c r="B27">
        <v>429</v>
      </c>
      <c r="C27" t="s">
        <v>326</v>
      </c>
      <c r="D27" t="s">
        <v>855</v>
      </c>
      <c r="E27" t="s">
        <v>327</v>
      </c>
      <c r="F27">
        <v>1</v>
      </c>
      <c r="G27" t="s">
        <v>152</v>
      </c>
      <c r="H27" t="s">
        <v>328</v>
      </c>
      <c r="I27" t="s">
        <v>329</v>
      </c>
      <c r="J27" t="s">
        <v>330</v>
      </c>
      <c r="K27" t="s">
        <v>331</v>
      </c>
      <c r="L27" t="s">
        <v>332</v>
      </c>
      <c r="M27" t="s">
        <v>333</v>
      </c>
      <c r="N27" s="4">
        <v>46125</v>
      </c>
    </row>
    <row r="28" spans="2:14" x14ac:dyDescent="0.25">
      <c r="B28">
        <v>658</v>
      </c>
      <c r="C28" t="s">
        <v>554</v>
      </c>
      <c r="D28" t="s">
        <v>854</v>
      </c>
      <c r="E28" t="s">
        <v>555</v>
      </c>
      <c r="F28">
        <v>1</v>
      </c>
      <c r="G28" t="s">
        <v>61</v>
      </c>
      <c r="H28" t="s">
        <v>556</v>
      </c>
      <c r="I28" t="s">
        <v>557</v>
      </c>
      <c r="J28" t="s">
        <v>558</v>
      </c>
      <c r="K28" t="s">
        <v>559</v>
      </c>
      <c r="L28" t="s">
        <v>560</v>
      </c>
      <c r="M28" t="s">
        <v>561</v>
      </c>
      <c r="N28" s="4">
        <v>46125</v>
      </c>
    </row>
    <row r="29" spans="2:14" x14ac:dyDescent="0.25">
      <c r="B29">
        <v>417</v>
      </c>
      <c r="C29" t="s">
        <v>554</v>
      </c>
      <c r="D29" t="s">
        <v>855</v>
      </c>
      <c r="E29" t="s">
        <v>555</v>
      </c>
      <c r="F29">
        <v>1</v>
      </c>
      <c r="G29" t="s">
        <v>61</v>
      </c>
      <c r="H29" t="s">
        <v>556</v>
      </c>
      <c r="I29" t="s">
        <v>557</v>
      </c>
      <c r="J29" t="s">
        <v>558</v>
      </c>
      <c r="K29" t="s">
        <v>559</v>
      </c>
      <c r="L29" t="s">
        <v>560</v>
      </c>
      <c r="M29" t="s">
        <v>561</v>
      </c>
      <c r="N29" s="4">
        <v>46125</v>
      </c>
    </row>
    <row r="30" spans="2:14" x14ac:dyDescent="0.25">
      <c r="B30">
        <v>686</v>
      </c>
      <c r="C30" t="s">
        <v>571</v>
      </c>
      <c r="D30" t="s">
        <v>854</v>
      </c>
      <c r="E30" t="s">
        <v>572</v>
      </c>
      <c r="F30">
        <v>1</v>
      </c>
      <c r="G30" t="s">
        <v>573</v>
      </c>
      <c r="H30" t="s">
        <v>574</v>
      </c>
      <c r="I30" t="s">
        <v>575</v>
      </c>
      <c r="J30" t="s">
        <v>576</v>
      </c>
      <c r="K30" t="s">
        <v>577</v>
      </c>
      <c r="L30" t="s">
        <v>578</v>
      </c>
      <c r="M30" t="s">
        <v>579</v>
      </c>
      <c r="N30" s="4">
        <v>46125</v>
      </c>
    </row>
    <row r="31" spans="2:14" x14ac:dyDescent="0.25">
      <c r="B31">
        <v>661</v>
      </c>
      <c r="C31" t="s">
        <v>174</v>
      </c>
      <c r="D31" t="s">
        <v>854</v>
      </c>
      <c r="E31" t="s">
        <v>175</v>
      </c>
      <c r="F31">
        <v>2</v>
      </c>
      <c r="G31" t="s">
        <v>152</v>
      </c>
      <c r="H31" t="s">
        <v>176</v>
      </c>
      <c r="I31" t="s">
        <v>177</v>
      </c>
      <c r="J31" t="s">
        <v>178</v>
      </c>
      <c r="K31" t="s">
        <v>179</v>
      </c>
      <c r="L31" t="s">
        <v>180</v>
      </c>
      <c r="M31" t="s">
        <v>181</v>
      </c>
      <c r="N31" s="4">
        <v>46125</v>
      </c>
    </row>
    <row r="32" spans="2:14" x14ac:dyDescent="0.25">
      <c r="B32">
        <v>676</v>
      </c>
      <c r="C32" t="s">
        <v>350</v>
      </c>
      <c r="D32" t="s">
        <v>854</v>
      </c>
      <c r="E32" t="s">
        <v>351</v>
      </c>
      <c r="F32">
        <v>1</v>
      </c>
      <c r="G32" t="s">
        <v>152</v>
      </c>
      <c r="H32" t="s">
        <v>352</v>
      </c>
      <c r="I32" t="s">
        <v>353</v>
      </c>
      <c r="J32" t="s">
        <v>354</v>
      </c>
      <c r="K32" t="s">
        <v>355</v>
      </c>
      <c r="L32" t="s">
        <v>355</v>
      </c>
      <c r="M32" t="s">
        <v>356</v>
      </c>
      <c r="N32" s="4">
        <v>46125</v>
      </c>
    </row>
    <row r="33" spans="2:14" x14ac:dyDescent="0.25">
      <c r="B33">
        <v>430</v>
      </c>
      <c r="C33" t="s">
        <v>350</v>
      </c>
      <c r="D33" t="s">
        <v>855</v>
      </c>
      <c r="E33" t="s">
        <v>351</v>
      </c>
      <c r="F33">
        <v>1</v>
      </c>
      <c r="G33" t="s">
        <v>152</v>
      </c>
      <c r="H33" t="s">
        <v>352</v>
      </c>
      <c r="I33" t="s">
        <v>353</v>
      </c>
      <c r="J33" t="s">
        <v>354</v>
      </c>
      <c r="K33" t="s">
        <v>355</v>
      </c>
      <c r="L33" t="s">
        <v>355</v>
      </c>
      <c r="M33" t="s">
        <v>356</v>
      </c>
      <c r="N33" s="4">
        <v>46125</v>
      </c>
    </row>
    <row r="34" spans="2:14" x14ac:dyDescent="0.25">
      <c r="B34">
        <v>216</v>
      </c>
      <c r="C34" t="s">
        <v>350</v>
      </c>
      <c r="D34" t="s">
        <v>853</v>
      </c>
      <c r="E34" t="s">
        <v>351</v>
      </c>
      <c r="F34">
        <v>1</v>
      </c>
      <c r="G34" t="s">
        <v>152</v>
      </c>
      <c r="H34" t="s">
        <v>352</v>
      </c>
      <c r="I34" t="s">
        <v>353</v>
      </c>
      <c r="J34" t="s">
        <v>354</v>
      </c>
      <c r="K34" t="s">
        <v>355</v>
      </c>
      <c r="L34" t="s">
        <v>355</v>
      </c>
      <c r="M34" t="s">
        <v>356</v>
      </c>
      <c r="N34" s="4">
        <v>46125</v>
      </c>
    </row>
    <row r="35" spans="2:14" x14ac:dyDescent="0.25">
      <c r="B35">
        <v>439</v>
      </c>
      <c r="C35" t="s">
        <v>588</v>
      </c>
      <c r="D35" t="s">
        <v>855</v>
      </c>
      <c r="E35" t="s">
        <v>589</v>
      </c>
      <c r="F35">
        <v>1</v>
      </c>
      <c r="G35" t="s">
        <v>24</v>
      </c>
      <c r="H35" t="s">
        <v>590</v>
      </c>
      <c r="I35" t="s">
        <v>591</v>
      </c>
      <c r="J35" t="s">
        <v>592</v>
      </c>
      <c r="K35" t="s">
        <v>593</v>
      </c>
      <c r="L35" t="s">
        <v>594</v>
      </c>
      <c r="M35" t="s">
        <v>595</v>
      </c>
      <c r="N35" s="4">
        <v>46125</v>
      </c>
    </row>
    <row r="36" spans="2:14" x14ac:dyDescent="0.25">
      <c r="B36">
        <v>668</v>
      </c>
      <c r="C36" t="s">
        <v>263</v>
      </c>
      <c r="D36" t="s">
        <v>854</v>
      </c>
      <c r="E36" t="s">
        <v>264</v>
      </c>
      <c r="F36">
        <v>2</v>
      </c>
      <c r="G36" t="s">
        <v>61</v>
      </c>
      <c r="H36" t="s">
        <v>265</v>
      </c>
      <c r="I36" t="s">
        <v>266</v>
      </c>
      <c r="J36" t="s">
        <v>267</v>
      </c>
      <c r="K36" t="s">
        <v>252</v>
      </c>
      <c r="L36" t="s">
        <v>268</v>
      </c>
      <c r="M36" t="s">
        <v>269</v>
      </c>
      <c r="N36" s="4">
        <v>46125</v>
      </c>
    </row>
    <row r="37" spans="2:14" x14ac:dyDescent="0.25">
      <c r="B37">
        <v>437</v>
      </c>
      <c r="C37" t="s">
        <v>455</v>
      </c>
      <c r="D37" t="s">
        <v>855</v>
      </c>
      <c r="E37" t="s">
        <v>456</v>
      </c>
      <c r="F37">
        <v>1</v>
      </c>
      <c r="G37" t="s">
        <v>111</v>
      </c>
      <c r="H37" t="s">
        <v>457</v>
      </c>
      <c r="I37" t="s">
        <v>458</v>
      </c>
      <c r="J37" t="s">
        <v>459</v>
      </c>
      <c r="K37" t="s">
        <v>460</v>
      </c>
      <c r="L37" t="s">
        <v>461</v>
      </c>
      <c r="M37" t="s">
        <v>462</v>
      </c>
      <c r="N37" s="4">
        <v>46125</v>
      </c>
    </row>
    <row r="38" spans="2:14" x14ac:dyDescent="0.25">
      <c r="B38">
        <v>678</v>
      </c>
      <c r="C38" t="s">
        <v>604</v>
      </c>
      <c r="D38" t="s">
        <v>854</v>
      </c>
      <c r="E38" t="s">
        <v>605</v>
      </c>
      <c r="F38">
        <v>1</v>
      </c>
      <c r="G38" t="s">
        <v>61</v>
      </c>
      <c r="H38" t="s">
        <v>606</v>
      </c>
      <c r="I38" t="s">
        <v>607</v>
      </c>
      <c r="J38" t="s">
        <v>608</v>
      </c>
      <c r="K38" t="s">
        <v>252</v>
      </c>
      <c r="L38" t="s">
        <v>609</v>
      </c>
      <c r="M38" t="s">
        <v>610</v>
      </c>
      <c r="N38" s="4">
        <v>46125</v>
      </c>
    </row>
    <row r="39" spans="2:14" x14ac:dyDescent="0.25">
      <c r="B39">
        <v>659</v>
      </c>
      <c r="C39" t="s">
        <v>142</v>
      </c>
      <c r="D39" t="s">
        <v>854</v>
      </c>
      <c r="E39" t="s">
        <v>143</v>
      </c>
      <c r="F39">
        <v>1</v>
      </c>
      <c r="G39" t="s">
        <v>61</v>
      </c>
      <c r="H39" t="s">
        <v>144</v>
      </c>
      <c r="I39" t="s">
        <v>145</v>
      </c>
      <c r="J39" t="s">
        <v>146</v>
      </c>
      <c r="K39" t="s">
        <v>147</v>
      </c>
      <c r="L39" t="s">
        <v>148</v>
      </c>
      <c r="M39" t="s">
        <v>149</v>
      </c>
      <c r="N39" s="4">
        <v>46125</v>
      </c>
    </row>
    <row r="40" spans="2:14" x14ac:dyDescent="0.25">
      <c r="B40">
        <v>418</v>
      </c>
      <c r="C40" t="s">
        <v>142</v>
      </c>
      <c r="D40" t="s">
        <v>855</v>
      </c>
      <c r="E40" t="s">
        <v>143</v>
      </c>
      <c r="F40">
        <v>1</v>
      </c>
      <c r="G40" t="s">
        <v>61</v>
      </c>
      <c r="H40" t="s">
        <v>144</v>
      </c>
      <c r="I40" t="s">
        <v>145</v>
      </c>
      <c r="J40" t="s">
        <v>146</v>
      </c>
      <c r="K40" t="s">
        <v>147</v>
      </c>
      <c r="L40" t="s">
        <v>148</v>
      </c>
      <c r="M40" t="s">
        <v>149</v>
      </c>
      <c r="N40" s="4">
        <v>46125</v>
      </c>
    </row>
    <row r="41" spans="2:14" x14ac:dyDescent="0.25">
      <c r="B41">
        <v>652</v>
      </c>
      <c r="C41" t="s">
        <v>59</v>
      </c>
      <c r="D41" t="s">
        <v>854</v>
      </c>
      <c r="E41" t="s">
        <v>60</v>
      </c>
      <c r="F41">
        <v>8</v>
      </c>
      <c r="G41" t="s">
        <v>61</v>
      </c>
      <c r="H41" t="s">
        <v>62</v>
      </c>
      <c r="I41" t="s">
        <v>63</v>
      </c>
      <c r="J41" t="s">
        <v>64</v>
      </c>
      <c r="K41" t="s">
        <v>65</v>
      </c>
      <c r="L41" t="s">
        <v>66</v>
      </c>
      <c r="M41" t="s">
        <v>67</v>
      </c>
      <c r="N41" s="4">
        <v>46125</v>
      </c>
    </row>
    <row r="42" spans="2:14" x14ac:dyDescent="0.25">
      <c r="B42">
        <v>412</v>
      </c>
      <c r="C42" t="s">
        <v>59</v>
      </c>
      <c r="D42" t="s">
        <v>855</v>
      </c>
      <c r="E42" t="s">
        <v>60</v>
      </c>
      <c r="F42">
        <v>5</v>
      </c>
      <c r="G42" t="s">
        <v>61</v>
      </c>
      <c r="H42" t="s">
        <v>62</v>
      </c>
      <c r="I42" t="s">
        <v>63</v>
      </c>
      <c r="J42" t="s">
        <v>64</v>
      </c>
      <c r="K42" t="s">
        <v>65</v>
      </c>
      <c r="L42" t="s">
        <v>66</v>
      </c>
      <c r="M42" t="s">
        <v>67</v>
      </c>
      <c r="N42" s="4">
        <v>46125</v>
      </c>
    </row>
    <row r="43" spans="2:14" x14ac:dyDescent="0.25">
      <c r="B43">
        <v>205</v>
      </c>
      <c r="C43" t="s">
        <v>59</v>
      </c>
      <c r="D43" t="s">
        <v>853</v>
      </c>
      <c r="E43" t="s">
        <v>60</v>
      </c>
      <c r="F43">
        <v>5</v>
      </c>
      <c r="G43" t="s">
        <v>61</v>
      </c>
      <c r="H43" t="s">
        <v>62</v>
      </c>
      <c r="I43" t="s">
        <v>63</v>
      </c>
      <c r="J43" t="s">
        <v>64</v>
      </c>
      <c r="K43" t="s">
        <v>65</v>
      </c>
      <c r="L43" t="s">
        <v>66</v>
      </c>
      <c r="M43" t="s">
        <v>67</v>
      </c>
      <c r="N43" s="4">
        <v>46125</v>
      </c>
    </row>
    <row r="44" spans="2:14" x14ac:dyDescent="0.25">
      <c r="B44">
        <v>664</v>
      </c>
      <c r="C44" t="s">
        <v>215</v>
      </c>
      <c r="D44" t="s">
        <v>854</v>
      </c>
      <c r="E44" t="s">
        <v>216</v>
      </c>
      <c r="F44">
        <v>1</v>
      </c>
      <c r="G44" t="s">
        <v>24</v>
      </c>
      <c r="H44" t="s">
        <v>217</v>
      </c>
      <c r="I44" t="s">
        <v>218</v>
      </c>
      <c r="J44" t="s">
        <v>219</v>
      </c>
      <c r="K44" t="s">
        <v>220</v>
      </c>
      <c r="L44" t="s">
        <v>221</v>
      </c>
      <c r="M44" t="s">
        <v>222</v>
      </c>
      <c r="N44" s="4">
        <v>46125</v>
      </c>
    </row>
    <row r="45" spans="2:14" x14ac:dyDescent="0.25">
      <c r="B45">
        <v>554</v>
      </c>
      <c r="C45" t="s">
        <v>286</v>
      </c>
      <c r="D45" t="s">
        <v>856</v>
      </c>
      <c r="E45" t="s">
        <v>287</v>
      </c>
      <c r="F45">
        <v>1</v>
      </c>
      <c r="G45" t="s">
        <v>61</v>
      </c>
      <c r="H45" t="s">
        <v>288</v>
      </c>
      <c r="I45" t="s">
        <v>289</v>
      </c>
      <c r="J45" t="s">
        <v>290</v>
      </c>
      <c r="K45" t="s">
        <v>291</v>
      </c>
      <c r="L45" t="s">
        <v>292</v>
      </c>
      <c r="M45" t="s">
        <v>293</v>
      </c>
      <c r="N45" s="4">
        <v>46125</v>
      </c>
    </row>
    <row r="46" spans="2:14" x14ac:dyDescent="0.25">
      <c r="B46">
        <v>691</v>
      </c>
      <c r="C46" t="s">
        <v>611</v>
      </c>
      <c r="D46" t="s">
        <v>854</v>
      </c>
      <c r="E46" t="s">
        <v>612</v>
      </c>
      <c r="F46">
        <v>1</v>
      </c>
      <c r="G46" t="s">
        <v>24</v>
      </c>
      <c r="H46" t="s">
        <v>613</v>
      </c>
      <c r="I46" t="s">
        <v>614</v>
      </c>
      <c r="J46" t="s">
        <v>615</v>
      </c>
      <c r="K46" t="s">
        <v>616</v>
      </c>
      <c r="L46" t="s">
        <v>616</v>
      </c>
      <c r="M46" t="s">
        <v>617</v>
      </c>
      <c r="N46" s="4">
        <v>46125</v>
      </c>
    </row>
    <row r="47" spans="2:14" x14ac:dyDescent="0.25">
      <c r="B47">
        <v>440</v>
      </c>
      <c r="C47" t="s">
        <v>611</v>
      </c>
      <c r="D47" t="s">
        <v>855</v>
      </c>
      <c r="E47" t="s">
        <v>612</v>
      </c>
      <c r="F47">
        <v>1</v>
      </c>
      <c r="G47" t="s">
        <v>24</v>
      </c>
      <c r="H47" t="s">
        <v>613</v>
      </c>
      <c r="I47" t="s">
        <v>614</v>
      </c>
      <c r="J47" t="s">
        <v>615</v>
      </c>
      <c r="K47" t="s">
        <v>616</v>
      </c>
      <c r="L47" t="s">
        <v>616</v>
      </c>
      <c r="M47" t="s">
        <v>617</v>
      </c>
      <c r="N47" s="4">
        <v>46125</v>
      </c>
    </row>
    <row r="48" spans="2:14" x14ac:dyDescent="0.25">
      <c r="B48">
        <v>681</v>
      </c>
      <c r="C48" t="s">
        <v>399</v>
      </c>
      <c r="D48" t="s">
        <v>854</v>
      </c>
      <c r="E48" t="s">
        <v>400</v>
      </c>
      <c r="F48">
        <v>1</v>
      </c>
      <c r="G48" t="s">
        <v>152</v>
      </c>
      <c r="H48" t="s">
        <v>401</v>
      </c>
      <c r="I48" t="s">
        <v>402</v>
      </c>
      <c r="J48" t="s">
        <v>403</v>
      </c>
      <c r="K48" t="s">
        <v>404</v>
      </c>
      <c r="L48" t="s">
        <v>791</v>
      </c>
      <c r="M48" t="s">
        <v>406</v>
      </c>
      <c r="N48" s="4">
        <v>46125</v>
      </c>
    </row>
    <row r="49" spans="2:14" x14ac:dyDescent="0.25">
      <c r="B49">
        <v>559</v>
      </c>
      <c r="C49" t="s">
        <v>399</v>
      </c>
      <c r="D49" t="s">
        <v>856</v>
      </c>
      <c r="E49" t="s">
        <v>400</v>
      </c>
      <c r="F49">
        <v>1</v>
      </c>
      <c r="G49" t="s">
        <v>152</v>
      </c>
      <c r="H49" t="s">
        <v>401</v>
      </c>
      <c r="I49" t="s">
        <v>402</v>
      </c>
      <c r="J49" t="s">
        <v>403</v>
      </c>
      <c r="K49" t="s">
        <v>404</v>
      </c>
      <c r="L49" t="s">
        <v>791</v>
      </c>
      <c r="M49" t="s">
        <v>406</v>
      </c>
      <c r="N49" s="4">
        <v>46125</v>
      </c>
    </row>
    <row r="50" spans="2:14" x14ac:dyDescent="0.25">
      <c r="B50">
        <v>675</v>
      </c>
      <c r="C50" t="s">
        <v>342</v>
      </c>
      <c r="D50" t="s">
        <v>854</v>
      </c>
      <c r="E50" t="s">
        <v>343</v>
      </c>
      <c r="F50">
        <v>1</v>
      </c>
      <c r="G50" t="s">
        <v>24</v>
      </c>
      <c r="H50" t="s">
        <v>344</v>
      </c>
      <c r="I50" t="s">
        <v>345</v>
      </c>
      <c r="J50" t="s">
        <v>346</v>
      </c>
      <c r="K50" t="s">
        <v>347</v>
      </c>
      <c r="L50" t="s">
        <v>348</v>
      </c>
      <c r="M50" t="s">
        <v>349</v>
      </c>
      <c r="N50" s="4">
        <v>46125</v>
      </c>
    </row>
    <row r="51" spans="2:14" x14ac:dyDescent="0.25">
      <c r="B51">
        <v>215</v>
      </c>
      <c r="C51" t="s">
        <v>342</v>
      </c>
      <c r="D51" t="s">
        <v>853</v>
      </c>
      <c r="E51" t="s">
        <v>343</v>
      </c>
      <c r="F51">
        <v>1</v>
      </c>
      <c r="G51" t="s">
        <v>24</v>
      </c>
      <c r="H51" t="s">
        <v>344</v>
      </c>
      <c r="I51" t="s">
        <v>345</v>
      </c>
      <c r="J51" t="s">
        <v>346</v>
      </c>
      <c r="K51" t="s">
        <v>347</v>
      </c>
      <c r="L51" t="s">
        <v>348</v>
      </c>
      <c r="M51" t="s">
        <v>349</v>
      </c>
      <c r="N51" s="4">
        <v>46125</v>
      </c>
    </row>
    <row r="52" spans="2:14" x14ac:dyDescent="0.25">
      <c r="B52">
        <v>655</v>
      </c>
      <c r="C52" t="s">
        <v>626</v>
      </c>
      <c r="D52" t="s">
        <v>854</v>
      </c>
      <c r="E52" t="s">
        <v>627</v>
      </c>
      <c r="F52">
        <v>1</v>
      </c>
      <c r="G52" t="s">
        <v>152</v>
      </c>
      <c r="H52" t="s">
        <v>628</v>
      </c>
      <c r="I52" t="s">
        <v>629</v>
      </c>
      <c r="J52" t="s">
        <v>630</v>
      </c>
      <c r="K52" t="s">
        <v>631</v>
      </c>
      <c r="L52" t="s">
        <v>632</v>
      </c>
      <c r="M52" t="s">
        <v>633</v>
      </c>
      <c r="N52" s="4">
        <v>46125</v>
      </c>
    </row>
    <row r="53" spans="2:14" ht="30" customHeight="1" x14ac:dyDescent="0.25">
      <c r="B53">
        <v>690</v>
      </c>
      <c r="C53" t="s">
        <v>478</v>
      </c>
      <c r="D53" t="s">
        <v>854</v>
      </c>
      <c r="E53" t="s">
        <v>479</v>
      </c>
      <c r="F53">
        <v>1</v>
      </c>
      <c r="G53" t="s">
        <v>111</v>
      </c>
      <c r="H53" s="11" t="s">
        <v>480</v>
      </c>
      <c r="I53" s="11" t="s">
        <v>481</v>
      </c>
      <c r="J53" s="11" t="s">
        <v>482</v>
      </c>
      <c r="K53" t="s">
        <v>483</v>
      </c>
      <c r="L53" t="s">
        <v>634</v>
      </c>
      <c r="M53" t="s">
        <v>485</v>
      </c>
      <c r="N53" s="4">
        <v>46125</v>
      </c>
    </row>
    <row r="54" spans="2:14" x14ac:dyDescent="0.25">
      <c r="B54">
        <v>650</v>
      </c>
      <c r="C54" t="s">
        <v>43</v>
      </c>
      <c r="D54" t="s">
        <v>854</v>
      </c>
      <c r="E54" t="s">
        <v>44</v>
      </c>
      <c r="F54">
        <v>2</v>
      </c>
      <c r="G54" t="s">
        <v>24</v>
      </c>
      <c r="H54" t="s">
        <v>45</v>
      </c>
      <c r="I54" t="s">
        <v>46</v>
      </c>
      <c r="J54" t="s">
        <v>47</v>
      </c>
      <c r="K54" t="s">
        <v>48</v>
      </c>
      <c r="L54" t="s">
        <v>49</v>
      </c>
      <c r="M54" t="s">
        <v>50</v>
      </c>
      <c r="N54" s="4">
        <v>46125</v>
      </c>
    </row>
    <row r="55" spans="2:14" x14ac:dyDescent="0.25">
      <c r="B55">
        <v>552</v>
      </c>
      <c r="C55" t="s">
        <v>270</v>
      </c>
      <c r="D55" t="s">
        <v>856</v>
      </c>
      <c r="E55" t="s">
        <v>271</v>
      </c>
      <c r="F55">
        <v>2</v>
      </c>
      <c r="G55" t="s">
        <v>61</v>
      </c>
      <c r="H55" t="s">
        <v>272</v>
      </c>
      <c r="I55" t="s">
        <v>273</v>
      </c>
      <c r="J55" t="s">
        <v>274</v>
      </c>
      <c r="K55" t="s">
        <v>275</v>
      </c>
      <c r="L55" t="s">
        <v>792</v>
      </c>
      <c r="M55" t="s">
        <v>277</v>
      </c>
      <c r="N55" s="4">
        <v>46125</v>
      </c>
    </row>
    <row r="56" spans="2:14" x14ac:dyDescent="0.25">
      <c r="B56">
        <v>426</v>
      </c>
      <c r="C56" t="s">
        <v>270</v>
      </c>
      <c r="D56" t="s">
        <v>855</v>
      </c>
      <c r="E56" t="s">
        <v>271</v>
      </c>
      <c r="F56">
        <v>2</v>
      </c>
      <c r="G56" t="s">
        <v>61</v>
      </c>
      <c r="H56" t="s">
        <v>272</v>
      </c>
      <c r="I56" t="s">
        <v>273</v>
      </c>
      <c r="J56" t="s">
        <v>274</v>
      </c>
      <c r="K56" t="s">
        <v>275</v>
      </c>
      <c r="L56" t="s">
        <v>792</v>
      </c>
      <c r="M56" t="s">
        <v>277</v>
      </c>
      <c r="N56" s="4">
        <v>46125</v>
      </c>
    </row>
    <row r="57" spans="2:14" x14ac:dyDescent="0.25">
      <c r="B57">
        <v>213</v>
      </c>
      <c r="C57" t="s">
        <v>270</v>
      </c>
      <c r="D57" t="s">
        <v>853</v>
      </c>
      <c r="E57" t="s">
        <v>271</v>
      </c>
      <c r="F57">
        <v>1</v>
      </c>
      <c r="G57" t="s">
        <v>61</v>
      </c>
      <c r="H57" t="s">
        <v>272</v>
      </c>
      <c r="I57" t="s">
        <v>273</v>
      </c>
      <c r="J57" t="s">
        <v>274</v>
      </c>
      <c r="K57" t="s">
        <v>275</v>
      </c>
      <c r="L57" t="s">
        <v>792</v>
      </c>
      <c r="M57" t="s">
        <v>277</v>
      </c>
      <c r="N57" s="4">
        <v>46125</v>
      </c>
    </row>
    <row r="58" spans="2:14" x14ac:dyDescent="0.25">
      <c r="B58">
        <v>427</v>
      </c>
      <c r="C58" t="s">
        <v>859</v>
      </c>
      <c r="D58" t="s">
        <v>855</v>
      </c>
      <c r="E58" t="s">
        <v>860</v>
      </c>
      <c r="F58">
        <v>1</v>
      </c>
      <c r="G58" t="s">
        <v>861</v>
      </c>
      <c r="H58" t="s">
        <v>862</v>
      </c>
      <c r="I58" t="s">
        <v>863</v>
      </c>
      <c r="J58" t="s">
        <v>864</v>
      </c>
      <c r="K58" t="s">
        <v>865</v>
      </c>
      <c r="L58" t="s">
        <v>866</v>
      </c>
      <c r="M58" t="s">
        <v>867</v>
      </c>
      <c r="N58" s="4">
        <v>46125</v>
      </c>
    </row>
    <row r="59" spans="2:14" x14ac:dyDescent="0.25">
      <c r="B59">
        <v>694</v>
      </c>
      <c r="C59" t="s">
        <v>508</v>
      </c>
      <c r="D59" t="s">
        <v>854</v>
      </c>
      <c r="E59" t="s">
        <v>509</v>
      </c>
      <c r="F59">
        <v>1</v>
      </c>
      <c r="G59" t="s">
        <v>61</v>
      </c>
      <c r="H59" t="s">
        <v>510</v>
      </c>
      <c r="I59" t="s">
        <v>511</v>
      </c>
      <c r="J59" t="s">
        <v>512</v>
      </c>
      <c r="K59" t="s">
        <v>513</v>
      </c>
      <c r="L59" t="s">
        <v>514</v>
      </c>
      <c r="M59" t="s">
        <v>515</v>
      </c>
      <c r="N59" s="4">
        <v>46125</v>
      </c>
    </row>
    <row r="60" spans="2:14" x14ac:dyDescent="0.25">
      <c r="B60">
        <v>442</v>
      </c>
      <c r="C60" t="s">
        <v>508</v>
      </c>
      <c r="D60" t="s">
        <v>855</v>
      </c>
      <c r="E60" t="s">
        <v>509</v>
      </c>
      <c r="F60">
        <v>1</v>
      </c>
      <c r="G60" t="s">
        <v>61</v>
      </c>
      <c r="H60" t="s">
        <v>510</v>
      </c>
      <c r="I60" t="s">
        <v>511</v>
      </c>
      <c r="J60" t="s">
        <v>512</v>
      </c>
      <c r="K60" t="s">
        <v>513</v>
      </c>
      <c r="L60" t="s">
        <v>514</v>
      </c>
      <c r="M60" t="s">
        <v>515</v>
      </c>
      <c r="N60" s="4">
        <v>46125</v>
      </c>
    </row>
    <row r="61" spans="2:14" x14ac:dyDescent="0.25">
      <c r="B61">
        <v>546</v>
      </c>
      <c r="C61" t="s">
        <v>102</v>
      </c>
      <c r="D61" t="s">
        <v>856</v>
      </c>
      <c r="E61" t="s">
        <v>103</v>
      </c>
      <c r="F61">
        <v>1</v>
      </c>
      <c r="G61" t="s">
        <v>61</v>
      </c>
      <c r="H61" t="s">
        <v>104</v>
      </c>
      <c r="I61" t="s">
        <v>105</v>
      </c>
      <c r="J61" t="s">
        <v>106</v>
      </c>
      <c r="K61" t="s">
        <v>107</v>
      </c>
      <c r="L61" t="s">
        <v>107</v>
      </c>
      <c r="M61" t="s">
        <v>108</v>
      </c>
      <c r="N61" s="4">
        <v>46125</v>
      </c>
    </row>
    <row r="62" spans="2:14" x14ac:dyDescent="0.25">
      <c r="B62">
        <v>696</v>
      </c>
      <c r="C62" t="s">
        <v>644</v>
      </c>
      <c r="D62" t="s">
        <v>854</v>
      </c>
      <c r="E62" t="s">
        <v>645</v>
      </c>
      <c r="F62">
        <v>3</v>
      </c>
      <c r="G62" t="s">
        <v>61</v>
      </c>
      <c r="H62" t="s">
        <v>646</v>
      </c>
      <c r="I62" t="s">
        <v>647</v>
      </c>
      <c r="J62" t="s">
        <v>648</v>
      </c>
      <c r="K62" t="s">
        <v>649</v>
      </c>
      <c r="L62" t="s">
        <v>650</v>
      </c>
      <c r="N62" s="4">
        <v>46125</v>
      </c>
    </row>
    <row r="63" spans="2:14" x14ac:dyDescent="0.25">
      <c r="B63">
        <v>683</v>
      </c>
      <c r="C63" t="s">
        <v>424</v>
      </c>
      <c r="D63" t="s">
        <v>854</v>
      </c>
      <c r="E63" t="s">
        <v>425</v>
      </c>
      <c r="F63">
        <v>1</v>
      </c>
      <c r="G63" t="s">
        <v>111</v>
      </c>
      <c r="H63" t="s">
        <v>426</v>
      </c>
      <c r="I63" t="s">
        <v>427</v>
      </c>
      <c r="J63" t="s">
        <v>428</v>
      </c>
      <c r="K63" t="s">
        <v>429</v>
      </c>
      <c r="L63" t="s">
        <v>429</v>
      </c>
      <c r="M63" t="s">
        <v>430</v>
      </c>
      <c r="N63" s="4">
        <v>46125</v>
      </c>
    </row>
    <row r="64" spans="2:14" x14ac:dyDescent="0.25">
      <c r="B64">
        <v>657</v>
      </c>
      <c r="C64" t="s">
        <v>134</v>
      </c>
      <c r="D64" t="s">
        <v>854</v>
      </c>
      <c r="E64" t="s">
        <v>135</v>
      </c>
      <c r="F64">
        <v>2</v>
      </c>
      <c r="G64" t="s">
        <v>24</v>
      </c>
      <c r="H64" t="s">
        <v>136</v>
      </c>
      <c r="I64" t="s">
        <v>137</v>
      </c>
      <c r="J64" t="s">
        <v>138</v>
      </c>
      <c r="K64" t="s">
        <v>139</v>
      </c>
      <c r="L64" t="s">
        <v>140</v>
      </c>
      <c r="M64" t="s">
        <v>141</v>
      </c>
      <c r="N64" s="4">
        <v>46125</v>
      </c>
    </row>
    <row r="65" spans="2:14" x14ac:dyDescent="0.25">
      <c r="B65">
        <v>208</v>
      </c>
      <c r="C65" t="s">
        <v>150</v>
      </c>
      <c r="D65" t="s">
        <v>853</v>
      </c>
      <c r="E65" t="s">
        <v>151</v>
      </c>
      <c r="F65">
        <v>1</v>
      </c>
      <c r="G65" t="s">
        <v>152</v>
      </c>
      <c r="H65" t="s">
        <v>153</v>
      </c>
      <c r="I65" t="s">
        <v>154</v>
      </c>
      <c r="J65" t="s">
        <v>155</v>
      </c>
      <c r="K65" t="s">
        <v>156</v>
      </c>
      <c r="L65" t="s">
        <v>157</v>
      </c>
      <c r="M65" t="s">
        <v>158</v>
      </c>
      <c r="N65" s="4">
        <v>46125</v>
      </c>
    </row>
    <row r="66" spans="2:14" x14ac:dyDescent="0.25">
      <c r="B66">
        <v>669</v>
      </c>
      <c r="C66" t="s">
        <v>651</v>
      </c>
      <c r="D66" t="s">
        <v>854</v>
      </c>
      <c r="E66" t="s">
        <v>652</v>
      </c>
      <c r="F66">
        <v>1</v>
      </c>
      <c r="G66" t="s">
        <v>111</v>
      </c>
      <c r="H66" t="s">
        <v>653</v>
      </c>
      <c r="I66" t="s">
        <v>654</v>
      </c>
      <c r="J66" t="s">
        <v>655</v>
      </c>
      <c r="K66" t="s">
        <v>656</v>
      </c>
      <c r="L66" t="s">
        <v>657</v>
      </c>
      <c r="M66" t="s">
        <v>658</v>
      </c>
      <c r="N66" s="4">
        <v>46125</v>
      </c>
    </row>
    <row r="67" spans="2:14" x14ac:dyDescent="0.25">
      <c r="B67">
        <v>551</v>
      </c>
      <c r="C67" t="s">
        <v>651</v>
      </c>
      <c r="D67" t="s">
        <v>856</v>
      </c>
      <c r="E67" t="s">
        <v>652</v>
      </c>
      <c r="F67">
        <v>1</v>
      </c>
      <c r="G67" t="s">
        <v>111</v>
      </c>
      <c r="H67" t="s">
        <v>653</v>
      </c>
      <c r="I67" t="s">
        <v>654</v>
      </c>
      <c r="J67" t="s">
        <v>655</v>
      </c>
      <c r="K67" t="s">
        <v>656</v>
      </c>
      <c r="L67" t="s">
        <v>657</v>
      </c>
      <c r="M67" t="s">
        <v>658</v>
      </c>
      <c r="N67" s="4">
        <v>46125</v>
      </c>
    </row>
    <row r="68" spans="2:14" x14ac:dyDescent="0.25">
      <c r="B68">
        <v>651</v>
      </c>
      <c r="C68" t="s">
        <v>51</v>
      </c>
      <c r="D68" t="s">
        <v>854</v>
      </c>
      <c r="E68" t="s">
        <v>52</v>
      </c>
      <c r="F68">
        <v>4</v>
      </c>
      <c r="G68" t="s">
        <v>24</v>
      </c>
      <c r="H68" t="s">
        <v>53</v>
      </c>
      <c r="I68" t="s">
        <v>54</v>
      </c>
      <c r="J68" t="s">
        <v>55</v>
      </c>
      <c r="K68" t="s">
        <v>56</v>
      </c>
      <c r="L68" t="s">
        <v>57</v>
      </c>
      <c r="M68" t="s">
        <v>58</v>
      </c>
      <c r="N68" s="4">
        <v>46125</v>
      </c>
    </row>
    <row r="69" spans="2:14" x14ac:dyDescent="0.25">
      <c r="B69">
        <v>656</v>
      </c>
      <c r="C69" t="s">
        <v>117</v>
      </c>
      <c r="D69" t="s">
        <v>854</v>
      </c>
      <c r="E69" t="s">
        <v>118</v>
      </c>
      <c r="F69">
        <v>1</v>
      </c>
      <c r="G69" t="s">
        <v>24</v>
      </c>
      <c r="H69" t="s">
        <v>119</v>
      </c>
      <c r="I69" t="s">
        <v>120</v>
      </c>
      <c r="J69" t="s">
        <v>121</v>
      </c>
      <c r="K69" t="s">
        <v>122</v>
      </c>
      <c r="L69" t="s">
        <v>123</v>
      </c>
      <c r="M69" t="s">
        <v>124</v>
      </c>
      <c r="N69" s="4">
        <v>46125</v>
      </c>
    </row>
    <row r="70" spans="2:14" x14ac:dyDescent="0.25">
      <c r="B70">
        <v>416</v>
      </c>
      <c r="C70" t="s">
        <v>117</v>
      </c>
      <c r="D70" t="s">
        <v>855</v>
      </c>
      <c r="E70" t="s">
        <v>118</v>
      </c>
      <c r="F70">
        <v>1</v>
      </c>
      <c r="G70" t="s">
        <v>24</v>
      </c>
      <c r="H70" t="s">
        <v>119</v>
      </c>
      <c r="I70" t="s">
        <v>120</v>
      </c>
      <c r="J70" t="s">
        <v>121</v>
      </c>
      <c r="K70" t="s">
        <v>122</v>
      </c>
      <c r="L70" t="s">
        <v>123</v>
      </c>
      <c r="M70" t="s">
        <v>124</v>
      </c>
      <c r="N70" s="4">
        <v>46125</v>
      </c>
    </row>
    <row r="71" spans="2:14" x14ac:dyDescent="0.25">
      <c r="B71">
        <v>548</v>
      </c>
      <c r="C71" t="s">
        <v>667</v>
      </c>
      <c r="D71" t="s">
        <v>856</v>
      </c>
      <c r="E71" t="s">
        <v>668</v>
      </c>
      <c r="F71">
        <v>1</v>
      </c>
      <c r="G71" t="s">
        <v>61</v>
      </c>
      <c r="H71" t="s">
        <v>674</v>
      </c>
      <c r="I71" t="s">
        <v>675</v>
      </c>
      <c r="J71" t="s">
        <v>676</v>
      </c>
      <c r="K71" t="s">
        <v>672</v>
      </c>
      <c r="L71" t="s">
        <v>677</v>
      </c>
      <c r="M71" t="s">
        <v>673</v>
      </c>
      <c r="N71" s="4">
        <v>46125</v>
      </c>
    </row>
    <row r="72" spans="2:14" x14ac:dyDescent="0.25">
      <c r="B72">
        <v>693</v>
      </c>
      <c r="C72" t="s">
        <v>502</v>
      </c>
      <c r="D72" t="s">
        <v>854</v>
      </c>
      <c r="E72" t="s">
        <v>503</v>
      </c>
      <c r="F72">
        <v>1</v>
      </c>
      <c r="G72" t="s">
        <v>61</v>
      </c>
      <c r="H72" t="s">
        <v>504</v>
      </c>
      <c r="I72" t="s">
        <v>505</v>
      </c>
      <c r="J72" t="s">
        <v>506</v>
      </c>
      <c r="K72" t="s">
        <v>283</v>
      </c>
      <c r="L72" t="s">
        <v>284</v>
      </c>
      <c r="M72" t="s">
        <v>507</v>
      </c>
      <c r="N72" s="4">
        <v>46125</v>
      </c>
    </row>
    <row r="73" spans="2:14" x14ac:dyDescent="0.25">
      <c r="B73">
        <v>441</v>
      </c>
      <c r="C73" t="s">
        <v>502</v>
      </c>
      <c r="D73" t="s">
        <v>855</v>
      </c>
      <c r="E73" t="s">
        <v>503</v>
      </c>
      <c r="F73">
        <v>1</v>
      </c>
      <c r="G73" t="s">
        <v>61</v>
      </c>
      <c r="H73" t="s">
        <v>504</v>
      </c>
      <c r="I73" t="s">
        <v>505</v>
      </c>
      <c r="J73" t="s">
        <v>506</v>
      </c>
      <c r="K73" t="s">
        <v>283</v>
      </c>
      <c r="L73" t="s">
        <v>284</v>
      </c>
      <c r="M73" t="s">
        <v>507</v>
      </c>
      <c r="N73" s="4">
        <v>46125</v>
      </c>
    </row>
    <row r="74" spans="2:14" x14ac:dyDescent="0.25">
      <c r="B74">
        <v>680</v>
      </c>
      <c r="C74" t="s">
        <v>383</v>
      </c>
      <c r="D74" t="s">
        <v>854</v>
      </c>
      <c r="E74" t="s">
        <v>384</v>
      </c>
      <c r="F74">
        <v>1</v>
      </c>
      <c r="G74" t="s">
        <v>61</v>
      </c>
      <c r="H74" t="s">
        <v>385</v>
      </c>
      <c r="I74" t="s">
        <v>386</v>
      </c>
      <c r="J74" t="s">
        <v>387</v>
      </c>
      <c r="K74" t="s">
        <v>388</v>
      </c>
      <c r="L74" t="s">
        <v>389</v>
      </c>
      <c r="M74" t="s">
        <v>390</v>
      </c>
      <c r="N74" s="4">
        <v>46125</v>
      </c>
    </row>
    <row r="75" spans="2:14" x14ac:dyDescent="0.25">
      <c r="B75">
        <v>434</v>
      </c>
      <c r="C75" t="s">
        <v>383</v>
      </c>
      <c r="D75" t="s">
        <v>855</v>
      </c>
      <c r="E75" t="s">
        <v>384</v>
      </c>
      <c r="F75">
        <v>5</v>
      </c>
      <c r="G75" t="s">
        <v>61</v>
      </c>
      <c r="H75" t="s">
        <v>385</v>
      </c>
      <c r="I75" t="s">
        <v>386</v>
      </c>
      <c r="J75" t="s">
        <v>387</v>
      </c>
      <c r="K75" t="s">
        <v>388</v>
      </c>
      <c r="L75" t="s">
        <v>389</v>
      </c>
      <c r="M75" t="s">
        <v>390</v>
      </c>
      <c r="N75" s="4">
        <v>46125</v>
      </c>
    </row>
    <row r="76" spans="2:14" x14ac:dyDescent="0.25">
      <c r="B76">
        <v>219</v>
      </c>
      <c r="C76" t="s">
        <v>383</v>
      </c>
      <c r="D76" t="s">
        <v>853</v>
      </c>
      <c r="E76" t="s">
        <v>384</v>
      </c>
      <c r="F76">
        <v>1</v>
      </c>
      <c r="G76" t="s">
        <v>61</v>
      </c>
      <c r="H76" t="s">
        <v>385</v>
      </c>
      <c r="I76" t="s">
        <v>386</v>
      </c>
      <c r="J76" t="s">
        <v>387</v>
      </c>
      <c r="K76" t="s">
        <v>388</v>
      </c>
      <c r="L76" t="s">
        <v>389</v>
      </c>
      <c r="M76" t="s">
        <v>390</v>
      </c>
      <c r="N76" s="4">
        <v>46125</v>
      </c>
    </row>
    <row r="77" spans="2:14" x14ac:dyDescent="0.25">
      <c r="B77">
        <v>684</v>
      </c>
      <c r="C77" t="s">
        <v>431</v>
      </c>
      <c r="D77" t="s">
        <v>854</v>
      </c>
      <c r="E77" t="s">
        <v>432</v>
      </c>
      <c r="F77">
        <v>1</v>
      </c>
      <c r="G77" t="s">
        <v>152</v>
      </c>
      <c r="H77" t="s">
        <v>678</v>
      </c>
      <c r="I77" t="s">
        <v>679</v>
      </c>
      <c r="J77" t="s">
        <v>680</v>
      </c>
      <c r="K77" t="s">
        <v>436</v>
      </c>
      <c r="L77" t="s">
        <v>681</v>
      </c>
      <c r="M77" t="s">
        <v>438</v>
      </c>
      <c r="N77" s="4">
        <v>46125</v>
      </c>
    </row>
    <row r="78" spans="2:14" x14ac:dyDescent="0.25">
      <c r="B78">
        <v>435</v>
      </c>
      <c r="C78" t="s">
        <v>431</v>
      </c>
      <c r="D78" t="s">
        <v>855</v>
      </c>
      <c r="E78" t="s">
        <v>432</v>
      </c>
      <c r="F78">
        <v>1</v>
      </c>
      <c r="G78" t="s">
        <v>152</v>
      </c>
      <c r="H78" t="s">
        <v>868</v>
      </c>
      <c r="I78" t="s">
        <v>869</v>
      </c>
      <c r="J78" t="s">
        <v>870</v>
      </c>
      <c r="K78" t="s">
        <v>436</v>
      </c>
      <c r="L78" t="s">
        <v>871</v>
      </c>
      <c r="M78" t="s">
        <v>438</v>
      </c>
      <c r="N78" s="4">
        <v>46125</v>
      </c>
    </row>
    <row r="79" spans="2:14" x14ac:dyDescent="0.25">
      <c r="B79">
        <v>557</v>
      </c>
      <c r="C79" t="s">
        <v>366</v>
      </c>
      <c r="D79" t="s">
        <v>856</v>
      </c>
      <c r="E79" t="s">
        <v>367</v>
      </c>
      <c r="F79">
        <v>4</v>
      </c>
      <c r="G79" t="s">
        <v>368</v>
      </c>
      <c r="H79" t="s">
        <v>369</v>
      </c>
      <c r="I79" t="s">
        <v>370</v>
      </c>
      <c r="J79" t="s">
        <v>371</v>
      </c>
      <c r="K79" t="s">
        <v>372</v>
      </c>
      <c r="L79" t="s">
        <v>682</v>
      </c>
      <c r="M79" t="s">
        <v>374</v>
      </c>
      <c r="N79" s="4">
        <v>46125</v>
      </c>
    </row>
    <row r="80" spans="2:14" x14ac:dyDescent="0.25">
      <c r="B80">
        <v>432</v>
      </c>
      <c r="C80" t="s">
        <v>366</v>
      </c>
      <c r="D80" t="s">
        <v>855</v>
      </c>
      <c r="E80" t="s">
        <v>367</v>
      </c>
      <c r="F80">
        <v>3</v>
      </c>
      <c r="G80" t="s">
        <v>368</v>
      </c>
      <c r="H80" t="s">
        <v>369</v>
      </c>
      <c r="I80" t="s">
        <v>370</v>
      </c>
      <c r="J80" t="s">
        <v>371</v>
      </c>
      <c r="K80" t="s">
        <v>372</v>
      </c>
      <c r="L80" t="s">
        <v>682</v>
      </c>
      <c r="M80" t="s">
        <v>374</v>
      </c>
      <c r="N80" s="4">
        <v>46125</v>
      </c>
    </row>
    <row r="81" spans="2:14" x14ac:dyDescent="0.25">
      <c r="B81">
        <v>695</v>
      </c>
      <c r="C81" t="s">
        <v>516</v>
      </c>
      <c r="D81" t="s">
        <v>854</v>
      </c>
      <c r="E81" t="s">
        <v>517</v>
      </c>
      <c r="F81">
        <v>1</v>
      </c>
      <c r="G81" t="s">
        <v>61</v>
      </c>
      <c r="H81" t="s">
        <v>518</v>
      </c>
      <c r="I81" t="s">
        <v>519</v>
      </c>
      <c r="J81" t="s">
        <v>520</v>
      </c>
      <c r="K81" t="s">
        <v>521</v>
      </c>
      <c r="L81" t="s">
        <v>522</v>
      </c>
      <c r="M81" t="s">
        <v>523</v>
      </c>
      <c r="N81" s="4">
        <v>46125</v>
      </c>
    </row>
    <row r="82" spans="2:14" x14ac:dyDescent="0.25">
      <c r="B82">
        <v>677</v>
      </c>
      <c r="C82" t="s">
        <v>802</v>
      </c>
      <c r="D82" t="s">
        <v>854</v>
      </c>
      <c r="E82" t="s">
        <v>803</v>
      </c>
      <c r="F82">
        <v>1</v>
      </c>
      <c r="G82" t="s">
        <v>804</v>
      </c>
      <c r="H82" t="s">
        <v>805</v>
      </c>
      <c r="I82" t="s">
        <v>806</v>
      </c>
      <c r="J82" t="s">
        <v>807</v>
      </c>
      <c r="K82" t="s">
        <v>808</v>
      </c>
      <c r="L82" t="s">
        <v>809</v>
      </c>
      <c r="M82" t="s">
        <v>810</v>
      </c>
      <c r="N82" s="4">
        <v>46125</v>
      </c>
    </row>
    <row r="83" spans="2:14" x14ac:dyDescent="0.25">
      <c r="B83">
        <v>556</v>
      </c>
      <c r="C83" t="s">
        <v>802</v>
      </c>
      <c r="D83" t="s">
        <v>856</v>
      </c>
      <c r="E83" t="s">
        <v>803</v>
      </c>
      <c r="F83">
        <v>3</v>
      </c>
      <c r="G83" t="s">
        <v>804</v>
      </c>
      <c r="H83" t="s">
        <v>805</v>
      </c>
      <c r="I83" t="s">
        <v>806</v>
      </c>
      <c r="J83" t="s">
        <v>807</v>
      </c>
      <c r="K83" t="s">
        <v>808</v>
      </c>
      <c r="L83" t="s">
        <v>809</v>
      </c>
      <c r="M83" t="s">
        <v>810</v>
      </c>
      <c r="N83" s="4">
        <v>46125</v>
      </c>
    </row>
    <row r="84" spans="2:14" x14ac:dyDescent="0.25">
      <c r="B84">
        <v>431</v>
      </c>
      <c r="C84" t="s">
        <v>802</v>
      </c>
      <c r="D84" t="s">
        <v>855</v>
      </c>
      <c r="E84" t="s">
        <v>803</v>
      </c>
      <c r="F84">
        <v>5</v>
      </c>
      <c r="G84" t="s">
        <v>804</v>
      </c>
      <c r="H84" t="s">
        <v>805</v>
      </c>
      <c r="I84" t="s">
        <v>806</v>
      </c>
      <c r="J84" t="s">
        <v>807</v>
      </c>
      <c r="K84" t="s">
        <v>808</v>
      </c>
      <c r="L84" t="s">
        <v>872</v>
      </c>
      <c r="M84" t="s">
        <v>810</v>
      </c>
      <c r="N84" s="4">
        <v>46125</v>
      </c>
    </row>
    <row r="85" spans="2:14" ht="30" customHeight="1" x14ac:dyDescent="0.25">
      <c r="B85" s="11" t="s">
        <v>873</v>
      </c>
      <c r="C85" t="s">
        <v>802</v>
      </c>
      <c r="D85" t="s">
        <v>853</v>
      </c>
      <c r="E85" t="s">
        <v>803</v>
      </c>
      <c r="F85">
        <v>6</v>
      </c>
      <c r="G85" t="s">
        <v>804</v>
      </c>
      <c r="H85" s="11" t="s">
        <v>874</v>
      </c>
      <c r="I85" s="11" t="s">
        <v>875</v>
      </c>
      <c r="J85" s="11" t="s">
        <v>876</v>
      </c>
      <c r="K85" t="s">
        <v>808</v>
      </c>
      <c r="L85" s="11" t="s">
        <v>877</v>
      </c>
      <c r="M85" t="s">
        <v>810</v>
      </c>
      <c r="N85" s="4">
        <v>46125</v>
      </c>
    </row>
    <row r="86" spans="2:14" x14ac:dyDescent="0.25">
      <c r="B86">
        <v>648</v>
      </c>
      <c r="C86" t="s">
        <v>811</v>
      </c>
      <c r="D86" t="s">
        <v>854</v>
      </c>
      <c r="E86" t="s">
        <v>812</v>
      </c>
      <c r="F86">
        <v>11</v>
      </c>
      <c r="G86" t="s">
        <v>813</v>
      </c>
      <c r="H86" t="s">
        <v>814</v>
      </c>
      <c r="I86" t="s">
        <v>815</v>
      </c>
      <c r="J86" t="s">
        <v>816</v>
      </c>
      <c r="K86" t="s">
        <v>817</v>
      </c>
      <c r="L86" t="s">
        <v>818</v>
      </c>
      <c r="M86" t="s">
        <v>819</v>
      </c>
      <c r="N86" s="4">
        <v>46125</v>
      </c>
    </row>
    <row r="87" spans="2:14" x14ac:dyDescent="0.25">
      <c r="B87">
        <v>204</v>
      </c>
      <c r="C87" t="s">
        <v>811</v>
      </c>
      <c r="D87" t="s">
        <v>853</v>
      </c>
      <c r="E87" t="s">
        <v>812</v>
      </c>
      <c r="F87">
        <v>1</v>
      </c>
      <c r="G87" t="s">
        <v>813</v>
      </c>
      <c r="H87" t="s">
        <v>814</v>
      </c>
      <c r="I87" t="s">
        <v>815</v>
      </c>
      <c r="J87" t="s">
        <v>816</v>
      </c>
      <c r="K87" t="s">
        <v>817</v>
      </c>
      <c r="L87" t="s">
        <v>818</v>
      </c>
      <c r="M87" t="s">
        <v>819</v>
      </c>
      <c r="N87" s="4">
        <v>46125</v>
      </c>
    </row>
    <row r="88" spans="2:14" x14ac:dyDescent="0.25">
      <c r="B88">
        <v>679</v>
      </c>
      <c r="C88" t="s">
        <v>375</v>
      </c>
      <c r="D88" t="s">
        <v>854</v>
      </c>
      <c r="E88" t="s">
        <v>376</v>
      </c>
      <c r="F88">
        <v>1</v>
      </c>
      <c r="G88" t="s">
        <v>111</v>
      </c>
      <c r="H88" t="s">
        <v>473</v>
      </c>
      <c r="I88" t="s">
        <v>878</v>
      </c>
      <c r="J88" t="s">
        <v>475</v>
      </c>
      <c r="K88" t="s">
        <v>380</v>
      </c>
      <c r="L88" t="s">
        <v>879</v>
      </c>
      <c r="M88" t="s">
        <v>382</v>
      </c>
      <c r="N88" s="4">
        <v>46125</v>
      </c>
    </row>
    <row r="89" spans="2:14" x14ac:dyDescent="0.25">
      <c r="B89">
        <v>558</v>
      </c>
      <c r="C89" t="s">
        <v>375</v>
      </c>
      <c r="D89" t="s">
        <v>856</v>
      </c>
      <c r="E89" t="s">
        <v>376</v>
      </c>
      <c r="F89">
        <v>2</v>
      </c>
      <c r="G89" t="s">
        <v>111</v>
      </c>
      <c r="H89" t="s">
        <v>377</v>
      </c>
      <c r="I89" t="s">
        <v>378</v>
      </c>
      <c r="J89" t="s">
        <v>379</v>
      </c>
      <c r="K89" t="s">
        <v>380</v>
      </c>
      <c r="L89" t="s">
        <v>381</v>
      </c>
      <c r="M89" t="s">
        <v>382</v>
      </c>
      <c r="N89" s="4">
        <v>46125</v>
      </c>
    </row>
    <row r="90" spans="2:14" x14ac:dyDescent="0.25">
      <c r="B90">
        <v>433</v>
      </c>
      <c r="C90" t="s">
        <v>375</v>
      </c>
      <c r="D90" t="s">
        <v>855</v>
      </c>
      <c r="E90" t="s">
        <v>376</v>
      </c>
      <c r="F90">
        <v>4</v>
      </c>
      <c r="G90" t="s">
        <v>111</v>
      </c>
      <c r="H90" t="s">
        <v>377</v>
      </c>
      <c r="I90" t="s">
        <v>378</v>
      </c>
      <c r="J90" t="s">
        <v>379</v>
      </c>
      <c r="K90" t="s">
        <v>380</v>
      </c>
      <c r="L90" t="s">
        <v>381</v>
      </c>
      <c r="M90" t="s">
        <v>382</v>
      </c>
      <c r="N90" s="4">
        <v>46125</v>
      </c>
    </row>
    <row r="91" spans="2:14" x14ac:dyDescent="0.25">
      <c r="B91">
        <v>218</v>
      </c>
      <c r="C91" t="s">
        <v>375</v>
      </c>
      <c r="D91" t="s">
        <v>853</v>
      </c>
      <c r="E91" t="s">
        <v>376</v>
      </c>
      <c r="F91">
        <v>2</v>
      </c>
      <c r="G91" t="s">
        <v>111</v>
      </c>
      <c r="H91" t="s">
        <v>377</v>
      </c>
      <c r="I91" t="s">
        <v>378</v>
      </c>
      <c r="J91" t="s">
        <v>379</v>
      </c>
      <c r="K91" t="s">
        <v>380</v>
      </c>
      <c r="L91" t="s">
        <v>381</v>
      </c>
      <c r="M91" t="s">
        <v>382</v>
      </c>
      <c r="N91" s="4">
        <v>46125</v>
      </c>
    </row>
    <row r="92" spans="2:14" x14ac:dyDescent="0.25">
      <c r="B92">
        <v>663</v>
      </c>
      <c r="C92" t="s">
        <v>198</v>
      </c>
      <c r="D92" t="s">
        <v>854</v>
      </c>
      <c r="E92" t="s">
        <v>199</v>
      </c>
      <c r="F92">
        <v>2</v>
      </c>
      <c r="G92" t="s">
        <v>200</v>
      </c>
      <c r="H92" t="s">
        <v>201</v>
      </c>
      <c r="I92" t="s">
        <v>202</v>
      </c>
      <c r="J92" t="s">
        <v>203</v>
      </c>
      <c r="K92" t="s">
        <v>204</v>
      </c>
      <c r="L92" t="s">
        <v>205</v>
      </c>
      <c r="M92" t="s">
        <v>206</v>
      </c>
      <c r="N92" s="4">
        <v>46125</v>
      </c>
    </row>
    <row r="93" spans="2:14" x14ac:dyDescent="0.25">
      <c r="B93">
        <v>549</v>
      </c>
      <c r="C93" t="s">
        <v>198</v>
      </c>
      <c r="D93" t="s">
        <v>856</v>
      </c>
      <c r="E93" t="s">
        <v>199</v>
      </c>
      <c r="F93">
        <v>3</v>
      </c>
      <c r="G93" t="s">
        <v>200</v>
      </c>
      <c r="H93" t="s">
        <v>201</v>
      </c>
      <c r="I93" t="s">
        <v>202</v>
      </c>
      <c r="J93" t="s">
        <v>203</v>
      </c>
      <c r="K93" t="s">
        <v>204</v>
      </c>
      <c r="L93" t="s">
        <v>205</v>
      </c>
      <c r="M93" t="s">
        <v>206</v>
      </c>
      <c r="N93" s="4">
        <v>46125</v>
      </c>
    </row>
    <row r="94" spans="2:14" x14ac:dyDescent="0.25">
      <c r="B94">
        <v>422</v>
      </c>
      <c r="C94" t="s">
        <v>198</v>
      </c>
      <c r="D94" t="s">
        <v>855</v>
      </c>
      <c r="E94" t="s">
        <v>199</v>
      </c>
      <c r="F94">
        <v>4</v>
      </c>
      <c r="G94" t="s">
        <v>200</v>
      </c>
      <c r="H94" t="s">
        <v>201</v>
      </c>
      <c r="I94" t="s">
        <v>202</v>
      </c>
      <c r="J94" t="s">
        <v>203</v>
      </c>
      <c r="K94" t="s">
        <v>204</v>
      </c>
      <c r="L94" t="s">
        <v>205</v>
      </c>
      <c r="M94" t="s">
        <v>206</v>
      </c>
      <c r="N94" s="4">
        <v>46125</v>
      </c>
    </row>
    <row r="95" spans="2:14" x14ac:dyDescent="0.25">
      <c r="B95">
        <v>211</v>
      </c>
      <c r="C95" t="s">
        <v>198</v>
      </c>
      <c r="D95" t="s">
        <v>853</v>
      </c>
      <c r="E95" t="s">
        <v>199</v>
      </c>
      <c r="F95">
        <v>1</v>
      </c>
      <c r="G95" t="s">
        <v>200</v>
      </c>
      <c r="H95" t="s">
        <v>201</v>
      </c>
      <c r="I95" t="s">
        <v>202</v>
      </c>
      <c r="J95" t="s">
        <v>203</v>
      </c>
      <c r="K95" t="s">
        <v>204</v>
      </c>
      <c r="L95" t="s">
        <v>205</v>
      </c>
      <c r="M95" t="s">
        <v>206</v>
      </c>
      <c r="N95" s="4">
        <v>46125</v>
      </c>
    </row>
    <row r="96" spans="2:14" ht="75" customHeight="1" x14ac:dyDescent="0.25">
      <c r="B96" s="11" t="s">
        <v>880</v>
      </c>
      <c r="C96" t="s">
        <v>190</v>
      </c>
      <c r="D96" t="s">
        <v>854</v>
      </c>
      <c r="E96" t="s">
        <v>191</v>
      </c>
      <c r="F96">
        <v>6</v>
      </c>
      <c r="G96" t="s">
        <v>24</v>
      </c>
      <c r="H96" s="11" t="s">
        <v>881</v>
      </c>
      <c r="I96" s="11" t="s">
        <v>882</v>
      </c>
      <c r="J96" s="11" t="s">
        <v>883</v>
      </c>
      <c r="K96" t="s">
        <v>195</v>
      </c>
      <c r="L96" s="11" t="s">
        <v>884</v>
      </c>
      <c r="M96" t="s">
        <v>197</v>
      </c>
      <c r="N96" s="4">
        <v>46125</v>
      </c>
    </row>
    <row r="97" spans="1:14" ht="45" customHeight="1" x14ac:dyDescent="0.25">
      <c r="A97" t="s">
        <v>857</v>
      </c>
      <c r="B97" s="11" t="s">
        <v>885</v>
      </c>
      <c r="C97" t="s">
        <v>190</v>
      </c>
      <c r="D97" t="s">
        <v>855</v>
      </c>
      <c r="E97" t="s">
        <v>191</v>
      </c>
      <c r="F97">
        <v>4</v>
      </c>
      <c r="G97" t="s">
        <v>24</v>
      </c>
      <c r="H97" s="11" t="s">
        <v>886</v>
      </c>
      <c r="I97" s="11" t="s">
        <v>887</v>
      </c>
      <c r="J97" s="11" t="s">
        <v>888</v>
      </c>
      <c r="K97" t="s">
        <v>195</v>
      </c>
      <c r="L97" s="11" t="s">
        <v>889</v>
      </c>
      <c r="M97" t="s">
        <v>197</v>
      </c>
      <c r="N97" s="4">
        <v>46125</v>
      </c>
    </row>
    <row r="98" spans="1:14" x14ac:dyDescent="0.25">
      <c r="B98">
        <v>653</v>
      </c>
      <c r="C98" t="s">
        <v>75</v>
      </c>
      <c r="D98" t="s">
        <v>854</v>
      </c>
      <c r="E98" t="s">
        <v>76</v>
      </c>
      <c r="F98">
        <v>5</v>
      </c>
      <c r="G98" t="s">
        <v>77</v>
      </c>
      <c r="H98" t="s">
        <v>78</v>
      </c>
      <c r="I98" t="s">
        <v>79</v>
      </c>
      <c r="J98" t="s">
        <v>80</v>
      </c>
      <c r="K98" t="s">
        <v>81</v>
      </c>
      <c r="L98" t="s">
        <v>82</v>
      </c>
      <c r="M98" t="s">
        <v>83</v>
      </c>
      <c r="N98" s="4">
        <v>46125</v>
      </c>
    </row>
    <row r="99" spans="1:14" x14ac:dyDescent="0.25">
      <c r="B99">
        <v>545</v>
      </c>
      <c r="C99" t="s">
        <v>75</v>
      </c>
      <c r="D99" t="s">
        <v>856</v>
      </c>
      <c r="E99" t="s">
        <v>76</v>
      </c>
      <c r="F99">
        <v>5</v>
      </c>
      <c r="G99" t="s">
        <v>77</v>
      </c>
      <c r="H99" t="s">
        <v>78</v>
      </c>
      <c r="I99" t="s">
        <v>79</v>
      </c>
      <c r="J99" t="s">
        <v>80</v>
      </c>
      <c r="K99" t="s">
        <v>81</v>
      </c>
      <c r="L99" t="s">
        <v>82</v>
      </c>
      <c r="M99" t="s">
        <v>83</v>
      </c>
      <c r="N99" s="4">
        <v>46125</v>
      </c>
    </row>
    <row r="100" spans="1:14" x14ac:dyDescent="0.25">
      <c r="B100">
        <v>414</v>
      </c>
      <c r="C100" t="s">
        <v>75</v>
      </c>
      <c r="D100" t="s">
        <v>855</v>
      </c>
      <c r="E100" t="s">
        <v>76</v>
      </c>
      <c r="F100">
        <v>3</v>
      </c>
      <c r="G100" t="s">
        <v>77</v>
      </c>
      <c r="H100" t="s">
        <v>78</v>
      </c>
      <c r="I100" t="s">
        <v>79</v>
      </c>
      <c r="J100" t="s">
        <v>80</v>
      </c>
      <c r="K100" t="s">
        <v>81</v>
      </c>
      <c r="L100" t="s">
        <v>82</v>
      </c>
      <c r="M100" t="s">
        <v>83</v>
      </c>
      <c r="N100" s="4">
        <v>46125</v>
      </c>
    </row>
    <row r="101" spans="1:14" x14ac:dyDescent="0.25">
      <c r="B101">
        <v>207</v>
      </c>
      <c r="C101" t="s">
        <v>75</v>
      </c>
      <c r="D101" t="s">
        <v>853</v>
      </c>
      <c r="E101" t="s">
        <v>76</v>
      </c>
      <c r="F101">
        <v>3</v>
      </c>
      <c r="G101" t="s">
        <v>77</v>
      </c>
      <c r="H101" t="s">
        <v>78</v>
      </c>
      <c r="I101" t="s">
        <v>79</v>
      </c>
      <c r="J101" t="s">
        <v>80</v>
      </c>
      <c r="K101" t="s">
        <v>81</v>
      </c>
      <c r="L101" t="s">
        <v>82</v>
      </c>
      <c r="M101" t="s">
        <v>83</v>
      </c>
      <c r="N101" s="4">
        <v>46125</v>
      </c>
    </row>
    <row r="102" spans="1:14" ht="30" customHeight="1" x14ac:dyDescent="0.25">
      <c r="B102" s="11" t="s">
        <v>890</v>
      </c>
      <c r="C102" t="s">
        <v>231</v>
      </c>
      <c r="D102" t="s">
        <v>854</v>
      </c>
      <c r="E102" t="s">
        <v>232</v>
      </c>
      <c r="F102">
        <v>2</v>
      </c>
      <c r="G102" t="s">
        <v>61</v>
      </c>
      <c r="H102" s="11" t="s">
        <v>702</v>
      </c>
      <c r="I102" s="11" t="s">
        <v>703</v>
      </c>
      <c r="J102" s="11" t="s">
        <v>704</v>
      </c>
      <c r="K102" t="s">
        <v>236</v>
      </c>
      <c r="L102" s="11" t="s">
        <v>838</v>
      </c>
      <c r="M102" t="s">
        <v>238</v>
      </c>
      <c r="N102" s="4">
        <v>46125</v>
      </c>
    </row>
    <row r="103" spans="1:14" ht="30" customHeight="1" x14ac:dyDescent="0.25">
      <c r="B103">
        <v>423</v>
      </c>
      <c r="C103" t="s">
        <v>231</v>
      </c>
      <c r="D103" t="s">
        <v>855</v>
      </c>
      <c r="E103" t="s">
        <v>232</v>
      </c>
      <c r="F103">
        <v>1</v>
      </c>
      <c r="G103" t="s">
        <v>61</v>
      </c>
      <c r="H103" s="11" t="s">
        <v>233</v>
      </c>
      <c r="I103" s="11" t="s">
        <v>234</v>
      </c>
      <c r="J103" s="11" t="s">
        <v>235</v>
      </c>
      <c r="K103" t="s">
        <v>236</v>
      </c>
      <c r="L103" t="s">
        <v>891</v>
      </c>
      <c r="M103" t="s">
        <v>238</v>
      </c>
      <c r="N103" s="4">
        <v>46125</v>
      </c>
    </row>
    <row r="104" spans="1:14" x14ac:dyDescent="0.25">
      <c r="B104">
        <v>670</v>
      </c>
      <c r="C104" t="s">
        <v>706</v>
      </c>
      <c r="D104" t="s">
        <v>854</v>
      </c>
      <c r="E104" t="s">
        <v>707</v>
      </c>
      <c r="F104">
        <v>1</v>
      </c>
      <c r="G104" t="s">
        <v>111</v>
      </c>
      <c r="H104" t="s">
        <v>708</v>
      </c>
      <c r="I104" t="s">
        <v>709</v>
      </c>
      <c r="J104" t="s">
        <v>710</v>
      </c>
      <c r="K104" t="s">
        <v>711</v>
      </c>
      <c r="L104" t="s">
        <v>712</v>
      </c>
      <c r="M104" t="s">
        <v>713</v>
      </c>
      <c r="N104" s="4">
        <v>46125</v>
      </c>
    </row>
    <row r="105" spans="1:14" x14ac:dyDescent="0.25">
      <c r="B105">
        <v>413</v>
      </c>
      <c r="C105" t="s">
        <v>68</v>
      </c>
      <c r="D105" t="s">
        <v>855</v>
      </c>
      <c r="E105" t="s">
        <v>69</v>
      </c>
      <c r="F105">
        <v>1</v>
      </c>
      <c r="G105" t="s">
        <v>61</v>
      </c>
      <c r="H105" t="s">
        <v>70</v>
      </c>
      <c r="I105" t="s">
        <v>71</v>
      </c>
      <c r="J105" t="s">
        <v>72</v>
      </c>
      <c r="K105" t="s">
        <v>73</v>
      </c>
      <c r="L105" t="s">
        <v>73</v>
      </c>
      <c r="M105" t="s">
        <v>74</v>
      </c>
      <c r="N105" s="4">
        <v>46125</v>
      </c>
    </row>
    <row r="106" spans="1:14" x14ac:dyDescent="0.25">
      <c r="B106">
        <v>206</v>
      </c>
      <c r="C106" t="s">
        <v>68</v>
      </c>
      <c r="D106" t="s">
        <v>853</v>
      </c>
      <c r="E106" t="s">
        <v>69</v>
      </c>
      <c r="F106">
        <v>4</v>
      </c>
      <c r="G106" t="s">
        <v>61</v>
      </c>
      <c r="H106" t="s">
        <v>70</v>
      </c>
      <c r="I106" t="s">
        <v>71</v>
      </c>
      <c r="J106" t="s">
        <v>72</v>
      </c>
      <c r="K106" t="s">
        <v>73</v>
      </c>
      <c r="L106" t="s">
        <v>73</v>
      </c>
      <c r="M106" t="s">
        <v>74</v>
      </c>
      <c r="N106" s="4">
        <v>46125</v>
      </c>
    </row>
    <row r="107" spans="1:14" ht="30" customHeight="1" x14ac:dyDescent="0.25">
      <c r="B107">
        <v>667</v>
      </c>
      <c r="C107" t="s">
        <v>255</v>
      </c>
      <c r="D107" t="s">
        <v>854</v>
      </c>
      <c r="E107" t="s">
        <v>256</v>
      </c>
      <c r="F107">
        <v>1</v>
      </c>
      <c r="G107" t="s">
        <v>61</v>
      </c>
      <c r="H107" t="s">
        <v>257</v>
      </c>
      <c r="I107" s="11" t="s">
        <v>258</v>
      </c>
      <c r="J107" s="11" t="s">
        <v>259</v>
      </c>
      <c r="K107" t="s">
        <v>260</v>
      </c>
      <c r="L107" t="s">
        <v>847</v>
      </c>
      <c r="M107" t="s">
        <v>262</v>
      </c>
      <c r="N107" s="4">
        <v>46125</v>
      </c>
    </row>
    <row r="108" spans="1:14" ht="30" customHeight="1" x14ac:dyDescent="0.25">
      <c r="B108">
        <v>212</v>
      </c>
      <c r="C108" t="s">
        <v>255</v>
      </c>
      <c r="D108" t="s">
        <v>853</v>
      </c>
      <c r="E108" t="s">
        <v>256</v>
      </c>
      <c r="F108">
        <v>1</v>
      </c>
      <c r="G108" t="s">
        <v>61</v>
      </c>
      <c r="H108" t="s">
        <v>257</v>
      </c>
      <c r="I108" s="11" t="s">
        <v>258</v>
      </c>
      <c r="J108" s="11" t="s">
        <v>259</v>
      </c>
      <c r="K108" t="s">
        <v>260</v>
      </c>
      <c r="L108" t="s">
        <v>847</v>
      </c>
      <c r="M108" t="s">
        <v>262</v>
      </c>
      <c r="N108" s="4">
        <v>46125</v>
      </c>
    </row>
    <row r="109" spans="1:14" x14ac:dyDescent="0.25">
      <c r="B109">
        <v>689</v>
      </c>
      <c r="C109" t="s">
        <v>471</v>
      </c>
      <c r="D109" t="s">
        <v>854</v>
      </c>
      <c r="E109" t="s">
        <v>472</v>
      </c>
      <c r="F109">
        <v>1</v>
      </c>
      <c r="G109" t="s">
        <v>111</v>
      </c>
      <c r="H109" t="s">
        <v>473</v>
      </c>
      <c r="I109" t="s">
        <v>474</v>
      </c>
      <c r="J109" t="s">
        <v>475</v>
      </c>
      <c r="K109" t="s">
        <v>476</v>
      </c>
      <c r="L109" t="s">
        <v>476</v>
      </c>
      <c r="M109" t="s">
        <v>477</v>
      </c>
      <c r="N109" s="4">
        <v>46125</v>
      </c>
    </row>
    <row r="110" spans="1:14" x14ac:dyDescent="0.25">
      <c r="B110">
        <v>662</v>
      </c>
      <c r="C110" t="s">
        <v>892</v>
      </c>
      <c r="D110" t="s">
        <v>854</v>
      </c>
      <c r="E110" t="s">
        <v>893</v>
      </c>
      <c r="F110">
        <v>1</v>
      </c>
      <c r="G110" t="s">
        <v>61</v>
      </c>
      <c r="H110" t="s">
        <v>894</v>
      </c>
      <c r="I110" t="s">
        <v>895</v>
      </c>
      <c r="J110" t="s">
        <v>896</v>
      </c>
      <c r="K110" t="s">
        <v>897</v>
      </c>
      <c r="L110" t="s">
        <v>897</v>
      </c>
      <c r="M110" t="s">
        <v>898</v>
      </c>
      <c r="N110" s="4">
        <v>46125</v>
      </c>
    </row>
    <row r="111" spans="1:14" x14ac:dyDescent="0.25">
      <c r="B111">
        <v>424</v>
      </c>
      <c r="C111" t="s">
        <v>239</v>
      </c>
      <c r="D111" t="s">
        <v>855</v>
      </c>
      <c r="E111" t="s">
        <v>240</v>
      </c>
      <c r="F111">
        <v>1</v>
      </c>
      <c r="G111" t="s">
        <v>24</v>
      </c>
      <c r="H111" t="s">
        <v>241</v>
      </c>
      <c r="I111" t="s">
        <v>242</v>
      </c>
      <c r="J111" t="s">
        <v>243</v>
      </c>
      <c r="K111" t="s">
        <v>244</v>
      </c>
      <c r="L111" t="s">
        <v>714</v>
      </c>
      <c r="M111" t="s">
        <v>246</v>
      </c>
      <c r="N111" s="4">
        <v>46125</v>
      </c>
    </row>
    <row r="112" spans="1:14" x14ac:dyDescent="0.25">
      <c r="B112">
        <v>654</v>
      </c>
      <c r="C112" t="s">
        <v>899</v>
      </c>
      <c r="D112" t="s">
        <v>854</v>
      </c>
      <c r="E112" t="s">
        <v>900</v>
      </c>
      <c r="F112">
        <v>2</v>
      </c>
      <c r="G112" t="s">
        <v>901</v>
      </c>
      <c r="H112" t="s">
        <v>902</v>
      </c>
      <c r="I112" t="s">
        <v>903</v>
      </c>
      <c r="J112" t="s">
        <v>904</v>
      </c>
      <c r="K112" t="s">
        <v>905</v>
      </c>
      <c r="L112" t="s">
        <v>906</v>
      </c>
      <c r="M112" t="s">
        <v>907</v>
      </c>
      <c r="N112" s="4">
        <v>46125</v>
      </c>
    </row>
    <row r="113" spans="2:14" x14ac:dyDescent="0.25">
      <c r="B113">
        <v>415</v>
      </c>
      <c r="C113" t="s">
        <v>899</v>
      </c>
      <c r="D113" t="s">
        <v>855</v>
      </c>
      <c r="E113" t="s">
        <v>900</v>
      </c>
      <c r="F113">
        <v>1</v>
      </c>
      <c r="G113" t="s">
        <v>901</v>
      </c>
      <c r="H113" t="s">
        <v>902</v>
      </c>
      <c r="I113" t="s">
        <v>903</v>
      </c>
      <c r="J113" t="s">
        <v>904</v>
      </c>
      <c r="K113" t="s">
        <v>905</v>
      </c>
      <c r="L113" t="s">
        <v>906</v>
      </c>
      <c r="M113" t="s">
        <v>907</v>
      </c>
      <c r="N113" s="4">
        <v>46125</v>
      </c>
    </row>
    <row r="114" spans="2:14" x14ac:dyDescent="0.25">
      <c r="B114">
        <v>553</v>
      </c>
      <c r="C114" t="s">
        <v>743</v>
      </c>
      <c r="D114" t="s">
        <v>856</v>
      </c>
      <c r="E114" t="s">
        <v>744</v>
      </c>
      <c r="F114">
        <v>1</v>
      </c>
      <c r="G114" t="s">
        <v>745</v>
      </c>
      <c r="H114" t="s">
        <v>746</v>
      </c>
      <c r="I114" t="s">
        <v>747</v>
      </c>
      <c r="J114" t="s">
        <v>748</v>
      </c>
      <c r="K114" t="s">
        <v>749</v>
      </c>
      <c r="L114" t="s">
        <v>750</v>
      </c>
      <c r="M114" t="s">
        <v>751</v>
      </c>
      <c r="N114" s="4">
        <v>46125</v>
      </c>
    </row>
    <row r="115" spans="2:14" x14ac:dyDescent="0.25">
      <c r="B115">
        <v>550</v>
      </c>
      <c r="C115" t="s">
        <v>223</v>
      </c>
      <c r="D115" t="s">
        <v>856</v>
      </c>
      <c r="E115" t="s">
        <v>224</v>
      </c>
      <c r="F115">
        <v>1</v>
      </c>
      <c r="G115" t="s">
        <v>61</v>
      </c>
      <c r="H115" t="s">
        <v>225</v>
      </c>
      <c r="I115" t="s">
        <v>226</v>
      </c>
      <c r="J115" t="s">
        <v>227</v>
      </c>
      <c r="K115" t="s">
        <v>228</v>
      </c>
      <c r="L115" t="s">
        <v>229</v>
      </c>
      <c r="M115" t="s">
        <v>230</v>
      </c>
      <c r="N115" s="4">
        <v>46125</v>
      </c>
    </row>
    <row r="116" spans="2:14" x14ac:dyDescent="0.25">
      <c r="B116">
        <v>428</v>
      </c>
      <c r="C116" t="s">
        <v>294</v>
      </c>
      <c r="D116" t="s">
        <v>855</v>
      </c>
      <c r="E116" t="s">
        <v>295</v>
      </c>
      <c r="F116">
        <v>1</v>
      </c>
      <c r="G116" t="s">
        <v>61</v>
      </c>
      <c r="H116" t="s">
        <v>908</v>
      </c>
      <c r="I116" t="s">
        <v>909</v>
      </c>
      <c r="J116" t="s">
        <v>910</v>
      </c>
      <c r="K116" t="s">
        <v>299</v>
      </c>
      <c r="L116" t="s">
        <v>300</v>
      </c>
      <c r="M116" t="s">
        <v>301</v>
      </c>
      <c r="N116" s="4">
        <v>46125</v>
      </c>
    </row>
    <row r="117" spans="2:14" x14ac:dyDescent="0.25">
      <c r="F117">
        <f>SUBTOTAL(109,Table10[Kom.])</f>
        <v>213</v>
      </c>
      <c r="N117"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37"/>
  <sheetViews>
    <sheetView zoomScale="85" zoomScaleNormal="85" workbookViewId="0">
      <pane ySplit="4" topLeftCell="A5" activePane="bottomLeft" state="frozen"/>
      <selection pane="bottomLeft" activeCell="F137" sqref="F137:G137"/>
    </sheetView>
  </sheetViews>
  <sheetFormatPr defaultColWidth="8.85546875" defaultRowHeight="15" x14ac:dyDescent="0.25"/>
  <cols>
    <col min="1" max="1" width="94" bestFit="1" customWidth="1"/>
    <col min="2" max="2" width="16.85546875" bestFit="1" customWidth="1"/>
    <col min="3" max="3" width="9.28515625" bestFit="1" customWidth="1"/>
    <col min="4" max="4" width="8.140625" bestFit="1" customWidth="1"/>
    <col min="5" max="8" width="9.28515625" bestFit="1" customWidth="1"/>
    <col min="9" max="9" width="7.28515625" customWidth="1"/>
    <col min="10" max="11" width="9.28515625" bestFit="1" customWidth="1"/>
    <col min="12" max="13" width="11.28515625" bestFit="1" customWidth="1"/>
  </cols>
  <sheetData>
    <row r="1" spans="1:12" x14ac:dyDescent="0.25">
      <c r="A1" s="1" t="s">
        <v>6</v>
      </c>
      <c r="B1" t="s">
        <v>911</v>
      </c>
    </row>
    <row r="3" spans="1:12" x14ac:dyDescent="0.25">
      <c r="A3" s="1" t="s">
        <v>912</v>
      </c>
      <c r="B3" s="1" t="s">
        <v>913</v>
      </c>
    </row>
    <row r="4" spans="1:12" x14ac:dyDescent="0.25">
      <c r="A4" s="1" t="s">
        <v>914</v>
      </c>
      <c r="B4" s="4">
        <v>46104</v>
      </c>
      <c r="C4" s="4">
        <v>46111</v>
      </c>
      <c r="D4" s="4">
        <v>46119</v>
      </c>
      <c r="E4" s="4">
        <v>46125</v>
      </c>
      <c r="F4" s="4">
        <v>46132</v>
      </c>
      <c r="G4" s="4">
        <v>46139</v>
      </c>
      <c r="H4" s="4">
        <v>46153</v>
      </c>
      <c r="I4" t="s">
        <v>915</v>
      </c>
      <c r="J4" s="4">
        <v>46160</v>
      </c>
      <c r="K4" s="4">
        <v>46167</v>
      </c>
      <c r="L4" t="s">
        <v>916</v>
      </c>
    </row>
    <row r="5" spans="1:12" x14ac:dyDescent="0.25">
      <c r="A5" s="2" t="s">
        <v>637</v>
      </c>
      <c r="C5">
        <v>1</v>
      </c>
      <c r="F5">
        <v>1</v>
      </c>
      <c r="J5">
        <v>2</v>
      </c>
      <c r="L5">
        <v>4</v>
      </c>
    </row>
    <row r="6" spans="1:12" x14ac:dyDescent="0.25">
      <c r="A6" s="3" t="s">
        <v>636</v>
      </c>
      <c r="C6">
        <v>1</v>
      </c>
      <c r="F6">
        <v>1</v>
      </c>
      <c r="J6">
        <v>2</v>
      </c>
      <c r="L6">
        <v>4</v>
      </c>
    </row>
    <row r="7" spans="1:12" x14ac:dyDescent="0.25">
      <c r="A7" s="2" t="s">
        <v>813</v>
      </c>
      <c r="D7">
        <v>9</v>
      </c>
      <c r="E7">
        <v>12</v>
      </c>
      <c r="H7">
        <v>59</v>
      </c>
      <c r="L7">
        <v>80</v>
      </c>
    </row>
    <row r="8" spans="1:12" x14ac:dyDescent="0.25">
      <c r="A8" s="3" t="s">
        <v>812</v>
      </c>
      <c r="D8">
        <v>9</v>
      </c>
      <c r="E8">
        <v>12</v>
      </c>
      <c r="H8">
        <v>59</v>
      </c>
      <c r="L8">
        <v>80</v>
      </c>
    </row>
    <row r="9" spans="1:12" x14ac:dyDescent="0.25">
      <c r="A9" s="2" t="s">
        <v>784</v>
      </c>
      <c r="D9">
        <v>1</v>
      </c>
      <c r="F9">
        <v>1</v>
      </c>
      <c r="L9">
        <v>2</v>
      </c>
    </row>
    <row r="10" spans="1:12" x14ac:dyDescent="0.25">
      <c r="A10" s="3" t="s">
        <v>783</v>
      </c>
      <c r="D10">
        <v>1</v>
      </c>
      <c r="F10">
        <v>1</v>
      </c>
      <c r="L10">
        <v>2</v>
      </c>
    </row>
    <row r="11" spans="1:12" x14ac:dyDescent="0.25">
      <c r="A11" s="2" t="s">
        <v>717</v>
      </c>
      <c r="C11">
        <v>3</v>
      </c>
      <c r="F11">
        <v>1</v>
      </c>
      <c r="G11">
        <v>1</v>
      </c>
      <c r="J11">
        <v>1</v>
      </c>
      <c r="L11">
        <v>6</v>
      </c>
    </row>
    <row r="12" spans="1:12" x14ac:dyDescent="0.25">
      <c r="A12" s="3" t="s">
        <v>716</v>
      </c>
      <c r="C12">
        <v>3</v>
      </c>
      <c r="F12">
        <v>1</v>
      </c>
      <c r="G12">
        <v>1</v>
      </c>
      <c r="J12">
        <v>1</v>
      </c>
      <c r="L12">
        <v>6</v>
      </c>
    </row>
    <row r="13" spans="1:12" x14ac:dyDescent="0.25">
      <c r="A13" s="2" t="s">
        <v>573</v>
      </c>
      <c r="C13">
        <v>3</v>
      </c>
      <c r="D13">
        <v>1</v>
      </c>
      <c r="E13">
        <v>1</v>
      </c>
      <c r="F13">
        <v>3</v>
      </c>
      <c r="G13">
        <v>2</v>
      </c>
      <c r="J13">
        <v>3</v>
      </c>
      <c r="L13">
        <v>13</v>
      </c>
    </row>
    <row r="14" spans="1:12" x14ac:dyDescent="0.25">
      <c r="A14" s="3" t="s">
        <v>572</v>
      </c>
      <c r="C14">
        <v>3</v>
      </c>
      <c r="D14">
        <v>1</v>
      </c>
      <c r="E14">
        <v>1</v>
      </c>
      <c r="F14">
        <v>3</v>
      </c>
      <c r="G14">
        <v>2</v>
      </c>
      <c r="J14">
        <v>3</v>
      </c>
      <c r="L14">
        <v>13</v>
      </c>
    </row>
    <row r="15" spans="1:12" x14ac:dyDescent="0.25">
      <c r="A15" s="2" t="s">
        <v>736</v>
      </c>
      <c r="C15">
        <v>1</v>
      </c>
      <c r="D15">
        <v>1</v>
      </c>
      <c r="G15">
        <v>2</v>
      </c>
      <c r="L15">
        <v>4</v>
      </c>
    </row>
    <row r="16" spans="1:12" x14ac:dyDescent="0.25">
      <c r="A16" s="3" t="s">
        <v>735</v>
      </c>
      <c r="C16">
        <v>1</v>
      </c>
      <c r="D16">
        <v>1</v>
      </c>
      <c r="G16">
        <v>2</v>
      </c>
      <c r="L16">
        <v>4</v>
      </c>
    </row>
    <row r="17" spans="1:12" x14ac:dyDescent="0.25">
      <c r="A17" s="2" t="s">
        <v>901</v>
      </c>
      <c r="E17">
        <v>3</v>
      </c>
      <c r="F17">
        <v>1</v>
      </c>
      <c r="G17">
        <v>1</v>
      </c>
      <c r="L17">
        <v>5</v>
      </c>
    </row>
    <row r="18" spans="1:12" x14ac:dyDescent="0.25">
      <c r="A18" s="3" t="s">
        <v>900</v>
      </c>
      <c r="E18">
        <v>3</v>
      </c>
      <c r="F18">
        <v>1</v>
      </c>
      <c r="G18">
        <v>1</v>
      </c>
      <c r="L18">
        <v>5</v>
      </c>
    </row>
    <row r="19" spans="1:12" x14ac:dyDescent="0.25">
      <c r="A19" s="2" t="s">
        <v>804</v>
      </c>
      <c r="D19">
        <v>2</v>
      </c>
      <c r="E19">
        <v>15</v>
      </c>
      <c r="F19">
        <v>17</v>
      </c>
      <c r="G19">
        <v>19</v>
      </c>
      <c r="J19">
        <v>17</v>
      </c>
      <c r="K19">
        <v>3</v>
      </c>
      <c r="L19">
        <v>73</v>
      </c>
    </row>
    <row r="20" spans="1:12" x14ac:dyDescent="0.25">
      <c r="A20" s="3" t="s">
        <v>803</v>
      </c>
      <c r="D20">
        <v>2</v>
      </c>
      <c r="E20">
        <v>15</v>
      </c>
      <c r="F20">
        <v>17</v>
      </c>
      <c r="G20">
        <v>19</v>
      </c>
      <c r="J20">
        <v>17</v>
      </c>
      <c r="K20">
        <v>3</v>
      </c>
      <c r="L20">
        <v>73</v>
      </c>
    </row>
    <row r="21" spans="1:12" x14ac:dyDescent="0.25">
      <c r="A21" s="2" t="s">
        <v>727</v>
      </c>
      <c r="C21">
        <v>2</v>
      </c>
      <c r="D21">
        <v>4</v>
      </c>
      <c r="F21">
        <v>3</v>
      </c>
      <c r="G21">
        <v>1</v>
      </c>
      <c r="J21">
        <v>6</v>
      </c>
      <c r="L21">
        <v>16</v>
      </c>
    </row>
    <row r="22" spans="1:12" x14ac:dyDescent="0.25">
      <c r="A22" s="3" t="s">
        <v>726</v>
      </c>
      <c r="C22">
        <v>2</v>
      </c>
      <c r="D22">
        <v>4</v>
      </c>
      <c r="F22">
        <v>3</v>
      </c>
      <c r="G22">
        <v>1</v>
      </c>
      <c r="J22">
        <v>6</v>
      </c>
      <c r="L22">
        <v>16</v>
      </c>
    </row>
    <row r="23" spans="1:12" x14ac:dyDescent="0.25">
      <c r="A23" s="2" t="s">
        <v>417</v>
      </c>
      <c r="B23">
        <v>1</v>
      </c>
      <c r="C23">
        <v>2</v>
      </c>
      <c r="F23">
        <v>1</v>
      </c>
      <c r="J23">
        <v>2</v>
      </c>
      <c r="L23">
        <v>6</v>
      </c>
    </row>
    <row r="24" spans="1:12" x14ac:dyDescent="0.25">
      <c r="A24" s="3" t="s">
        <v>416</v>
      </c>
      <c r="B24">
        <v>1</v>
      </c>
      <c r="C24">
        <v>2</v>
      </c>
      <c r="F24">
        <v>1</v>
      </c>
      <c r="J24">
        <v>2</v>
      </c>
      <c r="L24">
        <v>6</v>
      </c>
    </row>
    <row r="25" spans="1:12" x14ac:dyDescent="0.25">
      <c r="A25" s="2" t="s">
        <v>152</v>
      </c>
      <c r="B25">
        <v>11</v>
      </c>
      <c r="C25">
        <v>25</v>
      </c>
      <c r="D25">
        <v>10</v>
      </c>
      <c r="E25">
        <v>18</v>
      </c>
      <c r="F25">
        <v>27</v>
      </c>
      <c r="G25">
        <v>58</v>
      </c>
      <c r="J25">
        <v>33</v>
      </c>
      <c r="K25">
        <v>2</v>
      </c>
      <c r="L25">
        <v>184</v>
      </c>
    </row>
    <row r="26" spans="1:12" x14ac:dyDescent="0.25">
      <c r="A26" s="3" t="s">
        <v>917</v>
      </c>
      <c r="F26">
        <v>2</v>
      </c>
      <c r="J26">
        <v>2</v>
      </c>
      <c r="L26">
        <v>4</v>
      </c>
    </row>
    <row r="27" spans="1:12" x14ac:dyDescent="0.25">
      <c r="A27" s="3" t="s">
        <v>311</v>
      </c>
      <c r="B27">
        <v>1</v>
      </c>
      <c r="C27">
        <v>3</v>
      </c>
      <c r="E27">
        <v>2</v>
      </c>
      <c r="F27">
        <v>2</v>
      </c>
      <c r="G27">
        <v>5</v>
      </c>
      <c r="L27">
        <v>13</v>
      </c>
    </row>
    <row r="28" spans="1:12" x14ac:dyDescent="0.25">
      <c r="A28" s="3" t="s">
        <v>487</v>
      </c>
      <c r="B28">
        <v>1</v>
      </c>
      <c r="C28">
        <v>2</v>
      </c>
      <c r="F28">
        <v>2</v>
      </c>
      <c r="J28">
        <v>1</v>
      </c>
      <c r="L28">
        <v>6</v>
      </c>
    </row>
    <row r="29" spans="1:12" x14ac:dyDescent="0.25">
      <c r="A29" s="3" t="s">
        <v>464</v>
      </c>
      <c r="B29">
        <v>1</v>
      </c>
      <c r="D29">
        <v>4</v>
      </c>
      <c r="E29">
        <v>3</v>
      </c>
      <c r="F29">
        <v>2</v>
      </c>
      <c r="G29">
        <v>3</v>
      </c>
      <c r="J29">
        <v>2</v>
      </c>
      <c r="K29">
        <v>1</v>
      </c>
      <c r="L29">
        <v>16</v>
      </c>
    </row>
    <row r="30" spans="1:12" x14ac:dyDescent="0.25">
      <c r="A30" s="3" t="s">
        <v>327</v>
      </c>
      <c r="B30">
        <v>2</v>
      </c>
      <c r="C30">
        <v>1</v>
      </c>
      <c r="D30">
        <v>1</v>
      </c>
      <c r="E30">
        <v>2</v>
      </c>
      <c r="F30">
        <v>2</v>
      </c>
      <c r="G30">
        <v>2</v>
      </c>
      <c r="J30">
        <v>5</v>
      </c>
      <c r="L30">
        <v>15</v>
      </c>
    </row>
    <row r="31" spans="1:12" x14ac:dyDescent="0.25">
      <c r="A31" s="3" t="s">
        <v>440</v>
      </c>
      <c r="B31">
        <v>1</v>
      </c>
      <c r="C31">
        <v>1</v>
      </c>
      <c r="D31">
        <v>1</v>
      </c>
      <c r="F31">
        <v>2</v>
      </c>
      <c r="G31">
        <v>3</v>
      </c>
      <c r="L31">
        <v>8</v>
      </c>
    </row>
    <row r="32" spans="1:12" x14ac:dyDescent="0.25">
      <c r="A32" s="3" t="s">
        <v>175</v>
      </c>
      <c r="B32">
        <v>1</v>
      </c>
      <c r="C32">
        <v>11</v>
      </c>
      <c r="D32">
        <v>1</v>
      </c>
      <c r="E32">
        <v>2</v>
      </c>
      <c r="F32">
        <v>1</v>
      </c>
      <c r="G32">
        <v>6</v>
      </c>
      <c r="J32">
        <v>1</v>
      </c>
      <c r="L32">
        <v>23</v>
      </c>
    </row>
    <row r="33" spans="1:12" x14ac:dyDescent="0.25">
      <c r="A33" s="3" t="s">
        <v>351</v>
      </c>
      <c r="B33">
        <v>1</v>
      </c>
      <c r="C33">
        <v>3</v>
      </c>
      <c r="D33">
        <v>1</v>
      </c>
      <c r="E33">
        <v>3</v>
      </c>
      <c r="F33">
        <v>3</v>
      </c>
      <c r="G33">
        <v>5</v>
      </c>
      <c r="J33">
        <v>7</v>
      </c>
      <c r="L33">
        <v>23</v>
      </c>
    </row>
    <row r="34" spans="1:12" x14ac:dyDescent="0.25">
      <c r="A34" s="3" t="s">
        <v>918</v>
      </c>
      <c r="G34">
        <v>4</v>
      </c>
      <c r="J34">
        <v>1</v>
      </c>
      <c r="L34">
        <v>5</v>
      </c>
    </row>
    <row r="35" spans="1:12" x14ac:dyDescent="0.25">
      <c r="A35" s="3" t="s">
        <v>400</v>
      </c>
      <c r="B35">
        <v>1</v>
      </c>
      <c r="D35">
        <v>1</v>
      </c>
      <c r="E35">
        <v>2</v>
      </c>
      <c r="F35">
        <v>1</v>
      </c>
      <c r="G35">
        <v>4</v>
      </c>
      <c r="J35">
        <v>2</v>
      </c>
      <c r="L35">
        <v>11</v>
      </c>
    </row>
    <row r="36" spans="1:12" x14ac:dyDescent="0.25">
      <c r="A36" s="3" t="s">
        <v>627</v>
      </c>
      <c r="C36">
        <v>1</v>
      </c>
      <c r="E36">
        <v>1</v>
      </c>
      <c r="G36">
        <v>5</v>
      </c>
      <c r="L36">
        <v>7</v>
      </c>
    </row>
    <row r="37" spans="1:12" x14ac:dyDescent="0.25">
      <c r="A37" s="3" t="s">
        <v>151</v>
      </c>
      <c r="B37">
        <v>1</v>
      </c>
      <c r="E37">
        <v>1</v>
      </c>
      <c r="F37">
        <v>2</v>
      </c>
      <c r="G37">
        <v>3</v>
      </c>
      <c r="J37">
        <v>2</v>
      </c>
      <c r="L37">
        <v>9</v>
      </c>
    </row>
    <row r="38" spans="1:12" x14ac:dyDescent="0.25">
      <c r="A38" s="3" t="s">
        <v>660</v>
      </c>
      <c r="C38">
        <v>1</v>
      </c>
      <c r="G38">
        <v>1</v>
      </c>
      <c r="L38">
        <v>2</v>
      </c>
    </row>
    <row r="39" spans="1:12" x14ac:dyDescent="0.25">
      <c r="A39" s="3" t="s">
        <v>432</v>
      </c>
      <c r="B39">
        <v>1</v>
      </c>
      <c r="C39">
        <v>2</v>
      </c>
      <c r="D39">
        <v>1</v>
      </c>
      <c r="E39">
        <v>2</v>
      </c>
      <c r="F39">
        <v>8</v>
      </c>
      <c r="G39">
        <v>17</v>
      </c>
      <c r="J39">
        <v>10</v>
      </c>
      <c r="K39">
        <v>1</v>
      </c>
      <c r="L39">
        <v>42</v>
      </c>
    </row>
    <row r="40" spans="1:12" x14ac:dyDescent="0.25">
      <c r="A40" s="2" t="s">
        <v>87</v>
      </c>
      <c r="B40">
        <v>1</v>
      </c>
      <c r="C40">
        <v>2</v>
      </c>
      <c r="D40">
        <v>1</v>
      </c>
      <c r="F40">
        <v>1</v>
      </c>
      <c r="J40">
        <v>1</v>
      </c>
      <c r="L40">
        <v>6</v>
      </c>
    </row>
    <row r="41" spans="1:12" x14ac:dyDescent="0.25">
      <c r="A41" s="3" t="s">
        <v>86</v>
      </c>
      <c r="B41">
        <v>1</v>
      </c>
      <c r="C41">
        <v>2</v>
      </c>
      <c r="D41">
        <v>1</v>
      </c>
      <c r="F41">
        <v>1</v>
      </c>
      <c r="J41">
        <v>1</v>
      </c>
      <c r="L41">
        <v>6</v>
      </c>
    </row>
    <row r="42" spans="1:12" x14ac:dyDescent="0.25">
      <c r="A42" s="2" t="s">
        <v>368</v>
      </c>
      <c r="B42">
        <v>1</v>
      </c>
      <c r="C42">
        <v>2</v>
      </c>
      <c r="D42">
        <v>1</v>
      </c>
      <c r="E42">
        <v>7</v>
      </c>
      <c r="F42">
        <v>9</v>
      </c>
      <c r="G42">
        <v>10</v>
      </c>
      <c r="J42">
        <v>6</v>
      </c>
      <c r="L42">
        <v>36</v>
      </c>
    </row>
    <row r="43" spans="1:12" x14ac:dyDescent="0.25">
      <c r="A43" s="3" t="s">
        <v>367</v>
      </c>
      <c r="B43">
        <v>1</v>
      </c>
      <c r="C43">
        <v>2</v>
      </c>
      <c r="D43">
        <v>1</v>
      </c>
      <c r="E43">
        <v>7</v>
      </c>
      <c r="F43">
        <v>9</v>
      </c>
      <c r="G43">
        <v>10</v>
      </c>
      <c r="J43">
        <v>6</v>
      </c>
      <c r="L43">
        <v>36</v>
      </c>
    </row>
    <row r="44" spans="1:12" x14ac:dyDescent="0.25">
      <c r="A44" s="2" t="s">
        <v>111</v>
      </c>
      <c r="B44">
        <v>9</v>
      </c>
      <c r="C44">
        <v>37</v>
      </c>
      <c r="D44">
        <v>13</v>
      </c>
      <c r="E44">
        <v>17</v>
      </c>
      <c r="F44">
        <v>36</v>
      </c>
      <c r="G44">
        <v>55</v>
      </c>
      <c r="J44">
        <v>36</v>
      </c>
      <c r="K44">
        <v>3</v>
      </c>
      <c r="L44">
        <v>206</v>
      </c>
    </row>
    <row r="45" spans="1:12" x14ac:dyDescent="0.25">
      <c r="A45" s="3" t="s">
        <v>319</v>
      </c>
      <c r="B45">
        <v>1</v>
      </c>
      <c r="C45">
        <v>1</v>
      </c>
      <c r="E45">
        <v>1</v>
      </c>
      <c r="G45">
        <v>4</v>
      </c>
      <c r="L45">
        <v>7</v>
      </c>
    </row>
    <row r="46" spans="1:12" x14ac:dyDescent="0.25">
      <c r="A46" s="3" t="s">
        <v>537</v>
      </c>
      <c r="C46">
        <v>1</v>
      </c>
      <c r="G46">
        <v>8</v>
      </c>
      <c r="J46">
        <v>2</v>
      </c>
      <c r="L46">
        <v>11</v>
      </c>
    </row>
    <row r="47" spans="1:12" x14ac:dyDescent="0.25">
      <c r="A47" s="3" t="s">
        <v>110</v>
      </c>
      <c r="B47">
        <v>1</v>
      </c>
      <c r="C47">
        <v>2</v>
      </c>
      <c r="F47">
        <v>5</v>
      </c>
      <c r="G47">
        <v>11</v>
      </c>
      <c r="L47">
        <v>19</v>
      </c>
    </row>
    <row r="48" spans="1:12" x14ac:dyDescent="0.25">
      <c r="A48" s="3" t="s">
        <v>392</v>
      </c>
      <c r="B48">
        <v>1</v>
      </c>
      <c r="C48">
        <v>1</v>
      </c>
      <c r="D48">
        <v>8</v>
      </c>
      <c r="G48">
        <v>3</v>
      </c>
      <c r="J48">
        <v>1</v>
      </c>
      <c r="L48">
        <v>14</v>
      </c>
    </row>
    <row r="49" spans="1:12" x14ac:dyDescent="0.25">
      <c r="A49" s="3" t="s">
        <v>456</v>
      </c>
      <c r="B49">
        <v>1</v>
      </c>
      <c r="C49">
        <v>3</v>
      </c>
      <c r="E49">
        <v>1</v>
      </c>
      <c r="G49">
        <v>6</v>
      </c>
      <c r="J49">
        <v>1</v>
      </c>
      <c r="L49">
        <v>12</v>
      </c>
    </row>
    <row r="50" spans="1:12" x14ac:dyDescent="0.25">
      <c r="A50" s="3" t="s">
        <v>479</v>
      </c>
      <c r="B50">
        <v>1</v>
      </c>
      <c r="C50">
        <v>3</v>
      </c>
      <c r="E50">
        <v>1</v>
      </c>
      <c r="F50">
        <v>2</v>
      </c>
      <c r="G50">
        <v>5</v>
      </c>
      <c r="J50">
        <v>6</v>
      </c>
      <c r="L50">
        <v>18</v>
      </c>
    </row>
    <row r="51" spans="1:12" x14ac:dyDescent="0.25">
      <c r="A51" s="3" t="s">
        <v>425</v>
      </c>
      <c r="B51">
        <v>1</v>
      </c>
      <c r="C51">
        <v>1</v>
      </c>
      <c r="D51">
        <v>1</v>
      </c>
      <c r="E51">
        <v>1</v>
      </c>
      <c r="F51">
        <v>2</v>
      </c>
      <c r="G51">
        <v>3</v>
      </c>
      <c r="J51">
        <v>3</v>
      </c>
      <c r="L51">
        <v>12</v>
      </c>
    </row>
    <row r="52" spans="1:12" x14ac:dyDescent="0.25">
      <c r="A52" s="3" t="s">
        <v>652</v>
      </c>
      <c r="C52">
        <v>1</v>
      </c>
      <c r="D52">
        <v>1</v>
      </c>
      <c r="E52">
        <v>2</v>
      </c>
      <c r="G52">
        <v>1</v>
      </c>
      <c r="J52">
        <v>1</v>
      </c>
      <c r="K52">
        <v>1</v>
      </c>
      <c r="L52">
        <v>7</v>
      </c>
    </row>
    <row r="53" spans="1:12" x14ac:dyDescent="0.25">
      <c r="A53" s="3" t="s">
        <v>376</v>
      </c>
      <c r="B53">
        <v>1</v>
      </c>
      <c r="C53">
        <v>12</v>
      </c>
      <c r="D53">
        <v>2</v>
      </c>
      <c r="E53">
        <v>9</v>
      </c>
      <c r="F53">
        <v>22</v>
      </c>
      <c r="G53">
        <v>7</v>
      </c>
      <c r="J53">
        <v>21</v>
      </c>
      <c r="K53">
        <v>2</v>
      </c>
      <c r="L53">
        <v>76</v>
      </c>
    </row>
    <row r="54" spans="1:12" x14ac:dyDescent="0.25">
      <c r="A54" s="3" t="s">
        <v>707</v>
      </c>
      <c r="C54">
        <v>2</v>
      </c>
      <c r="E54">
        <v>1</v>
      </c>
      <c r="F54">
        <v>1</v>
      </c>
      <c r="G54">
        <v>3</v>
      </c>
      <c r="L54">
        <v>7</v>
      </c>
    </row>
    <row r="55" spans="1:12" x14ac:dyDescent="0.25">
      <c r="A55" s="3" t="s">
        <v>472</v>
      </c>
      <c r="B55">
        <v>1</v>
      </c>
      <c r="C55">
        <v>2</v>
      </c>
      <c r="D55">
        <v>1</v>
      </c>
      <c r="E55">
        <v>1</v>
      </c>
      <c r="F55">
        <v>2</v>
      </c>
      <c r="G55">
        <v>3</v>
      </c>
      <c r="J55">
        <v>1</v>
      </c>
      <c r="L55">
        <v>11</v>
      </c>
    </row>
    <row r="56" spans="1:12" x14ac:dyDescent="0.25">
      <c r="A56" s="3" t="s">
        <v>183</v>
      </c>
      <c r="B56">
        <v>1</v>
      </c>
      <c r="C56">
        <v>8</v>
      </c>
      <c r="F56">
        <v>2</v>
      </c>
      <c r="G56">
        <v>1</v>
      </c>
      <c r="L56">
        <v>12</v>
      </c>
    </row>
    <row r="57" spans="1:12" x14ac:dyDescent="0.25">
      <c r="A57" s="2" t="s">
        <v>861</v>
      </c>
      <c r="E57">
        <v>1</v>
      </c>
      <c r="F57">
        <v>3</v>
      </c>
      <c r="J57">
        <v>1</v>
      </c>
      <c r="L57">
        <v>5</v>
      </c>
    </row>
    <row r="58" spans="1:12" x14ac:dyDescent="0.25">
      <c r="A58" s="3" t="s">
        <v>860</v>
      </c>
      <c r="E58">
        <v>1</v>
      </c>
      <c r="F58">
        <v>3</v>
      </c>
      <c r="J58">
        <v>1</v>
      </c>
      <c r="L58">
        <v>5</v>
      </c>
    </row>
    <row r="59" spans="1:12" x14ac:dyDescent="0.25">
      <c r="A59" s="2" t="s">
        <v>200</v>
      </c>
      <c r="B59">
        <v>1</v>
      </c>
      <c r="C59">
        <v>9</v>
      </c>
      <c r="D59">
        <v>2</v>
      </c>
      <c r="E59">
        <v>10</v>
      </c>
      <c r="F59">
        <v>5</v>
      </c>
      <c r="G59">
        <v>17</v>
      </c>
      <c r="J59">
        <v>12</v>
      </c>
      <c r="K59">
        <v>1</v>
      </c>
      <c r="L59">
        <v>57</v>
      </c>
    </row>
    <row r="60" spans="1:12" x14ac:dyDescent="0.25">
      <c r="A60" s="3" t="s">
        <v>199</v>
      </c>
      <c r="B60">
        <v>1</v>
      </c>
      <c r="C60">
        <v>9</v>
      </c>
      <c r="D60">
        <v>2</v>
      </c>
      <c r="E60">
        <v>10</v>
      </c>
      <c r="F60">
        <v>5</v>
      </c>
      <c r="G60">
        <v>17</v>
      </c>
      <c r="J60">
        <v>12</v>
      </c>
      <c r="K60">
        <v>1</v>
      </c>
      <c r="L60">
        <v>57</v>
      </c>
    </row>
    <row r="61" spans="1:12" x14ac:dyDescent="0.25">
      <c r="A61" s="2" t="s">
        <v>24</v>
      </c>
      <c r="B61">
        <v>10</v>
      </c>
      <c r="C61">
        <v>35</v>
      </c>
      <c r="D61">
        <v>13</v>
      </c>
      <c r="E61">
        <v>31</v>
      </c>
      <c r="F61">
        <v>47</v>
      </c>
      <c r="G61">
        <v>44</v>
      </c>
      <c r="J61">
        <v>24</v>
      </c>
      <c r="K61">
        <v>3</v>
      </c>
      <c r="L61">
        <v>207</v>
      </c>
    </row>
    <row r="62" spans="1:12" x14ac:dyDescent="0.25">
      <c r="A62" s="3" t="s">
        <v>448</v>
      </c>
      <c r="B62">
        <v>1</v>
      </c>
      <c r="C62">
        <v>2</v>
      </c>
      <c r="D62">
        <v>1</v>
      </c>
      <c r="E62">
        <v>3</v>
      </c>
      <c r="F62">
        <v>3</v>
      </c>
      <c r="G62">
        <v>2</v>
      </c>
      <c r="J62">
        <v>2</v>
      </c>
      <c r="L62">
        <v>14</v>
      </c>
    </row>
    <row r="63" spans="1:12" x14ac:dyDescent="0.25">
      <c r="A63" s="3" t="s">
        <v>22</v>
      </c>
      <c r="B63">
        <v>1</v>
      </c>
      <c r="C63">
        <v>1</v>
      </c>
      <c r="D63">
        <v>1</v>
      </c>
      <c r="E63">
        <v>1</v>
      </c>
      <c r="F63">
        <v>1</v>
      </c>
      <c r="G63">
        <v>1</v>
      </c>
      <c r="J63">
        <v>2</v>
      </c>
      <c r="L63">
        <v>8</v>
      </c>
    </row>
    <row r="64" spans="1:12" x14ac:dyDescent="0.25">
      <c r="A64" s="3" t="s">
        <v>545</v>
      </c>
      <c r="C64">
        <v>4</v>
      </c>
      <c r="F64">
        <v>3</v>
      </c>
      <c r="G64">
        <v>5</v>
      </c>
      <c r="L64">
        <v>12</v>
      </c>
    </row>
    <row r="65" spans="1:12" x14ac:dyDescent="0.25">
      <c r="A65" s="3" t="s">
        <v>589</v>
      </c>
      <c r="C65">
        <v>1</v>
      </c>
      <c r="D65">
        <v>1</v>
      </c>
      <c r="E65">
        <v>1</v>
      </c>
      <c r="F65">
        <v>3</v>
      </c>
      <c r="G65">
        <v>1</v>
      </c>
      <c r="J65">
        <v>1</v>
      </c>
      <c r="K65">
        <v>1</v>
      </c>
      <c r="L65">
        <v>9</v>
      </c>
    </row>
    <row r="66" spans="1:12" x14ac:dyDescent="0.25">
      <c r="A66" s="3" t="s">
        <v>216</v>
      </c>
      <c r="B66">
        <v>1</v>
      </c>
      <c r="C66">
        <v>2</v>
      </c>
      <c r="D66">
        <v>1</v>
      </c>
      <c r="E66">
        <v>1</v>
      </c>
      <c r="F66">
        <v>1</v>
      </c>
      <c r="J66">
        <v>1</v>
      </c>
      <c r="L66">
        <v>7</v>
      </c>
    </row>
    <row r="67" spans="1:12" x14ac:dyDescent="0.25">
      <c r="A67" s="3" t="s">
        <v>612</v>
      </c>
      <c r="C67">
        <v>1</v>
      </c>
      <c r="D67">
        <v>1</v>
      </c>
      <c r="E67">
        <v>2</v>
      </c>
      <c r="F67">
        <v>1</v>
      </c>
      <c r="G67">
        <v>1</v>
      </c>
      <c r="J67">
        <v>1</v>
      </c>
      <c r="L67">
        <v>7</v>
      </c>
    </row>
    <row r="68" spans="1:12" x14ac:dyDescent="0.25">
      <c r="A68" s="3" t="s">
        <v>343</v>
      </c>
      <c r="B68">
        <v>1</v>
      </c>
      <c r="C68">
        <v>1</v>
      </c>
      <c r="D68">
        <v>1</v>
      </c>
      <c r="E68">
        <v>2</v>
      </c>
      <c r="F68">
        <v>6</v>
      </c>
      <c r="G68">
        <v>1</v>
      </c>
      <c r="J68">
        <v>2</v>
      </c>
      <c r="L68">
        <v>14</v>
      </c>
    </row>
    <row r="69" spans="1:12" x14ac:dyDescent="0.25">
      <c r="A69" s="3" t="s">
        <v>44</v>
      </c>
      <c r="B69">
        <v>1</v>
      </c>
      <c r="C69">
        <v>8</v>
      </c>
      <c r="E69">
        <v>2</v>
      </c>
      <c r="F69">
        <v>1</v>
      </c>
      <c r="G69">
        <v>4</v>
      </c>
      <c r="L69">
        <v>16</v>
      </c>
    </row>
    <row r="70" spans="1:12" x14ac:dyDescent="0.25">
      <c r="A70" s="3" t="s">
        <v>135</v>
      </c>
      <c r="B70">
        <v>1</v>
      </c>
      <c r="D70">
        <v>2</v>
      </c>
      <c r="E70">
        <v>2</v>
      </c>
      <c r="F70">
        <v>1</v>
      </c>
      <c r="G70">
        <v>5</v>
      </c>
      <c r="J70">
        <v>1</v>
      </c>
      <c r="L70">
        <v>12</v>
      </c>
    </row>
    <row r="71" spans="1:12" x14ac:dyDescent="0.25">
      <c r="A71" s="3" t="s">
        <v>52</v>
      </c>
      <c r="B71">
        <v>1</v>
      </c>
      <c r="C71">
        <v>2</v>
      </c>
      <c r="D71">
        <v>2</v>
      </c>
      <c r="E71">
        <v>4</v>
      </c>
      <c r="F71">
        <v>5</v>
      </c>
      <c r="L71">
        <v>14</v>
      </c>
    </row>
    <row r="72" spans="1:12" x14ac:dyDescent="0.25">
      <c r="A72" s="3" t="s">
        <v>118</v>
      </c>
      <c r="B72">
        <v>1</v>
      </c>
      <c r="C72">
        <v>1</v>
      </c>
      <c r="E72">
        <v>2</v>
      </c>
      <c r="F72">
        <v>2</v>
      </c>
      <c r="G72">
        <v>2</v>
      </c>
      <c r="J72">
        <v>5</v>
      </c>
      <c r="K72">
        <v>1</v>
      </c>
      <c r="L72">
        <v>14</v>
      </c>
    </row>
    <row r="73" spans="1:12" x14ac:dyDescent="0.25">
      <c r="A73" s="3" t="s">
        <v>191</v>
      </c>
      <c r="B73">
        <v>1</v>
      </c>
      <c r="C73">
        <v>11</v>
      </c>
      <c r="D73">
        <v>2</v>
      </c>
      <c r="E73">
        <v>10</v>
      </c>
      <c r="F73">
        <v>17</v>
      </c>
      <c r="G73">
        <v>19</v>
      </c>
      <c r="J73">
        <v>6</v>
      </c>
      <c r="K73">
        <v>1</v>
      </c>
      <c r="L73">
        <v>67</v>
      </c>
    </row>
    <row r="74" spans="1:12" x14ac:dyDescent="0.25">
      <c r="A74" s="3" t="s">
        <v>240</v>
      </c>
      <c r="B74">
        <v>1</v>
      </c>
      <c r="C74">
        <v>1</v>
      </c>
      <c r="D74">
        <v>1</v>
      </c>
      <c r="E74">
        <v>1</v>
      </c>
      <c r="F74">
        <v>3</v>
      </c>
      <c r="G74">
        <v>3</v>
      </c>
      <c r="J74">
        <v>3</v>
      </c>
      <c r="L74">
        <v>13</v>
      </c>
    </row>
    <row r="75" spans="1:12" x14ac:dyDescent="0.25">
      <c r="A75" s="2" t="s">
        <v>359</v>
      </c>
      <c r="B75">
        <v>1</v>
      </c>
      <c r="F75">
        <v>1</v>
      </c>
      <c r="J75">
        <v>1</v>
      </c>
      <c r="L75">
        <v>3</v>
      </c>
    </row>
    <row r="76" spans="1:12" x14ac:dyDescent="0.25">
      <c r="A76" s="3" t="s">
        <v>358</v>
      </c>
      <c r="B76">
        <v>1</v>
      </c>
      <c r="F76">
        <v>1</v>
      </c>
      <c r="J76">
        <v>1</v>
      </c>
      <c r="L76">
        <v>3</v>
      </c>
    </row>
    <row r="77" spans="1:12" x14ac:dyDescent="0.25">
      <c r="A77" s="2" t="s">
        <v>36</v>
      </c>
      <c r="B77">
        <v>3</v>
      </c>
      <c r="C77">
        <v>12</v>
      </c>
      <c r="E77">
        <v>1</v>
      </c>
      <c r="F77">
        <v>16</v>
      </c>
      <c r="G77">
        <v>5</v>
      </c>
      <c r="J77">
        <v>16</v>
      </c>
      <c r="K77">
        <v>1</v>
      </c>
      <c r="L77">
        <v>54</v>
      </c>
    </row>
    <row r="78" spans="1:12" x14ac:dyDescent="0.25">
      <c r="A78" s="3" t="s">
        <v>35</v>
      </c>
      <c r="B78">
        <v>2</v>
      </c>
      <c r="C78">
        <v>11</v>
      </c>
      <c r="E78">
        <v>1</v>
      </c>
      <c r="F78">
        <v>15</v>
      </c>
      <c r="G78">
        <v>3</v>
      </c>
      <c r="J78">
        <v>11</v>
      </c>
      <c r="L78">
        <v>43</v>
      </c>
    </row>
    <row r="79" spans="1:12" x14ac:dyDescent="0.25">
      <c r="A79" s="3" t="s">
        <v>95</v>
      </c>
      <c r="B79">
        <v>1</v>
      </c>
      <c r="C79">
        <v>1</v>
      </c>
      <c r="F79">
        <v>1</v>
      </c>
      <c r="G79">
        <v>2</v>
      </c>
      <c r="J79">
        <v>5</v>
      </c>
      <c r="K79">
        <v>1</v>
      </c>
      <c r="L79">
        <v>11</v>
      </c>
    </row>
    <row r="80" spans="1:12" x14ac:dyDescent="0.25">
      <c r="A80" s="2" t="s">
        <v>745</v>
      </c>
      <c r="C80">
        <v>6</v>
      </c>
      <c r="E80">
        <v>1</v>
      </c>
      <c r="F80">
        <v>3</v>
      </c>
      <c r="J80">
        <v>1</v>
      </c>
      <c r="L80">
        <v>11</v>
      </c>
    </row>
    <row r="81" spans="1:12" x14ac:dyDescent="0.25">
      <c r="A81" s="3" t="s">
        <v>744</v>
      </c>
      <c r="C81">
        <v>6</v>
      </c>
      <c r="E81">
        <v>1</v>
      </c>
      <c r="F81">
        <v>3</v>
      </c>
      <c r="J81">
        <v>1</v>
      </c>
      <c r="L81">
        <v>11</v>
      </c>
    </row>
    <row r="82" spans="1:12" x14ac:dyDescent="0.25">
      <c r="A82" s="2" t="s">
        <v>127</v>
      </c>
      <c r="B82">
        <v>1</v>
      </c>
      <c r="C82">
        <v>2</v>
      </c>
      <c r="D82">
        <v>1</v>
      </c>
      <c r="F82">
        <v>2</v>
      </c>
      <c r="J82">
        <v>2</v>
      </c>
      <c r="L82">
        <v>8</v>
      </c>
    </row>
    <row r="83" spans="1:12" x14ac:dyDescent="0.25">
      <c r="A83" s="3" t="s">
        <v>126</v>
      </c>
      <c r="B83">
        <v>1</v>
      </c>
      <c r="C83">
        <v>2</v>
      </c>
      <c r="D83">
        <v>1</v>
      </c>
      <c r="F83">
        <v>2</v>
      </c>
      <c r="J83">
        <v>2</v>
      </c>
      <c r="L83">
        <v>8</v>
      </c>
    </row>
    <row r="84" spans="1:12" x14ac:dyDescent="0.25">
      <c r="A84" s="2" t="s">
        <v>77</v>
      </c>
      <c r="B84">
        <v>1</v>
      </c>
      <c r="C84">
        <v>3</v>
      </c>
      <c r="D84">
        <v>3</v>
      </c>
      <c r="E84">
        <v>16</v>
      </c>
      <c r="F84">
        <v>27</v>
      </c>
      <c r="G84">
        <v>12</v>
      </c>
      <c r="J84">
        <v>57</v>
      </c>
      <c r="K84">
        <v>3</v>
      </c>
      <c r="L84">
        <v>122</v>
      </c>
    </row>
    <row r="85" spans="1:12" x14ac:dyDescent="0.25">
      <c r="A85" s="3" t="s">
        <v>76</v>
      </c>
      <c r="B85">
        <v>1</v>
      </c>
      <c r="C85">
        <v>3</v>
      </c>
      <c r="D85">
        <v>3</v>
      </c>
      <c r="E85">
        <v>16</v>
      </c>
      <c r="F85">
        <v>27</v>
      </c>
      <c r="G85">
        <v>12</v>
      </c>
      <c r="J85">
        <v>57</v>
      </c>
      <c r="K85">
        <v>3</v>
      </c>
      <c r="L85">
        <v>122</v>
      </c>
    </row>
    <row r="86" spans="1:12" x14ac:dyDescent="0.25">
      <c r="A86" s="2" t="s">
        <v>61</v>
      </c>
      <c r="B86">
        <v>24</v>
      </c>
      <c r="C86">
        <v>53</v>
      </c>
      <c r="D86">
        <v>60</v>
      </c>
      <c r="E86">
        <v>80</v>
      </c>
      <c r="F86">
        <v>207</v>
      </c>
      <c r="G86">
        <v>72</v>
      </c>
      <c r="J86">
        <v>34</v>
      </c>
      <c r="K86">
        <v>4</v>
      </c>
      <c r="L86">
        <v>534</v>
      </c>
    </row>
    <row r="87" spans="1:12" x14ac:dyDescent="0.25">
      <c r="A87" s="3" t="s">
        <v>919</v>
      </c>
      <c r="F87">
        <v>2</v>
      </c>
      <c r="G87">
        <v>2</v>
      </c>
      <c r="L87">
        <v>4</v>
      </c>
    </row>
    <row r="88" spans="1:12" x14ac:dyDescent="0.25">
      <c r="A88" s="3" t="s">
        <v>303</v>
      </c>
      <c r="B88">
        <v>1</v>
      </c>
      <c r="C88">
        <v>2</v>
      </c>
      <c r="D88">
        <v>3</v>
      </c>
      <c r="E88">
        <v>1</v>
      </c>
      <c r="F88">
        <v>3</v>
      </c>
      <c r="J88">
        <v>4</v>
      </c>
      <c r="L88">
        <v>14</v>
      </c>
    </row>
    <row r="89" spans="1:12" x14ac:dyDescent="0.25">
      <c r="A89" s="3" t="s">
        <v>761</v>
      </c>
      <c r="D89">
        <v>1</v>
      </c>
      <c r="E89">
        <v>1</v>
      </c>
      <c r="F89">
        <v>9</v>
      </c>
      <c r="G89">
        <v>1</v>
      </c>
      <c r="L89">
        <v>12</v>
      </c>
    </row>
    <row r="90" spans="1:12" x14ac:dyDescent="0.25">
      <c r="A90" s="3" t="s">
        <v>248</v>
      </c>
      <c r="B90">
        <v>1</v>
      </c>
      <c r="C90">
        <v>3</v>
      </c>
      <c r="D90">
        <v>2</v>
      </c>
      <c r="E90">
        <v>2</v>
      </c>
      <c r="F90">
        <v>6</v>
      </c>
      <c r="J90">
        <v>1</v>
      </c>
      <c r="L90">
        <v>15</v>
      </c>
    </row>
    <row r="91" spans="1:12" x14ac:dyDescent="0.25">
      <c r="A91" s="3" t="s">
        <v>208</v>
      </c>
      <c r="B91">
        <v>1</v>
      </c>
      <c r="D91">
        <v>1</v>
      </c>
      <c r="F91">
        <v>1</v>
      </c>
      <c r="G91">
        <v>5</v>
      </c>
      <c r="L91">
        <v>8</v>
      </c>
    </row>
    <row r="92" spans="1:12" x14ac:dyDescent="0.25">
      <c r="A92" s="3" t="s">
        <v>769</v>
      </c>
      <c r="D92">
        <v>10</v>
      </c>
      <c r="F92">
        <v>13</v>
      </c>
      <c r="L92">
        <v>23</v>
      </c>
    </row>
    <row r="93" spans="1:12" x14ac:dyDescent="0.25">
      <c r="A93" s="3" t="s">
        <v>335</v>
      </c>
      <c r="B93">
        <v>1</v>
      </c>
      <c r="C93">
        <v>2</v>
      </c>
      <c r="D93">
        <v>1</v>
      </c>
      <c r="E93">
        <v>1</v>
      </c>
      <c r="F93">
        <v>4</v>
      </c>
      <c r="G93">
        <v>5</v>
      </c>
      <c r="L93">
        <v>14</v>
      </c>
    </row>
    <row r="94" spans="1:12" x14ac:dyDescent="0.25">
      <c r="A94" s="3" t="s">
        <v>160</v>
      </c>
      <c r="B94">
        <v>1</v>
      </c>
      <c r="D94">
        <v>2</v>
      </c>
      <c r="E94">
        <v>3</v>
      </c>
      <c r="F94">
        <v>2</v>
      </c>
      <c r="G94">
        <v>1</v>
      </c>
      <c r="L94">
        <v>9</v>
      </c>
    </row>
    <row r="95" spans="1:12" x14ac:dyDescent="0.25">
      <c r="A95" s="3" t="s">
        <v>495</v>
      </c>
      <c r="B95">
        <v>1</v>
      </c>
      <c r="C95">
        <v>1</v>
      </c>
      <c r="E95">
        <v>1</v>
      </c>
      <c r="F95">
        <v>7</v>
      </c>
      <c r="J95">
        <v>1</v>
      </c>
      <c r="L95">
        <v>11</v>
      </c>
    </row>
    <row r="96" spans="1:12" x14ac:dyDescent="0.25">
      <c r="A96" s="3" t="s">
        <v>408</v>
      </c>
      <c r="B96">
        <v>1</v>
      </c>
      <c r="C96">
        <v>1</v>
      </c>
      <c r="F96">
        <v>1</v>
      </c>
      <c r="G96">
        <v>1</v>
      </c>
      <c r="L96">
        <v>4</v>
      </c>
    </row>
    <row r="97" spans="1:12" x14ac:dyDescent="0.25">
      <c r="A97" s="3" t="s">
        <v>167</v>
      </c>
      <c r="B97">
        <v>1</v>
      </c>
      <c r="C97">
        <v>3</v>
      </c>
      <c r="D97">
        <v>2</v>
      </c>
      <c r="E97">
        <v>10</v>
      </c>
      <c r="F97">
        <v>23</v>
      </c>
      <c r="J97">
        <v>4</v>
      </c>
      <c r="L97">
        <v>43</v>
      </c>
    </row>
    <row r="98" spans="1:12" x14ac:dyDescent="0.25">
      <c r="A98" s="3" t="s">
        <v>555</v>
      </c>
      <c r="C98">
        <v>3</v>
      </c>
      <c r="D98">
        <v>1</v>
      </c>
      <c r="E98">
        <v>2</v>
      </c>
      <c r="F98">
        <v>1</v>
      </c>
      <c r="J98">
        <v>1</v>
      </c>
      <c r="L98">
        <v>8</v>
      </c>
    </row>
    <row r="99" spans="1:12" x14ac:dyDescent="0.25">
      <c r="A99" s="3" t="s">
        <v>920</v>
      </c>
      <c r="F99">
        <v>1</v>
      </c>
      <c r="L99">
        <v>1</v>
      </c>
    </row>
    <row r="100" spans="1:12" x14ac:dyDescent="0.25">
      <c r="A100" s="3" t="s">
        <v>563</v>
      </c>
      <c r="C100">
        <v>1</v>
      </c>
      <c r="D100">
        <v>1</v>
      </c>
      <c r="G100">
        <v>6</v>
      </c>
      <c r="L100">
        <v>8</v>
      </c>
    </row>
    <row r="101" spans="1:12" x14ac:dyDescent="0.25">
      <c r="A101" s="3" t="s">
        <v>581</v>
      </c>
      <c r="C101">
        <v>3</v>
      </c>
      <c r="D101">
        <v>1</v>
      </c>
      <c r="F101">
        <v>6</v>
      </c>
      <c r="G101">
        <v>2</v>
      </c>
      <c r="L101">
        <v>12</v>
      </c>
    </row>
    <row r="102" spans="1:12" x14ac:dyDescent="0.25">
      <c r="A102" s="3" t="s">
        <v>597</v>
      </c>
      <c r="C102">
        <v>1</v>
      </c>
      <c r="D102">
        <v>1</v>
      </c>
      <c r="F102">
        <v>3</v>
      </c>
      <c r="L102">
        <v>5</v>
      </c>
    </row>
    <row r="103" spans="1:12" x14ac:dyDescent="0.25">
      <c r="A103" s="3" t="s">
        <v>264</v>
      </c>
      <c r="B103">
        <v>1</v>
      </c>
      <c r="C103">
        <v>1</v>
      </c>
      <c r="D103">
        <v>1</v>
      </c>
      <c r="E103">
        <v>2</v>
      </c>
      <c r="F103">
        <v>8</v>
      </c>
      <c r="J103">
        <v>3</v>
      </c>
      <c r="L103">
        <v>16</v>
      </c>
    </row>
    <row r="104" spans="1:12" x14ac:dyDescent="0.25">
      <c r="A104" s="3" t="s">
        <v>605</v>
      </c>
      <c r="C104">
        <v>2</v>
      </c>
      <c r="E104">
        <v>1</v>
      </c>
      <c r="F104">
        <v>3</v>
      </c>
      <c r="L104">
        <v>6</v>
      </c>
    </row>
    <row r="105" spans="1:12" x14ac:dyDescent="0.25">
      <c r="A105" s="3" t="s">
        <v>143</v>
      </c>
      <c r="B105">
        <v>1</v>
      </c>
      <c r="D105">
        <v>1</v>
      </c>
      <c r="E105">
        <v>2</v>
      </c>
      <c r="F105">
        <v>4</v>
      </c>
      <c r="L105">
        <v>8</v>
      </c>
    </row>
    <row r="106" spans="1:12" x14ac:dyDescent="0.25">
      <c r="A106" s="3" t="s">
        <v>60</v>
      </c>
      <c r="B106">
        <v>1</v>
      </c>
      <c r="C106">
        <v>3</v>
      </c>
      <c r="D106">
        <v>7</v>
      </c>
      <c r="E106">
        <v>18</v>
      </c>
      <c r="F106">
        <v>15</v>
      </c>
      <c r="G106">
        <v>15</v>
      </c>
      <c r="J106">
        <v>4</v>
      </c>
      <c r="L106">
        <v>63</v>
      </c>
    </row>
    <row r="107" spans="1:12" x14ac:dyDescent="0.25">
      <c r="A107" s="3" t="s">
        <v>287</v>
      </c>
      <c r="B107">
        <v>1</v>
      </c>
      <c r="C107">
        <v>2</v>
      </c>
      <c r="D107">
        <v>1</v>
      </c>
      <c r="E107">
        <v>1</v>
      </c>
      <c r="F107">
        <v>4</v>
      </c>
      <c r="L107">
        <v>9</v>
      </c>
    </row>
    <row r="108" spans="1:12" x14ac:dyDescent="0.25">
      <c r="A108" s="3" t="s">
        <v>619</v>
      </c>
      <c r="C108">
        <v>4</v>
      </c>
      <c r="D108">
        <v>2</v>
      </c>
      <c r="F108">
        <v>1</v>
      </c>
      <c r="L108">
        <v>7</v>
      </c>
    </row>
    <row r="109" spans="1:12" x14ac:dyDescent="0.25">
      <c r="A109" s="3" t="s">
        <v>271</v>
      </c>
      <c r="B109">
        <v>1</v>
      </c>
      <c r="D109">
        <v>1</v>
      </c>
      <c r="E109">
        <v>5</v>
      </c>
      <c r="F109">
        <v>1</v>
      </c>
      <c r="G109">
        <v>2</v>
      </c>
      <c r="J109">
        <v>1</v>
      </c>
      <c r="K109">
        <v>1</v>
      </c>
      <c r="L109">
        <v>12</v>
      </c>
    </row>
    <row r="110" spans="1:12" x14ac:dyDescent="0.25">
      <c r="A110" s="3" t="s">
        <v>509</v>
      </c>
      <c r="B110">
        <v>1</v>
      </c>
      <c r="C110">
        <v>1</v>
      </c>
      <c r="D110">
        <v>3</v>
      </c>
      <c r="E110">
        <v>2</v>
      </c>
      <c r="F110">
        <v>12</v>
      </c>
      <c r="L110">
        <v>19</v>
      </c>
    </row>
    <row r="111" spans="1:12" x14ac:dyDescent="0.25">
      <c r="A111" s="3" t="s">
        <v>103</v>
      </c>
      <c r="B111">
        <v>1</v>
      </c>
      <c r="C111">
        <v>2</v>
      </c>
      <c r="E111">
        <v>1</v>
      </c>
      <c r="F111">
        <v>8</v>
      </c>
      <c r="G111">
        <v>3</v>
      </c>
      <c r="L111">
        <v>15</v>
      </c>
    </row>
    <row r="112" spans="1:12" x14ac:dyDescent="0.25">
      <c r="A112" s="3" t="s">
        <v>645</v>
      </c>
      <c r="C112">
        <v>1</v>
      </c>
      <c r="D112">
        <v>1</v>
      </c>
      <c r="E112">
        <v>3</v>
      </c>
      <c r="F112">
        <v>4</v>
      </c>
      <c r="G112">
        <v>1</v>
      </c>
      <c r="J112">
        <v>6</v>
      </c>
      <c r="L112">
        <v>16</v>
      </c>
    </row>
    <row r="113" spans="1:12" x14ac:dyDescent="0.25">
      <c r="A113" s="3" t="s">
        <v>796</v>
      </c>
      <c r="D113">
        <v>5</v>
      </c>
      <c r="L113">
        <v>5</v>
      </c>
    </row>
    <row r="114" spans="1:12" x14ac:dyDescent="0.25">
      <c r="A114" s="3" t="s">
        <v>279</v>
      </c>
      <c r="B114">
        <v>1</v>
      </c>
      <c r="C114">
        <v>3</v>
      </c>
      <c r="D114">
        <v>1</v>
      </c>
      <c r="F114">
        <v>9</v>
      </c>
      <c r="G114">
        <v>4</v>
      </c>
      <c r="L114">
        <v>18</v>
      </c>
    </row>
    <row r="115" spans="1:12" x14ac:dyDescent="0.25">
      <c r="A115" s="3" t="s">
        <v>668</v>
      </c>
      <c r="C115">
        <v>3</v>
      </c>
      <c r="E115">
        <v>1</v>
      </c>
      <c r="F115">
        <v>10</v>
      </c>
      <c r="G115">
        <v>3</v>
      </c>
      <c r="L115">
        <v>17</v>
      </c>
    </row>
    <row r="116" spans="1:12" x14ac:dyDescent="0.25">
      <c r="A116" s="3" t="s">
        <v>503</v>
      </c>
      <c r="B116">
        <v>1</v>
      </c>
      <c r="C116">
        <v>2</v>
      </c>
      <c r="E116">
        <v>2</v>
      </c>
      <c r="F116">
        <v>5</v>
      </c>
      <c r="G116">
        <v>1</v>
      </c>
      <c r="J116">
        <v>1</v>
      </c>
      <c r="L116">
        <v>12</v>
      </c>
    </row>
    <row r="117" spans="1:12" x14ac:dyDescent="0.25">
      <c r="A117" s="3" t="s">
        <v>384</v>
      </c>
      <c r="B117">
        <v>1</v>
      </c>
      <c r="C117">
        <v>2</v>
      </c>
      <c r="D117">
        <v>1</v>
      </c>
      <c r="E117">
        <v>7</v>
      </c>
      <c r="F117">
        <v>12</v>
      </c>
      <c r="G117">
        <v>2</v>
      </c>
      <c r="J117">
        <v>2</v>
      </c>
      <c r="K117">
        <v>1</v>
      </c>
      <c r="L117">
        <v>28</v>
      </c>
    </row>
    <row r="118" spans="1:12" x14ac:dyDescent="0.25">
      <c r="A118" s="3" t="s">
        <v>517</v>
      </c>
      <c r="B118">
        <v>1</v>
      </c>
      <c r="E118">
        <v>1</v>
      </c>
      <c r="F118">
        <v>5</v>
      </c>
      <c r="G118">
        <v>3</v>
      </c>
      <c r="J118">
        <v>2</v>
      </c>
      <c r="L118">
        <v>12</v>
      </c>
    </row>
    <row r="119" spans="1:12" x14ac:dyDescent="0.25">
      <c r="A119" s="3" t="s">
        <v>232</v>
      </c>
      <c r="B119">
        <v>1</v>
      </c>
      <c r="C119">
        <v>4</v>
      </c>
      <c r="D119">
        <v>2</v>
      </c>
      <c r="E119">
        <v>3</v>
      </c>
      <c r="F119">
        <v>8</v>
      </c>
      <c r="G119">
        <v>3</v>
      </c>
      <c r="J119">
        <v>2</v>
      </c>
      <c r="L119">
        <v>23</v>
      </c>
    </row>
    <row r="120" spans="1:12" x14ac:dyDescent="0.25">
      <c r="A120" s="3" t="s">
        <v>69</v>
      </c>
      <c r="B120">
        <v>1</v>
      </c>
      <c r="C120">
        <v>1</v>
      </c>
      <c r="D120">
        <v>5</v>
      </c>
      <c r="E120">
        <v>5</v>
      </c>
      <c r="F120">
        <v>7</v>
      </c>
      <c r="G120">
        <v>10</v>
      </c>
      <c r="K120">
        <v>1</v>
      </c>
      <c r="L120">
        <v>30</v>
      </c>
    </row>
    <row r="121" spans="1:12" x14ac:dyDescent="0.25">
      <c r="A121" s="3" t="s">
        <v>256</v>
      </c>
      <c r="B121">
        <v>1</v>
      </c>
      <c r="D121">
        <v>2</v>
      </c>
      <c r="E121">
        <v>2</v>
      </c>
      <c r="L121">
        <v>5</v>
      </c>
    </row>
    <row r="122" spans="1:12" x14ac:dyDescent="0.25">
      <c r="A122" s="3" t="s">
        <v>893</v>
      </c>
      <c r="E122">
        <v>1</v>
      </c>
      <c r="F122">
        <v>4</v>
      </c>
      <c r="J122">
        <v>1</v>
      </c>
      <c r="L122">
        <v>6</v>
      </c>
    </row>
    <row r="123" spans="1:12" x14ac:dyDescent="0.25">
      <c r="A123" s="3" t="s">
        <v>224</v>
      </c>
      <c r="B123">
        <v>1</v>
      </c>
      <c r="C123">
        <v>2</v>
      </c>
      <c r="D123">
        <v>1</v>
      </c>
      <c r="E123">
        <v>1</v>
      </c>
      <c r="F123">
        <v>3</v>
      </c>
      <c r="G123">
        <v>1</v>
      </c>
      <c r="L123">
        <v>9</v>
      </c>
    </row>
    <row r="124" spans="1:12" x14ac:dyDescent="0.25">
      <c r="A124" s="3" t="s">
        <v>295</v>
      </c>
      <c r="B124">
        <v>1</v>
      </c>
      <c r="E124">
        <v>1</v>
      </c>
      <c r="F124">
        <v>2</v>
      </c>
      <c r="G124">
        <v>1</v>
      </c>
      <c r="J124">
        <v>1</v>
      </c>
      <c r="K124">
        <v>1</v>
      </c>
      <c r="L124">
        <v>7</v>
      </c>
    </row>
    <row r="125" spans="1:12" x14ac:dyDescent="0.25">
      <c r="A125" s="2" t="s">
        <v>915</v>
      </c>
      <c r="I125">
        <v>1642</v>
      </c>
      <c r="L125">
        <v>1642</v>
      </c>
    </row>
    <row r="126" spans="1:12" x14ac:dyDescent="0.25">
      <c r="A126" s="3" t="s">
        <v>915</v>
      </c>
      <c r="I126">
        <v>1642</v>
      </c>
      <c r="L126">
        <v>1642</v>
      </c>
    </row>
    <row r="127" spans="1:12" x14ac:dyDescent="0.25">
      <c r="A127" s="2" t="s">
        <v>916</v>
      </c>
      <c r="B127">
        <v>64</v>
      </c>
      <c r="C127">
        <v>198</v>
      </c>
      <c r="D127">
        <v>122</v>
      </c>
      <c r="E127">
        <v>213</v>
      </c>
      <c r="F127">
        <v>412</v>
      </c>
      <c r="G127">
        <v>299</v>
      </c>
      <c r="H127">
        <v>59</v>
      </c>
      <c r="I127">
        <v>1642</v>
      </c>
      <c r="J127">
        <v>255</v>
      </c>
      <c r="K127">
        <v>20</v>
      </c>
      <c r="L127">
        <v>3284</v>
      </c>
    </row>
    <row r="137" spans="6:7" x14ac:dyDescent="0.25">
      <c r="F137" s="87">
        <v>46125</v>
      </c>
      <c r="G137" s="88">
        <f>597/1642</f>
        <v>0.3635809987819732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T818"/>
  <sheetViews>
    <sheetView zoomScale="115" zoomScaleNormal="115" workbookViewId="0">
      <pane ySplit="2" topLeftCell="A74" activePane="bottomLeft" state="frozen"/>
      <selection pane="bottomLeft" activeCell="C751" sqref="C751"/>
    </sheetView>
  </sheetViews>
  <sheetFormatPr defaultColWidth="9.140625" defaultRowHeight="15" outlineLevelRow="2" x14ac:dyDescent="0.25"/>
  <cols>
    <col min="1" max="1" width="9.140625" style="16" customWidth="1"/>
    <col min="2" max="2" width="6.42578125" style="16" customWidth="1"/>
    <col min="3" max="3" width="7" style="21" bestFit="1" customWidth="1"/>
    <col min="4" max="4" width="5.42578125" style="16" bestFit="1" customWidth="1"/>
    <col min="5" max="5" width="53.7109375" style="16" customWidth="1"/>
    <col min="6" max="6" width="78.85546875" style="21" customWidth="1"/>
    <col min="7" max="7" width="8.140625" style="17" customWidth="1"/>
    <col min="8" max="8" width="14.140625" style="16" customWidth="1"/>
    <col min="9" max="9" width="35.85546875" style="18" customWidth="1"/>
    <col min="10" max="10" width="41.28515625" style="19" customWidth="1"/>
    <col min="11" max="11" width="49.42578125" style="16" customWidth="1"/>
    <col min="12" max="12" width="39" style="16" customWidth="1"/>
    <col min="13" max="13" width="52.28515625" style="21" customWidth="1"/>
    <col min="14" max="14" width="12.28515625" style="20" customWidth="1"/>
    <col min="15" max="15" width="28.42578125" style="16" bestFit="1" customWidth="1"/>
    <col min="16" max="17" width="12.42578125" style="16" bestFit="1" customWidth="1"/>
    <col min="18" max="18" width="15.85546875" style="16" bestFit="1" customWidth="1"/>
    <col min="19" max="19" width="17.42578125" style="16" bestFit="1" customWidth="1"/>
    <col min="20" max="20" width="59.85546875" style="16" bestFit="1" customWidth="1"/>
    <col min="21" max="21" width="9.140625" style="16" customWidth="1"/>
    <col min="22" max="16384" width="9.140625" style="16"/>
  </cols>
  <sheetData>
    <row r="2" spans="2:20" s="22" customFormat="1" ht="36" customHeight="1" x14ac:dyDescent="0.25">
      <c r="B2" s="81" t="s">
        <v>1</v>
      </c>
      <c r="C2" s="81" t="s">
        <v>753</v>
      </c>
      <c r="D2" s="81" t="s">
        <v>4</v>
      </c>
      <c r="E2" s="81" t="s">
        <v>6</v>
      </c>
      <c r="F2" s="81" t="s">
        <v>5</v>
      </c>
      <c r="G2" s="81" t="s">
        <v>7</v>
      </c>
      <c r="H2" s="81" t="s">
        <v>8</v>
      </c>
      <c r="I2" s="81" t="s">
        <v>9</v>
      </c>
      <c r="J2" s="81" t="s">
        <v>10</v>
      </c>
      <c r="K2" s="81" t="s">
        <v>11</v>
      </c>
      <c r="L2" s="81" t="s">
        <v>12</v>
      </c>
      <c r="M2" s="82" t="s">
        <v>13</v>
      </c>
      <c r="N2" s="81" t="s">
        <v>14</v>
      </c>
      <c r="O2" s="83" t="s">
        <v>16</v>
      </c>
      <c r="P2" s="81" t="s">
        <v>17</v>
      </c>
      <c r="Q2" s="81" t="s">
        <v>18</v>
      </c>
      <c r="R2" s="84" t="s">
        <v>19</v>
      </c>
      <c r="S2" s="84" t="s">
        <v>20</v>
      </c>
      <c r="T2" s="22" t="s">
        <v>921</v>
      </c>
    </row>
    <row r="3" spans="2:20" s="33" customFormat="1" collapsed="1" x14ac:dyDescent="0.25">
      <c r="B3" s="42"/>
      <c r="C3" s="44"/>
      <c r="D3" s="43"/>
      <c r="E3" s="28" t="s">
        <v>922</v>
      </c>
      <c r="F3" s="52"/>
      <c r="G3" s="32">
        <f>SUM(G4:G7)</f>
        <v>4</v>
      </c>
      <c r="H3" s="43"/>
      <c r="I3" s="43"/>
      <c r="J3" s="43"/>
      <c r="K3" s="43"/>
      <c r="L3" s="43"/>
      <c r="M3" s="44"/>
      <c r="N3" s="43"/>
      <c r="O3" s="38"/>
      <c r="P3" s="35"/>
      <c r="Q3" s="35"/>
      <c r="R3" s="32" t="s">
        <v>31</v>
      </c>
      <c r="S3" s="32"/>
    </row>
    <row r="4" spans="2:20" s="62" customFormat="1" outlineLevel="1" x14ac:dyDescent="0.25">
      <c r="B4" s="53"/>
      <c r="C4" s="58">
        <v>67</v>
      </c>
      <c r="D4" s="54" t="s">
        <v>580</v>
      </c>
      <c r="E4" s="55" t="s">
        <v>922</v>
      </c>
      <c r="F4" s="64" t="s">
        <v>581</v>
      </c>
      <c r="G4" s="56">
        <v>1</v>
      </c>
      <c r="H4" s="57" t="s">
        <v>61</v>
      </c>
      <c r="I4" s="54" t="s">
        <v>582</v>
      </c>
      <c r="J4" s="54" t="s">
        <v>583</v>
      </c>
      <c r="K4" s="54" t="s">
        <v>584</v>
      </c>
      <c r="L4" s="54" t="s">
        <v>585</v>
      </c>
      <c r="M4" s="58" t="s">
        <v>586</v>
      </c>
      <c r="N4" s="54" t="s">
        <v>587</v>
      </c>
      <c r="O4" s="59">
        <v>46132</v>
      </c>
      <c r="P4" s="60"/>
      <c r="Q4" s="60"/>
      <c r="R4" s="61" t="s">
        <v>31</v>
      </c>
      <c r="S4" s="61" t="s">
        <v>84</v>
      </c>
    </row>
    <row r="5" spans="2:20" s="62" customFormat="1" outlineLevel="1" x14ac:dyDescent="0.25">
      <c r="B5" s="53"/>
      <c r="C5" s="58">
        <v>68</v>
      </c>
      <c r="D5" s="54" t="s">
        <v>743</v>
      </c>
      <c r="E5" s="55" t="s">
        <v>922</v>
      </c>
      <c r="F5" s="64" t="s">
        <v>744</v>
      </c>
      <c r="G5" s="63">
        <v>1</v>
      </c>
      <c r="H5" s="57" t="s">
        <v>745</v>
      </c>
      <c r="I5" s="54" t="s">
        <v>746</v>
      </c>
      <c r="J5" s="54" t="s">
        <v>747</v>
      </c>
      <c r="K5" s="54" t="s">
        <v>748</v>
      </c>
      <c r="L5" s="54" t="s">
        <v>749</v>
      </c>
      <c r="M5" s="58" t="s">
        <v>750</v>
      </c>
      <c r="N5" s="54" t="s">
        <v>751</v>
      </c>
      <c r="O5" s="59">
        <v>46132</v>
      </c>
      <c r="P5" s="60"/>
      <c r="Q5" s="60"/>
      <c r="R5" s="61" t="s">
        <v>31</v>
      </c>
      <c r="S5" s="61" t="s">
        <v>84</v>
      </c>
    </row>
    <row r="6" spans="2:20" s="62" customFormat="1" outlineLevel="1" x14ac:dyDescent="0.25">
      <c r="B6" s="53"/>
      <c r="C6" s="58">
        <v>69</v>
      </c>
      <c r="D6" s="54" t="s">
        <v>407</v>
      </c>
      <c r="E6" s="55" t="s">
        <v>922</v>
      </c>
      <c r="F6" s="64" t="s">
        <v>408</v>
      </c>
      <c r="G6" s="56">
        <v>1</v>
      </c>
      <c r="H6" s="57" t="s">
        <v>61</v>
      </c>
      <c r="I6" s="54" t="s">
        <v>409</v>
      </c>
      <c r="J6" s="54" t="s">
        <v>410</v>
      </c>
      <c r="K6" s="54" t="s">
        <v>411</v>
      </c>
      <c r="L6" s="54" t="s">
        <v>412</v>
      </c>
      <c r="M6" s="58" t="s">
        <v>923</v>
      </c>
      <c r="N6" s="54" t="s">
        <v>414</v>
      </c>
      <c r="O6" s="59">
        <v>46132</v>
      </c>
      <c r="P6" s="60"/>
      <c r="Q6" s="60"/>
      <c r="R6" s="61" t="s">
        <v>31</v>
      </c>
      <c r="S6" s="61" t="s">
        <v>84</v>
      </c>
    </row>
    <row r="7" spans="2:20" s="62" customFormat="1" outlineLevel="1" x14ac:dyDescent="0.25">
      <c r="B7" s="53"/>
      <c r="C7" s="58">
        <v>70</v>
      </c>
      <c r="D7" s="54" t="s">
        <v>644</v>
      </c>
      <c r="E7" s="55" t="s">
        <v>922</v>
      </c>
      <c r="F7" s="64" t="s">
        <v>645</v>
      </c>
      <c r="G7" s="63">
        <v>1</v>
      </c>
      <c r="H7" s="57" t="s">
        <v>61</v>
      </c>
      <c r="I7" s="54" t="s">
        <v>646</v>
      </c>
      <c r="J7" s="54" t="s">
        <v>647</v>
      </c>
      <c r="K7" s="54" t="s">
        <v>648</v>
      </c>
      <c r="L7" s="54" t="s">
        <v>649</v>
      </c>
      <c r="M7" s="58" t="s">
        <v>650</v>
      </c>
      <c r="N7" s="54"/>
      <c r="O7" s="59">
        <v>46132</v>
      </c>
      <c r="P7" s="60"/>
      <c r="Q7" s="60"/>
      <c r="R7" s="61" t="s">
        <v>31</v>
      </c>
      <c r="S7" s="61" t="s">
        <v>793</v>
      </c>
    </row>
    <row r="8" spans="2:20" s="33" customFormat="1" x14ac:dyDescent="0.25">
      <c r="B8" s="42"/>
      <c r="C8" s="44"/>
      <c r="D8" s="43"/>
      <c r="E8" s="28" t="s">
        <v>924</v>
      </c>
      <c r="F8" s="52"/>
      <c r="G8" s="32">
        <f>SUM(G9:G18)</f>
        <v>13</v>
      </c>
      <c r="H8" s="43"/>
      <c r="I8" s="43"/>
      <c r="J8" s="43"/>
      <c r="K8" s="43"/>
      <c r="L8" s="43"/>
      <c r="M8" s="44"/>
      <c r="N8" s="34"/>
      <c r="O8" s="35"/>
      <c r="P8" s="35"/>
      <c r="Q8" s="36"/>
      <c r="R8" s="32" t="s">
        <v>31</v>
      </c>
      <c r="S8" s="42"/>
    </row>
    <row r="9" spans="2:20" s="62" customFormat="1" outlineLevel="1" x14ac:dyDescent="0.25">
      <c r="B9" s="53"/>
      <c r="C9" s="58">
        <v>71</v>
      </c>
      <c r="D9" s="54" t="s">
        <v>59</v>
      </c>
      <c r="E9" s="55" t="s">
        <v>924</v>
      </c>
      <c r="F9" s="64" t="s">
        <v>60</v>
      </c>
      <c r="G9" s="63">
        <v>1</v>
      </c>
      <c r="H9" s="57" t="s">
        <v>61</v>
      </c>
      <c r="I9" s="54" t="s">
        <v>62</v>
      </c>
      <c r="J9" s="54" t="s">
        <v>63</v>
      </c>
      <c r="K9" s="54" t="s">
        <v>64</v>
      </c>
      <c r="L9" s="54" t="s">
        <v>65</v>
      </c>
      <c r="M9" s="58" t="s">
        <v>66</v>
      </c>
      <c r="N9" s="54" t="s">
        <v>67</v>
      </c>
      <c r="O9" s="59">
        <v>46132</v>
      </c>
      <c r="P9" s="57"/>
      <c r="Q9" s="57"/>
      <c r="R9" s="61" t="s">
        <v>31</v>
      </c>
      <c r="S9" s="61" t="s">
        <v>31</v>
      </c>
    </row>
    <row r="10" spans="2:20" s="62" customFormat="1" ht="30" customHeight="1" outlineLevel="1" x14ac:dyDescent="0.25">
      <c r="B10" s="53"/>
      <c r="C10" s="58" t="s">
        <v>925</v>
      </c>
      <c r="D10" s="54" t="s">
        <v>75</v>
      </c>
      <c r="E10" s="55" t="s">
        <v>924</v>
      </c>
      <c r="F10" s="64" t="s">
        <v>76</v>
      </c>
      <c r="G10" s="63">
        <v>2</v>
      </c>
      <c r="H10" s="57" t="s">
        <v>77</v>
      </c>
      <c r="I10" s="54" t="s">
        <v>926</v>
      </c>
      <c r="J10" s="54" t="s">
        <v>927</v>
      </c>
      <c r="K10" s="54" t="s">
        <v>928</v>
      </c>
      <c r="L10" s="54" t="s">
        <v>81</v>
      </c>
      <c r="M10" s="58" t="s">
        <v>929</v>
      </c>
      <c r="N10" s="54" t="s">
        <v>83</v>
      </c>
      <c r="O10" s="59">
        <v>46132</v>
      </c>
      <c r="P10" s="57"/>
      <c r="Q10" s="57"/>
      <c r="R10" s="61" t="s">
        <v>31</v>
      </c>
      <c r="S10" s="61" t="s">
        <v>84</v>
      </c>
    </row>
    <row r="11" spans="2:20" s="62" customFormat="1" outlineLevel="1" x14ac:dyDescent="0.25">
      <c r="B11" s="53"/>
      <c r="C11" s="58">
        <v>73</v>
      </c>
      <c r="D11" s="54" t="s">
        <v>899</v>
      </c>
      <c r="E11" s="64" t="s">
        <v>924</v>
      </c>
      <c r="F11" s="64" t="s">
        <v>900</v>
      </c>
      <c r="G11" s="66">
        <v>1</v>
      </c>
      <c r="H11" s="57" t="s">
        <v>901</v>
      </c>
      <c r="I11" s="54" t="s">
        <v>902</v>
      </c>
      <c r="J11" s="54" t="s">
        <v>903</v>
      </c>
      <c r="K11" s="54" t="s">
        <v>904</v>
      </c>
      <c r="L11" s="54" t="s">
        <v>905</v>
      </c>
      <c r="M11" s="58" t="s">
        <v>930</v>
      </c>
      <c r="N11" s="54" t="s">
        <v>907</v>
      </c>
      <c r="O11" s="59">
        <v>46132</v>
      </c>
      <c r="P11" s="57"/>
      <c r="Q11" s="57"/>
      <c r="R11" s="61" t="s">
        <v>31</v>
      </c>
      <c r="S11" s="61" t="s">
        <v>31</v>
      </c>
    </row>
    <row r="12" spans="2:20" s="62" customFormat="1" outlineLevel="1" x14ac:dyDescent="0.25">
      <c r="B12" s="53"/>
      <c r="C12" s="58">
        <v>74</v>
      </c>
      <c r="D12" s="54" t="s">
        <v>715</v>
      </c>
      <c r="E12" s="64" t="s">
        <v>924</v>
      </c>
      <c r="F12" s="64" t="s">
        <v>716</v>
      </c>
      <c r="G12" s="63">
        <v>1</v>
      </c>
      <c r="H12" s="57" t="s">
        <v>717</v>
      </c>
      <c r="I12" s="54" t="s">
        <v>718</v>
      </c>
      <c r="J12" s="54" t="s">
        <v>719</v>
      </c>
      <c r="K12" s="54" t="s">
        <v>720</v>
      </c>
      <c r="L12" s="54" t="s">
        <v>721</v>
      </c>
      <c r="M12" s="58" t="s">
        <v>722</v>
      </c>
      <c r="N12" s="54" t="s">
        <v>723</v>
      </c>
      <c r="O12" s="59">
        <v>46132</v>
      </c>
      <c r="P12" s="57"/>
      <c r="Q12" s="57"/>
      <c r="R12" s="61" t="s">
        <v>31</v>
      </c>
      <c r="S12" s="61" t="s">
        <v>31</v>
      </c>
    </row>
    <row r="13" spans="2:20" s="62" customFormat="1" ht="30" customHeight="1" outlineLevel="1" x14ac:dyDescent="0.25">
      <c r="B13" s="53"/>
      <c r="C13" s="58" t="s">
        <v>931</v>
      </c>
      <c r="D13" s="54" t="s">
        <v>802</v>
      </c>
      <c r="E13" s="64" t="s">
        <v>924</v>
      </c>
      <c r="F13" s="64" t="s">
        <v>803</v>
      </c>
      <c r="G13" s="63">
        <v>2</v>
      </c>
      <c r="H13" s="57" t="s">
        <v>804</v>
      </c>
      <c r="I13" s="54" t="s">
        <v>874</v>
      </c>
      <c r="J13" s="54" t="s">
        <v>875</v>
      </c>
      <c r="K13" s="54" t="s">
        <v>876</v>
      </c>
      <c r="L13" s="54" t="s">
        <v>808</v>
      </c>
      <c r="M13" s="58" t="s">
        <v>932</v>
      </c>
      <c r="N13" s="54" t="s">
        <v>810</v>
      </c>
      <c r="O13" s="59">
        <v>46132</v>
      </c>
      <c r="P13" s="57"/>
      <c r="Q13" s="57"/>
      <c r="R13" s="61" t="s">
        <v>31</v>
      </c>
      <c r="S13" s="61" t="s">
        <v>84</v>
      </c>
    </row>
    <row r="14" spans="2:20" s="62" customFormat="1" outlineLevel="1" x14ac:dyDescent="0.25">
      <c r="B14" s="53"/>
      <c r="C14" s="58">
        <v>76</v>
      </c>
      <c r="D14" s="54" t="s">
        <v>366</v>
      </c>
      <c r="E14" s="64" t="s">
        <v>924</v>
      </c>
      <c r="F14" s="64" t="s">
        <v>367</v>
      </c>
      <c r="G14" s="63">
        <v>1</v>
      </c>
      <c r="H14" s="57" t="s">
        <v>368</v>
      </c>
      <c r="I14" s="54" t="s">
        <v>369</v>
      </c>
      <c r="J14" s="54" t="s">
        <v>370</v>
      </c>
      <c r="K14" s="54" t="s">
        <v>371</v>
      </c>
      <c r="L14" s="54" t="s">
        <v>372</v>
      </c>
      <c r="M14" s="58" t="s">
        <v>682</v>
      </c>
      <c r="N14" s="54" t="s">
        <v>374</v>
      </c>
      <c r="O14" s="59">
        <v>46132</v>
      </c>
      <c r="P14" s="57"/>
      <c r="Q14" s="57"/>
      <c r="R14" s="61" t="s">
        <v>31</v>
      </c>
      <c r="S14" s="61" t="s">
        <v>84</v>
      </c>
    </row>
    <row r="15" spans="2:20" s="62" customFormat="1" outlineLevel="1" x14ac:dyDescent="0.25">
      <c r="B15" s="53"/>
      <c r="C15" s="58">
        <v>77</v>
      </c>
      <c r="D15" s="54" t="s">
        <v>375</v>
      </c>
      <c r="E15" s="64" t="s">
        <v>924</v>
      </c>
      <c r="F15" s="64" t="s">
        <v>376</v>
      </c>
      <c r="G15" s="63">
        <v>1</v>
      </c>
      <c r="H15" s="57" t="s">
        <v>111</v>
      </c>
      <c r="I15" s="54" t="s">
        <v>377</v>
      </c>
      <c r="J15" s="54" t="s">
        <v>378</v>
      </c>
      <c r="K15" s="54" t="s">
        <v>379</v>
      </c>
      <c r="L15" s="54" t="s">
        <v>380</v>
      </c>
      <c r="M15" s="58" t="s">
        <v>381</v>
      </c>
      <c r="N15" s="54" t="s">
        <v>382</v>
      </c>
      <c r="O15" s="59">
        <v>46132</v>
      </c>
      <c r="P15" s="57"/>
      <c r="Q15" s="57"/>
      <c r="R15" s="61" t="s">
        <v>31</v>
      </c>
      <c r="S15" s="61" t="s">
        <v>31</v>
      </c>
    </row>
    <row r="16" spans="2:20" s="62" customFormat="1" outlineLevel="1" x14ac:dyDescent="0.25">
      <c r="B16" s="53"/>
      <c r="C16" s="58">
        <v>78</v>
      </c>
      <c r="D16" s="54" t="s">
        <v>383</v>
      </c>
      <c r="E16" s="64" t="s">
        <v>924</v>
      </c>
      <c r="F16" s="64" t="s">
        <v>384</v>
      </c>
      <c r="G16" s="66">
        <v>1</v>
      </c>
      <c r="H16" s="57" t="s">
        <v>61</v>
      </c>
      <c r="I16" s="54" t="s">
        <v>385</v>
      </c>
      <c r="J16" s="54" t="s">
        <v>386</v>
      </c>
      <c r="K16" s="54" t="s">
        <v>387</v>
      </c>
      <c r="L16" s="54" t="s">
        <v>388</v>
      </c>
      <c r="M16" s="58" t="s">
        <v>389</v>
      </c>
      <c r="N16" s="54" t="s">
        <v>390</v>
      </c>
      <c r="O16" s="59">
        <v>46132</v>
      </c>
      <c r="P16" s="57"/>
      <c r="Q16" s="57"/>
      <c r="R16" s="61" t="s">
        <v>31</v>
      </c>
      <c r="S16" s="61" t="s">
        <v>84</v>
      </c>
    </row>
    <row r="17" spans="2:19" s="62" customFormat="1" outlineLevel="1" x14ac:dyDescent="0.25">
      <c r="B17" s="53"/>
      <c r="C17" s="58">
        <v>79</v>
      </c>
      <c r="D17" s="54" t="s">
        <v>415</v>
      </c>
      <c r="E17" s="64" t="s">
        <v>924</v>
      </c>
      <c r="F17" s="64" t="s">
        <v>416</v>
      </c>
      <c r="G17" s="63">
        <v>1</v>
      </c>
      <c r="H17" s="57" t="s">
        <v>417</v>
      </c>
      <c r="I17" s="54" t="s">
        <v>418</v>
      </c>
      <c r="J17" s="54" t="s">
        <v>419</v>
      </c>
      <c r="K17" s="54" t="s">
        <v>420</v>
      </c>
      <c r="L17" s="54" t="s">
        <v>421</v>
      </c>
      <c r="M17" s="58" t="s">
        <v>422</v>
      </c>
      <c r="N17" s="54" t="s">
        <v>423</v>
      </c>
      <c r="O17" s="59">
        <v>46132</v>
      </c>
      <c r="P17" s="57"/>
      <c r="Q17" s="57"/>
      <c r="R17" s="61" t="s">
        <v>31</v>
      </c>
      <c r="S17" s="61" t="s">
        <v>31</v>
      </c>
    </row>
    <row r="18" spans="2:19" s="62" customFormat="1" outlineLevel="1" x14ac:dyDescent="0.25">
      <c r="B18" s="53"/>
      <c r="C18" s="58">
        <v>80</v>
      </c>
      <c r="D18" s="54" t="s">
        <v>516</v>
      </c>
      <c r="E18" s="64" t="s">
        <v>924</v>
      </c>
      <c r="F18" s="67" t="s">
        <v>517</v>
      </c>
      <c r="G18" s="63">
        <v>2</v>
      </c>
      <c r="H18" s="57" t="s">
        <v>61</v>
      </c>
      <c r="I18" s="54" t="s">
        <v>518</v>
      </c>
      <c r="J18" s="54" t="s">
        <v>519</v>
      </c>
      <c r="K18" s="68" t="s">
        <v>520</v>
      </c>
      <c r="L18" s="69" t="s">
        <v>521</v>
      </c>
      <c r="M18" s="58" t="s">
        <v>522</v>
      </c>
      <c r="N18" s="54" t="s">
        <v>523</v>
      </c>
      <c r="O18" s="59">
        <v>46132</v>
      </c>
      <c r="P18" s="57"/>
      <c r="Q18" s="57"/>
      <c r="R18" s="61" t="s">
        <v>31</v>
      </c>
      <c r="S18" s="61" t="s">
        <v>31</v>
      </c>
    </row>
    <row r="19" spans="2:19" s="33" customFormat="1" x14ac:dyDescent="0.25">
      <c r="B19" s="42"/>
      <c r="C19" s="34"/>
      <c r="D19" s="43"/>
      <c r="E19" s="28" t="s">
        <v>933</v>
      </c>
      <c r="F19" s="52"/>
      <c r="G19" s="32">
        <f>SUM(G20:G27)</f>
        <v>8</v>
      </c>
      <c r="H19" s="43"/>
      <c r="I19" s="43"/>
      <c r="J19" s="43"/>
      <c r="K19" s="43"/>
      <c r="L19" s="43"/>
      <c r="M19" s="34"/>
      <c r="N19" s="38"/>
      <c r="O19" s="35"/>
      <c r="P19" s="36"/>
      <c r="Q19" s="32"/>
      <c r="R19" s="32" t="s">
        <v>934</v>
      </c>
      <c r="S19" s="42"/>
    </row>
    <row r="20" spans="2:19" s="62" customFormat="1" outlineLevel="1" x14ac:dyDescent="0.25">
      <c r="B20" s="53"/>
      <c r="C20" s="58">
        <v>81</v>
      </c>
      <c r="D20" s="54" t="s">
        <v>75</v>
      </c>
      <c r="E20" s="64" t="s">
        <v>933</v>
      </c>
      <c r="F20" s="64" t="s">
        <v>76</v>
      </c>
      <c r="G20" s="63">
        <v>1</v>
      </c>
      <c r="H20" s="57" t="s">
        <v>77</v>
      </c>
      <c r="I20" s="54" t="s">
        <v>935</v>
      </c>
      <c r="J20" s="54" t="s">
        <v>936</v>
      </c>
      <c r="K20" s="54" t="s">
        <v>937</v>
      </c>
      <c r="L20" s="54" t="s">
        <v>81</v>
      </c>
      <c r="M20" s="58" t="s">
        <v>938</v>
      </c>
      <c r="N20" s="54" t="s">
        <v>83</v>
      </c>
      <c r="O20" s="59">
        <v>46132</v>
      </c>
      <c r="P20" s="57"/>
      <c r="Q20" s="57"/>
      <c r="R20" s="61" t="s">
        <v>934</v>
      </c>
      <c r="S20" s="61" t="s">
        <v>84</v>
      </c>
    </row>
    <row r="21" spans="2:19" s="62" customFormat="1" outlineLevel="1" x14ac:dyDescent="0.25">
      <c r="B21" s="53"/>
      <c r="C21" s="58">
        <v>82</v>
      </c>
      <c r="D21" s="54" t="s">
        <v>94</v>
      </c>
      <c r="E21" s="64" t="s">
        <v>933</v>
      </c>
      <c r="F21" s="64" t="s">
        <v>95</v>
      </c>
      <c r="G21" s="66">
        <v>1</v>
      </c>
      <c r="H21" s="57" t="s">
        <v>36</v>
      </c>
      <c r="I21" s="54" t="s">
        <v>96</v>
      </c>
      <c r="J21" s="54" t="s">
        <v>97</v>
      </c>
      <c r="K21" s="54" t="s">
        <v>98</v>
      </c>
      <c r="L21" s="54" t="s">
        <v>99</v>
      </c>
      <c r="M21" s="58" t="s">
        <v>100</v>
      </c>
      <c r="N21" s="54" t="s">
        <v>101</v>
      </c>
      <c r="O21" s="59">
        <v>46132</v>
      </c>
      <c r="P21" s="57"/>
      <c r="Q21" s="57"/>
      <c r="R21" s="61" t="s">
        <v>934</v>
      </c>
      <c r="S21" s="61" t="s">
        <v>31</v>
      </c>
    </row>
    <row r="22" spans="2:19" s="62" customFormat="1" outlineLevel="1" x14ac:dyDescent="0.25">
      <c r="B22" s="53"/>
      <c r="C22" s="58">
        <v>83</v>
      </c>
      <c r="D22" s="54" t="s">
        <v>134</v>
      </c>
      <c r="E22" s="64" t="s">
        <v>933</v>
      </c>
      <c r="F22" s="64" t="s">
        <v>135</v>
      </c>
      <c r="G22" s="63">
        <v>1</v>
      </c>
      <c r="H22" s="57" t="s">
        <v>24</v>
      </c>
      <c r="I22" s="54" t="s">
        <v>136</v>
      </c>
      <c r="J22" s="54" t="s">
        <v>137</v>
      </c>
      <c r="K22" s="54" t="s">
        <v>138</v>
      </c>
      <c r="L22" s="54" t="s">
        <v>139</v>
      </c>
      <c r="M22" s="58" t="s">
        <v>140</v>
      </c>
      <c r="N22" s="54" t="s">
        <v>141</v>
      </c>
      <c r="O22" s="59">
        <v>46132</v>
      </c>
      <c r="P22" s="57"/>
      <c r="Q22" s="57"/>
      <c r="R22" s="61" t="s">
        <v>934</v>
      </c>
      <c r="S22" s="61" t="s">
        <v>31</v>
      </c>
    </row>
    <row r="23" spans="2:19" s="62" customFormat="1" outlineLevel="1" x14ac:dyDescent="0.25">
      <c r="B23" s="53"/>
      <c r="C23" s="58">
        <v>84</v>
      </c>
      <c r="D23" s="54" t="s">
        <v>182</v>
      </c>
      <c r="E23" s="64" t="s">
        <v>933</v>
      </c>
      <c r="F23" s="64" t="s">
        <v>183</v>
      </c>
      <c r="G23" s="63">
        <v>1</v>
      </c>
      <c r="H23" s="57" t="s">
        <v>111</v>
      </c>
      <c r="I23" s="54" t="s">
        <v>184</v>
      </c>
      <c r="J23" s="54" t="s">
        <v>185</v>
      </c>
      <c r="K23" s="54" t="s">
        <v>186</v>
      </c>
      <c r="L23" s="54" t="s">
        <v>187</v>
      </c>
      <c r="M23" s="58" t="s">
        <v>188</v>
      </c>
      <c r="N23" s="54" t="s">
        <v>189</v>
      </c>
      <c r="O23" s="59">
        <v>46132</v>
      </c>
      <c r="P23" s="57"/>
      <c r="Q23" s="57"/>
      <c r="R23" s="61" t="s">
        <v>934</v>
      </c>
      <c r="S23" s="61" t="s">
        <v>84</v>
      </c>
    </row>
    <row r="24" spans="2:19" s="62" customFormat="1" outlineLevel="1" x14ac:dyDescent="0.25">
      <c r="B24" s="53"/>
      <c r="C24" s="58">
        <v>85</v>
      </c>
      <c r="D24" s="54" t="s">
        <v>302</v>
      </c>
      <c r="E24" s="64" t="s">
        <v>933</v>
      </c>
      <c r="F24" s="64" t="s">
        <v>303</v>
      </c>
      <c r="G24" s="66">
        <v>1</v>
      </c>
      <c r="H24" s="57" t="s">
        <v>61</v>
      </c>
      <c r="I24" s="54" t="s">
        <v>304</v>
      </c>
      <c r="J24" s="54" t="s">
        <v>305</v>
      </c>
      <c r="K24" s="54" t="s">
        <v>306</v>
      </c>
      <c r="L24" s="54" t="s">
        <v>307</v>
      </c>
      <c r="M24" s="58" t="s">
        <v>526</v>
      </c>
      <c r="N24" s="54" t="s">
        <v>309</v>
      </c>
      <c r="O24" s="59">
        <v>46132</v>
      </c>
      <c r="P24" s="57"/>
      <c r="Q24" s="57"/>
      <c r="R24" s="61" t="s">
        <v>934</v>
      </c>
      <c r="S24" s="61" t="s">
        <v>84</v>
      </c>
    </row>
    <row r="25" spans="2:19" s="62" customFormat="1" outlineLevel="1" x14ac:dyDescent="0.25">
      <c r="B25" s="53"/>
      <c r="C25" s="58">
        <v>86</v>
      </c>
      <c r="D25" s="54" t="s">
        <v>357</v>
      </c>
      <c r="E25" s="64" t="s">
        <v>933</v>
      </c>
      <c r="F25" s="64" t="s">
        <v>358</v>
      </c>
      <c r="G25" s="63">
        <v>1</v>
      </c>
      <c r="H25" s="57" t="s">
        <v>359</v>
      </c>
      <c r="I25" s="54" t="s">
        <v>360</v>
      </c>
      <c r="J25" s="54" t="s">
        <v>361</v>
      </c>
      <c r="K25" s="54" t="s">
        <v>362</v>
      </c>
      <c r="L25" s="54" t="s">
        <v>363</v>
      </c>
      <c r="M25" s="58" t="s">
        <v>364</v>
      </c>
      <c r="N25" s="54" t="s">
        <v>365</v>
      </c>
      <c r="O25" s="59">
        <v>46132</v>
      </c>
      <c r="P25" s="57"/>
      <c r="Q25" s="57"/>
      <c r="R25" s="61" t="s">
        <v>934</v>
      </c>
      <c r="S25" s="61" t="s">
        <v>84</v>
      </c>
    </row>
    <row r="26" spans="2:19" s="62" customFormat="1" outlineLevel="1" x14ac:dyDescent="0.25">
      <c r="B26" s="53"/>
      <c r="C26" s="58">
        <v>87</v>
      </c>
      <c r="D26" s="54" t="s">
        <v>447</v>
      </c>
      <c r="E26" s="64" t="s">
        <v>933</v>
      </c>
      <c r="F26" s="64" t="s">
        <v>448</v>
      </c>
      <c r="G26" s="63">
        <v>1</v>
      </c>
      <c r="H26" s="57" t="s">
        <v>24</v>
      </c>
      <c r="I26" s="54" t="s">
        <v>449</v>
      </c>
      <c r="J26" s="54" t="s">
        <v>450</v>
      </c>
      <c r="K26" s="54" t="s">
        <v>451</v>
      </c>
      <c r="L26" s="54" t="s">
        <v>452</v>
      </c>
      <c r="M26" s="58" t="s">
        <v>453</v>
      </c>
      <c r="N26" s="54" t="s">
        <v>454</v>
      </c>
      <c r="O26" s="59">
        <v>46132</v>
      </c>
      <c r="P26" s="57"/>
      <c r="Q26" s="57"/>
      <c r="R26" s="61" t="s">
        <v>934</v>
      </c>
      <c r="S26" s="61" t="s">
        <v>31</v>
      </c>
    </row>
    <row r="27" spans="2:19" s="62" customFormat="1" outlineLevel="1" x14ac:dyDescent="0.25">
      <c r="B27" s="53"/>
      <c r="C27" s="58">
        <v>88</v>
      </c>
      <c r="D27" s="54" t="s">
        <v>486</v>
      </c>
      <c r="E27" s="64" t="s">
        <v>933</v>
      </c>
      <c r="F27" s="64" t="s">
        <v>487</v>
      </c>
      <c r="G27" s="63">
        <v>1</v>
      </c>
      <c r="H27" s="57" t="s">
        <v>152</v>
      </c>
      <c r="I27" s="54" t="s">
        <v>488</v>
      </c>
      <c r="J27" s="54" t="s">
        <v>489</v>
      </c>
      <c r="K27" s="54" t="s">
        <v>490</v>
      </c>
      <c r="L27" s="54" t="s">
        <v>491</v>
      </c>
      <c r="M27" s="58" t="s">
        <v>492</v>
      </c>
      <c r="N27" s="54" t="s">
        <v>493</v>
      </c>
      <c r="O27" s="59">
        <v>46132</v>
      </c>
      <c r="P27" s="57"/>
      <c r="Q27" s="57"/>
      <c r="R27" s="61" t="s">
        <v>934</v>
      </c>
      <c r="S27" s="61" t="s">
        <v>84</v>
      </c>
    </row>
    <row r="28" spans="2:19" s="33" customFormat="1" x14ac:dyDescent="0.25">
      <c r="B28" s="42"/>
      <c r="C28" s="39"/>
      <c r="D28" s="43"/>
      <c r="E28" s="28" t="s">
        <v>939</v>
      </c>
      <c r="F28" s="52"/>
      <c r="G28" s="32">
        <f>SUM(G29:G46)</f>
        <v>18</v>
      </c>
      <c r="H28" s="43"/>
      <c r="I28" s="43"/>
      <c r="J28" s="43"/>
      <c r="K28" s="43"/>
      <c r="L28" s="34"/>
      <c r="M28" s="39"/>
      <c r="N28" s="35"/>
      <c r="O28" s="36"/>
      <c r="P28" s="32"/>
      <c r="Q28" s="42"/>
      <c r="R28" s="32" t="s">
        <v>934</v>
      </c>
      <c r="S28" s="42"/>
    </row>
    <row r="29" spans="2:19" s="62" customFormat="1" outlineLevel="1" x14ac:dyDescent="0.25">
      <c r="B29" s="53"/>
      <c r="C29" s="58">
        <v>89</v>
      </c>
      <c r="D29" s="54" t="s">
        <v>782</v>
      </c>
      <c r="E29" s="64" t="s">
        <v>939</v>
      </c>
      <c r="F29" s="64" t="s">
        <v>783</v>
      </c>
      <c r="G29" s="70">
        <v>1</v>
      </c>
      <c r="H29" s="57" t="s">
        <v>784</v>
      </c>
      <c r="I29" s="54" t="s">
        <v>785</v>
      </c>
      <c r="J29" s="54" t="s">
        <v>786</v>
      </c>
      <c r="K29" s="54" t="s">
        <v>787</v>
      </c>
      <c r="L29" s="54" t="s">
        <v>788</v>
      </c>
      <c r="M29" s="58" t="s">
        <v>789</v>
      </c>
      <c r="N29" s="54" t="s">
        <v>790</v>
      </c>
      <c r="O29" s="59">
        <v>46132</v>
      </c>
      <c r="P29" s="57"/>
      <c r="Q29" s="57"/>
      <c r="R29" s="61" t="s">
        <v>934</v>
      </c>
      <c r="S29" s="61" t="s">
        <v>31</v>
      </c>
    </row>
    <row r="30" spans="2:19" s="62" customFormat="1" ht="30" customHeight="1" outlineLevel="1" x14ac:dyDescent="0.25">
      <c r="B30" s="53"/>
      <c r="C30" s="58">
        <v>90</v>
      </c>
      <c r="D30" s="54" t="s">
        <v>68</v>
      </c>
      <c r="E30" s="64" t="s">
        <v>939</v>
      </c>
      <c r="F30" s="64" t="s">
        <v>69</v>
      </c>
      <c r="G30" s="66">
        <v>1</v>
      </c>
      <c r="H30" s="57" t="s">
        <v>61</v>
      </c>
      <c r="I30" s="54" t="s">
        <v>940</v>
      </c>
      <c r="J30" s="54" t="s">
        <v>941</v>
      </c>
      <c r="K30" s="54" t="s">
        <v>942</v>
      </c>
      <c r="L30" s="54" t="s">
        <v>73</v>
      </c>
      <c r="M30" s="58" t="s">
        <v>73</v>
      </c>
      <c r="N30" s="54" t="s">
        <v>74</v>
      </c>
      <c r="O30" s="59">
        <v>46132</v>
      </c>
      <c r="P30" s="57"/>
      <c r="Q30" s="57"/>
      <c r="R30" s="61" t="s">
        <v>934</v>
      </c>
      <c r="S30" s="61" t="s">
        <v>31</v>
      </c>
    </row>
    <row r="31" spans="2:19" s="62" customFormat="1" outlineLevel="1" x14ac:dyDescent="0.25">
      <c r="B31" s="53"/>
      <c r="C31" s="58">
        <v>91</v>
      </c>
      <c r="D31" s="54" t="s">
        <v>75</v>
      </c>
      <c r="E31" s="64" t="s">
        <v>939</v>
      </c>
      <c r="F31" s="64" t="s">
        <v>76</v>
      </c>
      <c r="G31" s="70">
        <v>1</v>
      </c>
      <c r="H31" s="57" t="s">
        <v>77</v>
      </c>
      <c r="I31" s="54" t="s">
        <v>943</v>
      </c>
      <c r="J31" s="54" t="s">
        <v>944</v>
      </c>
      <c r="K31" s="54" t="s">
        <v>945</v>
      </c>
      <c r="L31" s="54" t="s">
        <v>81</v>
      </c>
      <c r="M31" s="58" t="s">
        <v>946</v>
      </c>
      <c r="N31" s="54" t="s">
        <v>83</v>
      </c>
      <c r="O31" s="59">
        <v>46132</v>
      </c>
      <c r="P31" s="57"/>
      <c r="Q31" s="57"/>
      <c r="R31" s="61" t="s">
        <v>934</v>
      </c>
      <c r="S31" s="61" t="s">
        <v>84</v>
      </c>
    </row>
    <row r="32" spans="2:19" s="62" customFormat="1" outlineLevel="1" x14ac:dyDescent="0.25">
      <c r="B32" s="53"/>
      <c r="C32" s="58">
        <v>92</v>
      </c>
      <c r="D32" s="54" t="s">
        <v>85</v>
      </c>
      <c r="E32" s="64" t="s">
        <v>939</v>
      </c>
      <c r="F32" s="64" t="s">
        <v>86</v>
      </c>
      <c r="G32" s="70">
        <v>1</v>
      </c>
      <c r="H32" s="57" t="s">
        <v>87</v>
      </c>
      <c r="I32" s="54" t="s">
        <v>88</v>
      </c>
      <c r="J32" s="54" t="s">
        <v>89</v>
      </c>
      <c r="K32" s="54" t="s">
        <v>90</v>
      </c>
      <c r="L32" s="54" t="s">
        <v>91</v>
      </c>
      <c r="M32" s="58" t="s">
        <v>92</v>
      </c>
      <c r="N32" s="54" t="s">
        <v>93</v>
      </c>
      <c r="O32" s="59">
        <v>46132</v>
      </c>
      <c r="P32" s="57"/>
      <c r="Q32" s="57"/>
      <c r="R32" s="61" t="s">
        <v>934</v>
      </c>
      <c r="S32" s="61" t="s">
        <v>84</v>
      </c>
    </row>
    <row r="33" spans="2:19" s="62" customFormat="1" outlineLevel="1" x14ac:dyDescent="0.25">
      <c r="B33" s="53"/>
      <c r="C33" s="58">
        <v>93</v>
      </c>
      <c r="D33" s="54" t="s">
        <v>125</v>
      </c>
      <c r="E33" s="64" t="s">
        <v>939</v>
      </c>
      <c r="F33" s="64" t="s">
        <v>126</v>
      </c>
      <c r="G33" s="70">
        <v>1</v>
      </c>
      <c r="H33" s="57" t="s">
        <v>127</v>
      </c>
      <c r="I33" s="54" t="s">
        <v>128</v>
      </c>
      <c r="J33" s="54" t="s">
        <v>129</v>
      </c>
      <c r="K33" s="54" t="s">
        <v>130</v>
      </c>
      <c r="L33" s="54" t="s">
        <v>131</v>
      </c>
      <c r="M33" s="58" t="s">
        <v>132</v>
      </c>
      <c r="N33" s="54" t="s">
        <v>133</v>
      </c>
      <c r="O33" s="59">
        <v>46132</v>
      </c>
      <c r="P33" s="57"/>
      <c r="Q33" s="57"/>
      <c r="R33" s="61" t="s">
        <v>934</v>
      </c>
      <c r="S33" s="61" t="s">
        <v>84</v>
      </c>
    </row>
    <row r="34" spans="2:19" s="62" customFormat="1" ht="36" customHeight="1" outlineLevel="1" x14ac:dyDescent="0.25">
      <c r="B34" s="53"/>
      <c r="C34" s="58">
        <v>94</v>
      </c>
      <c r="D34" s="54" t="s">
        <v>947</v>
      </c>
      <c r="E34" s="64" t="s">
        <v>939</v>
      </c>
      <c r="F34" s="64" t="s">
        <v>920</v>
      </c>
      <c r="G34" s="70">
        <v>1</v>
      </c>
      <c r="H34" s="57" t="s">
        <v>61</v>
      </c>
      <c r="I34" s="54" t="s">
        <v>948</v>
      </c>
      <c r="J34" s="54" t="s">
        <v>949</v>
      </c>
      <c r="K34" s="54" t="s">
        <v>950</v>
      </c>
      <c r="L34" s="54" t="s">
        <v>951</v>
      </c>
      <c r="M34" s="58" t="s">
        <v>952</v>
      </c>
      <c r="N34" s="54" t="s">
        <v>953</v>
      </c>
      <c r="O34" s="59">
        <v>46132</v>
      </c>
      <c r="P34" s="57"/>
      <c r="Q34" s="57"/>
      <c r="R34" s="61" t="s">
        <v>934</v>
      </c>
      <c r="S34" s="61" t="s">
        <v>31</v>
      </c>
    </row>
    <row r="35" spans="2:19" s="62" customFormat="1" ht="30" customHeight="1" outlineLevel="1" x14ac:dyDescent="0.25">
      <c r="B35" s="53"/>
      <c r="C35" s="58">
        <v>95</v>
      </c>
      <c r="D35" s="54" t="s">
        <v>190</v>
      </c>
      <c r="E35" s="64" t="s">
        <v>939</v>
      </c>
      <c r="F35" s="64" t="s">
        <v>191</v>
      </c>
      <c r="G35" s="66">
        <v>1</v>
      </c>
      <c r="H35" s="57" t="s">
        <v>24</v>
      </c>
      <c r="I35" s="65" t="s">
        <v>954</v>
      </c>
      <c r="J35" s="65" t="s">
        <v>955</v>
      </c>
      <c r="K35" s="53" t="s">
        <v>956</v>
      </c>
      <c r="L35" s="54" t="s">
        <v>195</v>
      </c>
      <c r="M35" s="58" t="s">
        <v>957</v>
      </c>
      <c r="N35" s="54" t="s">
        <v>197</v>
      </c>
      <c r="O35" s="59">
        <v>46132</v>
      </c>
      <c r="P35" s="57"/>
      <c r="Q35" s="57"/>
      <c r="R35" s="61" t="s">
        <v>934</v>
      </c>
      <c r="S35" s="61" t="s">
        <v>31</v>
      </c>
    </row>
    <row r="36" spans="2:19" s="62" customFormat="1" ht="30" customHeight="1" outlineLevel="1" x14ac:dyDescent="0.25">
      <c r="B36" s="53"/>
      <c r="C36" s="58">
        <v>96</v>
      </c>
      <c r="D36" s="54" t="s">
        <v>231</v>
      </c>
      <c r="E36" s="64" t="s">
        <v>939</v>
      </c>
      <c r="F36" s="64" t="s">
        <v>232</v>
      </c>
      <c r="G36" s="70">
        <v>1</v>
      </c>
      <c r="H36" s="57" t="s">
        <v>61</v>
      </c>
      <c r="I36" s="54" t="s">
        <v>233</v>
      </c>
      <c r="J36" s="54" t="s">
        <v>234</v>
      </c>
      <c r="K36" s="54" t="s">
        <v>235</v>
      </c>
      <c r="L36" s="54" t="s">
        <v>236</v>
      </c>
      <c r="M36" s="58" t="s">
        <v>237</v>
      </c>
      <c r="N36" s="54" t="s">
        <v>238</v>
      </c>
      <c r="O36" s="59">
        <v>46132</v>
      </c>
      <c r="P36" s="57"/>
      <c r="Q36" s="57"/>
      <c r="R36" s="61" t="s">
        <v>934</v>
      </c>
      <c r="S36" s="61" t="s">
        <v>84</v>
      </c>
    </row>
    <row r="37" spans="2:19" s="62" customFormat="1" outlineLevel="1" x14ac:dyDescent="0.25">
      <c r="B37" s="53"/>
      <c r="C37" s="58">
        <v>97</v>
      </c>
      <c r="D37" s="54" t="s">
        <v>239</v>
      </c>
      <c r="E37" s="64" t="s">
        <v>939</v>
      </c>
      <c r="F37" s="64" t="s">
        <v>240</v>
      </c>
      <c r="G37" s="70">
        <v>1</v>
      </c>
      <c r="H37" s="57" t="s">
        <v>24</v>
      </c>
      <c r="I37" s="54" t="s">
        <v>241</v>
      </c>
      <c r="J37" s="54" t="s">
        <v>242</v>
      </c>
      <c r="K37" s="54" t="s">
        <v>243</v>
      </c>
      <c r="L37" s="54" t="s">
        <v>244</v>
      </c>
      <c r="M37" s="58" t="s">
        <v>958</v>
      </c>
      <c r="N37" s="54" t="s">
        <v>246</v>
      </c>
      <c r="O37" s="59">
        <v>46132</v>
      </c>
      <c r="P37" s="57"/>
      <c r="Q37" s="57"/>
      <c r="R37" s="61" t="s">
        <v>934</v>
      </c>
      <c r="S37" s="61" t="s">
        <v>31</v>
      </c>
    </row>
    <row r="38" spans="2:19" s="62" customFormat="1" outlineLevel="1" x14ac:dyDescent="0.25">
      <c r="B38" s="53"/>
      <c r="C38" s="58">
        <v>98</v>
      </c>
      <c r="D38" s="54" t="s">
        <v>247</v>
      </c>
      <c r="E38" s="64" t="s">
        <v>939</v>
      </c>
      <c r="F38" s="64" t="s">
        <v>248</v>
      </c>
      <c r="G38" s="70">
        <v>1</v>
      </c>
      <c r="H38" s="57" t="s">
        <v>61</v>
      </c>
      <c r="I38" s="54" t="s">
        <v>532</v>
      </c>
      <c r="J38" s="54" t="s">
        <v>533</v>
      </c>
      <c r="K38" s="53" t="s">
        <v>534</v>
      </c>
      <c r="L38" s="54" t="s">
        <v>252</v>
      </c>
      <c r="M38" s="58" t="s">
        <v>535</v>
      </c>
      <c r="N38" s="54" t="s">
        <v>254</v>
      </c>
      <c r="O38" s="59">
        <v>46132</v>
      </c>
      <c r="P38" s="57"/>
      <c r="Q38" s="57"/>
      <c r="R38" s="61" t="s">
        <v>934</v>
      </c>
      <c r="S38" s="61" t="s">
        <v>84</v>
      </c>
    </row>
    <row r="39" spans="2:19" s="62" customFormat="1" outlineLevel="1" x14ac:dyDescent="0.25">
      <c r="B39" s="53"/>
      <c r="C39" s="58">
        <v>99</v>
      </c>
      <c r="D39" s="54" t="s">
        <v>286</v>
      </c>
      <c r="E39" s="64" t="s">
        <v>939</v>
      </c>
      <c r="F39" s="64" t="s">
        <v>287</v>
      </c>
      <c r="G39" s="70">
        <v>1</v>
      </c>
      <c r="H39" s="57" t="s">
        <v>61</v>
      </c>
      <c r="I39" s="54" t="s">
        <v>288</v>
      </c>
      <c r="J39" s="54" t="s">
        <v>289</v>
      </c>
      <c r="K39" s="54" t="s">
        <v>290</v>
      </c>
      <c r="L39" s="54" t="s">
        <v>291</v>
      </c>
      <c r="M39" s="58" t="s">
        <v>292</v>
      </c>
      <c r="N39" s="54" t="s">
        <v>293</v>
      </c>
      <c r="O39" s="59">
        <v>46132</v>
      </c>
      <c r="P39" s="57"/>
      <c r="Q39" s="57"/>
      <c r="R39" s="61" t="s">
        <v>934</v>
      </c>
      <c r="S39" s="61" t="s">
        <v>84</v>
      </c>
    </row>
    <row r="40" spans="2:19" s="62" customFormat="1" ht="30" customHeight="1" outlineLevel="1" x14ac:dyDescent="0.25">
      <c r="B40" s="53"/>
      <c r="C40" s="58">
        <v>100</v>
      </c>
      <c r="D40" s="54" t="s">
        <v>802</v>
      </c>
      <c r="E40" s="64" t="s">
        <v>939</v>
      </c>
      <c r="F40" s="64" t="s">
        <v>803</v>
      </c>
      <c r="G40" s="70">
        <v>1</v>
      </c>
      <c r="H40" s="57" t="s">
        <v>804</v>
      </c>
      <c r="I40" s="54" t="s">
        <v>959</v>
      </c>
      <c r="J40" s="54" t="s">
        <v>960</v>
      </c>
      <c r="K40" s="54" t="s">
        <v>961</v>
      </c>
      <c r="L40" s="54" t="s">
        <v>808</v>
      </c>
      <c r="M40" s="58" t="s">
        <v>962</v>
      </c>
      <c r="N40" s="54" t="s">
        <v>810</v>
      </c>
      <c r="O40" s="59">
        <v>46132</v>
      </c>
      <c r="P40" s="57"/>
      <c r="Q40" s="57"/>
      <c r="R40" s="61" t="s">
        <v>934</v>
      </c>
      <c r="S40" s="61" t="s">
        <v>84</v>
      </c>
    </row>
    <row r="41" spans="2:19" s="62" customFormat="1" outlineLevel="1" x14ac:dyDescent="0.25">
      <c r="B41" s="53"/>
      <c r="C41" s="58">
        <v>101</v>
      </c>
      <c r="D41" s="54" t="s">
        <v>963</v>
      </c>
      <c r="E41" s="64" t="s">
        <v>939</v>
      </c>
      <c r="F41" s="64" t="s">
        <v>917</v>
      </c>
      <c r="G41" s="70">
        <v>1</v>
      </c>
      <c r="H41" s="57" t="s">
        <v>152</v>
      </c>
      <c r="I41" s="54" t="s">
        <v>964</v>
      </c>
      <c r="J41" s="54" t="s">
        <v>965</v>
      </c>
      <c r="K41" s="54" t="s">
        <v>966</v>
      </c>
      <c r="L41" s="54" t="s">
        <v>967</v>
      </c>
      <c r="M41" s="58" t="s">
        <v>968</v>
      </c>
      <c r="N41" s="54" t="s">
        <v>969</v>
      </c>
      <c r="O41" s="59">
        <v>46132</v>
      </c>
      <c r="P41" s="57"/>
      <c r="Q41" s="57"/>
      <c r="R41" s="61" t="s">
        <v>934</v>
      </c>
      <c r="S41" s="61" t="s">
        <v>84</v>
      </c>
    </row>
    <row r="42" spans="2:19" s="62" customFormat="1" outlineLevel="1" x14ac:dyDescent="0.25">
      <c r="B42" s="53"/>
      <c r="C42" s="58">
        <v>102</v>
      </c>
      <c r="D42" s="54" t="s">
        <v>366</v>
      </c>
      <c r="E42" s="64" t="s">
        <v>939</v>
      </c>
      <c r="F42" s="64" t="s">
        <v>367</v>
      </c>
      <c r="G42" s="70">
        <v>1</v>
      </c>
      <c r="H42" s="57" t="s">
        <v>368</v>
      </c>
      <c r="I42" s="54" t="s">
        <v>369</v>
      </c>
      <c r="J42" s="54" t="s">
        <v>370</v>
      </c>
      <c r="K42" s="54" t="s">
        <v>371</v>
      </c>
      <c r="L42" s="54" t="s">
        <v>372</v>
      </c>
      <c r="M42" s="58" t="s">
        <v>682</v>
      </c>
      <c r="N42" s="54" t="s">
        <v>374</v>
      </c>
      <c r="O42" s="59">
        <v>46132</v>
      </c>
      <c r="P42" s="57"/>
      <c r="Q42" s="57"/>
      <c r="R42" s="61" t="s">
        <v>934</v>
      </c>
      <c r="S42" s="61" t="s">
        <v>84</v>
      </c>
    </row>
    <row r="43" spans="2:19" s="62" customFormat="1" ht="30" customHeight="1" outlineLevel="1" x14ac:dyDescent="0.25">
      <c r="B43" s="53"/>
      <c r="C43" s="58">
        <v>103</v>
      </c>
      <c r="D43" s="54" t="s">
        <v>431</v>
      </c>
      <c r="E43" s="54" t="s">
        <v>939</v>
      </c>
      <c r="F43" s="64" t="s">
        <v>432</v>
      </c>
      <c r="G43" s="70">
        <v>1</v>
      </c>
      <c r="H43" s="57" t="s">
        <v>152</v>
      </c>
      <c r="I43" s="54" t="s">
        <v>970</v>
      </c>
      <c r="J43" s="54" t="s">
        <v>971</v>
      </c>
      <c r="K43" s="54" t="s">
        <v>972</v>
      </c>
      <c r="L43" s="54" t="s">
        <v>436</v>
      </c>
      <c r="M43" s="58" t="s">
        <v>871</v>
      </c>
      <c r="N43" s="54" t="s">
        <v>438</v>
      </c>
      <c r="O43" s="59">
        <v>46132</v>
      </c>
      <c r="P43" s="57"/>
      <c r="Q43" s="57"/>
      <c r="R43" s="61" t="s">
        <v>934</v>
      </c>
      <c r="S43" s="61" t="s">
        <v>31</v>
      </c>
    </row>
    <row r="44" spans="2:19" s="62" customFormat="1" outlineLevel="1" x14ac:dyDescent="0.25">
      <c r="B44" s="53"/>
      <c r="C44" s="58">
        <v>104</v>
      </c>
      <c r="D44" s="54" t="s">
        <v>494</v>
      </c>
      <c r="E44" s="64" t="s">
        <v>939</v>
      </c>
      <c r="F44" s="64" t="s">
        <v>495</v>
      </c>
      <c r="G44" s="70">
        <v>1</v>
      </c>
      <c r="H44" s="57" t="s">
        <v>61</v>
      </c>
      <c r="I44" s="54" t="s">
        <v>496</v>
      </c>
      <c r="J44" s="54" t="s">
        <v>497</v>
      </c>
      <c r="K44" s="54" t="s">
        <v>498</v>
      </c>
      <c r="L44" s="54" t="s">
        <v>499</v>
      </c>
      <c r="M44" s="58" t="s">
        <v>500</v>
      </c>
      <c r="N44" s="54" t="s">
        <v>501</v>
      </c>
      <c r="O44" s="59">
        <v>46132</v>
      </c>
      <c r="P44" s="57"/>
      <c r="Q44" s="57"/>
      <c r="R44" s="61" t="s">
        <v>934</v>
      </c>
      <c r="S44" s="61" t="s">
        <v>84</v>
      </c>
    </row>
    <row r="45" spans="2:19" s="62" customFormat="1" outlineLevel="1" x14ac:dyDescent="0.25">
      <c r="B45" s="53"/>
      <c r="C45" s="58">
        <v>105</v>
      </c>
      <c r="D45" s="54" t="s">
        <v>508</v>
      </c>
      <c r="E45" s="64" t="s">
        <v>939</v>
      </c>
      <c r="F45" s="64" t="s">
        <v>509</v>
      </c>
      <c r="G45" s="70">
        <v>1</v>
      </c>
      <c r="H45" s="57" t="s">
        <v>61</v>
      </c>
      <c r="I45" s="54" t="s">
        <v>510</v>
      </c>
      <c r="J45" s="54" t="s">
        <v>511</v>
      </c>
      <c r="K45" s="54" t="s">
        <v>512</v>
      </c>
      <c r="L45" s="54" t="s">
        <v>513</v>
      </c>
      <c r="M45" s="58" t="s">
        <v>514</v>
      </c>
      <c r="N45" s="54" t="s">
        <v>515</v>
      </c>
      <c r="O45" s="59">
        <v>46132</v>
      </c>
      <c r="P45" s="57"/>
      <c r="Q45" s="57"/>
      <c r="R45" s="61" t="s">
        <v>934</v>
      </c>
      <c r="S45" s="61" t="s">
        <v>31</v>
      </c>
    </row>
    <row r="46" spans="2:19" s="62" customFormat="1" outlineLevel="1" x14ac:dyDescent="0.25">
      <c r="B46" s="53"/>
      <c r="C46" s="58">
        <v>106</v>
      </c>
      <c r="D46" s="54" t="s">
        <v>516</v>
      </c>
      <c r="E46" s="64" t="s">
        <v>939</v>
      </c>
      <c r="F46" s="71" t="s">
        <v>517</v>
      </c>
      <c r="G46" s="70">
        <v>1</v>
      </c>
      <c r="H46" s="57" t="s">
        <v>61</v>
      </c>
      <c r="I46" s="54" t="s">
        <v>518</v>
      </c>
      <c r="J46" s="54" t="s">
        <v>519</v>
      </c>
      <c r="K46" s="54" t="s">
        <v>520</v>
      </c>
      <c r="L46" s="69" t="s">
        <v>521</v>
      </c>
      <c r="M46" s="58" t="s">
        <v>522</v>
      </c>
      <c r="N46" s="54" t="s">
        <v>523</v>
      </c>
      <c r="O46" s="59">
        <v>46132</v>
      </c>
      <c r="P46" s="57"/>
      <c r="Q46" s="57"/>
      <c r="R46" s="61" t="s">
        <v>934</v>
      </c>
      <c r="S46" s="61" t="s">
        <v>31</v>
      </c>
    </row>
    <row r="47" spans="2:19" s="33" customFormat="1" x14ac:dyDescent="0.25">
      <c r="B47" s="42"/>
      <c r="C47" s="45"/>
      <c r="D47" s="43"/>
      <c r="E47" s="28" t="s">
        <v>780</v>
      </c>
      <c r="F47" s="52"/>
      <c r="G47" s="32">
        <f>SUM(G48:G98)</f>
        <v>75</v>
      </c>
      <c r="H47" s="43"/>
      <c r="I47" s="43"/>
      <c r="J47" s="43"/>
      <c r="K47" s="34"/>
      <c r="L47" s="38"/>
      <c r="M47" s="45"/>
      <c r="N47" s="35"/>
      <c r="O47" s="32"/>
      <c r="P47" s="42"/>
      <c r="Q47" s="42"/>
      <c r="R47" s="32" t="s">
        <v>31</v>
      </c>
      <c r="S47" s="42"/>
    </row>
    <row r="48" spans="2:19" s="62" customFormat="1" outlineLevel="1" x14ac:dyDescent="0.25">
      <c r="B48" s="53"/>
      <c r="C48" s="58">
        <v>107</v>
      </c>
      <c r="D48" s="54" t="s">
        <v>21</v>
      </c>
      <c r="E48" s="64" t="s">
        <v>780</v>
      </c>
      <c r="F48" s="64" t="s">
        <v>22</v>
      </c>
      <c r="G48" s="63">
        <v>1</v>
      </c>
      <c r="H48" s="57" t="s">
        <v>24</v>
      </c>
      <c r="I48" s="54" t="s">
        <v>25</v>
      </c>
      <c r="J48" s="54" t="s">
        <v>26</v>
      </c>
      <c r="K48" s="54" t="s">
        <v>27</v>
      </c>
      <c r="L48" s="54" t="s">
        <v>28</v>
      </c>
      <c r="M48" s="58" t="s">
        <v>29</v>
      </c>
      <c r="N48" s="54" t="s">
        <v>30</v>
      </c>
      <c r="O48" s="59">
        <v>46132</v>
      </c>
      <c r="P48" s="57"/>
      <c r="Q48" s="57"/>
      <c r="R48" s="61" t="s">
        <v>31</v>
      </c>
      <c r="S48" s="61" t="s">
        <v>31</v>
      </c>
    </row>
    <row r="49" spans="2:19" s="62" customFormat="1" outlineLevel="1" x14ac:dyDescent="0.25">
      <c r="B49" s="53"/>
      <c r="C49" s="58">
        <v>108</v>
      </c>
      <c r="D49" s="54" t="s">
        <v>811</v>
      </c>
      <c r="E49" s="64" t="s">
        <v>780</v>
      </c>
      <c r="F49" s="64" t="s">
        <v>812</v>
      </c>
      <c r="G49" s="63">
        <v>1</v>
      </c>
      <c r="H49" s="57" t="s">
        <v>813</v>
      </c>
      <c r="I49" s="54" t="s">
        <v>814</v>
      </c>
      <c r="J49" s="54" t="s">
        <v>815</v>
      </c>
      <c r="K49" s="54" t="s">
        <v>816</v>
      </c>
      <c r="L49" s="54" t="s">
        <v>817</v>
      </c>
      <c r="M49" s="58" t="s">
        <v>818</v>
      </c>
      <c r="N49" s="54" t="s">
        <v>819</v>
      </c>
      <c r="O49" s="59">
        <v>46153</v>
      </c>
      <c r="P49" s="57"/>
      <c r="Q49" s="57"/>
      <c r="R49" s="61" t="s">
        <v>31</v>
      </c>
      <c r="S49" s="61" t="s">
        <v>84</v>
      </c>
    </row>
    <row r="50" spans="2:19" s="62" customFormat="1" outlineLevel="1" x14ac:dyDescent="0.25">
      <c r="B50" s="53"/>
      <c r="C50" s="58">
        <v>109</v>
      </c>
      <c r="D50" s="54" t="s">
        <v>43</v>
      </c>
      <c r="E50" s="64" t="s">
        <v>780</v>
      </c>
      <c r="F50" s="64" t="s">
        <v>44</v>
      </c>
      <c r="G50" s="63">
        <v>1</v>
      </c>
      <c r="H50" s="57" t="s">
        <v>24</v>
      </c>
      <c r="I50" s="54" t="s">
        <v>45</v>
      </c>
      <c r="J50" s="54" t="s">
        <v>46</v>
      </c>
      <c r="K50" s="54" t="s">
        <v>47</v>
      </c>
      <c r="L50" s="54" t="s">
        <v>48</v>
      </c>
      <c r="M50" s="58" t="s">
        <v>49</v>
      </c>
      <c r="N50" s="54" t="s">
        <v>50</v>
      </c>
      <c r="O50" s="59">
        <v>46132</v>
      </c>
      <c r="P50" s="57"/>
      <c r="Q50" s="57"/>
      <c r="R50" s="61" t="s">
        <v>31</v>
      </c>
      <c r="S50" s="61" t="s">
        <v>31</v>
      </c>
    </row>
    <row r="51" spans="2:19" s="62" customFormat="1" outlineLevel="1" x14ac:dyDescent="0.25">
      <c r="B51" s="53"/>
      <c r="C51" s="58">
        <v>110</v>
      </c>
      <c r="D51" s="54" t="s">
        <v>51</v>
      </c>
      <c r="E51" s="64" t="s">
        <v>780</v>
      </c>
      <c r="F51" s="64" t="s">
        <v>52</v>
      </c>
      <c r="G51" s="63">
        <v>1</v>
      </c>
      <c r="H51" s="57" t="s">
        <v>24</v>
      </c>
      <c r="I51" s="54" t="s">
        <v>53</v>
      </c>
      <c r="J51" s="54" t="s">
        <v>54</v>
      </c>
      <c r="K51" s="54" t="s">
        <v>55</v>
      </c>
      <c r="L51" s="54" t="s">
        <v>56</v>
      </c>
      <c r="M51" s="58" t="s">
        <v>57</v>
      </c>
      <c r="N51" s="54" t="s">
        <v>58</v>
      </c>
      <c r="O51" s="59">
        <v>46132</v>
      </c>
      <c r="P51" s="57"/>
      <c r="Q51" s="57"/>
      <c r="R51" s="61" t="s">
        <v>31</v>
      </c>
      <c r="S51" s="61" t="s">
        <v>31</v>
      </c>
    </row>
    <row r="52" spans="2:19" s="62" customFormat="1" outlineLevel="1" x14ac:dyDescent="0.25">
      <c r="B52" s="53"/>
      <c r="C52" s="58">
        <v>111</v>
      </c>
      <c r="D52" s="54" t="s">
        <v>562</v>
      </c>
      <c r="E52" s="64" t="s">
        <v>780</v>
      </c>
      <c r="F52" s="64" t="s">
        <v>563</v>
      </c>
      <c r="G52" s="63">
        <v>1</v>
      </c>
      <c r="H52" s="57" t="s">
        <v>61</v>
      </c>
      <c r="I52" s="54" t="s">
        <v>564</v>
      </c>
      <c r="J52" s="54" t="s">
        <v>565</v>
      </c>
      <c r="K52" s="54" t="s">
        <v>566</v>
      </c>
      <c r="L52" s="54" t="s">
        <v>567</v>
      </c>
      <c r="M52" s="58" t="s">
        <v>568</v>
      </c>
      <c r="N52" s="54" t="s">
        <v>569</v>
      </c>
      <c r="O52" s="59">
        <v>46119</v>
      </c>
      <c r="P52" s="57"/>
      <c r="Q52" s="57"/>
      <c r="R52" s="61" t="s">
        <v>31</v>
      </c>
      <c r="S52" s="61" t="s">
        <v>31</v>
      </c>
    </row>
    <row r="53" spans="2:19" s="62" customFormat="1" outlineLevel="1" x14ac:dyDescent="0.25">
      <c r="B53" s="53"/>
      <c r="C53" s="58">
        <v>112</v>
      </c>
      <c r="D53" s="54" t="s">
        <v>59</v>
      </c>
      <c r="E53" s="64" t="s">
        <v>780</v>
      </c>
      <c r="F53" s="64" t="s">
        <v>60</v>
      </c>
      <c r="G53" s="63">
        <v>2</v>
      </c>
      <c r="H53" s="57" t="s">
        <v>61</v>
      </c>
      <c r="I53" s="54" t="s">
        <v>62</v>
      </c>
      <c r="J53" s="54" t="s">
        <v>63</v>
      </c>
      <c r="K53" s="54" t="s">
        <v>64</v>
      </c>
      <c r="L53" s="54" t="s">
        <v>65</v>
      </c>
      <c r="M53" s="58" t="s">
        <v>66</v>
      </c>
      <c r="N53" s="54" t="s">
        <v>67</v>
      </c>
      <c r="O53" s="59">
        <v>46119</v>
      </c>
      <c r="P53" s="57"/>
      <c r="Q53" s="57"/>
      <c r="R53" s="61" t="s">
        <v>31</v>
      </c>
      <c r="S53" s="61" t="s">
        <v>31</v>
      </c>
    </row>
    <row r="54" spans="2:19" s="62" customFormat="1" ht="90" customHeight="1" outlineLevel="1" x14ac:dyDescent="0.25">
      <c r="B54" s="53"/>
      <c r="C54" s="58" t="s">
        <v>973</v>
      </c>
      <c r="D54" s="54" t="s">
        <v>68</v>
      </c>
      <c r="E54" s="64" t="s">
        <v>780</v>
      </c>
      <c r="F54" s="64" t="s">
        <v>69</v>
      </c>
      <c r="G54" s="63">
        <v>6</v>
      </c>
      <c r="H54" s="57" t="s">
        <v>61</v>
      </c>
      <c r="I54" s="54" t="s">
        <v>974</v>
      </c>
      <c r="J54" s="54" t="s">
        <v>975</v>
      </c>
      <c r="K54" s="54" t="s">
        <v>976</v>
      </c>
      <c r="L54" s="54" t="s">
        <v>73</v>
      </c>
      <c r="M54" s="58" t="s">
        <v>977</v>
      </c>
      <c r="N54" s="54" t="s">
        <v>74</v>
      </c>
      <c r="O54" s="59">
        <v>46132</v>
      </c>
      <c r="P54" s="57"/>
      <c r="Q54" s="57"/>
      <c r="R54" s="61" t="s">
        <v>31</v>
      </c>
      <c r="S54" s="61" t="s">
        <v>31</v>
      </c>
    </row>
    <row r="55" spans="2:19" s="62" customFormat="1" ht="30" customHeight="1" outlineLevel="1" x14ac:dyDescent="0.25">
      <c r="B55" s="53"/>
      <c r="C55" s="58">
        <v>114</v>
      </c>
      <c r="D55" s="54" t="s">
        <v>75</v>
      </c>
      <c r="E55" s="64" t="s">
        <v>780</v>
      </c>
      <c r="F55" s="64" t="s">
        <v>76</v>
      </c>
      <c r="G55" s="63">
        <v>3</v>
      </c>
      <c r="H55" s="57" t="s">
        <v>77</v>
      </c>
      <c r="I55" s="54" t="s">
        <v>78</v>
      </c>
      <c r="J55" s="54" t="s">
        <v>79</v>
      </c>
      <c r="K55" s="72" t="s">
        <v>80</v>
      </c>
      <c r="L55" s="54" t="s">
        <v>81</v>
      </c>
      <c r="M55" s="58" t="s">
        <v>978</v>
      </c>
      <c r="N55" s="54" t="s">
        <v>83</v>
      </c>
      <c r="O55" s="59">
        <v>46132</v>
      </c>
      <c r="P55" s="57"/>
      <c r="Q55" s="57"/>
      <c r="R55" s="61" t="s">
        <v>31</v>
      </c>
      <c r="S55" s="61" t="s">
        <v>84</v>
      </c>
    </row>
    <row r="56" spans="2:19" s="62" customFormat="1" outlineLevel="1" x14ac:dyDescent="0.25">
      <c r="B56" s="53"/>
      <c r="C56" s="58">
        <v>115</v>
      </c>
      <c r="D56" s="54" t="s">
        <v>580</v>
      </c>
      <c r="E56" s="64" t="s">
        <v>780</v>
      </c>
      <c r="F56" s="64" t="s">
        <v>581</v>
      </c>
      <c r="G56" s="63">
        <v>1</v>
      </c>
      <c r="H56" s="57" t="s">
        <v>61</v>
      </c>
      <c r="I56" s="54" t="s">
        <v>582</v>
      </c>
      <c r="J56" s="54" t="s">
        <v>583</v>
      </c>
      <c r="K56" s="54" t="s">
        <v>584</v>
      </c>
      <c r="L56" s="54" t="s">
        <v>585</v>
      </c>
      <c r="M56" s="58" t="s">
        <v>586</v>
      </c>
      <c r="N56" s="54" t="s">
        <v>587</v>
      </c>
      <c r="O56" s="59">
        <v>46132</v>
      </c>
      <c r="P56" s="57"/>
      <c r="Q56" s="57"/>
      <c r="R56" s="61" t="s">
        <v>31</v>
      </c>
      <c r="S56" s="61" t="s">
        <v>84</v>
      </c>
    </row>
    <row r="57" spans="2:19" s="62" customFormat="1" ht="30" customHeight="1" outlineLevel="1" x14ac:dyDescent="0.25">
      <c r="B57" s="53"/>
      <c r="C57" s="58">
        <v>116</v>
      </c>
      <c r="D57" s="54" t="s">
        <v>725</v>
      </c>
      <c r="E57" s="64" t="s">
        <v>780</v>
      </c>
      <c r="F57" s="64" t="s">
        <v>726</v>
      </c>
      <c r="G57" s="63">
        <v>1</v>
      </c>
      <c r="H57" s="57" t="s">
        <v>727</v>
      </c>
      <c r="I57" s="54" t="s">
        <v>728</v>
      </c>
      <c r="J57" s="54" t="s">
        <v>729</v>
      </c>
      <c r="K57" s="54" t="s">
        <v>730</v>
      </c>
      <c r="L57" s="54" t="s">
        <v>731</v>
      </c>
      <c r="M57" s="58" t="s">
        <v>732</v>
      </c>
      <c r="N57" s="54" t="s">
        <v>733</v>
      </c>
      <c r="O57" s="59">
        <v>46132</v>
      </c>
      <c r="P57" s="57"/>
      <c r="Q57" s="57"/>
      <c r="R57" s="61" t="s">
        <v>31</v>
      </c>
      <c r="S57" s="61" t="s">
        <v>31</v>
      </c>
    </row>
    <row r="58" spans="2:19" s="62" customFormat="1" outlineLevel="1" x14ac:dyDescent="0.25">
      <c r="B58" s="53"/>
      <c r="C58" s="58">
        <v>117</v>
      </c>
      <c r="D58" s="54" t="s">
        <v>117</v>
      </c>
      <c r="E58" s="64" t="s">
        <v>780</v>
      </c>
      <c r="F58" s="64" t="s">
        <v>118</v>
      </c>
      <c r="G58" s="63">
        <v>1</v>
      </c>
      <c r="H58" s="57" t="s">
        <v>24</v>
      </c>
      <c r="I58" s="54" t="s">
        <v>119</v>
      </c>
      <c r="J58" s="54" t="s">
        <v>120</v>
      </c>
      <c r="K58" s="54" t="s">
        <v>121</v>
      </c>
      <c r="L58" s="54" t="s">
        <v>122</v>
      </c>
      <c r="M58" s="58" t="s">
        <v>123</v>
      </c>
      <c r="N58" s="54" t="s">
        <v>124</v>
      </c>
      <c r="O58" s="59">
        <v>46132</v>
      </c>
      <c r="P58" s="57"/>
      <c r="Q58" s="57"/>
      <c r="R58" s="61" t="s">
        <v>31</v>
      </c>
      <c r="S58" s="61" t="s">
        <v>31</v>
      </c>
    </row>
    <row r="59" spans="2:19" s="62" customFormat="1" outlineLevel="1" x14ac:dyDescent="0.25">
      <c r="B59" s="53"/>
      <c r="C59" s="58">
        <v>118</v>
      </c>
      <c r="D59" s="54" t="s">
        <v>125</v>
      </c>
      <c r="E59" s="64" t="s">
        <v>780</v>
      </c>
      <c r="F59" s="64" t="s">
        <v>126</v>
      </c>
      <c r="G59" s="63">
        <v>1</v>
      </c>
      <c r="H59" s="57" t="s">
        <v>127</v>
      </c>
      <c r="I59" s="54" t="s">
        <v>128</v>
      </c>
      <c r="J59" s="54" t="s">
        <v>129</v>
      </c>
      <c r="K59" s="54" t="s">
        <v>130</v>
      </c>
      <c r="L59" s="54" t="s">
        <v>131</v>
      </c>
      <c r="M59" s="58" t="s">
        <v>132</v>
      </c>
      <c r="N59" s="54" t="s">
        <v>133</v>
      </c>
      <c r="O59" s="59">
        <v>46132</v>
      </c>
      <c r="P59" s="57"/>
      <c r="Q59" s="57"/>
      <c r="R59" s="61" t="s">
        <v>31</v>
      </c>
      <c r="S59" s="61" t="s">
        <v>84</v>
      </c>
    </row>
    <row r="60" spans="2:19" s="62" customFormat="1" outlineLevel="1" x14ac:dyDescent="0.25">
      <c r="B60" s="53"/>
      <c r="C60" s="58">
        <v>119</v>
      </c>
      <c r="D60" s="54" t="s">
        <v>142</v>
      </c>
      <c r="E60" s="64" t="s">
        <v>780</v>
      </c>
      <c r="F60" s="64" t="s">
        <v>143</v>
      </c>
      <c r="G60" s="63">
        <v>2</v>
      </c>
      <c r="H60" s="57" t="s">
        <v>61</v>
      </c>
      <c r="I60" s="54" t="s">
        <v>144</v>
      </c>
      <c r="J60" s="54" t="s">
        <v>145</v>
      </c>
      <c r="K60" s="54" t="s">
        <v>146</v>
      </c>
      <c r="L60" s="54" t="s">
        <v>147</v>
      </c>
      <c r="M60" s="58" t="s">
        <v>148</v>
      </c>
      <c r="N60" s="54" t="s">
        <v>149</v>
      </c>
      <c r="O60" s="59">
        <v>46132</v>
      </c>
      <c r="P60" s="57"/>
      <c r="Q60" s="57"/>
      <c r="R60" s="61" t="s">
        <v>31</v>
      </c>
      <c r="S60" s="61" t="s">
        <v>84</v>
      </c>
    </row>
    <row r="61" spans="2:19" s="62" customFormat="1" outlineLevel="1" x14ac:dyDescent="0.25">
      <c r="B61" s="53"/>
      <c r="C61" s="58">
        <v>120</v>
      </c>
      <c r="D61" s="54" t="s">
        <v>159</v>
      </c>
      <c r="E61" s="64" t="s">
        <v>780</v>
      </c>
      <c r="F61" s="64" t="s">
        <v>160</v>
      </c>
      <c r="G61" s="63">
        <v>1</v>
      </c>
      <c r="H61" s="57" t="s">
        <v>61</v>
      </c>
      <c r="I61" s="54" t="s">
        <v>161</v>
      </c>
      <c r="J61" s="54" t="s">
        <v>162</v>
      </c>
      <c r="K61" s="54" t="s">
        <v>163</v>
      </c>
      <c r="L61" s="54" t="s">
        <v>164</v>
      </c>
      <c r="M61" s="58" t="s">
        <v>164</v>
      </c>
      <c r="N61" s="54" t="s">
        <v>165</v>
      </c>
      <c r="O61" s="59">
        <v>46132</v>
      </c>
      <c r="P61" s="57"/>
      <c r="Q61" s="57"/>
      <c r="R61" s="61" t="s">
        <v>31</v>
      </c>
      <c r="S61" s="61" t="s">
        <v>31</v>
      </c>
    </row>
    <row r="62" spans="2:19" s="62" customFormat="1" outlineLevel="1" x14ac:dyDescent="0.25">
      <c r="B62" s="53"/>
      <c r="C62" s="58">
        <v>121</v>
      </c>
      <c r="D62" s="54" t="s">
        <v>166</v>
      </c>
      <c r="E62" s="64" t="s">
        <v>780</v>
      </c>
      <c r="F62" s="64" t="s">
        <v>167</v>
      </c>
      <c r="G62" s="63">
        <v>3</v>
      </c>
      <c r="H62" s="57" t="s">
        <v>61</v>
      </c>
      <c r="I62" s="54" t="s">
        <v>168</v>
      </c>
      <c r="J62" s="54" t="s">
        <v>169</v>
      </c>
      <c r="K62" s="54" t="s">
        <v>170</v>
      </c>
      <c r="L62" s="54" t="s">
        <v>171</v>
      </c>
      <c r="M62" s="58" t="s">
        <v>172</v>
      </c>
      <c r="N62" s="54" t="s">
        <v>173</v>
      </c>
      <c r="O62" s="59">
        <v>46132</v>
      </c>
      <c r="P62" s="57"/>
      <c r="Q62" s="57"/>
      <c r="R62" s="61" t="s">
        <v>31</v>
      </c>
      <c r="S62" s="61" t="s">
        <v>84</v>
      </c>
    </row>
    <row r="63" spans="2:19" s="62" customFormat="1" outlineLevel="1" x14ac:dyDescent="0.25">
      <c r="B63" s="53"/>
      <c r="C63" s="58">
        <v>122</v>
      </c>
      <c r="D63" s="54" t="s">
        <v>182</v>
      </c>
      <c r="E63" s="64" t="s">
        <v>780</v>
      </c>
      <c r="F63" s="64" t="s">
        <v>183</v>
      </c>
      <c r="G63" s="63">
        <v>1</v>
      </c>
      <c r="H63" s="57" t="s">
        <v>111</v>
      </c>
      <c r="I63" s="54" t="s">
        <v>184</v>
      </c>
      <c r="J63" s="54" t="s">
        <v>185</v>
      </c>
      <c r="K63" s="54" t="s">
        <v>186</v>
      </c>
      <c r="L63" s="54" t="s">
        <v>187</v>
      </c>
      <c r="M63" s="58" t="s">
        <v>188</v>
      </c>
      <c r="N63" s="54" t="s">
        <v>189</v>
      </c>
      <c r="O63" s="59">
        <v>46132</v>
      </c>
      <c r="P63" s="57"/>
      <c r="Q63" s="57"/>
      <c r="R63" s="61" t="s">
        <v>31</v>
      </c>
      <c r="S63" s="61" t="s">
        <v>84</v>
      </c>
    </row>
    <row r="64" spans="2:19" s="62" customFormat="1" ht="90" customHeight="1" outlineLevel="1" x14ac:dyDescent="0.25">
      <c r="B64" s="53"/>
      <c r="C64" s="73" t="s">
        <v>979</v>
      </c>
      <c r="D64" s="54" t="s">
        <v>190</v>
      </c>
      <c r="E64" s="64" t="s">
        <v>780</v>
      </c>
      <c r="F64" s="64" t="s">
        <v>191</v>
      </c>
      <c r="G64" s="63">
        <v>6</v>
      </c>
      <c r="H64" s="57" t="s">
        <v>24</v>
      </c>
      <c r="I64" s="65" t="s">
        <v>980</v>
      </c>
      <c r="J64" s="65" t="s">
        <v>981</v>
      </c>
      <c r="K64" s="65" t="s">
        <v>982</v>
      </c>
      <c r="L64" s="54" t="s">
        <v>195</v>
      </c>
      <c r="M64" s="73" t="s">
        <v>983</v>
      </c>
      <c r="N64" s="54" t="s">
        <v>197</v>
      </c>
      <c r="O64" s="59">
        <v>46132</v>
      </c>
      <c r="P64" s="57"/>
      <c r="Q64" s="57"/>
      <c r="R64" s="61" t="s">
        <v>31</v>
      </c>
      <c r="S64" s="61" t="s">
        <v>31</v>
      </c>
    </row>
    <row r="65" spans="2:19" s="62" customFormat="1" outlineLevel="1" x14ac:dyDescent="0.25">
      <c r="B65" s="53"/>
      <c r="C65" s="58">
        <v>124</v>
      </c>
      <c r="D65" s="54" t="s">
        <v>635</v>
      </c>
      <c r="E65" s="64" t="s">
        <v>780</v>
      </c>
      <c r="F65" s="64" t="s">
        <v>636</v>
      </c>
      <c r="G65" s="63">
        <v>1</v>
      </c>
      <c r="H65" s="57" t="s">
        <v>637</v>
      </c>
      <c r="I65" s="54" t="s">
        <v>638</v>
      </c>
      <c r="J65" s="54" t="s">
        <v>639</v>
      </c>
      <c r="K65" s="54" t="s">
        <v>640</v>
      </c>
      <c r="L65" s="54" t="s">
        <v>641</v>
      </c>
      <c r="M65" s="58" t="s">
        <v>642</v>
      </c>
      <c r="N65" s="54" t="s">
        <v>643</v>
      </c>
      <c r="O65" s="59">
        <v>46132</v>
      </c>
      <c r="P65" s="57"/>
      <c r="Q65" s="57"/>
      <c r="R65" s="61" t="s">
        <v>31</v>
      </c>
      <c r="S65" s="61" t="s">
        <v>31</v>
      </c>
    </row>
    <row r="66" spans="2:19" s="62" customFormat="1" outlineLevel="1" x14ac:dyDescent="0.25">
      <c r="B66" s="53"/>
      <c r="C66" s="58">
        <v>125</v>
      </c>
      <c r="D66" s="54" t="s">
        <v>198</v>
      </c>
      <c r="E66" s="64" t="s">
        <v>780</v>
      </c>
      <c r="F66" s="64" t="s">
        <v>199</v>
      </c>
      <c r="G66" s="63">
        <v>2</v>
      </c>
      <c r="H66" s="57" t="s">
        <v>200</v>
      </c>
      <c r="I66" s="54" t="s">
        <v>201</v>
      </c>
      <c r="J66" s="54" t="s">
        <v>202</v>
      </c>
      <c r="K66" s="54" t="s">
        <v>203</v>
      </c>
      <c r="L66" s="54" t="s">
        <v>204</v>
      </c>
      <c r="M66" s="58" t="s">
        <v>205</v>
      </c>
      <c r="N66" s="54" t="s">
        <v>206</v>
      </c>
      <c r="O66" s="59">
        <v>46132</v>
      </c>
      <c r="P66" s="57"/>
      <c r="Q66" s="57"/>
      <c r="R66" s="61" t="s">
        <v>31</v>
      </c>
      <c r="S66" s="61" t="s">
        <v>84</v>
      </c>
    </row>
    <row r="67" spans="2:19" s="62" customFormat="1" outlineLevel="1" x14ac:dyDescent="0.25">
      <c r="B67" s="53"/>
      <c r="C67" s="58">
        <v>126</v>
      </c>
      <c r="D67" s="54" t="s">
        <v>207</v>
      </c>
      <c r="E67" s="64" t="s">
        <v>780</v>
      </c>
      <c r="F67" s="64" t="s">
        <v>208</v>
      </c>
      <c r="G67" s="63">
        <v>1</v>
      </c>
      <c r="H67" s="57" t="s">
        <v>61</v>
      </c>
      <c r="I67" s="54" t="s">
        <v>209</v>
      </c>
      <c r="J67" s="54" t="s">
        <v>210</v>
      </c>
      <c r="K67" s="54" t="s">
        <v>211</v>
      </c>
      <c r="L67" s="54" t="s">
        <v>212</v>
      </c>
      <c r="M67" s="58" t="s">
        <v>213</v>
      </c>
      <c r="N67" s="54" t="s">
        <v>214</v>
      </c>
      <c r="O67" s="59">
        <v>46132</v>
      </c>
      <c r="P67" s="57"/>
      <c r="Q67" s="57"/>
      <c r="R67" s="61" t="s">
        <v>31</v>
      </c>
      <c r="S67" s="61" t="s">
        <v>31</v>
      </c>
    </row>
    <row r="68" spans="2:19" s="62" customFormat="1" ht="30" customHeight="1" outlineLevel="1" x14ac:dyDescent="0.25">
      <c r="B68" s="53"/>
      <c r="C68" s="58">
        <v>127</v>
      </c>
      <c r="D68" s="54" t="s">
        <v>231</v>
      </c>
      <c r="E68" s="64" t="s">
        <v>780</v>
      </c>
      <c r="F68" s="64" t="s">
        <v>232</v>
      </c>
      <c r="G68" s="63">
        <v>2</v>
      </c>
      <c r="H68" s="57" t="s">
        <v>61</v>
      </c>
      <c r="I68" s="54" t="s">
        <v>233</v>
      </c>
      <c r="J68" s="54" t="s">
        <v>234</v>
      </c>
      <c r="K68" s="54" t="s">
        <v>235</v>
      </c>
      <c r="L68" s="54" t="s">
        <v>236</v>
      </c>
      <c r="M68" s="58" t="s">
        <v>891</v>
      </c>
      <c r="N68" s="54" t="s">
        <v>238</v>
      </c>
      <c r="O68" s="59">
        <v>46132</v>
      </c>
      <c r="P68" s="57"/>
      <c r="Q68" s="57"/>
      <c r="R68" s="61" t="s">
        <v>31</v>
      </c>
      <c r="S68" s="61" t="s">
        <v>84</v>
      </c>
    </row>
    <row r="69" spans="2:19" s="62" customFormat="1" outlineLevel="1" x14ac:dyDescent="0.25">
      <c r="B69" s="53"/>
      <c r="C69" s="58">
        <v>128</v>
      </c>
      <c r="D69" s="54" t="s">
        <v>239</v>
      </c>
      <c r="E69" s="64" t="s">
        <v>780</v>
      </c>
      <c r="F69" s="64" t="s">
        <v>240</v>
      </c>
      <c r="G69" s="63">
        <v>1</v>
      </c>
      <c r="H69" s="57" t="s">
        <v>24</v>
      </c>
      <c r="I69" s="54" t="s">
        <v>241</v>
      </c>
      <c r="J69" s="54" t="s">
        <v>242</v>
      </c>
      <c r="K69" s="54" t="s">
        <v>243</v>
      </c>
      <c r="L69" s="54" t="s">
        <v>244</v>
      </c>
      <c r="M69" s="58" t="s">
        <v>984</v>
      </c>
      <c r="N69" s="54" t="s">
        <v>246</v>
      </c>
      <c r="O69" s="59">
        <v>46132</v>
      </c>
      <c r="P69" s="57"/>
      <c r="Q69" s="57"/>
      <c r="R69" s="61" t="s">
        <v>31</v>
      </c>
      <c r="S69" s="61" t="s">
        <v>31</v>
      </c>
    </row>
    <row r="70" spans="2:19" s="62" customFormat="1" outlineLevel="1" x14ac:dyDescent="0.25">
      <c r="B70" s="53"/>
      <c r="C70" s="58">
        <v>129</v>
      </c>
      <c r="D70" s="54" t="s">
        <v>247</v>
      </c>
      <c r="E70" s="64" t="s">
        <v>780</v>
      </c>
      <c r="F70" s="64" t="s">
        <v>248</v>
      </c>
      <c r="G70" s="63">
        <v>1</v>
      </c>
      <c r="H70" s="57" t="s">
        <v>61</v>
      </c>
      <c r="I70" s="54" t="s">
        <v>532</v>
      </c>
      <c r="J70" s="54" t="s">
        <v>533</v>
      </c>
      <c r="K70" s="53" t="s">
        <v>534</v>
      </c>
      <c r="L70" s="54" t="s">
        <v>252</v>
      </c>
      <c r="M70" s="58" t="s">
        <v>535</v>
      </c>
      <c r="N70" s="54" t="s">
        <v>254</v>
      </c>
      <c r="O70" s="59">
        <v>46132</v>
      </c>
      <c r="P70" s="57"/>
      <c r="Q70" s="57"/>
      <c r="R70" s="61" t="s">
        <v>31</v>
      </c>
      <c r="S70" s="61" t="s">
        <v>84</v>
      </c>
    </row>
    <row r="71" spans="2:19" s="62" customFormat="1" outlineLevel="1" x14ac:dyDescent="0.25">
      <c r="B71" s="53"/>
      <c r="C71" s="58">
        <v>130</v>
      </c>
      <c r="D71" s="54" t="s">
        <v>263</v>
      </c>
      <c r="E71" s="64" t="s">
        <v>780</v>
      </c>
      <c r="F71" s="64" t="s">
        <v>264</v>
      </c>
      <c r="G71" s="63">
        <v>2</v>
      </c>
      <c r="H71" s="57" t="s">
        <v>61</v>
      </c>
      <c r="I71" s="54" t="s">
        <v>265</v>
      </c>
      <c r="J71" s="54" t="s">
        <v>266</v>
      </c>
      <c r="K71" s="54" t="s">
        <v>267</v>
      </c>
      <c r="L71" s="54" t="s">
        <v>252</v>
      </c>
      <c r="M71" s="58" t="s">
        <v>268</v>
      </c>
      <c r="N71" s="54" t="s">
        <v>269</v>
      </c>
      <c r="O71" s="59">
        <v>46132</v>
      </c>
      <c r="P71" s="57"/>
      <c r="Q71" s="57"/>
      <c r="R71" s="61" t="s">
        <v>31</v>
      </c>
      <c r="S71" s="61" t="s">
        <v>31</v>
      </c>
    </row>
    <row r="72" spans="2:19" s="62" customFormat="1" outlineLevel="1" x14ac:dyDescent="0.25">
      <c r="B72" s="53"/>
      <c r="C72" s="58">
        <v>131</v>
      </c>
      <c r="D72" s="54" t="s">
        <v>706</v>
      </c>
      <c r="E72" s="64" t="s">
        <v>780</v>
      </c>
      <c r="F72" s="64" t="s">
        <v>707</v>
      </c>
      <c r="G72" s="63">
        <v>1</v>
      </c>
      <c r="H72" s="57" t="s">
        <v>111</v>
      </c>
      <c r="I72" s="54" t="s">
        <v>708</v>
      </c>
      <c r="J72" s="54" t="s">
        <v>709</v>
      </c>
      <c r="K72" s="54" t="s">
        <v>710</v>
      </c>
      <c r="L72" s="54" t="s">
        <v>711</v>
      </c>
      <c r="M72" s="58" t="s">
        <v>712</v>
      </c>
      <c r="N72" s="54" t="s">
        <v>713</v>
      </c>
      <c r="O72" s="59">
        <v>46132</v>
      </c>
      <c r="P72" s="57"/>
      <c r="Q72" s="57"/>
      <c r="R72" s="61" t="s">
        <v>31</v>
      </c>
      <c r="S72" s="61" t="s">
        <v>84</v>
      </c>
    </row>
    <row r="73" spans="2:19" s="62" customFormat="1" outlineLevel="1" x14ac:dyDescent="0.25">
      <c r="B73" s="53"/>
      <c r="C73" s="58">
        <v>132</v>
      </c>
      <c r="D73" s="54" t="s">
        <v>859</v>
      </c>
      <c r="E73" s="64" t="s">
        <v>780</v>
      </c>
      <c r="F73" s="64" t="s">
        <v>860</v>
      </c>
      <c r="G73" s="63">
        <v>1</v>
      </c>
      <c r="H73" s="57" t="s">
        <v>861</v>
      </c>
      <c r="I73" s="54" t="s">
        <v>862</v>
      </c>
      <c r="J73" s="54" t="s">
        <v>863</v>
      </c>
      <c r="K73" s="54" t="s">
        <v>864</v>
      </c>
      <c r="L73" s="54" t="s">
        <v>865</v>
      </c>
      <c r="M73" s="58" t="s">
        <v>866</v>
      </c>
      <c r="N73" s="54" t="s">
        <v>867</v>
      </c>
      <c r="O73" s="59">
        <v>46132</v>
      </c>
      <c r="P73" s="57"/>
      <c r="Q73" s="57"/>
      <c r="R73" s="61" t="s">
        <v>31</v>
      </c>
      <c r="S73" s="61" t="s">
        <v>31</v>
      </c>
    </row>
    <row r="74" spans="2:19" s="62" customFormat="1" outlineLevel="1" x14ac:dyDescent="0.25">
      <c r="B74" s="53"/>
      <c r="C74" s="58">
        <v>133</v>
      </c>
      <c r="D74" s="54" t="s">
        <v>286</v>
      </c>
      <c r="E74" s="64" t="s">
        <v>780</v>
      </c>
      <c r="F74" s="64" t="s">
        <v>287</v>
      </c>
      <c r="G74" s="63">
        <v>1</v>
      </c>
      <c r="H74" s="57" t="s">
        <v>61</v>
      </c>
      <c r="I74" s="54" t="s">
        <v>288</v>
      </c>
      <c r="J74" s="54" t="s">
        <v>289</v>
      </c>
      <c r="K74" s="54" t="s">
        <v>290</v>
      </c>
      <c r="L74" s="54" t="s">
        <v>291</v>
      </c>
      <c r="M74" s="58" t="s">
        <v>292</v>
      </c>
      <c r="N74" s="54" t="s">
        <v>293</v>
      </c>
      <c r="O74" s="59">
        <v>46132</v>
      </c>
      <c r="P74" s="57"/>
      <c r="Q74" s="57"/>
      <c r="R74" s="61" t="s">
        <v>31</v>
      </c>
      <c r="S74" s="61" t="s">
        <v>84</v>
      </c>
    </row>
    <row r="75" spans="2:19" s="62" customFormat="1" outlineLevel="1" x14ac:dyDescent="0.25">
      <c r="B75" s="53"/>
      <c r="C75" s="58">
        <v>134</v>
      </c>
      <c r="D75" s="54" t="s">
        <v>294</v>
      </c>
      <c r="E75" s="64" t="s">
        <v>780</v>
      </c>
      <c r="F75" s="64" t="s">
        <v>295</v>
      </c>
      <c r="G75" s="63">
        <v>1</v>
      </c>
      <c r="H75" s="57" t="s">
        <v>61</v>
      </c>
      <c r="I75" s="54" t="s">
        <v>908</v>
      </c>
      <c r="J75" s="54" t="s">
        <v>909</v>
      </c>
      <c r="K75" s="54" t="s">
        <v>910</v>
      </c>
      <c r="L75" s="54" t="s">
        <v>299</v>
      </c>
      <c r="M75" s="58" t="s">
        <v>300</v>
      </c>
      <c r="N75" s="54" t="s">
        <v>301</v>
      </c>
      <c r="O75" s="59">
        <v>46132</v>
      </c>
      <c r="P75" s="57"/>
      <c r="Q75" s="57"/>
      <c r="R75" s="61" t="s">
        <v>31</v>
      </c>
      <c r="S75" s="61" t="s">
        <v>31</v>
      </c>
    </row>
    <row r="76" spans="2:19" s="62" customFormat="1" outlineLevel="1" x14ac:dyDescent="0.25">
      <c r="B76" s="53"/>
      <c r="C76" s="58">
        <v>135</v>
      </c>
      <c r="D76" s="54" t="s">
        <v>342</v>
      </c>
      <c r="E76" s="64" t="s">
        <v>780</v>
      </c>
      <c r="F76" s="64" t="s">
        <v>343</v>
      </c>
      <c r="G76" s="63">
        <v>1</v>
      </c>
      <c r="H76" s="57" t="s">
        <v>24</v>
      </c>
      <c r="I76" s="54" t="s">
        <v>344</v>
      </c>
      <c r="J76" s="54" t="s">
        <v>345</v>
      </c>
      <c r="K76" s="54" t="s">
        <v>346</v>
      </c>
      <c r="L76" s="54" t="s">
        <v>347</v>
      </c>
      <c r="M76" s="58" t="s">
        <v>348</v>
      </c>
      <c r="N76" s="54" t="s">
        <v>349</v>
      </c>
      <c r="O76" s="59">
        <v>46132</v>
      </c>
      <c r="P76" s="57"/>
      <c r="Q76" s="57"/>
      <c r="R76" s="61" t="s">
        <v>31</v>
      </c>
      <c r="S76" s="61" t="s">
        <v>31</v>
      </c>
    </row>
    <row r="77" spans="2:19" s="62" customFormat="1" outlineLevel="1" x14ac:dyDescent="0.25">
      <c r="B77" s="53"/>
      <c r="C77" s="58">
        <v>136</v>
      </c>
      <c r="D77" s="54" t="s">
        <v>802</v>
      </c>
      <c r="E77" s="64" t="s">
        <v>780</v>
      </c>
      <c r="F77" s="64" t="s">
        <v>803</v>
      </c>
      <c r="G77" s="63">
        <v>1</v>
      </c>
      <c r="H77" s="57" t="s">
        <v>804</v>
      </c>
      <c r="I77" s="54" t="s">
        <v>805</v>
      </c>
      <c r="J77" s="54" t="s">
        <v>806</v>
      </c>
      <c r="K77" s="53" t="s">
        <v>807</v>
      </c>
      <c r="L77" s="54" t="s">
        <v>808</v>
      </c>
      <c r="M77" s="58" t="s">
        <v>809</v>
      </c>
      <c r="N77" s="54" t="s">
        <v>810</v>
      </c>
      <c r="O77" s="59">
        <v>46132</v>
      </c>
      <c r="P77" s="57"/>
      <c r="Q77" s="57"/>
      <c r="R77" s="61" t="s">
        <v>31</v>
      </c>
      <c r="S77" s="61" t="s">
        <v>84</v>
      </c>
    </row>
    <row r="78" spans="2:19" s="62" customFormat="1" outlineLevel="1" x14ac:dyDescent="0.25">
      <c r="B78" s="53"/>
      <c r="C78" s="58">
        <v>137</v>
      </c>
      <c r="D78" s="54" t="s">
        <v>963</v>
      </c>
      <c r="E78" s="64" t="s">
        <v>780</v>
      </c>
      <c r="F78" s="64" t="s">
        <v>917</v>
      </c>
      <c r="G78" s="63">
        <v>1</v>
      </c>
      <c r="H78" s="57" t="s">
        <v>152</v>
      </c>
      <c r="I78" s="54" t="s">
        <v>964</v>
      </c>
      <c r="J78" s="54" t="s">
        <v>965</v>
      </c>
      <c r="K78" s="54" t="s">
        <v>966</v>
      </c>
      <c r="L78" s="54" t="s">
        <v>967</v>
      </c>
      <c r="M78" s="58" t="s">
        <v>985</v>
      </c>
      <c r="N78" s="54" t="s">
        <v>969</v>
      </c>
      <c r="O78" s="59">
        <v>46132</v>
      </c>
      <c r="P78" s="57"/>
      <c r="Q78" s="57"/>
      <c r="R78" s="61" t="s">
        <v>31</v>
      </c>
      <c r="S78" s="61" t="s">
        <v>84</v>
      </c>
    </row>
    <row r="79" spans="2:19" s="62" customFormat="1" outlineLevel="1" x14ac:dyDescent="0.25">
      <c r="B79" s="53"/>
      <c r="C79" s="58">
        <v>138</v>
      </c>
      <c r="D79" s="54" t="s">
        <v>366</v>
      </c>
      <c r="E79" s="64" t="s">
        <v>780</v>
      </c>
      <c r="F79" s="64" t="s">
        <v>367</v>
      </c>
      <c r="G79" s="63">
        <v>1</v>
      </c>
      <c r="H79" s="57" t="s">
        <v>368</v>
      </c>
      <c r="I79" s="54" t="s">
        <v>369</v>
      </c>
      <c r="J79" s="54" t="s">
        <v>370</v>
      </c>
      <c r="K79" s="54" t="s">
        <v>371</v>
      </c>
      <c r="L79" s="54" t="s">
        <v>372</v>
      </c>
      <c r="M79" s="58" t="s">
        <v>682</v>
      </c>
      <c r="N79" s="54" t="s">
        <v>374</v>
      </c>
      <c r="O79" s="59">
        <v>46132</v>
      </c>
      <c r="P79" s="57"/>
      <c r="Q79" s="57"/>
      <c r="R79" s="61" t="s">
        <v>31</v>
      </c>
      <c r="S79" s="61" t="s">
        <v>84</v>
      </c>
    </row>
    <row r="80" spans="2:19" s="62" customFormat="1" outlineLevel="1" x14ac:dyDescent="0.25">
      <c r="B80" s="53"/>
      <c r="C80" s="58">
        <v>139</v>
      </c>
      <c r="D80" s="54" t="s">
        <v>604</v>
      </c>
      <c r="E80" s="64" t="s">
        <v>780</v>
      </c>
      <c r="F80" s="64" t="s">
        <v>605</v>
      </c>
      <c r="G80" s="63">
        <v>1</v>
      </c>
      <c r="H80" s="57" t="s">
        <v>61</v>
      </c>
      <c r="I80" s="54" t="s">
        <v>606</v>
      </c>
      <c r="J80" s="54" t="s">
        <v>607</v>
      </c>
      <c r="K80" s="54" t="s">
        <v>608</v>
      </c>
      <c r="L80" s="54" t="s">
        <v>252</v>
      </c>
      <c r="M80" s="58" t="s">
        <v>609</v>
      </c>
      <c r="N80" s="54" t="s">
        <v>610</v>
      </c>
      <c r="O80" s="59">
        <v>46132</v>
      </c>
      <c r="P80" s="57"/>
      <c r="Q80" s="57"/>
      <c r="R80" s="61" t="s">
        <v>31</v>
      </c>
      <c r="S80" s="61" t="s">
        <v>31</v>
      </c>
    </row>
    <row r="81" spans="2:19" s="62" customFormat="1" outlineLevel="1" x14ac:dyDescent="0.25">
      <c r="B81" s="53"/>
      <c r="C81" s="58">
        <v>140</v>
      </c>
      <c r="D81" s="54" t="s">
        <v>375</v>
      </c>
      <c r="E81" s="64" t="s">
        <v>780</v>
      </c>
      <c r="F81" s="64" t="s">
        <v>376</v>
      </c>
      <c r="G81" s="63">
        <v>3</v>
      </c>
      <c r="H81" s="57" t="s">
        <v>111</v>
      </c>
      <c r="I81" s="54" t="s">
        <v>377</v>
      </c>
      <c r="J81" s="54" t="s">
        <v>378</v>
      </c>
      <c r="K81" s="54" t="s">
        <v>379</v>
      </c>
      <c r="L81" s="54" t="s">
        <v>380</v>
      </c>
      <c r="M81" s="58" t="s">
        <v>986</v>
      </c>
      <c r="N81" s="54" t="s">
        <v>382</v>
      </c>
      <c r="O81" s="59">
        <v>46132</v>
      </c>
      <c r="P81" s="57"/>
      <c r="Q81" s="57"/>
      <c r="R81" s="61" t="s">
        <v>31</v>
      </c>
      <c r="S81" s="61" t="s">
        <v>31</v>
      </c>
    </row>
    <row r="82" spans="2:19" s="62" customFormat="1" outlineLevel="1" x14ac:dyDescent="0.25">
      <c r="B82" s="53"/>
      <c r="C82" s="58">
        <v>141</v>
      </c>
      <c r="D82" s="54" t="s">
        <v>383</v>
      </c>
      <c r="E82" s="64" t="s">
        <v>780</v>
      </c>
      <c r="F82" s="64" t="s">
        <v>384</v>
      </c>
      <c r="G82" s="63">
        <v>1</v>
      </c>
      <c r="H82" s="57" t="s">
        <v>61</v>
      </c>
      <c r="I82" s="54" t="s">
        <v>385</v>
      </c>
      <c r="J82" s="54" t="s">
        <v>386</v>
      </c>
      <c r="K82" s="54" t="s">
        <v>387</v>
      </c>
      <c r="L82" s="54" t="s">
        <v>388</v>
      </c>
      <c r="M82" s="58" t="s">
        <v>389</v>
      </c>
      <c r="N82" s="54" t="s">
        <v>390</v>
      </c>
      <c r="O82" s="59">
        <v>46132</v>
      </c>
      <c r="P82" s="57"/>
      <c r="Q82" s="57"/>
      <c r="R82" s="61" t="s">
        <v>31</v>
      </c>
      <c r="S82" s="61" t="s">
        <v>84</v>
      </c>
    </row>
    <row r="83" spans="2:19" s="62" customFormat="1" outlineLevel="1" x14ac:dyDescent="0.25">
      <c r="B83" s="53"/>
      <c r="C83" s="58">
        <v>142</v>
      </c>
      <c r="D83" s="54" t="s">
        <v>399</v>
      </c>
      <c r="E83" s="64" t="s">
        <v>780</v>
      </c>
      <c r="F83" s="64" t="s">
        <v>400</v>
      </c>
      <c r="G83" s="63">
        <v>1</v>
      </c>
      <c r="H83" s="57" t="s">
        <v>152</v>
      </c>
      <c r="I83" s="54" t="s">
        <v>401</v>
      </c>
      <c r="J83" s="54" t="s">
        <v>402</v>
      </c>
      <c r="K83" s="54" t="s">
        <v>403</v>
      </c>
      <c r="L83" s="54" t="s">
        <v>404</v>
      </c>
      <c r="M83" s="58" t="s">
        <v>791</v>
      </c>
      <c r="N83" s="54" t="s">
        <v>406</v>
      </c>
      <c r="O83" s="59">
        <v>46132</v>
      </c>
      <c r="P83" s="57"/>
      <c r="Q83" s="57"/>
      <c r="R83" s="61" t="s">
        <v>31</v>
      </c>
      <c r="S83" s="61" t="s">
        <v>84</v>
      </c>
    </row>
    <row r="84" spans="2:19" s="62" customFormat="1" ht="30" customHeight="1" outlineLevel="1" x14ac:dyDescent="0.25">
      <c r="B84" s="53"/>
      <c r="C84" s="58" t="s">
        <v>987</v>
      </c>
      <c r="D84" s="54" t="s">
        <v>892</v>
      </c>
      <c r="E84" s="64" t="s">
        <v>780</v>
      </c>
      <c r="F84" s="64" t="s">
        <v>893</v>
      </c>
      <c r="G84" s="63">
        <v>2</v>
      </c>
      <c r="H84" s="57" t="s">
        <v>61</v>
      </c>
      <c r="I84" s="54" t="s">
        <v>988</v>
      </c>
      <c r="J84" s="54" t="s">
        <v>989</v>
      </c>
      <c r="K84" s="54" t="s">
        <v>990</v>
      </c>
      <c r="L84" s="54" t="s">
        <v>991</v>
      </c>
      <c r="M84" s="58" t="s">
        <v>992</v>
      </c>
      <c r="N84" s="54" t="s">
        <v>898</v>
      </c>
      <c r="O84" s="59">
        <v>46132</v>
      </c>
      <c r="P84" s="57"/>
      <c r="Q84" s="57"/>
      <c r="R84" s="61" t="s">
        <v>31</v>
      </c>
      <c r="S84" s="61" t="s">
        <v>84</v>
      </c>
    </row>
    <row r="85" spans="2:19" s="62" customFormat="1" outlineLevel="1" x14ac:dyDescent="0.25">
      <c r="B85" s="53"/>
      <c r="C85" s="58">
        <v>144</v>
      </c>
      <c r="D85" s="54" t="s">
        <v>424</v>
      </c>
      <c r="E85" s="64" t="s">
        <v>780</v>
      </c>
      <c r="F85" s="64" t="s">
        <v>425</v>
      </c>
      <c r="G85" s="63">
        <v>1</v>
      </c>
      <c r="H85" s="57" t="s">
        <v>111</v>
      </c>
      <c r="I85" s="54" t="s">
        <v>426</v>
      </c>
      <c r="J85" s="54" t="s">
        <v>427</v>
      </c>
      <c r="K85" s="54" t="s">
        <v>428</v>
      </c>
      <c r="L85" s="54" t="s">
        <v>429</v>
      </c>
      <c r="M85" s="58" t="s">
        <v>429</v>
      </c>
      <c r="N85" s="54" t="s">
        <v>430</v>
      </c>
      <c r="O85" s="59">
        <v>46132</v>
      </c>
      <c r="P85" s="57"/>
      <c r="Q85" s="57"/>
      <c r="R85" s="61" t="s">
        <v>31</v>
      </c>
      <c r="S85" s="61" t="s">
        <v>84</v>
      </c>
    </row>
    <row r="86" spans="2:19" s="62" customFormat="1" ht="45" customHeight="1" outlineLevel="1" x14ac:dyDescent="0.25">
      <c r="B86" s="53"/>
      <c r="C86" s="58" t="s">
        <v>993</v>
      </c>
      <c r="D86" s="54" t="s">
        <v>431</v>
      </c>
      <c r="E86" s="54" t="s">
        <v>780</v>
      </c>
      <c r="F86" s="64" t="s">
        <v>432</v>
      </c>
      <c r="G86" s="63">
        <v>3</v>
      </c>
      <c r="H86" s="57" t="s">
        <v>152</v>
      </c>
      <c r="I86" s="54" t="s">
        <v>994</v>
      </c>
      <c r="J86" s="54" t="s">
        <v>995</v>
      </c>
      <c r="K86" s="54" t="s">
        <v>996</v>
      </c>
      <c r="L86" s="54" t="s">
        <v>436</v>
      </c>
      <c r="M86" s="58" t="s">
        <v>997</v>
      </c>
      <c r="N86" s="54" t="s">
        <v>438</v>
      </c>
      <c r="O86" s="59">
        <v>46132</v>
      </c>
      <c r="P86" s="57"/>
      <c r="Q86" s="57"/>
      <c r="R86" s="61" t="s">
        <v>31</v>
      </c>
      <c r="S86" s="61" t="s">
        <v>31</v>
      </c>
    </row>
    <row r="87" spans="2:19" s="62" customFormat="1" outlineLevel="1" x14ac:dyDescent="0.25">
      <c r="B87" s="53"/>
      <c r="C87" s="58">
        <v>146</v>
      </c>
      <c r="D87" s="54" t="s">
        <v>544</v>
      </c>
      <c r="E87" s="64" t="s">
        <v>780</v>
      </c>
      <c r="F87" s="64" t="s">
        <v>545</v>
      </c>
      <c r="G87" s="63">
        <v>1</v>
      </c>
      <c r="H87" s="57" t="s">
        <v>24</v>
      </c>
      <c r="I87" s="54" t="s">
        <v>546</v>
      </c>
      <c r="J87" s="54" t="s">
        <v>547</v>
      </c>
      <c r="K87" s="54" t="s">
        <v>548</v>
      </c>
      <c r="L87" s="54" t="s">
        <v>549</v>
      </c>
      <c r="M87" s="58" t="s">
        <v>550</v>
      </c>
      <c r="N87" s="54" t="s">
        <v>551</v>
      </c>
      <c r="O87" s="59">
        <v>46132</v>
      </c>
      <c r="P87" s="57"/>
      <c r="Q87" s="57"/>
      <c r="R87" s="61" t="s">
        <v>31</v>
      </c>
      <c r="S87" s="61" t="s">
        <v>31</v>
      </c>
    </row>
    <row r="88" spans="2:19" s="62" customFormat="1" ht="30" customHeight="1" outlineLevel="1" x14ac:dyDescent="0.25">
      <c r="B88" s="53"/>
      <c r="C88" s="58">
        <v>147</v>
      </c>
      <c r="D88" s="54" t="s">
        <v>439</v>
      </c>
      <c r="E88" s="64" t="s">
        <v>780</v>
      </c>
      <c r="F88" s="64" t="s">
        <v>440</v>
      </c>
      <c r="G88" s="63">
        <v>1</v>
      </c>
      <c r="H88" s="57" t="s">
        <v>152</v>
      </c>
      <c r="I88" s="54" t="s">
        <v>441</v>
      </c>
      <c r="J88" s="54" t="s">
        <v>442</v>
      </c>
      <c r="K88" s="54" t="s">
        <v>443</v>
      </c>
      <c r="L88" s="54" t="s">
        <v>444</v>
      </c>
      <c r="M88" s="58" t="s">
        <v>570</v>
      </c>
      <c r="N88" s="54" t="s">
        <v>446</v>
      </c>
      <c r="O88" s="59">
        <v>46132</v>
      </c>
      <c r="P88" s="57"/>
      <c r="Q88" s="57"/>
      <c r="R88" s="61" t="s">
        <v>31</v>
      </c>
      <c r="S88" s="61" t="s">
        <v>31</v>
      </c>
    </row>
    <row r="89" spans="2:19" s="62" customFormat="1" outlineLevel="1" x14ac:dyDescent="0.25">
      <c r="B89" s="53"/>
      <c r="C89" s="58">
        <v>148</v>
      </c>
      <c r="D89" s="54" t="s">
        <v>596</v>
      </c>
      <c r="E89" s="64" t="s">
        <v>780</v>
      </c>
      <c r="F89" s="64" t="s">
        <v>597</v>
      </c>
      <c r="G89" s="63">
        <v>1</v>
      </c>
      <c r="H89" s="57" t="s">
        <v>61</v>
      </c>
      <c r="I89" s="54" t="s">
        <v>598</v>
      </c>
      <c r="J89" s="54" t="s">
        <v>599</v>
      </c>
      <c r="K89" s="54" t="s">
        <v>600</v>
      </c>
      <c r="L89" s="54" t="s">
        <v>601</v>
      </c>
      <c r="M89" s="58" t="s">
        <v>602</v>
      </c>
      <c r="N89" s="54" t="s">
        <v>603</v>
      </c>
      <c r="O89" s="59">
        <v>46132</v>
      </c>
      <c r="P89" s="57"/>
      <c r="Q89" s="57"/>
      <c r="R89" s="61" t="s">
        <v>31</v>
      </c>
      <c r="S89" s="61" t="s">
        <v>84</v>
      </c>
    </row>
    <row r="90" spans="2:19" s="62" customFormat="1" outlineLevel="1" x14ac:dyDescent="0.25">
      <c r="B90" s="53"/>
      <c r="C90" s="58">
        <v>149</v>
      </c>
      <c r="D90" s="54" t="s">
        <v>463</v>
      </c>
      <c r="E90" s="64" t="s">
        <v>780</v>
      </c>
      <c r="F90" s="64" t="s">
        <v>464</v>
      </c>
      <c r="G90" s="63">
        <v>1</v>
      </c>
      <c r="H90" s="57" t="s">
        <v>152</v>
      </c>
      <c r="I90" s="54" t="s">
        <v>465</v>
      </c>
      <c r="J90" s="54" t="s">
        <v>466</v>
      </c>
      <c r="K90" s="54" t="s">
        <v>467</v>
      </c>
      <c r="L90" s="54" t="s">
        <v>468</v>
      </c>
      <c r="M90" s="58" t="s">
        <v>469</v>
      </c>
      <c r="N90" s="54" t="s">
        <v>470</v>
      </c>
      <c r="O90" s="59">
        <v>46132</v>
      </c>
      <c r="P90" s="57"/>
      <c r="Q90" s="57"/>
      <c r="R90" s="61" t="s">
        <v>31</v>
      </c>
      <c r="S90" s="61" t="s">
        <v>31</v>
      </c>
    </row>
    <row r="91" spans="2:19" s="62" customFormat="1" outlineLevel="1" x14ac:dyDescent="0.25">
      <c r="B91" s="53"/>
      <c r="C91" s="58">
        <v>150</v>
      </c>
      <c r="D91" s="54" t="s">
        <v>760</v>
      </c>
      <c r="E91" s="64" t="s">
        <v>780</v>
      </c>
      <c r="F91" s="64" t="s">
        <v>761</v>
      </c>
      <c r="G91" s="63">
        <v>1</v>
      </c>
      <c r="H91" s="57" t="s">
        <v>61</v>
      </c>
      <c r="I91" s="54" t="s">
        <v>762</v>
      </c>
      <c r="J91" s="54" t="s">
        <v>763</v>
      </c>
      <c r="K91" s="54" t="s">
        <v>764</v>
      </c>
      <c r="L91" s="54" t="s">
        <v>765</v>
      </c>
      <c r="M91" s="58" t="s">
        <v>765</v>
      </c>
      <c r="N91" s="54" t="s">
        <v>766</v>
      </c>
      <c r="O91" s="59">
        <v>46132</v>
      </c>
      <c r="P91" s="57"/>
      <c r="Q91" s="57"/>
      <c r="R91" s="61" t="s">
        <v>31</v>
      </c>
      <c r="S91" s="61" t="s">
        <v>84</v>
      </c>
    </row>
    <row r="92" spans="2:19" s="62" customFormat="1" outlineLevel="1" x14ac:dyDescent="0.25">
      <c r="B92" s="53"/>
      <c r="C92" s="58">
        <v>151</v>
      </c>
      <c r="D92" s="54" t="s">
        <v>471</v>
      </c>
      <c r="E92" s="64" t="s">
        <v>780</v>
      </c>
      <c r="F92" s="64" t="s">
        <v>472</v>
      </c>
      <c r="G92" s="63">
        <v>1</v>
      </c>
      <c r="H92" s="57" t="s">
        <v>111</v>
      </c>
      <c r="I92" s="54" t="s">
        <v>473</v>
      </c>
      <c r="J92" s="54" t="s">
        <v>474</v>
      </c>
      <c r="K92" s="54" t="s">
        <v>475</v>
      </c>
      <c r="L92" s="54" t="s">
        <v>476</v>
      </c>
      <c r="M92" s="58" t="s">
        <v>476</v>
      </c>
      <c r="N92" s="54" t="s">
        <v>477</v>
      </c>
      <c r="O92" s="59">
        <v>46132</v>
      </c>
      <c r="P92" s="57"/>
      <c r="Q92" s="57"/>
      <c r="R92" s="61" t="s">
        <v>31</v>
      </c>
      <c r="S92" s="61" t="s">
        <v>84</v>
      </c>
    </row>
    <row r="93" spans="2:19" s="62" customFormat="1" outlineLevel="1" x14ac:dyDescent="0.25">
      <c r="B93" s="53"/>
      <c r="C93" s="58">
        <v>152</v>
      </c>
      <c r="D93" s="54" t="s">
        <v>588</v>
      </c>
      <c r="E93" s="64" t="s">
        <v>780</v>
      </c>
      <c r="F93" s="64" t="s">
        <v>589</v>
      </c>
      <c r="G93" s="63">
        <v>1</v>
      </c>
      <c r="H93" s="57" t="s">
        <v>24</v>
      </c>
      <c r="I93" s="54" t="s">
        <v>590</v>
      </c>
      <c r="J93" s="54" t="s">
        <v>591</v>
      </c>
      <c r="K93" s="54" t="s">
        <v>592</v>
      </c>
      <c r="L93" s="54" t="s">
        <v>593</v>
      </c>
      <c r="M93" s="58" t="s">
        <v>594</v>
      </c>
      <c r="N93" s="54" t="s">
        <v>595</v>
      </c>
      <c r="O93" s="59">
        <v>46132</v>
      </c>
      <c r="P93" s="57"/>
      <c r="Q93" s="57"/>
      <c r="R93" s="61" t="s">
        <v>31</v>
      </c>
      <c r="S93" s="61" t="s">
        <v>31</v>
      </c>
    </row>
    <row r="94" spans="2:19" s="62" customFormat="1" outlineLevel="1" x14ac:dyDescent="0.25">
      <c r="B94" s="53"/>
      <c r="C94" s="58">
        <v>153</v>
      </c>
      <c r="D94" s="54" t="s">
        <v>486</v>
      </c>
      <c r="E94" s="64" t="s">
        <v>780</v>
      </c>
      <c r="F94" s="64" t="s">
        <v>487</v>
      </c>
      <c r="G94" s="63">
        <v>1</v>
      </c>
      <c r="H94" s="57" t="s">
        <v>152</v>
      </c>
      <c r="I94" s="54" t="s">
        <v>488</v>
      </c>
      <c r="J94" s="54" t="s">
        <v>489</v>
      </c>
      <c r="K94" s="54" t="s">
        <v>490</v>
      </c>
      <c r="L94" s="54" t="s">
        <v>491</v>
      </c>
      <c r="M94" s="58" t="s">
        <v>492</v>
      </c>
      <c r="N94" s="54" t="s">
        <v>493</v>
      </c>
      <c r="O94" s="59">
        <v>46132</v>
      </c>
      <c r="P94" s="57"/>
      <c r="Q94" s="57"/>
      <c r="R94" s="61" t="s">
        <v>31</v>
      </c>
      <c r="S94" s="61" t="s">
        <v>84</v>
      </c>
    </row>
    <row r="95" spans="2:19" s="62" customFormat="1" outlineLevel="1" x14ac:dyDescent="0.25">
      <c r="B95" s="53"/>
      <c r="C95" s="58">
        <v>154</v>
      </c>
      <c r="D95" s="54" t="s">
        <v>494</v>
      </c>
      <c r="E95" s="64" t="s">
        <v>780</v>
      </c>
      <c r="F95" s="64" t="s">
        <v>495</v>
      </c>
      <c r="G95" s="63">
        <v>1</v>
      </c>
      <c r="H95" s="57" t="s">
        <v>61</v>
      </c>
      <c r="I95" s="54" t="s">
        <v>496</v>
      </c>
      <c r="J95" s="54" t="s">
        <v>497</v>
      </c>
      <c r="K95" s="54" t="s">
        <v>498</v>
      </c>
      <c r="L95" s="54" t="s">
        <v>499</v>
      </c>
      <c r="M95" s="58" t="s">
        <v>500</v>
      </c>
      <c r="N95" s="54" t="s">
        <v>501</v>
      </c>
      <c r="O95" s="59">
        <v>46132</v>
      </c>
      <c r="P95" s="57"/>
      <c r="Q95" s="57"/>
      <c r="R95" s="61" t="s">
        <v>31</v>
      </c>
      <c r="S95" s="61" t="s">
        <v>84</v>
      </c>
    </row>
    <row r="96" spans="2:19" s="62" customFormat="1" outlineLevel="1" x14ac:dyDescent="0.25">
      <c r="B96" s="53"/>
      <c r="C96" s="58">
        <v>155</v>
      </c>
      <c r="D96" s="54" t="s">
        <v>502</v>
      </c>
      <c r="E96" s="64" t="s">
        <v>780</v>
      </c>
      <c r="F96" s="64" t="s">
        <v>503</v>
      </c>
      <c r="G96" s="63">
        <v>1</v>
      </c>
      <c r="H96" s="57" t="s">
        <v>61</v>
      </c>
      <c r="I96" s="54" t="s">
        <v>504</v>
      </c>
      <c r="J96" s="54" t="s">
        <v>505</v>
      </c>
      <c r="K96" s="54" t="s">
        <v>506</v>
      </c>
      <c r="L96" s="54" t="s">
        <v>283</v>
      </c>
      <c r="M96" s="58" t="s">
        <v>284</v>
      </c>
      <c r="N96" s="54" t="s">
        <v>507</v>
      </c>
      <c r="O96" s="59">
        <v>46132</v>
      </c>
      <c r="P96" s="57"/>
      <c r="Q96" s="57"/>
      <c r="R96" s="61" t="s">
        <v>31</v>
      </c>
      <c r="S96" s="61" t="s">
        <v>84</v>
      </c>
    </row>
    <row r="97" spans="2:19" s="62" customFormat="1" outlineLevel="1" x14ac:dyDescent="0.25">
      <c r="B97" s="53"/>
      <c r="C97" s="58">
        <v>156</v>
      </c>
      <c r="D97" s="54" t="s">
        <v>508</v>
      </c>
      <c r="E97" s="64" t="s">
        <v>780</v>
      </c>
      <c r="F97" s="64" t="s">
        <v>509</v>
      </c>
      <c r="G97" s="63">
        <v>1</v>
      </c>
      <c r="H97" s="57" t="s">
        <v>61</v>
      </c>
      <c r="I97" s="54" t="s">
        <v>510</v>
      </c>
      <c r="J97" s="54" t="s">
        <v>511</v>
      </c>
      <c r="K97" s="54" t="s">
        <v>512</v>
      </c>
      <c r="L97" s="54" t="s">
        <v>513</v>
      </c>
      <c r="M97" s="58" t="s">
        <v>514</v>
      </c>
      <c r="N97" s="54" t="s">
        <v>515</v>
      </c>
      <c r="O97" s="59">
        <v>46132</v>
      </c>
      <c r="P97" s="57"/>
      <c r="Q97" s="57"/>
      <c r="R97" s="61" t="s">
        <v>31</v>
      </c>
      <c r="S97" s="61" t="s">
        <v>31</v>
      </c>
    </row>
    <row r="98" spans="2:19" s="62" customFormat="1" outlineLevel="1" x14ac:dyDescent="0.25">
      <c r="B98" s="53"/>
      <c r="C98" s="58">
        <v>157</v>
      </c>
      <c r="D98" s="54" t="s">
        <v>644</v>
      </c>
      <c r="E98" s="64" t="s">
        <v>780</v>
      </c>
      <c r="F98" s="64" t="s">
        <v>645</v>
      </c>
      <c r="G98" s="63">
        <v>1</v>
      </c>
      <c r="H98" s="57" t="s">
        <v>61</v>
      </c>
      <c r="I98" s="54" t="s">
        <v>646</v>
      </c>
      <c r="J98" s="54" t="s">
        <v>647</v>
      </c>
      <c r="K98" s="54" t="s">
        <v>648</v>
      </c>
      <c r="L98" s="54" t="s">
        <v>649</v>
      </c>
      <c r="M98" s="58" t="s">
        <v>650</v>
      </c>
      <c r="N98" s="54"/>
      <c r="O98" s="59">
        <v>46132</v>
      </c>
      <c r="P98" s="57"/>
      <c r="Q98" s="57"/>
      <c r="R98" s="61" t="s">
        <v>31</v>
      </c>
      <c r="S98" s="61" t="s">
        <v>793</v>
      </c>
    </row>
    <row r="99" spans="2:19" s="33" customFormat="1" x14ac:dyDescent="0.25">
      <c r="B99" s="42"/>
      <c r="C99" s="45"/>
      <c r="D99" s="43"/>
      <c r="E99" s="28" t="s">
        <v>998</v>
      </c>
      <c r="F99" s="52"/>
      <c r="G99" s="32">
        <f>SUM(G100:G127)</f>
        <v>77</v>
      </c>
      <c r="H99" s="43"/>
      <c r="I99" s="43"/>
      <c r="J99" s="34"/>
      <c r="K99" s="38"/>
      <c r="L99" s="35"/>
      <c r="M99" s="45"/>
      <c r="N99" s="36"/>
      <c r="O99" s="42"/>
      <c r="P99" s="42"/>
      <c r="Q99" s="42"/>
      <c r="R99" s="32" t="s">
        <v>31</v>
      </c>
      <c r="S99" s="42"/>
    </row>
    <row r="100" spans="2:19" s="62" customFormat="1" outlineLevel="1" x14ac:dyDescent="0.25">
      <c r="B100" s="53"/>
      <c r="C100" s="58">
        <v>158</v>
      </c>
      <c r="D100" s="54" t="s">
        <v>34</v>
      </c>
      <c r="E100" s="64" t="s">
        <v>998</v>
      </c>
      <c r="F100" s="64" t="s">
        <v>35</v>
      </c>
      <c r="G100" s="63">
        <v>2</v>
      </c>
      <c r="H100" s="57" t="s">
        <v>36</v>
      </c>
      <c r="I100" s="54" t="s">
        <v>37</v>
      </c>
      <c r="J100" s="54" t="s">
        <v>38</v>
      </c>
      <c r="K100" s="54" t="s">
        <v>39</v>
      </c>
      <c r="L100" s="54" t="s">
        <v>40</v>
      </c>
      <c r="M100" s="58" t="s">
        <v>858</v>
      </c>
      <c r="N100" s="54" t="s">
        <v>42</v>
      </c>
      <c r="O100" s="59">
        <v>46139</v>
      </c>
      <c r="P100" s="57"/>
      <c r="Q100" s="57"/>
      <c r="R100" s="61" t="s">
        <v>31</v>
      </c>
      <c r="S100" s="61" t="s">
        <v>31</v>
      </c>
    </row>
    <row r="101" spans="2:19" s="62" customFormat="1" outlineLevel="1" x14ac:dyDescent="0.25">
      <c r="B101" s="53"/>
      <c r="C101" s="58">
        <v>159</v>
      </c>
      <c r="D101" s="54" t="s">
        <v>562</v>
      </c>
      <c r="E101" s="64" t="s">
        <v>998</v>
      </c>
      <c r="F101" s="64" t="s">
        <v>563</v>
      </c>
      <c r="G101" s="63">
        <v>1</v>
      </c>
      <c r="H101" s="57" t="s">
        <v>61</v>
      </c>
      <c r="I101" s="54" t="s">
        <v>564</v>
      </c>
      <c r="J101" s="54" t="s">
        <v>565</v>
      </c>
      <c r="K101" s="54" t="s">
        <v>566</v>
      </c>
      <c r="L101" s="54" t="s">
        <v>567</v>
      </c>
      <c r="M101" s="58" t="s">
        <v>568</v>
      </c>
      <c r="N101" s="54" t="s">
        <v>569</v>
      </c>
      <c r="O101" s="59">
        <v>46139</v>
      </c>
      <c r="P101" s="57"/>
      <c r="Q101" s="57"/>
      <c r="R101" s="61" t="s">
        <v>31</v>
      </c>
      <c r="S101" s="61" t="s">
        <v>31</v>
      </c>
    </row>
    <row r="102" spans="2:19" s="62" customFormat="1" ht="36" customHeight="1" outlineLevel="1" x14ac:dyDescent="0.25">
      <c r="B102" s="53"/>
      <c r="C102" s="58" t="s">
        <v>999</v>
      </c>
      <c r="D102" s="54" t="s">
        <v>68</v>
      </c>
      <c r="E102" s="64" t="s">
        <v>998</v>
      </c>
      <c r="F102" s="64" t="s">
        <v>69</v>
      </c>
      <c r="G102" s="63">
        <v>10</v>
      </c>
      <c r="H102" s="57" t="s">
        <v>61</v>
      </c>
      <c r="I102" s="54" t="s">
        <v>1000</v>
      </c>
      <c r="J102" s="54" t="s">
        <v>1001</v>
      </c>
      <c r="K102" s="54" t="s">
        <v>1002</v>
      </c>
      <c r="L102" s="54" t="s">
        <v>73</v>
      </c>
      <c r="M102" s="58" t="s">
        <v>1003</v>
      </c>
      <c r="N102" s="54" t="s">
        <v>74</v>
      </c>
      <c r="O102" s="59">
        <v>46139</v>
      </c>
      <c r="P102" s="57"/>
      <c r="Q102" s="57"/>
      <c r="R102" s="61" t="s">
        <v>31</v>
      </c>
      <c r="S102" s="61" t="s">
        <v>31</v>
      </c>
    </row>
    <row r="103" spans="2:19" s="62" customFormat="1" ht="45" customHeight="1" outlineLevel="1" x14ac:dyDescent="0.25">
      <c r="B103" s="53"/>
      <c r="C103" s="58" t="s">
        <v>1004</v>
      </c>
      <c r="D103" s="54" t="s">
        <v>75</v>
      </c>
      <c r="E103" s="64" t="s">
        <v>998</v>
      </c>
      <c r="F103" s="64" t="s">
        <v>76</v>
      </c>
      <c r="G103" s="63">
        <v>4</v>
      </c>
      <c r="H103" s="57" t="s">
        <v>77</v>
      </c>
      <c r="I103" s="54" t="s">
        <v>1005</v>
      </c>
      <c r="J103" s="54" t="s">
        <v>1006</v>
      </c>
      <c r="K103" s="54" t="s">
        <v>1007</v>
      </c>
      <c r="L103" s="54" t="s">
        <v>81</v>
      </c>
      <c r="M103" s="58" t="s">
        <v>1008</v>
      </c>
      <c r="N103" s="54" t="s">
        <v>83</v>
      </c>
      <c r="O103" s="59">
        <v>46139</v>
      </c>
      <c r="P103" s="57"/>
      <c r="Q103" s="57"/>
      <c r="R103" s="61" t="s">
        <v>31</v>
      </c>
      <c r="S103" s="61" t="s">
        <v>84</v>
      </c>
    </row>
    <row r="104" spans="2:19" s="62" customFormat="1" outlineLevel="1" x14ac:dyDescent="0.25">
      <c r="B104" s="53"/>
      <c r="C104" s="58">
        <v>162</v>
      </c>
      <c r="D104" s="54" t="s">
        <v>580</v>
      </c>
      <c r="E104" s="64" t="s">
        <v>998</v>
      </c>
      <c r="F104" s="64" t="s">
        <v>581</v>
      </c>
      <c r="G104" s="63">
        <v>1</v>
      </c>
      <c r="H104" s="57" t="s">
        <v>61</v>
      </c>
      <c r="I104" s="54" t="s">
        <v>582</v>
      </c>
      <c r="J104" s="54" t="s">
        <v>583</v>
      </c>
      <c r="K104" s="54" t="s">
        <v>584</v>
      </c>
      <c r="L104" s="54" t="s">
        <v>585</v>
      </c>
      <c r="M104" s="58" t="s">
        <v>1009</v>
      </c>
      <c r="N104" s="54" t="s">
        <v>587</v>
      </c>
      <c r="O104" s="59">
        <v>46139</v>
      </c>
      <c r="P104" s="57"/>
      <c r="Q104" s="57"/>
      <c r="R104" s="61" t="s">
        <v>31</v>
      </c>
      <c r="S104" s="61" t="s">
        <v>84</v>
      </c>
    </row>
    <row r="105" spans="2:19" s="62" customFormat="1" outlineLevel="1" x14ac:dyDescent="0.25">
      <c r="B105" s="53"/>
      <c r="C105" s="58">
        <v>163</v>
      </c>
      <c r="D105" s="54" t="s">
        <v>626</v>
      </c>
      <c r="E105" s="64" t="s">
        <v>998</v>
      </c>
      <c r="F105" s="64" t="s">
        <v>627</v>
      </c>
      <c r="G105" s="63">
        <v>2</v>
      </c>
      <c r="H105" s="57" t="s">
        <v>152</v>
      </c>
      <c r="I105" s="54" t="s">
        <v>628</v>
      </c>
      <c r="J105" s="54" t="s">
        <v>629</v>
      </c>
      <c r="K105" s="54" t="s">
        <v>630</v>
      </c>
      <c r="L105" s="54" t="s">
        <v>631</v>
      </c>
      <c r="M105" s="58" t="s">
        <v>632</v>
      </c>
      <c r="N105" s="54" t="s">
        <v>633</v>
      </c>
      <c r="O105" s="59">
        <v>46139</v>
      </c>
      <c r="P105" s="57"/>
      <c r="Q105" s="57"/>
      <c r="R105" s="61" t="s">
        <v>31</v>
      </c>
      <c r="S105" s="61" t="s">
        <v>84</v>
      </c>
    </row>
    <row r="106" spans="2:19" s="62" customFormat="1" outlineLevel="1" x14ac:dyDescent="0.25">
      <c r="B106" s="53"/>
      <c r="C106" s="58">
        <v>164</v>
      </c>
      <c r="D106" s="54" t="s">
        <v>102</v>
      </c>
      <c r="E106" s="64" t="s">
        <v>998</v>
      </c>
      <c r="F106" s="64" t="s">
        <v>103</v>
      </c>
      <c r="G106" s="63">
        <v>2</v>
      </c>
      <c r="H106" s="57" t="s">
        <v>61</v>
      </c>
      <c r="I106" s="54" t="s">
        <v>104</v>
      </c>
      <c r="J106" s="54" t="s">
        <v>105</v>
      </c>
      <c r="K106" s="54" t="s">
        <v>106</v>
      </c>
      <c r="L106" s="54" t="s">
        <v>107</v>
      </c>
      <c r="M106" s="58" t="s">
        <v>107</v>
      </c>
      <c r="N106" s="54" t="s">
        <v>108</v>
      </c>
      <c r="O106" s="59">
        <v>46139</v>
      </c>
      <c r="P106" s="57"/>
      <c r="Q106" s="57"/>
      <c r="R106" s="61" t="s">
        <v>31</v>
      </c>
      <c r="S106" s="61" t="s">
        <v>84</v>
      </c>
    </row>
    <row r="107" spans="2:19" s="62" customFormat="1" outlineLevel="1" x14ac:dyDescent="0.25">
      <c r="B107" s="53"/>
      <c r="C107" s="58">
        <v>165</v>
      </c>
      <c r="D107" s="54" t="s">
        <v>109</v>
      </c>
      <c r="E107" s="64" t="s">
        <v>998</v>
      </c>
      <c r="F107" s="64" t="s">
        <v>110</v>
      </c>
      <c r="G107" s="63">
        <v>6</v>
      </c>
      <c r="H107" s="57" t="s">
        <v>111</v>
      </c>
      <c r="I107" s="54" t="s">
        <v>112</v>
      </c>
      <c r="J107" s="54" t="s">
        <v>113</v>
      </c>
      <c r="K107" s="54" t="s">
        <v>114</v>
      </c>
      <c r="L107" s="54" t="s">
        <v>115</v>
      </c>
      <c r="M107" s="58" t="s">
        <v>115</v>
      </c>
      <c r="N107" s="54" t="s">
        <v>116</v>
      </c>
      <c r="O107" s="59">
        <v>46139</v>
      </c>
      <c r="P107" s="57"/>
      <c r="Q107" s="57"/>
      <c r="R107" s="61" t="s">
        <v>31</v>
      </c>
      <c r="S107" s="61" t="s">
        <v>84</v>
      </c>
    </row>
    <row r="108" spans="2:19" s="62" customFormat="1" outlineLevel="1" x14ac:dyDescent="0.25">
      <c r="B108" s="53"/>
      <c r="C108" s="58">
        <v>166</v>
      </c>
      <c r="D108" s="54" t="s">
        <v>182</v>
      </c>
      <c r="E108" s="64" t="s">
        <v>998</v>
      </c>
      <c r="F108" s="64" t="s">
        <v>183</v>
      </c>
      <c r="G108" s="63">
        <v>1</v>
      </c>
      <c r="H108" s="57" t="s">
        <v>111</v>
      </c>
      <c r="I108" s="54" t="s">
        <v>184</v>
      </c>
      <c r="J108" s="54" t="s">
        <v>185</v>
      </c>
      <c r="K108" s="54" t="s">
        <v>186</v>
      </c>
      <c r="L108" s="54" t="s">
        <v>187</v>
      </c>
      <c r="M108" s="58" t="s">
        <v>188</v>
      </c>
      <c r="N108" s="54" t="s">
        <v>189</v>
      </c>
      <c r="O108" s="59">
        <v>46139</v>
      </c>
      <c r="P108" s="57"/>
      <c r="Q108" s="57"/>
      <c r="R108" s="61" t="s">
        <v>31</v>
      </c>
      <c r="S108" s="61" t="s">
        <v>84</v>
      </c>
    </row>
    <row r="109" spans="2:19" s="62" customFormat="1" ht="36" customHeight="1" outlineLevel="1" x14ac:dyDescent="0.25">
      <c r="B109" s="53"/>
      <c r="C109" s="58" t="s">
        <v>1010</v>
      </c>
      <c r="D109" s="54" t="s">
        <v>190</v>
      </c>
      <c r="E109" s="64" t="s">
        <v>998</v>
      </c>
      <c r="F109" s="64" t="s">
        <v>191</v>
      </c>
      <c r="G109" s="63">
        <v>2</v>
      </c>
      <c r="H109" s="57" t="s">
        <v>24</v>
      </c>
      <c r="I109" s="65" t="s">
        <v>1011</v>
      </c>
      <c r="J109" s="65" t="s">
        <v>1012</v>
      </c>
      <c r="K109" s="65" t="s">
        <v>1013</v>
      </c>
      <c r="L109" s="54" t="s">
        <v>195</v>
      </c>
      <c r="M109" s="58" t="s">
        <v>1014</v>
      </c>
      <c r="N109" s="54" t="s">
        <v>197</v>
      </c>
      <c r="O109" s="59">
        <v>46139</v>
      </c>
      <c r="P109" s="57"/>
      <c r="Q109" s="57"/>
      <c r="R109" s="61" t="s">
        <v>31</v>
      </c>
      <c r="S109" s="61" t="s">
        <v>31</v>
      </c>
    </row>
    <row r="110" spans="2:19" s="62" customFormat="1" outlineLevel="1" x14ac:dyDescent="0.25">
      <c r="B110" s="53"/>
      <c r="C110" s="58">
        <v>168</v>
      </c>
      <c r="D110" s="54" t="s">
        <v>198</v>
      </c>
      <c r="E110" s="64" t="s">
        <v>998</v>
      </c>
      <c r="F110" s="64" t="s">
        <v>199</v>
      </c>
      <c r="G110" s="63">
        <v>7</v>
      </c>
      <c r="H110" s="57" t="s">
        <v>200</v>
      </c>
      <c r="I110" s="54" t="s">
        <v>201</v>
      </c>
      <c r="J110" s="54" t="s">
        <v>202</v>
      </c>
      <c r="K110" s="54" t="s">
        <v>203</v>
      </c>
      <c r="L110" s="54" t="s">
        <v>204</v>
      </c>
      <c r="M110" s="58" t="s">
        <v>1015</v>
      </c>
      <c r="N110" s="54" t="s">
        <v>206</v>
      </c>
      <c r="O110" s="59">
        <v>46139</v>
      </c>
      <c r="P110" s="57"/>
      <c r="Q110" s="57"/>
      <c r="R110" s="61" t="s">
        <v>31</v>
      </c>
      <c r="S110" s="61" t="s">
        <v>84</v>
      </c>
    </row>
    <row r="111" spans="2:19" s="62" customFormat="1" outlineLevel="1" x14ac:dyDescent="0.25">
      <c r="B111" s="53"/>
      <c r="C111" s="58">
        <v>169</v>
      </c>
      <c r="D111" s="54" t="s">
        <v>207</v>
      </c>
      <c r="E111" s="64" t="s">
        <v>998</v>
      </c>
      <c r="F111" s="64" t="s">
        <v>208</v>
      </c>
      <c r="G111" s="63">
        <v>3</v>
      </c>
      <c r="H111" s="57" t="s">
        <v>61</v>
      </c>
      <c r="I111" s="54" t="s">
        <v>209</v>
      </c>
      <c r="J111" s="54" t="s">
        <v>210</v>
      </c>
      <c r="K111" s="54" t="s">
        <v>211</v>
      </c>
      <c r="L111" s="54" t="s">
        <v>212</v>
      </c>
      <c r="M111" s="58" t="s">
        <v>213</v>
      </c>
      <c r="N111" s="54" t="s">
        <v>214</v>
      </c>
      <c r="O111" s="59">
        <v>46139</v>
      </c>
      <c r="P111" s="57"/>
      <c r="Q111" s="57"/>
      <c r="R111" s="61" t="s">
        <v>31</v>
      </c>
      <c r="S111" s="61" t="s">
        <v>31</v>
      </c>
    </row>
    <row r="112" spans="2:19" s="62" customFormat="1" outlineLevel="1" x14ac:dyDescent="0.25">
      <c r="B112" s="53"/>
      <c r="C112" s="58">
        <v>170</v>
      </c>
      <c r="D112" s="54" t="s">
        <v>715</v>
      </c>
      <c r="E112" s="64" t="s">
        <v>998</v>
      </c>
      <c r="F112" s="64" t="s">
        <v>716</v>
      </c>
      <c r="G112" s="63">
        <v>1</v>
      </c>
      <c r="H112" s="57" t="s">
        <v>717</v>
      </c>
      <c r="I112" s="54" t="s">
        <v>718</v>
      </c>
      <c r="J112" s="54" t="s">
        <v>719</v>
      </c>
      <c r="K112" s="54" t="s">
        <v>720</v>
      </c>
      <c r="L112" s="54" t="s">
        <v>721</v>
      </c>
      <c r="M112" s="58" t="s">
        <v>722</v>
      </c>
      <c r="N112" s="54" t="s">
        <v>723</v>
      </c>
      <c r="O112" s="59">
        <v>46139</v>
      </c>
      <c r="P112" s="57"/>
      <c r="Q112" s="57"/>
      <c r="R112" s="61" t="s">
        <v>31</v>
      </c>
      <c r="S112" s="61" t="s">
        <v>31</v>
      </c>
    </row>
    <row r="113" spans="2:19" s="62" customFormat="1" outlineLevel="1" x14ac:dyDescent="0.25">
      <c r="B113" s="53"/>
      <c r="C113" s="58">
        <v>171</v>
      </c>
      <c r="D113" s="54" t="s">
        <v>278</v>
      </c>
      <c r="E113" s="64" t="s">
        <v>998</v>
      </c>
      <c r="F113" s="64" t="s">
        <v>279</v>
      </c>
      <c r="G113" s="63">
        <v>2</v>
      </c>
      <c r="H113" s="57" t="s">
        <v>61</v>
      </c>
      <c r="I113" s="54" t="s">
        <v>280</v>
      </c>
      <c r="J113" s="54" t="s">
        <v>281</v>
      </c>
      <c r="K113" s="54" t="s">
        <v>282</v>
      </c>
      <c r="L113" s="54" t="s">
        <v>283</v>
      </c>
      <c r="M113" s="58" t="s">
        <v>284</v>
      </c>
      <c r="N113" s="54" t="s">
        <v>285</v>
      </c>
      <c r="O113" s="59">
        <v>46139</v>
      </c>
      <c r="P113" s="57"/>
      <c r="Q113" s="57"/>
      <c r="R113" s="61" t="s">
        <v>31</v>
      </c>
      <c r="S113" s="61" t="s">
        <v>31</v>
      </c>
    </row>
    <row r="114" spans="2:19" s="62" customFormat="1" outlineLevel="1" x14ac:dyDescent="0.25">
      <c r="B114" s="53"/>
      <c r="C114" s="58">
        <v>172</v>
      </c>
      <c r="D114" s="54" t="s">
        <v>334</v>
      </c>
      <c r="E114" s="64" t="s">
        <v>998</v>
      </c>
      <c r="F114" s="64" t="s">
        <v>335</v>
      </c>
      <c r="G114" s="63">
        <v>2</v>
      </c>
      <c r="H114" s="57" t="s">
        <v>61</v>
      </c>
      <c r="I114" s="54" t="s">
        <v>336</v>
      </c>
      <c r="J114" s="54" t="s">
        <v>337</v>
      </c>
      <c r="K114" s="54" t="s">
        <v>338</v>
      </c>
      <c r="L114" s="54" t="s">
        <v>339</v>
      </c>
      <c r="M114" s="58" t="s">
        <v>543</v>
      </c>
      <c r="N114" s="54" t="s">
        <v>341</v>
      </c>
      <c r="O114" s="59">
        <v>46139</v>
      </c>
      <c r="P114" s="74"/>
      <c r="Q114" s="57"/>
      <c r="R114" s="61" t="s">
        <v>31</v>
      </c>
      <c r="S114" s="61" t="s">
        <v>84</v>
      </c>
    </row>
    <row r="115" spans="2:19" s="62" customFormat="1" outlineLevel="1" x14ac:dyDescent="0.25">
      <c r="B115" s="53"/>
      <c r="C115" s="58">
        <v>173</v>
      </c>
      <c r="D115" s="54" t="s">
        <v>802</v>
      </c>
      <c r="E115" s="64" t="s">
        <v>998</v>
      </c>
      <c r="F115" s="64" t="s">
        <v>803</v>
      </c>
      <c r="G115" s="63">
        <v>10</v>
      </c>
      <c r="H115" s="57" t="s">
        <v>804</v>
      </c>
      <c r="I115" s="54" t="s">
        <v>805</v>
      </c>
      <c r="J115" s="54" t="s">
        <v>806</v>
      </c>
      <c r="K115" s="53" t="s">
        <v>807</v>
      </c>
      <c r="L115" s="54" t="s">
        <v>808</v>
      </c>
      <c r="M115" s="58" t="s">
        <v>809</v>
      </c>
      <c r="N115" s="54" t="s">
        <v>810</v>
      </c>
      <c r="O115" s="59">
        <v>46139</v>
      </c>
      <c r="P115" s="74"/>
      <c r="Q115" s="57"/>
      <c r="R115" s="61" t="s">
        <v>31</v>
      </c>
      <c r="S115" s="61" t="s">
        <v>84</v>
      </c>
    </row>
    <row r="116" spans="2:19" s="62" customFormat="1" outlineLevel="1" x14ac:dyDescent="0.25">
      <c r="B116" s="53"/>
      <c r="C116" s="58">
        <v>174</v>
      </c>
      <c r="D116" s="54" t="s">
        <v>366</v>
      </c>
      <c r="E116" s="64" t="s">
        <v>998</v>
      </c>
      <c r="F116" s="64" t="s">
        <v>367</v>
      </c>
      <c r="G116" s="63">
        <v>1</v>
      </c>
      <c r="H116" s="57" t="s">
        <v>368</v>
      </c>
      <c r="I116" s="54" t="s">
        <v>369</v>
      </c>
      <c r="J116" s="54" t="s">
        <v>370</v>
      </c>
      <c r="K116" s="54" t="s">
        <v>371</v>
      </c>
      <c r="L116" s="54" t="s">
        <v>372</v>
      </c>
      <c r="M116" s="58" t="s">
        <v>682</v>
      </c>
      <c r="N116" s="54" t="s">
        <v>374</v>
      </c>
      <c r="O116" s="59">
        <v>46139</v>
      </c>
      <c r="P116" s="74"/>
      <c r="Q116" s="57"/>
      <c r="R116" s="61" t="s">
        <v>31</v>
      </c>
      <c r="S116" s="61" t="s">
        <v>84</v>
      </c>
    </row>
    <row r="117" spans="2:19" s="62" customFormat="1" outlineLevel="1" x14ac:dyDescent="0.25">
      <c r="B117" s="53"/>
      <c r="C117" s="58">
        <v>175</v>
      </c>
      <c r="D117" s="54" t="s">
        <v>734</v>
      </c>
      <c r="E117" s="64" t="s">
        <v>998</v>
      </c>
      <c r="F117" s="64" t="s">
        <v>735</v>
      </c>
      <c r="G117" s="63">
        <v>2</v>
      </c>
      <c r="H117" s="57" t="s">
        <v>736</v>
      </c>
      <c r="I117" s="54" t="s">
        <v>737</v>
      </c>
      <c r="J117" s="54" t="s">
        <v>738</v>
      </c>
      <c r="K117" s="54" t="s">
        <v>739</v>
      </c>
      <c r="L117" s="54" t="s">
        <v>740</v>
      </c>
      <c r="M117" s="58" t="s">
        <v>741</v>
      </c>
      <c r="N117" s="54" t="s">
        <v>742</v>
      </c>
      <c r="O117" s="59">
        <v>46139</v>
      </c>
      <c r="P117" s="74"/>
      <c r="Q117" s="57"/>
      <c r="R117" s="61" t="s">
        <v>31</v>
      </c>
      <c r="S117" s="61" t="s">
        <v>84</v>
      </c>
    </row>
    <row r="118" spans="2:19" s="62" customFormat="1" outlineLevel="1" x14ac:dyDescent="0.25">
      <c r="B118" s="53"/>
      <c r="C118" s="58">
        <v>176</v>
      </c>
      <c r="D118" s="54" t="s">
        <v>375</v>
      </c>
      <c r="E118" s="64" t="s">
        <v>998</v>
      </c>
      <c r="F118" s="64" t="s">
        <v>376</v>
      </c>
      <c r="G118" s="63">
        <v>1</v>
      </c>
      <c r="H118" s="57" t="s">
        <v>111</v>
      </c>
      <c r="I118" s="54" t="s">
        <v>473</v>
      </c>
      <c r="J118" s="54" t="s">
        <v>878</v>
      </c>
      <c r="K118" s="54" t="s">
        <v>475</v>
      </c>
      <c r="L118" s="54" t="s">
        <v>380</v>
      </c>
      <c r="M118" s="58" t="s">
        <v>381</v>
      </c>
      <c r="N118" s="54" t="s">
        <v>382</v>
      </c>
      <c r="O118" s="59">
        <v>46139</v>
      </c>
      <c r="P118" s="74"/>
      <c r="Q118" s="57"/>
      <c r="R118" s="61" t="s">
        <v>31</v>
      </c>
      <c r="S118" s="61" t="s">
        <v>31</v>
      </c>
    </row>
    <row r="119" spans="2:19" s="62" customFormat="1" outlineLevel="1" x14ac:dyDescent="0.25">
      <c r="B119" s="53"/>
      <c r="C119" s="58">
        <v>177</v>
      </c>
      <c r="D119" s="54" t="s">
        <v>407</v>
      </c>
      <c r="E119" s="64" t="s">
        <v>998</v>
      </c>
      <c r="F119" s="64" t="s">
        <v>408</v>
      </c>
      <c r="G119" s="63">
        <v>1</v>
      </c>
      <c r="H119" s="57" t="s">
        <v>61</v>
      </c>
      <c r="I119" s="54" t="s">
        <v>409</v>
      </c>
      <c r="J119" s="54" t="s">
        <v>410</v>
      </c>
      <c r="K119" s="54" t="s">
        <v>411</v>
      </c>
      <c r="L119" s="54" t="s">
        <v>412</v>
      </c>
      <c r="M119" s="58" t="s">
        <v>552</v>
      </c>
      <c r="N119" s="54" t="s">
        <v>414</v>
      </c>
      <c r="O119" s="59">
        <v>46139</v>
      </c>
      <c r="P119" s="74"/>
      <c r="Q119" s="57"/>
      <c r="R119" s="61" t="s">
        <v>31</v>
      </c>
      <c r="S119" s="61" t="s">
        <v>84</v>
      </c>
    </row>
    <row r="120" spans="2:19" s="62" customFormat="1" outlineLevel="1" x14ac:dyDescent="0.25">
      <c r="B120" s="53"/>
      <c r="C120" s="58">
        <v>178</v>
      </c>
      <c r="D120" s="54" t="s">
        <v>1016</v>
      </c>
      <c r="E120" s="64" t="s">
        <v>998</v>
      </c>
      <c r="F120" s="64" t="s">
        <v>919</v>
      </c>
      <c r="G120" s="63">
        <v>2</v>
      </c>
      <c r="H120" s="57" t="s">
        <v>61</v>
      </c>
      <c r="I120" s="54" t="s">
        <v>1017</v>
      </c>
      <c r="J120" s="54" t="s">
        <v>1018</v>
      </c>
      <c r="K120" s="54" t="s">
        <v>1019</v>
      </c>
      <c r="L120" s="54" t="s">
        <v>1020</v>
      </c>
      <c r="M120" s="58" t="s">
        <v>1021</v>
      </c>
      <c r="N120" s="54" t="s">
        <v>1022</v>
      </c>
      <c r="O120" s="59">
        <v>46139</v>
      </c>
      <c r="P120" s="74"/>
      <c r="Q120" s="57"/>
      <c r="R120" s="61" t="s">
        <v>31</v>
      </c>
      <c r="S120" s="61" t="s">
        <v>31</v>
      </c>
    </row>
    <row r="121" spans="2:19" s="62" customFormat="1" ht="30" customHeight="1" outlineLevel="1" x14ac:dyDescent="0.25">
      <c r="B121" s="53"/>
      <c r="C121" s="58" t="s">
        <v>1023</v>
      </c>
      <c r="D121" s="54" t="s">
        <v>431</v>
      </c>
      <c r="E121" s="54" t="s">
        <v>998</v>
      </c>
      <c r="F121" s="64" t="s">
        <v>432</v>
      </c>
      <c r="G121" s="63">
        <v>5</v>
      </c>
      <c r="H121" s="57" t="s">
        <v>152</v>
      </c>
      <c r="I121" s="54" t="s">
        <v>1024</v>
      </c>
      <c r="J121" s="54" t="s">
        <v>1025</v>
      </c>
      <c r="K121" s="54" t="s">
        <v>1026</v>
      </c>
      <c r="L121" s="54" t="s">
        <v>436</v>
      </c>
      <c r="M121" s="58" t="s">
        <v>1027</v>
      </c>
      <c r="N121" s="54" t="s">
        <v>438</v>
      </c>
      <c r="O121" s="59">
        <v>46139</v>
      </c>
      <c r="P121" s="74"/>
      <c r="Q121" s="57"/>
      <c r="R121" s="61" t="s">
        <v>31</v>
      </c>
      <c r="S121" s="61" t="s">
        <v>31</v>
      </c>
    </row>
    <row r="122" spans="2:19" s="62" customFormat="1" outlineLevel="1" x14ac:dyDescent="0.25">
      <c r="B122" s="53"/>
      <c r="C122" s="58">
        <v>180</v>
      </c>
      <c r="D122" s="54" t="s">
        <v>439</v>
      </c>
      <c r="E122" s="64" t="s">
        <v>998</v>
      </c>
      <c r="F122" s="64" t="s">
        <v>440</v>
      </c>
      <c r="G122" s="63">
        <v>1</v>
      </c>
      <c r="H122" s="57" t="s">
        <v>152</v>
      </c>
      <c r="I122" s="54" t="s">
        <v>1028</v>
      </c>
      <c r="J122" s="54" t="s">
        <v>1029</v>
      </c>
      <c r="K122" s="53" t="s">
        <v>1030</v>
      </c>
      <c r="L122" s="54" t="s">
        <v>444</v>
      </c>
      <c r="M122" s="58" t="s">
        <v>1031</v>
      </c>
      <c r="N122" s="54" t="s">
        <v>446</v>
      </c>
      <c r="O122" s="59">
        <v>46139</v>
      </c>
      <c r="P122" s="74"/>
      <c r="Q122" s="57"/>
      <c r="R122" s="61" t="s">
        <v>31</v>
      </c>
      <c r="S122" s="61" t="s">
        <v>31</v>
      </c>
    </row>
    <row r="123" spans="2:19" s="62" customFormat="1" outlineLevel="1" x14ac:dyDescent="0.25">
      <c r="B123" s="53"/>
      <c r="C123" s="58">
        <v>181</v>
      </c>
      <c r="D123" s="54" t="s">
        <v>447</v>
      </c>
      <c r="E123" s="64" t="s">
        <v>998</v>
      </c>
      <c r="F123" s="64" t="s">
        <v>448</v>
      </c>
      <c r="G123" s="63">
        <v>2</v>
      </c>
      <c r="H123" s="57" t="s">
        <v>24</v>
      </c>
      <c r="I123" s="54" t="s">
        <v>449</v>
      </c>
      <c r="J123" s="54" t="s">
        <v>450</v>
      </c>
      <c r="K123" s="54" t="s">
        <v>451</v>
      </c>
      <c r="L123" s="54" t="s">
        <v>452</v>
      </c>
      <c r="M123" s="58" t="s">
        <v>453</v>
      </c>
      <c r="N123" s="54" t="s">
        <v>454</v>
      </c>
      <c r="O123" s="59">
        <v>46139</v>
      </c>
      <c r="P123" s="74"/>
      <c r="Q123" s="57"/>
      <c r="R123" s="61" t="s">
        <v>31</v>
      </c>
      <c r="S123" s="61" t="s">
        <v>31</v>
      </c>
    </row>
    <row r="124" spans="2:19" s="62" customFormat="1" outlineLevel="1" x14ac:dyDescent="0.25">
      <c r="B124" s="53"/>
      <c r="C124" s="58">
        <v>182</v>
      </c>
      <c r="D124" s="54" t="s">
        <v>760</v>
      </c>
      <c r="E124" s="64" t="s">
        <v>998</v>
      </c>
      <c r="F124" s="64" t="s">
        <v>761</v>
      </c>
      <c r="G124" s="63">
        <v>1</v>
      </c>
      <c r="H124" s="57" t="s">
        <v>61</v>
      </c>
      <c r="I124" s="54" t="s">
        <v>762</v>
      </c>
      <c r="J124" s="54" t="s">
        <v>763</v>
      </c>
      <c r="K124" s="54" t="s">
        <v>764</v>
      </c>
      <c r="L124" s="54" t="s">
        <v>765</v>
      </c>
      <c r="M124" s="58" t="s">
        <v>765</v>
      </c>
      <c r="N124" s="54" t="s">
        <v>766</v>
      </c>
      <c r="O124" s="59">
        <v>46139</v>
      </c>
      <c r="P124" s="74"/>
      <c r="Q124" s="57"/>
      <c r="R124" s="61" t="s">
        <v>31</v>
      </c>
      <c r="S124" s="61" t="s">
        <v>84</v>
      </c>
    </row>
    <row r="125" spans="2:19" s="62" customFormat="1" outlineLevel="1" x14ac:dyDescent="0.25">
      <c r="B125" s="53"/>
      <c r="C125" s="58">
        <v>183</v>
      </c>
      <c r="D125" s="54" t="s">
        <v>659</v>
      </c>
      <c r="E125" s="64" t="s">
        <v>998</v>
      </c>
      <c r="F125" s="64" t="s">
        <v>660</v>
      </c>
      <c r="G125" s="63">
        <v>1</v>
      </c>
      <c r="H125" s="57" t="s">
        <v>152</v>
      </c>
      <c r="I125" s="54" t="s">
        <v>661</v>
      </c>
      <c r="J125" s="54" t="s">
        <v>662</v>
      </c>
      <c r="K125" s="54" t="s">
        <v>663</v>
      </c>
      <c r="L125" s="54" t="s">
        <v>664</v>
      </c>
      <c r="M125" s="58" t="s">
        <v>665</v>
      </c>
      <c r="N125" s="54" t="s">
        <v>666</v>
      </c>
      <c r="O125" s="59">
        <v>46139</v>
      </c>
      <c r="P125" s="74"/>
      <c r="Q125" s="57"/>
      <c r="R125" s="61" t="s">
        <v>31</v>
      </c>
      <c r="S125" s="61" t="s">
        <v>31</v>
      </c>
    </row>
    <row r="126" spans="2:19" s="62" customFormat="1" outlineLevel="1" x14ac:dyDescent="0.25">
      <c r="B126" s="53"/>
      <c r="C126" s="58">
        <v>184</v>
      </c>
      <c r="D126" s="54" t="s">
        <v>516</v>
      </c>
      <c r="E126" s="64" t="s">
        <v>998</v>
      </c>
      <c r="F126" s="71" t="s">
        <v>517</v>
      </c>
      <c r="G126" s="63">
        <v>3</v>
      </c>
      <c r="H126" s="57" t="s">
        <v>61</v>
      </c>
      <c r="I126" s="54" t="s">
        <v>518</v>
      </c>
      <c r="J126" s="54" t="s">
        <v>519</v>
      </c>
      <c r="K126" s="54" t="s">
        <v>520</v>
      </c>
      <c r="L126" s="69" t="s">
        <v>521</v>
      </c>
      <c r="M126" s="58" t="s">
        <v>522</v>
      </c>
      <c r="N126" s="54" t="s">
        <v>523</v>
      </c>
      <c r="O126" s="59">
        <v>46139</v>
      </c>
      <c r="P126" s="74"/>
      <c r="Q126" s="57"/>
      <c r="R126" s="61" t="s">
        <v>31</v>
      </c>
      <c r="S126" s="61" t="s">
        <v>31</v>
      </c>
    </row>
    <row r="127" spans="2:19" s="62" customFormat="1" outlineLevel="1" x14ac:dyDescent="0.25">
      <c r="B127" s="53"/>
      <c r="C127" s="58">
        <v>185</v>
      </c>
      <c r="D127" s="54" t="s">
        <v>644</v>
      </c>
      <c r="E127" s="64" t="s">
        <v>998</v>
      </c>
      <c r="F127" s="64" t="s">
        <v>645</v>
      </c>
      <c r="G127" s="63">
        <v>1</v>
      </c>
      <c r="H127" s="57" t="s">
        <v>61</v>
      </c>
      <c r="I127" s="54" t="s">
        <v>646</v>
      </c>
      <c r="J127" s="54" t="s">
        <v>647</v>
      </c>
      <c r="K127" s="54" t="s">
        <v>648</v>
      </c>
      <c r="L127" s="54" t="s">
        <v>649</v>
      </c>
      <c r="M127" s="58" t="s">
        <v>650</v>
      </c>
      <c r="N127" s="54"/>
      <c r="O127" s="59">
        <v>46139</v>
      </c>
      <c r="P127" s="74"/>
      <c r="Q127" s="57"/>
      <c r="R127" s="61" t="s">
        <v>31</v>
      </c>
      <c r="S127" s="61" t="s">
        <v>793</v>
      </c>
    </row>
    <row r="128" spans="2:19" s="33" customFormat="1" x14ac:dyDescent="0.25">
      <c r="B128" s="42"/>
      <c r="C128" s="40"/>
      <c r="D128" s="43"/>
      <c r="E128" s="28" t="s">
        <v>1032</v>
      </c>
      <c r="F128" s="52"/>
      <c r="G128" s="32">
        <f>SUM(G129:G146)</f>
        <v>49</v>
      </c>
      <c r="H128" s="43"/>
      <c r="I128" s="34"/>
      <c r="J128" s="38"/>
      <c r="K128" s="35"/>
      <c r="L128" s="35"/>
      <c r="M128" s="40"/>
      <c r="N128" s="32"/>
      <c r="O128" s="42"/>
      <c r="P128" s="42"/>
      <c r="Q128" s="42"/>
      <c r="R128" s="32" t="s">
        <v>31</v>
      </c>
      <c r="S128" s="42"/>
    </row>
    <row r="129" spans="2:19" s="62" customFormat="1" ht="30" customHeight="1" outlineLevel="1" x14ac:dyDescent="0.25">
      <c r="B129" s="53"/>
      <c r="C129" s="58" t="s">
        <v>1033</v>
      </c>
      <c r="D129" s="54" t="s">
        <v>811</v>
      </c>
      <c r="E129" s="64" t="s">
        <v>1032</v>
      </c>
      <c r="F129" s="64" t="s">
        <v>812</v>
      </c>
      <c r="G129" s="63">
        <v>9</v>
      </c>
      <c r="H129" s="57" t="s">
        <v>813</v>
      </c>
      <c r="I129" s="54" t="s">
        <v>814</v>
      </c>
      <c r="J129" s="54" t="s">
        <v>815</v>
      </c>
      <c r="K129" s="54" t="s">
        <v>816</v>
      </c>
      <c r="L129" s="54" t="s">
        <v>817</v>
      </c>
      <c r="M129" s="58" t="s">
        <v>1034</v>
      </c>
      <c r="N129" s="54" t="s">
        <v>819</v>
      </c>
      <c r="O129" s="59">
        <v>46153</v>
      </c>
      <c r="P129" s="74"/>
      <c r="Q129" s="57"/>
      <c r="R129" s="61" t="s">
        <v>31</v>
      </c>
      <c r="S129" s="61" t="s">
        <v>84</v>
      </c>
    </row>
    <row r="130" spans="2:19" s="62" customFormat="1" outlineLevel="1" x14ac:dyDescent="0.25">
      <c r="B130" s="53"/>
      <c r="C130" s="58">
        <v>187</v>
      </c>
      <c r="D130" s="54" t="s">
        <v>562</v>
      </c>
      <c r="E130" s="64" t="s">
        <v>1032</v>
      </c>
      <c r="F130" s="64" t="s">
        <v>563</v>
      </c>
      <c r="G130" s="63">
        <v>5</v>
      </c>
      <c r="H130" s="57" t="s">
        <v>61</v>
      </c>
      <c r="I130" s="54" t="s">
        <v>564</v>
      </c>
      <c r="J130" s="54" t="s">
        <v>565</v>
      </c>
      <c r="K130" s="54" t="s">
        <v>566</v>
      </c>
      <c r="L130" s="54" t="s">
        <v>567</v>
      </c>
      <c r="M130" s="58" t="s">
        <v>568</v>
      </c>
      <c r="N130" s="54" t="s">
        <v>569</v>
      </c>
      <c r="O130" s="59">
        <v>46139</v>
      </c>
      <c r="P130" s="74"/>
      <c r="Q130" s="57"/>
      <c r="R130" s="61" t="s">
        <v>31</v>
      </c>
      <c r="S130" s="61" t="s">
        <v>31</v>
      </c>
    </row>
    <row r="131" spans="2:19" s="62" customFormat="1" outlineLevel="1" x14ac:dyDescent="0.25">
      <c r="B131" s="53"/>
      <c r="C131" s="58">
        <v>188</v>
      </c>
      <c r="D131" s="54" t="s">
        <v>580</v>
      </c>
      <c r="E131" s="64" t="s">
        <v>1032</v>
      </c>
      <c r="F131" s="64" t="s">
        <v>581</v>
      </c>
      <c r="G131" s="63">
        <v>1</v>
      </c>
      <c r="H131" s="57" t="s">
        <v>61</v>
      </c>
      <c r="I131" s="54" t="s">
        <v>582</v>
      </c>
      <c r="J131" s="54" t="s">
        <v>583</v>
      </c>
      <c r="K131" s="54" t="s">
        <v>584</v>
      </c>
      <c r="L131" s="54" t="s">
        <v>585</v>
      </c>
      <c r="M131" s="58" t="s">
        <v>1009</v>
      </c>
      <c r="N131" s="54" t="s">
        <v>587</v>
      </c>
      <c r="O131" s="59">
        <v>46139</v>
      </c>
      <c r="P131" s="74"/>
      <c r="Q131" s="57"/>
      <c r="R131" s="61" t="s">
        <v>31</v>
      </c>
      <c r="S131" s="61" t="s">
        <v>84</v>
      </c>
    </row>
    <row r="132" spans="2:19" s="62" customFormat="1" outlineLevel="1" x14ac:dyDescent="0.25">
      <c r="B132" s="53"/>
      <c r="C132" s="58">
        <v>189</v>
      </c>
      <c r="D132" s="54" t="s">
        <v>626</v>
      </c>
      <c r="E132" s="64" t="s">
        <v>1032</v>
      </c>
      <c r="F132" s="64" t="s">
        <v>627</v>
      </c>
      <c r="G132" s="63">
        <v>3</v>
      </c>
      <c r="H132" s="57" t="s">
        <v>152</v>
      </c>
      <c r="I132" s="54" t="s">
        <v>628</v>
      </c>
      <c r="J132" s="54" t="s">
        <v>629</v>
      </c>
      <c r="K132" s="54" t="s">
        <v>630</v>
      </c>
      <c r="L132" s="54" t="s">
        <v>631</v>
      </c>
      <c r="M132" s="58" t="s">
        <v>632</v>
      </c>
      <c r="N132" s="54" t="s">
        <v>633</v>
      </c>
      <c r="O132" s="59">
        <v>46139</v>
      </c>
      <c r="P132" s="74"/>
      <c r="Q132" s="57"/>
      <c r="R132" s="61" t="s">
        <v>31</v>
      </c>
      <c r="S132" s="61" t="s">
        <v>84</v>
      </c>
    </row>
    <row r="133" spans="2:19" s="62" customFormat="1" outlineLevel="1" x14ac:dyDescent="0.25">
      <c r="B133" s="53"/>
      <c r="C133" s="58">
        <v>190</v>
      </c>
      <c r="D133" s="54" t="s">
        <v>109</v>
      </c>
      <c r="E133" s="64" t="s">
        <v>1032</v>
      </c>
      <c r="F133" s="64" t="s">
        <v>110</v>
      </c>
      <c r="G133" s="63">
        <v>3</v>
      </c>
      <c r="H133" s="57" t="s">
        <v>111</v>
      </c>
      <c r="I133" s="54" t="s">
        <v>112</v>
      </c>
      <c r="J133" s="54" t="s">
        <v>113</v>
      </c>
      <c r="K133" s="54" t="s">
        <v>114</v>
      </c>
      <c r="L133" s="54" t="s">
        <v>115</v>
      </c>
      <c r="M133" s="58" t="s">
        <v>115</v>
      </c>
      <c r="N133" s="54" t="s">
        <v>116</v>
      </c>
      <c r="O133" s="59">
        <v>46139</v>
      </c>
      <c r="P133" s="74"/>
      <c r="Q133" s="57"/>
      <c r="R133" s="61" t="s">
        <v>31</v>
      </c>
      <c r="S133" s="61" t="s">
        <v>84</v>
      </c>
    </row>
    <row r="134" spans="2:19" s="62" customFormat="1" outlineLevel="1" x14ac:dyDescent="0.25">
      <c r="B134" s="53"/>
      <c r="C134" s="58">
        <v>191</v>
      </c>
      <c r="D134" s="54" t="s">
        <v>667</v>
      </c>
      <c r="E134" s="64" t="s">
        <v>1032</v>
      </c>
      <c r="F134" s="64" t="s">
        <v>668</v>
      </c>
      <c r="G134" s="63">
        <v>1</v>
      </c>
      <c r="H134" s="57" t="s">
        <v>61</v>
      </c>
      <c r="I134" s="54" t="s">
        <v>1035</v>
      </c>
      <c r="J134" s="54" t="s">
        <v>1036</v>
      </c>
      <c r="K134" s="53" t="s">
        <v>1037</v>
      </c>
      <c r="L134" s="54" t="s">
        <v>672</v>
      </c>
      <c r="M134" s="58" t="s">
        <v>1038</v>
      </c>
      <c r="N134" s="54" t="s">
        <v>673</v>
      </c>
      <c r="O134" s="59">
        <v>46139</v>
      </c>
      <c r="P134" s="74"/>
      <c r="Q134" s="57"/>
      <c r="R134" s="61" t="s">
        <v>31</v>
      </c>
      <c r="S134" s="61" t="s">
        <v>84</v>
      </c>
    </row>
    <row r="135" spans="2:19" s="62" customFormat="1" outlineLevel="1" x14ac:dyDescent="0.25">
      <c r="B135" s="53"/>
      <c r="C135" s="58">
        <v>192</v>
      </c>
      <c r="D135" s="54" t="s">
        <v>207</v>
      </c>
      <c r="E135" s="64" t="s">
        <v>1032</v>
      </c>
      <c r="F135" s="64" t="s">
        <v>208</v>
      </c>
      <c r="G135" s="63">
        <v>2</v>
      </c>
      <c r="H135" s="57" t="s">
        <v>61</v>
      </c>
      <c r="I135" s="54" t="s">
        <v>209</v>
      </c>
      <c r="J135" s="54" t="s">
        <v>210</v>
      </c>
      <c r="K135" s="54" t="s">
        <v>211</v>
      </c>
      <c r="L135" s="54" t="s">
        <v>212</v>
      </c>
      <c r="M135" s="58" t="s">
        <v>213</v>
      </c>
      <c r="N135" s="54" t="s">
        <v>214</v>
      </c>
      <c r="O135" s="59">
        <v>46139</v>
      </c>
      <c r="P135" s="74"/>
      <c r="Q135" s="57"/>
      <c r="R135" s="61" t="s">
        <v>31</v>
      </c>
      <c r="S135" s="61" t="s">
        <v>31</v>
      </c>
    </row>
    <row r="136" spans="2:19" s="62" customFormat="1" outlineLevel="1" x14ac:dyDescent="0.25">
      <c r="B136" s="53"/>
      <c r="C136" s="58">
        <v>193</v>
      </c>
      <c r="D136" s="54" t="s">
        <v>278</v>
      </c>
      <c r="E136" s="64" t="s">
        <v>1032</v>
      </c>
      <c r="F136" s="64" t="s">
        <v>279</v>
      </c>
      <c r="G136" s="63">
        <v>2</v>
      </c>
      <c r="H136" s="57" t="s">
        <v>61</v>
      </c>
      <c r="I136" s="54" t="s">
        <v>280</v>
      </c>
      <c r="J136" s="54" t="s">
        <v>281</v>
      </c>
      <c r="K136" s="54" t="s">
        <v>282</v>
      </c>
      <c r="L136" s="54" t="s">
        <v>283</v>
      </c>
      <c r="M136" s="58" t="s">
        <v>284</v>
      </c>
      <c r="N136" s="54" t="s">
        <v>285</v>
      </c>
      <c r="O136" s="59">
        <v>46139</v>
      </c>
      <c r="P136" s="74"/>
      <c r="Q136" s="57"/>
      <c r="R136" s="61" t="s">
        <v>31</v>
      </c>
      <c r="S136" s="61" t="s">
        <v>31</v>
      </c>
    </row>
    <row r="137" spans="2:19" s="62" customFormat="1" outlineLevel="1" x14ac:dyDescent="0.25">
      <c r="B137" s="53"/>
      <c r="C137" s="58">
        <v>194</v>
      </c>
      <c r="D137" s="54" t="s">
        <v>318</v>
      </c>
      <c r="E137" s="64" t="s">
        <v>1032</v>
      </c>
      <c r="F137" s="64" t="s">
        <v>319</v>
      </c>
      <c r="G137" s="63">
        <v>1</v>
      </c>
      <c r="H137" s="57" t="s">
        <v>111</v>
      </c>
      <c r="I137" s="54" t="s">
        <v>320</v>
      </c>
      <c r="J137" s="54" t="s">
        <v>321</v>
      </c>
      <c r="K137" s="54" t="s">
        <v>322</v>
      </c>
      <c r="L137" s="54" t="s">
        <v>323</v>
      </c>
      <c r="M137" s="58" t="s">
        <v>324</v>
      </c>
      <c r="N137" s="54" t="s">
        <v>325</v>
      </c>
      <c r="O137" s="59">
        <v>46139</v>
      </c>
      <c r="P137" s="74"/>
      <c r="Q137" s="57"/>
      <c r="R137" s="61" t="s">
        <v>31</v>
      </c>
      <c r="S137" s="61" t="s">
        <v>84</v>
      </c>
    </row>
    <row r="138" spans="2:19" s="62" customFormat="1" outlineLevel="1" x14ac:dyDescent="0.25">
      <c r="B138" s="53"/>
      <c r="C138" s="58">
        <v>195</v>
      </c>
      <c r="D138" s="54" t="s">
        <v>334</v>
      </c>
      <c r="E138" s="64" t="s">
        <v>1032</v>
      </c>
      <c r="F138" s="64" t="s">
        <v>335</v>
      </c>
      <c r="G138" s="63">
        <v>3</v>
      </c>
      <c r="H138" s="57" t="s">
        <v>61</v>
      </c>
      <c r="I138" s="54" t="s">
        <v>336</v>
      </c>
      <c r="J138" s="54" t="s">
        <v>337</v>
      </c>
      <c r="K138" s="54" t="s">
        <v>338</v>
      </c>
      <c r="L138" s="54" t="s">
        <v>339</v>
      </c>
      <c r="M138" s="58" t="s">
        <v>543</v>
      </c>
      <c r="N138" s="54" t="s">
        <v>341</v>
      </c>
      <c r="O138" s="59">
        <v>46139</v>
      </c>
      <c r="P138" s="74"/>
      <c r="Q138" s="57"/>
      <c r="R138" s="61" t="s">
        <v>31</v>
      </c>
      <c r="S138" s="61" t="s">
        <v>84</v>
      </c>
    </row>
    <row r="139" spans="2:19" s="62" customFormat="1" outlineLevel="1" x14ac:dyDescent="0.25">
      <c r="B139" s="53"/>
      <c r="C139" s="58">
        <v>196</v>
      </c>
      <c r="D139" s="54" t="s">
        <v>366</v>
      </c>
      <c r="E139" s="64" t="s">
        <v>1032</v>
      </c>
      <c r="F139" s="64" t="s">
        <v>367</v>
      </c>
      <c r="G139" s="63">
        <v>1</v>
      </c>
      <c r="H139" s="57" t="s">
        <v>368</v>
      </c>
      <c r="I139" s="54" t="s">
        <v>369</v>
      </c>
      <c r="J139" s="54" t="s">
        <v>370</v>
      </c>
      <c r="K139" s="54" t="s">
        <v>371</v>
      </c>
      <c r="L139" s="54" t="s">
        <v>372</v>
      </c>
      <c r="M139" s="58" t="s">
        <v>682</v>
      </c>
      <c r="N139" s="54" t="s">
        <v>374</v>
      </c>
      <c r="O139" s="59">
        <v>46139</v>
      </c>
      <c r="P139" s="74"/>
      <c r="Q139" s="57"/>
      <c r="R139" s="61" t="s">
        <v>31</v>
      </c>
      <c r="S139" s="61" t="s">
        <v>84</v>
      </c>
    </row>
    <row r="140" spans="2:19" s="62" customFormat="1" ht="30" customHeight="1" outlineLevel="1" x14ac:dyDescent="0.25">
      <c r="B140" s="53"/>
      <c r="C140" s="58">
        <v>197</v>
      </c>
      <c r="D140" s="54" t="s">
        <v>375</v>
      </c>
      <c r="E140" s="64" t="s">
        <v>1032</v>
      </c>
      <c r="F140" s="64" t="s">
        <v>376</v>
      </c>
      <c r="G140" s="63">
        <v>1</v>
      </c>
      <c r="H140" s="57" t="s">
        <v>111</v>
      </c>
      <c r="I140" s="54" t="s">
        <v>1039</v>
      </c>
      <c r="J140" s="54" t="s">
        <v>1040</v>
      </c>
      <c r="K140" s="54" t="s">
        <v>1041</v>
      </c>
      <c r="L140" s="54" t="s">
        <v>380</v>
      </c>
      <c r="M140" s="58" t="s">
        <v>1042</v>
      </c>
      <c r="N140" s="54" t="s">
        <v>382</v>
      </c>
      <c r="O140" s="59">
        <v>46139</v>
      </c>
      <c r="P140" s="74"/>
      <c r="Q140" s="57"/>
      <c r="R140" s="61" t="s">
        <v>31</v>
      </c>
      <c r="S140" s="61" t="s">
        <v>31</v>
      </c>
    </row>
    <row r="141" spans="2:19" s="62" customFormat="1" ht="30" customHeight="1" outlineLevel="1" x14ac:dyDescent="0.25">
      <c r="B141" s="53"/>
      <c r="C141" s="58" t="s">
        <v>1043</v>
      </c>
      <c r="D141" s="54" t="s">
        <v>399</v>
      </c>
      <c r="E141" s="64" t="s">
        <v>1032</v>
      </c>
      <c r="F141" s="64" t="s">
        <v>400</v>
      </c>
      <c r="G141" s="63">
        <v>3</v>
      </c>
      <c r="H141" s="57" t="s">
        <v>152</v>
      </c>
      <c r="I141" s="54" t="s">
        <v>401</v>
      </c>
      <c r="J141" s="54" t="s">
        <v>402</v>
      </c>
      <c r="K141" s="54" t="s">
        <v>403</v>
      </c>
      <c r="L141" s="54" t="s">
        <v>404</v>
      </c>
      <c r="M141" s="58" t="s">
        <v>1044</v>
      </c>
      <c r="N141" s="54" t="s">
        <v>406</v>
      </c>
      <c r="O141" s="59">
        <v>46139</v>
      </c>
      <c r="P141" s="74"/>
      <c r="Q141" s="57"/>
      <c r="R141" s="61" t="s">
        <v>31</v>
      </c>
      <c r="S141" s="61" t="s">
        <v>84</v>
      </c>
    </row>
    <row r="142" spans="2:19" s="62" customFormat="1" ht="45" customHeight="1" outlineLevel="1" x14ac:dyDescent="0.25">
      <c r="B142" s="53"/>
      <c r="C142" s="58" t="s">
        <v>1045</v>
      </c>
      <c r="D142" s="54" t="s">
        <v>431</v>
      </c>
      <c r="E142" s="54" t="s">
        <v>1032</v>
      </c>
      <c r="F142" s="64" t="s">
        <v>432</v>
      </c>
      <c r="G142" s="63">
        <v>10</v>
      </c>
      <c r="H142" s="57" t="s">
        <v>152</v>
      </c>
      <c r="I142" s="54" t="s">
        <v>1046</v>
      </c>
      <c r="J142" s="54" t="s">
        <v>1047</v>
      </c>
      <c r="K142" s="54" t="s">
        <v>1048</v>
      </c>
      <c r="L142" s="54" t="s">
        <v>436</v>
      </c>
      <c r="M142" s="58" t="s">
        <v>1049</v>
      </c>
      <c r="N142" s="54" t="s">
        <v>438</v>
      </c>
      <c r="O142" s="59">
        <v>46139</v>
      </c>
      <c r="P142" s="74"/>
      <c r="Q142" s="57"/>
      <c r="R142" s="61" t="s">
        <v>31</v>
      </c>
      <c r="S142" s="61" t="s">
        <v>31</v>
      </c>
    </row>
    <row r="143" spans="2:19" s="62" customFormat="1" outlineLevel="1" x14ac:dyDescent="0.25">
      <c r="B143" s="53"/>
      <c r="C143" s="58">
        <v>200</v>
      </c>
      <c r="D143" s="54" t="s">
        <v>544</v>
      </c>
      <c r="E143" s="64" t="s">
        <v>1032</v>
      </c>
      <c r="F143" s="64" t="s">
        <v>545</v>
      </c>
      <c r="G143" s="63">
        <v>1</v>
      </c>
      <c r="H143" s="57" t="s">
        <v>24</v>
      </c>
      <c r="I143" s="54" t="s">
        <v>546</v>
      </c>
      <c r="J143" s="54" t="s">
        <v>547</v>
      </c>
      <c r="K143" s="54" t="s">
        <v>548</v>
      </c>
      <c r="L143" s="54" t="s">
        <v>549</v>
      </c>
      <c r="M143" s="58" t="s">
        <v>550</v>
      </c>
      <c r="N143" s="54" t="s">
        <v>551</v>
      </c>
      <c r="O143" s="59">
        <v>46139</v>
      </c>
      <c r="P143" s="74"/>
      <c r="Q143" s="57"/>
      <c r="R143" s="61" t="s">
        <v>31</v>
      </c>
      <c r="S143" s="61" t="s">
        <v>31</v>
      </c>
    </row>
    <row r="144" spans="2:19" s="62" customFormat="1" outlineLevel="1" x14ac:dyDescent="0.25">
      <c r="B144" s="53"/>
      <c r="C144" s="58">
        <v>201</v>
      </c>
      <c r="D144" s="54" t="s">
        <v>439</v>
      </c>
      <c r="E144" s="64" t="s">
        <v>1032</v>
      </c>
      <c r="F144" s="64" t="s">
        <v>440</v>
      </c>
      <c r="G144" s="63">
        <v>1</v>
      </c>
      <c r="H144" s="57" t="s">
        <v>152</v>
      </c>
      <c r="I144" s="54" t="s">
        <v>1028</v>
      </c>
      <c r="J144" s="54" t="s">
        <v>1029</v>
      </c>
      <c r="K144" s="53" t="s">
        <v>1030</v>
      </c>
      <c r="L144" s="54" t="s">
        <v>444</v>
      </c>
      <c r="M144" s="58" t="s">
        <v>1031</v>
      </c>
      <c r="N144" s="54" t="s">
        <v>446</v>
      </c>
      <c r="O144" s="59">
        <v>46139</v>
      </c>
      <c r="P144" s="74"/>
      <c r="Q144" s="57"/>
      <c r="R144" s="61" t="s">
        <v>31</v>
      </c>
      <c r="S144" s="61" t="s">
        <v>31</v>
      </c>
    </row>
    <row r="145" spans="2:19" s="62" customFormat="1" outlineLevel="1" x14ac:dyDescent="0.25">
      <c r="B145" s="53"/>
      <c r="C145" s="58">
        <v>202</v>
      </c>
      <c r="D145" s="54" t="s">
        <v>471</v>
      </c>
      <c r="E145" s="64" t="s">
        <v>1032</v>
      </c>
      <c r="F145" s="64" t="s">
        <v>472</v>
      </c>
      <c r="G145" s="63">
        <v>1</v>
      </c>
      <c r="H145" s="57" t="s">
        <v>111</v>
      </c>
      <c r="I145" s="54" t="s">
        <v>473</v>
      </c>
      <c r="J145" s="54" t="s">
        <v>474</v>
      </c>
      <c r="K145" s="54" t="s">
        <v>475</v>
      </c>
      <c r="L145" s="54" t="s">
        <v>476</v>
      </c>
      <c r="M145" s="58" t="s">
        <v>476</v>
      </c>
      <c r="N145" s="54" t="s">
        <v>477</v>
      </c>
      <c r="O145" s="59">
        <v>46139</v>
      </c>
      <c r="P145" s="74"/>
      <c r="Q145" s="57"/>
      <c r="R145" s="61" t="s">
        <v>31</v>
      </c>
      <c r="S145" s="61" t="s">
        <v>84</v>
      </c>
    </row>
    <row r="146" spans="2:19" s="62" customFormat="1" outlineLevel="1" x14ac:dyDescent="0.25">
      <c r="B146" s="53"/>
      <c r="C146" s="58">
        <v>203</v>
      </c>
      <c r="D146" s="54" t="s">
        <v>502</v>
      </c>
      <c r="E146" s="64" t="s">
        <v>1032</v>
      </c>
      <c r="F146" s="64" t="s">
        <v>503</v>
      </c>
      <c r="G146" s="63">
        <v>1</v>
      </c>
      <c r="H146" s="57" t="s">
        <v>61</v>
      </c>
      <c r="I146" s="54" t="s">
        <v>504</v>
      </c>
      <c r="J146" s="54" t="s">
        <v>505</v>
      </c>
      <c r="K146" s="54" t="s">
        <v>506</v>
      </c>
      <c r="L146" s="54" t="s">
        <v>283</v>
      </c>
      <c r="M146" s="58" t="s">
        <v>284</v>
      </c>
      <c r="N146" s="54" t="s">
        <v>507</v>
      </c>
      <c r="O146" s="59">
        <v>46139</v>
      </c>
      <c r="P146" s="74"/>
      <c r="Q146" s="57"/>
      <c r="R146" s="61" t="s">
        <v>31</v>
      </c>
      <c r="S146" s="61" t="s">
        <v>84</v>
      </c>
    </row>
    <row r="147" spans="2:19" s="33" customFormat="1" x14ac:dyDescent="0.25">
      <c r="B147" s="42"/>
      <c r="C147" s="30"/>
      <c r="D147" s="43"/>
      <c r="E147" s="28" t="s">
        <v>853</v>
      </c>
      <c r="F147" s="52"/>
      <c r="G147" s="32">
        <f>SUM(G148:G164)</f>
        <v>32</v>
      </c>
      <c r="H147" s="34"/>
      <c r="I147" s="38"/>
      <c r="J147" s="35"/>
      <c r="K147" s="35"/>
      <c r="L147" s="36"/>
      <c r="M147" s="30"/>
      <c r="N147" s="42"/>
      <c r="O147" s="42"/>
      <c r="P147" s="42"/>
      <c r="Q147" s="42"/>
      <c r="R147" s="42"/>
      <c r="S147" s="42"/>
    </row>
    <row r="148" spans="2:19" s="62" customFormat="1" outlineLevel="2" x14ac:dyDescent="0.25">
      <c r="B148" s="53"/>
      <c r="C148" s="58">
        <v>204</v>
      </c>
      <c r="D148" s="54" t="s">
        <v>811</v>
      </c>
      <c r="E148" s="64" t="s">
        <v>853</v>
      </c>
      <c r="F148" s="64" t="s">
        <v>812</v>
      </c>
      <c r="G148" s="63">
        <v>1</v>
      </c>
      <c r="H148" s="57" t="s">
        <v>813</v>
      </c>
      <c r="I148" s="54" t="s">
        <v>814</v>
      </c>
      <c r="J148" s="54" t="s">
        <v>815</v>
      </c>
      <c r="K148" s="54" t="s">
        <v>816</v>
      </c>
      <c r="L148" s="54" t="s">
        <v>817</v>
      </c>
      <c r="M148" s="58" t="s">
        <v>818</v>
      </c>
      <c r="N148" s="54" t="s">
        <v>819</v>
      </c>
      <c r="O148" s="59">
        <v>46125</v>
      </c>
      <c r="P148" s="74"/>
      <c r="Q148" s="57"/>
      <c r="R148" s="61"/>
      <c r="S148" s="61"/>
    </row>
    <row r="149" spans="2:19" s="62" customFormat="1" outlineLevel="2" x14ac:dyDescent="0.25">
      <c r="B149" s="53"/>
      <c r="C149" s="58">
        <v>205</v>
      </c>
      <c r="D149" s="54" t="s">
        <v>59</v>
      </c>
      <c r="E149" s="64" t="s">
        <v>853</v>
      </c>
      <c r="F149" s="64" t="s">
        <v>60</v>
      </c>
      <c r="G149" s="63">
        <v>5</v>
      </c>
      <c r="H149" s="57" t="s">
        <v>61</v>
      </c>
      <c r="I149" s="54" t="s">
        <v>62</v>
      </c>
      <c r="J149" s="54" t="s">
        <v>63</v>
      </c>
      <c r="K149" s="54" t="s">
        <v>64</v>
      </c>
      <c r="L149" s="54" t="s">
        <v>65</v>
      </c>
      <c r="M149" s="58" t="s">
        <v>66</v>
      </c>
      <c r="N149" s="54" t="s">
        <v>67</v>
      </c>
      <c r="O149" s="59">
        <v>46125</v>
      </c>
      <c r="P149" s="74"/>
      <c r="Q149" s="57"/>
      <c r="R149" s="61"/>
      <c r="S149" s="61"/>
    </row>
    <row r="150" spans="2:19" s="62" customFormat="1" outlineLevel="2" x14ac:dyDescent="0.25">
      <c r="B150" s="53"/>
      <c r="C150" s="58">
        <v>206</v>
      </c>
      <c r="D150" s="54" t="s">
        <v>68</v>
      </c>
      <c r="E150" s="64" t="s">
        <v>853</v>
      </c>
      <c r="F150" s="64" t="s">
        <v>69</v>
      </c>
      <c r="G150" s="63">
        <v>4</v>
      </c>
      <c r="H150" s="57" t="s">
        <v>61</v>
      </c>
      <c r="I150" s="54" t="s">
        <v>70</v>
      </c>
      <c r="J150" s="54" t="s">
        <v>71</v>
      </c>
      <c r="K150" s="53" t="s">
        <v>72</v>
      </c>
      <c r="L150" s="54" t="s">
        <v>73</v>
      </c>
      <c r="M150" s="58" t="s">
        <v>73</v>
      </c>
      <c r="N150" s="54" t="s">
        <v>74</v>
      </c>
      <c r="O150" s="59">
        <v>46125</v>
      </c>
      <c r="P150" s="74"/>
      <c r="Q150" s="57"/>
      <c r="R150" s="61"/>
      <c r="S150" s="61"/>
    </row>
    <row r="151" spans="2:19" s="62" customFormat="1" outlineLevel="2" x14ac:dyDescent="0.25">
      <c r="B151" s="53"/>
      <c r="C151" s="58">
        <v>207</v>
      </c>
      <c r="D151" s="54" t="s">
        <v>75</v>
      </c>
      <c r="E151" s="64" t="s">
        <v>853</v>
      </c>
      <c r="F151" s="64" t="s">
        <v>76</v>
      </c>
      <c r="G151" s="63">
        <v>3</v>
      </c>
      <c r="H151" s="57" t="s">
        <v>77</v>
      </c>
      <c r="I151" s="54" t="s">
        <v>78</v>
      </c>
      <c r="J151" s="54" t="s">
        <v>79</v>
      </c>
      <c r="K151" s="54" t="s">
        <v>80</v>
      </c>
      <c r="L151" s="54" t="s">
        <v>81</v>
      </c>
      <c r="M151" s="58" t="s">
        <v>82</v>
      </c>
      <c r="N151" s="54" t="s">
        <v>83</v>
      </c>
      <c r="O151" s="59">
        <v>46125</v>
      </c>
      <c r="P151" s="74"/>
      <c r="Q151" s="57"/>
      <c r="R151" s="61"/>
      <c r="S151" s="61"/>
    </row>
    <row r="152" spans="2:19" s="62" customFormat="1" outlineLevel="2" x14ac:dyDescent="0.25">
      <c r="B152" s="53"/>
      <c r="C152" s="58">
        <v>208</v>
      </c>
      <c r="D152" s="54" t="s">
        <v>150</v>
      </c>
      <c r="E152" s="64" t="s">
        <v>853</v>
      </c>
      <c r="F152" s="64" t="s">
        <v>151</v>
      </c>
      <c r="G152" s="63">
        <v>1</v>
      </c>
      <c r="H152" s="57" t="s">
        <v>152</v>
      </c>
      <c r="I152" s="54" t="s">
        <v>153</v>
      </c>
      <c r="J152" s="54" t="s">
        <v>154</v>
      </c>
      <c r="K152" s="54" t="s">
        <v>155</v>
      </c>
      <c r="L152" s="54" t="s">
        <v>156</v>
      </c>
      <c r="M152" s="58" t="s">
        <v>157</v>
      </c>
      <c r="N152" s="54" t="s">
        <v>158</v>
      </c>
      <c r="O152" s="59">
        <v>46125</v>
      </c>
      <c r="P152" s="74"/>
      <c r="Q152" s="57"/>
      <c r="R152" s="61"/>
      <c r="S152" s="61"/>
    </row>
    <row r="153" spans="2:19" s="62" customFormat="1" outlineLevel="2" x14ac:dyDescent="0.25">
      <c r="B153" s="53"/>
      <c r="C153" s="58">
        <v>209</v>
      </c>
      <c r="D153" s="54" t="s">
        <v>159</v>
      </c>
      <c r="E153" s="64" t="s">
        <v>853</v>
      </c>
      <c r="F153" s="64" t="s">
        <v>160</v>
      </c>
      <c r="G153" s="63">
        <v>1</v>
      </c>
      <c r="H153" s="57" t="s">
        <v>61</v>
      </c>
      <c r="I153" s="54" t="s">
        <v>161</v>
      </c>
      <c r="J153" s="54" t="s">
        <v>162</v>
      </c>
      <c r="K153" s="54" t="s">
        <v>163</v>
      </c>
      <c r="L153" s="54" t="s">
        <v>164</v>
      </c>
      <c r="M153" s="58" t="s">
        <v>164</v>
      </c>
      <c r="N153" s="54" t="s">
        <v>165</v>
      </c>
      <c r="O153" s="59">
        <v>46125</v>
      </c>
      <c r="P153" s="74"/>
      <c r="Q153" s="57"/>
      <c r="R153" s="61"/>
      <c r="S153" s="61"/>
    </row>
    <row r="154" spans="2:19" s="62" customFormat="1" outlineLevel="2" x14ac:dyDescent="0.25">
      <c r="B154" s="53"/>
      <c r="C154" s="58">
        <v>210</v>
      </c>
      <c r="D154" s="54" t="s">
        <v>166</v>
      </c>
      <c r="E154" s="64" t="s">
        <v>853</v>
      </c>
      <c r="F154" s="64" t="s">
        <v>167</v>
      </c>
      <c r="G154" s="63">
        <v>1</v>
      </c>
      <c r="H154" s="57" t="s">
        <v>61</v>
      </c>
      <c r="I154" s="54" t="s">
        <v>168</v>
      </c>
      <c r="J154" s="54" t="s">
        <v>169</v>
      </c>
      <c r="K154" s="54" t="s">
        <v>170</v>
      </c>
      <c r="L154" s="54" t="s">
        <v>171</v>
      </c>
      <c r="M154" s="58" t="s">
        <v>172</v>
      </c>
      <c r="N154" s="54" t="s">
        <v>173</v>
      </c>
      <c r="O154" s="59">
        <v>46125</v>
      </c>
      <c r="P154" s="74"/>
      <c r="Q154" s="57"/>
      <c r="R154" s="61"/>
      <c r="S154" s="61"/>
    </row>
    <row r="155" spans="2:19" s="62" customFormat="1" outlineLevel="2" x14ac:dyDescent="0.25">
      <c r="B155" s="53"/>
      <c r="C155" s="58">
        <v>211</v>
      </c>
      <c r="D155" s="54" t="s">
        <v>198</v>
      </c>
      <c r="E155" s="64" t="s">
        <v>853</v>
      </c>
      <c r="F155" s="64" t="s">
        <v>199</v>
      </c>
      <c r="G155" s="63">
        <v>1</v>
      </c>
      <c r="H155" s="57" t="s">
        <v>200</v>
      </c>
      <c r="I155" s="54" t="s">
        <v>201</v>
      </c>
      <c r="J155" s="54" t="s">
        <v>202</v>
      </c>
      <c r="K155" s="54" t="s">
        <v>203</v>
      </c>
      <c r="L155" s="54" t="s">
        <v>204</v>
      </c>
      <c r="M155" s="58" t="s">
        <v>205</v>
      </c>
      <c r="N155" s="54" t="s">
        <v>206</v>
      </c>
      <c r="O155" s="59">
        <v>46125</v>
      </c>
      <c r="P155" s="74"/>
      <c r="Q155" s="57"/>
      <c r="R155" s="61"/>
      <c r="S155" s="61"/>
    </row>
    <row r="156" spans="2:19" s="62" customFormat="1" ht="30" customHeight="1" outlineLevel="2" x14ac:dyDescent="0.25">
      <c r="B156" s="53"/>
      <c r="C156" s="58">
        <v>212</v>
      </c>
      <c r="D156" s="54" t="s">
        <v>255</v>
      </c>
      <c r="E156" s="64" t="s">
        <v>853</v>
      </c>
      <c r="F156" s="64" t="s">
        <v>256</v>
      </c>
      <c r="G156" s="63">
        <v>1</v>
      </c>
      <c r="H156" s="57" t="s">
        <v>61</v>
      </c>
      <c r="I156" s="54" t="s">
        <v>257</v>
      </c>
      <c r="J156" s="54" t="s">
        <v>258</v>
      </c>
      <c r="K156" s="76" t="s">
        <v>259</v>
      </c>
      <c r="L156" s="54" t="s">
        <v>260</v>
      </c>
      <c r="M156" s="58" t="s">
        <v>847</v>
      </c>
      <c r="N156" s="54" t="s">
        <v>262</v>
      </c>
      <c r="O156" s="59">
        <v>46125</v>
      </c>
      <c r="P156" s="74"/>
      <c r="Q156" s="57"/>
      <c r="R156" s="61"/>
      <c r="S156" s="61"/>
    </row>
    <row r="157" spans="2:19" s="62" customFormat="1" outlineLevel="2" x14ac:dyDescent="0.25">
      <c r="B157" s="53"/>
      <c r="C157" s="58">
        <v>213</v>
      </c>
      <c r="D157" s="54" t="s">
        <v>270</v>
      </c>
      <c r="E157" s="64" t="s">
        <v>853</v>
      </c>
      <c r="F157" s="64" t="s">
        <v>271</v>
      </c>
      <c r="G157" s="63">
        <v>1</v>
      </c>
      <c r="H157" s="57" t="s">
        <v>61</v>
      </c>
      <c r="I157" s="54" t="s">
        <v>272</v>
      </c>
      <c r="J157" s="54" t="s">
        <v>273</v>
      </c>
      <c r="K157" s="54" t="s">
        <v>274</v>
      </c>
      <c r="L157" s="54" t="s">
        <v>275</v>
      </c>
      <c r="M157" s="58" t="s">
        <v>792</v>
      </c>
      <c r="N157" s="54" t="s">
        <v>277</v>
      </c>
      <c r="O157" s="59">
        <v>46125</v>
      </c>
      <c r="P157" s="74"/>
      <c r="Q157" s="57"/>
      <c r="R157" s="61"/>
      <c r="S157" s="61"/>
    </row>
    <row r="158" spans="2:19" s="62" customFormat="1" outlineLevel="2" x14ac:dyDescent="0.25">
      <c r="B158" s="53"/>
      <c r="C158" s="58">
        <v>214</v>
      </c>
      <c r="D158" s="54" t="s">
        <v>302</v>
      </c>
      <c r="E158" s="64" t="s">
        <v>853</v>
      </c>
      <c r="F158" s="64" t="s">
        <v>303</v>
      </c>
      <c r="G158" s="63">
        <v>1</v>
      </c>
      <c r="H158" s="57" t="s">
        <v>61</v>
      </c>
      <c r="I158" s="54" t="s">
        <v>304</v>
      </c>
      <c r="J158" s="54" t="s">
        <v>305</v>
      </c>
      <c r="K158" s="54" t="s">
        <v>306</v>
      </c>
      <c r="L158" s="54" t="s">
        <v>307</v>
      </c>
      <c r="M158" s="58" t="s">
        <v>526</v>
      </c>
      <c r="N158" s="54" t="s">
        <v>309</v>
      </c>
      <c r="O158" s="59">
        <v>46125</v>
      </c>
      <c r="P158" s="74"/>
      <c r="Q158" s="57"/>
      <c r="R158" s="61"/>
      <c r="S158" s="61"/>
    </row>
    <row r="159" spans="2:19" s="62" customFormat="1" outlineLevel="2" x14ac:dyDescent="0.25">
      <c r="B159" s="53"/>
      <c r="C159" s="58">
        <v>215</v>
      </c>
      <c r="D159" s="54" t="s">
        <v>342</v>
      </c>
      <c r="E159" s="64" t="s">
        <v>853</v>
      </c>
      <c r="F159" s="64" t="s">
        <v>343</v>
      </c>
      <c r="G159" s="63">
        <v>1</v>
      </c>
      <c r="H159" s="57" t="s">
        <v>24</v>
      </c>
      <c r="I159" s="54" t="s">
        <v>344</v>
      </c>
      <c r="J159" s="54" t="s">
        <v>345</v>
      </c>
      <c r="K159" s="54" t="s">
        <v>346</v>
      </c>
      <c r="L159" s="54" t="s">
        <v>347</v>
      </c>
      <c r="M159" s="58" t="s">
        <v>348</v>
      </c>
      <c r="N159" s="54" t="s">
        <v>349</v>
      </c>
      <c r="O159" s="59">
        <v>46125</v>
      </c>
      <c r="P159" s="74"/>
      <c r="Q159" s="57"/>
      <c r="R159" s="61"/>
      <c r="S159" s="61"/>
    </row>
    <row r="160" spans="2:19" s="62" customFormat="1" outlineLevel="2" x14ac:dyDescent="0.25">
      <c r="B160" s="53"/>
      <c r="C160" s="58">
        <v>216</v>
      </c>
      <c r="D160" s="54" t="s">
        <v>350</v>
      </c>
      <c r="E160" s="64" t="s">
        <v>853</v>
      </c>
      <c r="F160" s="64" t="s">
        <v>351</v>
      </c>
      <c r="G160" s="63">
        <v>1</v>
      </c>
      <c r="H160" s="57" t="s">
        <v>152</v>
      </c>
      <c r="I160" s="54" t="s">
        <v>352</v>
      </c>
      <c r="J160" s="54" t="s">
        <v>353</v>
      </c>
      <c r="K160" s="54" t="s">
        <v>354</v>
      </c>
      <c r="L160" s="54" t="s">
        <v>355</v>
      </c>
      <c r="M160" s="58" t="s">
        <v>355</v>
      </c>
      <c r="N160" s="54" t="s">
        <v>356</v>
      </c>
      <c r="O160" s="59">
        <v>46125</v>
      </c>
      <c r="P160" s="74"/>
      <c r="Q160" s="57"/>
      <c r="R160" s="61"/>
      <c r="S160" s="61"/>
    </row>
    <row r="161" spans="2:19" s="62" customFormat="1" ht="30" customHeight="1" outlineLevel="2" x14ac:dyDescent="0.25">
      <c r="B161" s="53"/>
      <c r="C161" s="58" t="s">
        <v>873</v>
      </c>
      <c r="D161" s="54" t="s">
        <v>802</v>
      </c>
      <c r="E161" s="64" t="s">
        <v>853</v>
      </c>
      <c r="F161" s="64" t="s">
        <v>803</v>
      </c>
      <c r="G161" s="63">
        <v>6</v>
      </c>
      <c r="H161" s="57" t="s">
        <v>804</v>
      </c>
      <c r="I161" s="54" t="s">
        <v>874</v>
      </c>
      <c r="J161" s="54" t="s">
        <v>875</v>
      </c>
      <c r="K161" s="54" t="s">
        <v>876</v>
      </c>
      <c r="L161" s="54" t="s">
        <v>808</v>
      </c>
      <c r="M161" s="58" t="s">
        <v>877</v>
      </c>
      <c r="N161" s="54" t="s">
        <v>810</v>
      </c>
      <c r="O161" s="59">
        <v>46125</v>
      </c>
      <c r="P161" s="74"/>
      <c r="Q161" s="57"/>
      <c r="R161" s="61"/>
      <c r="S161" s="61"/>
    </row>
    <row r="162" spans="2:19" s="62" customFormat="1" outlineLevel="2" x14ac:dyDescent="0.25">
      <c r="B162" s="53"/>
      <c r="C162" s="58">
        <v>218</v>
      </c>
      <c r="D162" s="54" t="s">
        <v>375</v>
      </c>
      <c r="E162" s="64" t="s">
        <v>853</v>
      </c>
      <c r="F162" s="64" t="s">
        <v>376</v>
      </c>
      <c r="G162" s="63">
        <v>2</v>
      </c>
      <c r="H162" s="57" t="s">
        <v>111</v>
      </c>
      <c r="I162" s="54" t="s">
        <v>377</v>
      </c>
      <c r="J162" s="54" t="s">
        <v>378</v>
      </c>
      <c r="K162" s="54" t="s">
        <v>379</v>
      </c>
      <c r="L162" s="54" t="s">
        <v>380</v>
      </c>
      <c r="M162" s="58" t="s">
        <v>381</v>
      </c>
      <c r="N162" s="54" t="s">
        <v>382</v>
      </c>
      <c r="O162" s="59">
        <v>46125</v>
      </c>
      <c r="P162" s="74"/>
      <c r="Q162" s="57"/>
      <c r="R162" s="61"/>
      <c r="S162" s="61"/>
    </row>
    <row r="163" spans="2:19" s="62" customFormat="1" outlineLevel="2" x14ac:dyDescent="0.25">
      <c r="B163" s="53"/>
      <c r="C163" s="58">
        <v>219</v>
      </c>
      <c r="D163" s="54" t="s">
        <v>383</v>
      </c>
      <c r="E163" s="64" t="s">
        <v>853</v>
      </c>
      <c r="F163" s="64" t="s">
        <v>384</v>
      </c>
      <c r="G163" s="63">
        <v>1</v>
      </c>
      <c r="H163" s="57" t="s">
        <v>61</v>
      </c>
      <c r="I163" s="54" t="s">
        <v>385</v>
      </c>
      <c r="J163" s="54" t="s">
        <v>386</v>
      </c>
      <c r="K163" s="54" t="s">
        <v>387</v>
      </c>
      <c r="L163" s="54" t="s">
        <v>388</v>
      </c>
      <c r="M163" s="58" t="s">
        <v>389</v>
      </c>
      <c r="N163" s="54" t="s">
        <v>390</v>
      </c>
      <c r="O163" s="59">
        <v>46125</v>
      </c>
      <c r="P163" s="74"/>
      <c r="Q163" s="57"/>
      <c r="R163" s="61"/>
      <c r="S163" s="61"/>
    </row>
    <row r="164" spans="2:19" s="62" customFormat="1" outlineLevel="2" x14ac:dyDescent="0.25">
      <c r="B164" s="53"/>
      <c r="C164" s="58">
        <v>220</v>
      </c>
      <c r="D164" s="54" t="s">
        <v>447</v>
      </c>
      <c r="E164" s="64" t="s">
        <v>853</v>
      </c>
      <c r="F164" s="64" t="s">
        <v>448</v>
      </c>
      <c r="G164" s="63">
        <v>1</v>
      </c>
      <c r="H164" s="57" t="s">
        <v>24</v>
      </c>
      <c r="I164" s="54" t="s">
        <v>449</v>
      </c>
      <c r="J164" s="54" t="s">
        <v>450</v>
      </c>
      <c r="K164" s="54" t="s">
        <v>451</v>
      </c>
      <c r="L164" s="54" t="s">
        <v>452</v>
      </c>
      <c r="M164" s="58" t="s">
        <v>453</v>
      </c>
      <c r="N164" s="54" t="s">
        <v>454</v>
      </c>
      <c r="O164" s="86">
        <v>46125</v>
      </c>
      <c r="P164" s="74"/>
      <c r="Q164" s="57"/>
      <c r="R164" s="61"/>
      <c r="S164" s="61"/>
    </row>
    <row r="165" spans="2:19" s="33" customFormat="1" x14ac:dyDescent="0.25">
      <c r="B165" s="42"/>
      <c r="C165" s="40"/>
      <c r="D165" s="43"/>
      <c r="E165" s="28" t="s">
        <v>1050</v>
      </c>
      <c r="F165" s="52"/>
      <c r="G165" s="32">
        <f>SUM(G166:G207)</f>
        <v>101</v>
      </c>
      <c r="H165" s="38"/>
      <c r="I165" s="35"/>
      <c r="J165" s="35"/>
      <c r="K165" s="36"/>
      <c r="L165" s="32"/>
      <c r="M165" s="40"/>
      <c r="N165" s="42"/>
      <c r="O165" s="42"/>
      <c r="P165" s="42"/>
      <c r="Q165" s="42"/>
      <c r="R165" s="42"/>
      <c r="S165" s="42"/>
    </row>
    <row r="166" spans="2:19" s="62" customFormat="1" outlineLevel="1" x14ac:dyDescent="0.25">
      <c r="B166" s="53"/>
      <c r="C166" s="58">
        <v>221</v>
      </c>
      <c r="D166" s="54" t="s">
        <v>811</v>
      </c>
      <c r="E166" s="64" t="s">
        <v>1050</v>
      </c>
      <c r="F166" s="64" t="s">
        <v>812</v>
      </c>
      <c r="G166" s="63">
        <v>2</v>
      </c>
      <c r="H166" s="57" t="s">
        <v>813</v>
      </c>
      <c r="I166" s="54" t="s">
        <v>814</v>
      </c>
      <c r="J166" s="54" t="s">
        <v>815</v>
      </c>
      <c r="K166" s="54" t="s">
        <v>816</v>
      </c>
      <c r="L166" s="54" t="s">
        <v>817</v>
      </c>
      <c r="M166" s="58" t="s">
        <v>818</v>
      </c>
      <c r="N166" s="54" t="s">
        <v>819</v>
      </c>
      <c r="O166" s="59">
        <v>46153</v>
      </c>
      <c r="P166" s="74"/>
      <c r="Q166" s="57"/>
      <c r="R166" s="61"/>
      <c r="S166" s="61"/>
    </row>
    <row r="167" spans="2:19" s="62" customFormat="1" outlineLevel="1" x14ac:dyDescent="0.25">
      <c r="B167" s="53"/>
      <c r="C167" s="58">
        <v>222</v>
      </c>
      <c r="D167" s="54" t="s">
        <v>51</v>
      </c>
      <c r="E167" s="64" t="s">
        <v>1050</v>
      </c>
      <c r="F167" s="64" t="s">
        <v>52</v>
      </c>
      <c r="G167" s="63">
        <v>4</v>
      </c>
      <c r="H167" s="57" t="s">
        <v>24</v>
      </c>
      <c r="I167" s="54" t="s">
        <v>53</v>
      </c>
      <c r="J167" s="54" t="s">
        <v>54</v>
      </c>
      <c r="K167" s="54" t="s">
        <v>55</v>
      </c>
      <c r="L167" s="54" t="s">
        <v>56</v>
      </c>
      <c r="M167" s="58" t="s">
        <v>57</v>
      </c>
      <c r="N167" s="54" t="s">
        <v>58</v>
      </c>
      <c r="O167" s="59">
        <v>46132</v>
      </c>
      <c r="P167" s="74"/>
      <c r="Q167" s="57"/>
      <c r="R167" s="61"/>
      <c r="S167" s="61"/>
    </row>
    <row r="168" spans="2:19" s="62" customFormat="1" outlineLevel="1" x14ac:dyDescent="0.25">
      <c r="B168" s="53"/>
      <c r="C168" s="58">
        <v>223</v>
      </c>
      <c r="D168" s="54" t="s">
        <v>59</v>
      </c>
      <c r="E168" s="64" t="s">
        <v>1050</v>
      </c>
      <c r="F168" s="64" t="s">
        <v>60</v>
      </c>
      <c r="G168" s="63">
        <v>12</v>
      </c>
      <c r="H168" s="57" t="s">
        <v>61</v>
      </c>
      <c r="I168" s="54" t="s">
        <v>62</v>
      </c>
      <c r="J168" s="54" t="s">
        <v>63</v>
      </c>
      <c r="K168" s="54" t="s">
        <v>64</v>
      </c>
      <c r="L168" s="54" t="s">
        <v>65</v>
      </c>
      <c r="M168" s="58" t="s">
        <v>66</v>
      </c>
      <c r="N168" s="54" t="s">
        <v>67</v>
      </c>
      <c r="O168" s="59">
        <v>46132</v>
      </c>
      <c r="P168" s="74"/>
      <c r="Q168" s="57"/>
      <c r="R168" s="61"/>
      <c r="S168" s="61"/>
    </row>
    <row r="169" spans="2:19" s="62" customFormat="1" outlineLevel="1" x14ac:dyDescent="0.25">
      <c r="B169" s="53"/>
      <c r="C169" s="58">
        <v>224</v>
      </c>
      <c r="D169" s="54" t="s">
        <v>75</v>
      </c>
      <c r="E169" s="64" t="s">
        <v>1050</v>
      </c>
      <c r="F169" s="64" t="s">
        <v>76</v>
      </c>
      <c r="G169" s="63">
        <v>9</v>
      </c>
      <c r="H169" s="57" t="s">
        <v>77</v>
      </c>
      <c r="I169" s="54" t="s">
        <v>78</v>
      </c>
      <c r="J169" s="54" t="s">
        <v>79</v>
      </c>
      <c r="K169" s="54" t="s">
        <v>80</v>
      </c>
      <c r="L169" s="54" t="s">
        <v>81</v>
      </c>
      <c r="M169" s="58" t="s">
        <v>82</v>
      </c>
      <c r="N169" s="54" t="s">
        <v>83</v>
      </c>
      <c r="O169" s="59">
        <v>46132</v>
      </c>
      <c r="P169" s="74"/>
      <c r="Q169" s="57"/>
      <c r="R169" s="61"/>
      <c r="S169" s="61"/>
    </row>
    <row r="170" spans="2:19" s="62" customFormat="1" outlineLevel="1" x14ac:dyDescent="0.25">
      <c r="B170" s="53"/>
      <c r="C170" s="58">
        <v>225</v>
      </c>
      <c r="D170" s="54" t="s">
        <v>109</v>
      </c>
      <c r="E170" s="64" t="s">
        <v>1050</v>
      </c>
      <c r="F170" s="64" t="s">
        <v>110</v>
      </c>
      <c r="G170" s="63">
        <v>5</v>
      </c>
      <c r="H170" s="57" t="s">
        <v>111</v>
      </c>
      <c r="I170" s="54" t="s">
        <v>112</v>
      </c>
      <c r="J170" s="54" t="s">
        <v>113</v>
      </c>
      <c r="K170" s="54" t="s">
        <v>114</v>
      </c>
      <c r="L170" s="54" t="s">
        <v>115</v>
      </c>
      <c r="M170" s="58" t="s">
        <v>115</v>
      </c>
      <c r="N170" s="54" t="s">
        <v>116</v>
      </c>
      <c r="O170" s="59">
        <v>46132</v>
      </c>
      <c r="P170" s="74"/>
      <c r="Q170" s="57"/>
      <c r="R170" s="61"/>
      <c r="S170" s="61"/>
    </row>
    <row r="171" spans="2:19" s="62" customFormat="1" outlineLevel="1" x14ac:dyDescent="0.25">
      <c r="B171" s="53"/>
      <c r="C171" s="58">
        <v>226</v>
      </c>
      <c r="D171" s="54" t="s">
        <v>117</v>
      </c>
      <c r="E171" s="64" t="s">
        <v>1050</v>
      </c>
      <c r="F171" s="64" t="s">
        <v>118</v>
      </c>
      <c r="G171" s="63">
        <v>1</v>
      </c>
      <c r="H171" s="57" t="s">
        <v>24</v>
      </c>
      <c r="I171" s="54" t="s">
        <v>119</v>
      </c>
      <c r="J171" s="54" t="s">
        <v>120</v>
      </c>
      <c r="K171" s="54" t="s">
        <v>121</v>
      </c>
      <c r="L171" s="54" t="s">
        <v>122</v>
      </c>
      <c r="M171" s="58" t="s">
        <v>123</v>
      </c>
      <c r="N171" s="54" t="s">
        <v>124</v>
      </c>
      <c r="O171" s="59">
        <v>46132</v>
      </c>
      <c r="P171" s="74"/>
      <c r="Q171" s="57"/>
      <c r="R171" s="61"/>
      <c r="S171" s="61"/>
    </row>
    <row r="172" spans="2:19" s="62" customFormat="1" outlineLevel="1" x14ac:dyDescent="0.25">
      <c r="B172" s="53"/>
      <c r="C172" s="58">
        <v>227</v>
      </c>
      <c r="D172" s="54" t="s">
        <v>142</v>
      </c>
      <c r="E172" s="64" t="s">
        <v>1050</v>
      </c>
      <c r="F172" s="64" t="s">
        <v>143</v>
      </c>
      <c r="G172" s="63">
        <v>1</v>
      </c>
      <c r="H172" s="57" t="s">
        <v>61</v>
      </c>
      <c r="I172" s="54" t="s">
        <v>144</v>
      </c>
      <c r="J172" s="54" t="s">
        <v>145</v>
      </c>
      <c r="K172" s="54" t="s">
        <v>146</v>
      </c>
      <c r="L172" s="54" t="s">
        <v>147</v>
      </c>
      <c r="M172" s="58" t="s">
        <v>148</v>
      </c>
      <c r="N172" s="54" t="s">
        <v>149</v>
      </c>
      <c r="O172" s="59">
        <v>46132</v>
      </c>
      <c r="P172" s="74"/>
      <c r="Q172" s="57"/>
      <c r="R172" s="61"/>
      <c r="S172" s="61"/>
    </row>
    <row r="173" spans="2:19" s="62" customFormat="1" outlineLevel="1" x14ac:dyDescent="0.25">
      <c r="B173" s="53"/>
      <c r="C173" s="58">
        <v>228</v>
      </c>
      <c r="D173" s="54" t="s">
        <v>159</v>
      </c>
      <c r="E173" s="64" t="s">
        <v>1050</v>
      </c>
      <c r="F173" s="64" t="s">
        <v>160</v>
      </c>
      <c r="G173" s="63">
        <v>1</v>
      </c>
      <c r="H173" s="57" t="s">
        <v>61</v>
      </c>
      <c r="I173" s="54" t="s">
        <v>161</v>
      </c>
      <c r="J173" s="54" t="s">
        <v>162</v>
      </c>
      <c r="K173" s="54" t="s">
        <v>163</v>
      </c>
      <c r="L173" s="54" t="s">
        <v>164</v>
      </c>
      <c r="M173" s="58" t="s">
        <v>164</v>
      </c>
      <c r="N173" s="54" t="s">
        <v>165</v>
      </c>
      <c r="O173" s="59">
        <v>46132</v>
      </c>
      <c r="P173" s="74"/>
      <c r="Q173" s="57"/>
      <c r="R173" s="61"/>
      <c r="S173" s="61"/>
    </row>
    <row r="174" spans="2:19" s="62" customFormat="1" outlineLevel="1" x14ac:dyDescent="0.25">
      <c r="B174" s="53"/>
      <c r="C174" s="58">
        <v>229</v>
      </c>
      <c r="D174" s="54" t="s">
        <v>166</v>
      </c>
      <c r="E174" s="64" t="s">
        <v>1050</v>
      </c>
      <c r="F174" s="64" t="s">
        <v>167</v>
      </c>
      <c r="G174" s="63">
        <v>5</v>
      </c>
      <c r="H174" s="57" t="s">
        <v>61</v>
      </c>
      <c r="I174" s="54" t="s">
        <v>168</v>
      </c>
      <c r="J174" s="54" t="s">
        <v>169</v>
      </c>
      <c r="K174" s="54" t="s">
        <v>170</v>
      </c>
      <c r="L174" s="54" t="s">
        <v>171</v>
      </c>
      <c r="M174" s="58" t="s">
        <v>172</v>
      </c>
      <c r="N174" s="54" t="s">
        <v>173</v>
      </c>
      <c r="O174" s="59">
        <v>46132</v>
      </c>
      <c r="P174" s="74"/>
      <c r="Q174" s="57"/>
      <c r="R174" s="61"/>
      <c r="S174" s="61"/>
    </row>
    <row r="175" spans="2:19" s="62" customFormat="1" outlineLevel="1" x14ac:dyDescent="0.25">
      <c r="B175" s="53"/>
      <c r="C175" s="58">
        <v>230</v>
      </c>
      <c r="D175" s="54" t="s">
        <v>174</v>
      </c>
      <c r="E175" s="64" t="s">
        <v>1050</v>
      </c>
      <c r="F175" s="64" t="s">
        <v>175</v>
      </c>
      <c r="G175" s="63">
        <v>1</v>
      </c>
      <c r="H175" s="57" t="s">
        <v>152</v>
      </c>
      <c r="I175" s="54" t="s">
        <v>176</v>
      </c>
      <c r="J175" s="54" t="s">
        <v>177</v>
      </c>
      <c r="K175" s="54" t="s">
        <v>178</v>
      </c>
      <c r="L175" s="54" t="s">
        <v>179</v>
      </c>
      <c r="M175" s="58" t="s">
        <v>180</v>
      </c>
      <c r="N175" s="54" t="s">
        <v>181</v>
      </c>
      <c r="O175" s="59">
        <v>46132</v>
      </c>
      <c r="P175" s="74"/>
      <c r="Q175" s="57"/>
      <c r="R175" s="61"/>
      <c r="S175" s="61"/>
    </row>
    <row r="176" spans="2:19" s="62" customFormat="1" outlineLevel="1" x14ac:dyDescent="0.25">
      <c r="B176" s="53"/>
      <c r="C176" s="58">
        <v>231</v>
      </c>
      <c r="D176" s="54" t="s">
        <v>667</v>
      </c>
      <c r="E176" s="64" t="s">
        <v>1050</v>
      </c>
      <c r="F176" s="64" t="s">
        <v>668</v>
      </c>
      <c r="G176" s="63">
        <v>2</v>
      </c>
      <c r="H176" s="57" t="s">
        <v>61</v>
      </c>
      <c r="I176" s="54" t="s">
        <v>669</v>
      </c>
      <c r="J176" s="54" t="s">
        <v>670</v>
      </c>
      <c r="K176" s="53" t="s">
        <v>671</v>
      </c>
      <c r="L176" s="54" t="s">
        <v>672</v>
      </c>
      <c r="M176" s="58" t="s">
        <v>672</v>
      </c>
      <c r="N176" s="54" t="s">
        <v>673</v>
      </c>
      <c r="O176" s="59">
        <v>46132</v>
      </c>
      <c r="P176" s="74"/>
      <c r="Q176" s="57"/>
      <c r="R176" s="61"/>
      <c r="S176" s="61"/>
    </row>
    <row r="177" spans="2:19" s="62" customFormat="1" ht="45" customHeight="1" outlineLevel="1" x14ac:dyDescent="0.25">
      <c r="B177" s="53"/>
      <c r="C177" s="58" t="s">
        <v>1051</v>
      </c>
      <c r="D177" s="54" t="s">
        <v>190</v>
      </c>
      <c r="E177" s="64" t="s">
        <v>1050</v>
      </c>
      <c r="F177" s="64" t="s">
        <v>191</v>
      </c>
      <c r="G177" s="63">
        <v>6</v>
      </c>
      <c r="H177" s="57" t="s">
        <v>24</v>
      </c>
      <c r="I177" s="65" t="s">
        <v>1052</v>
      </c>
      <c r="J177" s="65" t="s">
        <v>1053</v>
      </c>
      <c r="K177" s="65" t="s">
        <v>1054</v>
      </c>
      <c r="L177" s="54" t="s">
        <v>195</v>
      </c>
      <c r="M177" s="58" t="s">
        <v>1055</v>
      </c>
      <c r="N177" s="54" t="s">
        <v>197</v>
      </c>
      <c r="O177" s="59">
        <v>46132</v>
      </c>
      <c r="P177" s="74"/>
      <c r="Q177" s="57"/>
      <c r="R177" s="61"/>
      <c r="S177" s="61"/>
    </row>
    <row r="178" spans="2:19" s="62" customFormat="1" outlineLevel="1" x14ac:dyDescent="0.25">
      <c r="B178" s="53"/>
      <c r="C178" s="58">
        <v>233</v>
      </c>
      <c r="D178" s="54" t="s">
        <v>198</v>
      </c>
      <c r="E178" s="64" t="s">
        <v>1050</v>
      </c>
      <c r="F178" s="64" t="s">
        <v>199</v>
      </c>
      <c r="G178" s="63">
        <v>1</v>
      </c>
      <c r="H178" s="57" t="s">
        <v>200</v>
      </c>
      <c r="I178" s="54" t="s">
        <v>201</v>
      </c>
      <c r="J178" s="54" t="s">
        <v>202</v>
      </c>
      <c r="K178" s="54" t="s">
        <v>203</v>
      </c>
      <c r="L178" s="54" t="s">
        <v>204</v>
      </c>
      <c r="M178" s="58" t="s">
        <v>205</v>
      </c>
      <c r="N178" s="54" t="s">
        <v>206</v>
      </c>
      <c r="O178" s="59">
        <v>46132</v>
      </c>
      <c r="P178" s="74"/>
      <c r="Q178" s="57"/>
      <c r="R178" s="61"/>
      <c r="S178" s="61"/>
    </row>
    <row r="179" spans="2:19" s="62" customFormat="1" outlineLevel="1" x14ac:dyDescent="0.25">
      <c r="B179" s="53"/>
      <c r="C179" s="58">
        <v>234</v>
      </c>
      <c r="D179" s="54" t="s">
        <v>215</v>
      </c>
      <c r="E179" s="64" t="s">
        <v>1050</v>
      </c>
      <c r="F179" s="64" t="s">
        <v>216</v>
      </c>
      <c r="G179" s="63">
        <v>1</v>
      </c>
      <c r="H179" s="57" t="s">
        <v>24</v>
      </c>
      <c r="I179" s="54" t="s">
        <v>217</v>
      </c>
      <c r="J179" s="54" t="s">
        <v>218</v>
      </c>
      <c r="K179" s="54" t="s">
        <v>219</v>
      </c>
      <c r="L179" s="54" t="s">
        <v>220</v>
      </c>
      <c r="M179" s="58" t="s">
        <v>221</v>
      </c>
      <c r="N179" s="54" t="s">
        <v>222</v>
      </c>
      <c r="O179" s="59">
        <v>46132</v>
      </c>
      <c r="P179" s="74"/>
      <c r="Q179" s="57"/>
      <c r="R179" s="61"/>
      <c r="S179" s="61"/>
    </row>
    <row r="180" spans="2:19" s="62" customFormat="1" outlineLevel="1" x14ac:dyDescent="0.25">
      <c r="B180" s="53"/>
      <c r="C180" s="58">
        <v>235</v>
      </c>
      <c r="D180" s="54" t="s">
        <v>223</v>
      </c>
      <c r="E180" s="64" t="s">
        <v>1050</v>
      </c>
      <c r="F180" s="64" t="s">
        <v>224</v>
      </c>
      <c r="G180" s="63">
        <v>1</v>
      </c>
      <c r="H180" s="57" t="s">
        <v>61</v>
      </c>
      <c r="I180" s="54" t="s">
        <v>225</v>
      </c>
      <c r="J180" s="54" t="s">
        <v>226</v>
      </c>
      <c r="K180" s="54" t="s">
        <v>227</v>
      </c>
      <c r="L180" s="54" t="s">
        <v>228</v>
      </c>
      <c r="M180" s="58" t="s">
        <v>229</v>
      </c>
      <c r="N180" s="54" t="s">
        <v>230</v>
      </c>
      <c r="O180" s="59">
        <v>46132</v>
      </c>
      <c r="P180" s="74"/>
      <c r="Q180" s="57"/>
      <c r="R180" s="61"/>
      <c r="S180" s="61"/>
    </row>
    <row r="181" spans="2:19" s="62" customFormat="1" ht="30" customHeight="1" outlineLevel="1" x14ac:dyDescent="0.25">
      <c r="B181" s="53"/>
      <c r="C181" s="58" t="s">
        <v>1056</v>
      </c>
      <c r="D181" s="54" t="s">
        <v>231</v>
      </c>
      <c r="E181" s="64" t="s">
        <v>1050</v>
      </c>
      <c r="F181" s="64" t="s">
        <v>232</v>
      </c>
      <c r="G181" s="63">
        <v>2</v>
      </c>
      <c r="H181" s="57" t="s">
        <v>61</v>
      </c>
      <c r="I181" s="54" t="s">
        <v>702</v>
      </c>
      <c r="J181" s="54" t="s">
        <v>703</v>
      </c>
      <c r="K181" s="54" t="s">
        <v>704</v>
      </c>
      <c r="L181" s="54" t="s">
        <v>236</v>
      </c>
      <c r="M181" s="58" t="s">
        <v>838</v>
      </c>
      <c r="N181" s="54" t="s">
        <v>238</v>
      </c>
      <c r="O181" s="59">
        <v>46132</v>
      </c>
      <c r="P181" s="74"/>
      <c r="Q181" s="57"/>
      <c r="R181" s="61"/>
      <c r="S181" s="61"/>
    </row>
    <row r="182" spans="2:19" s="62" customFormat="1" outlineLevel="1" x14ac:dyDescent="0.25">
      <c r="B182" s="53"/>
      <c r="C182" s="58">
        <v>237</v>
      </c>
      <c r="D182" s="54" t="s">
        <v>247</v>
      </c>
      <c r="E182" s="64" t="s">
        <v>1050</v>
      </c>
      <c r="F182" s="64" t="s">
        <v>248</v>
      </c>
      <c r="G182" s="63">
        <v>1</v>
      </c>
      <c r="H182" s="57" t="s">
        <v>61</v>
      </c>
      <c r="I182" s="54" t="s">
        <v>532</v>
      </c>
      <c r="J182" s="54" t="s">
        <v>533</v>
      </c>
      <c r="K182" s="53" t="s">
        <v>534</v>
      </c>
      <c r="L182" s="54" t="s">
        <v>252</v>
      </c>
      <c r="M182" s="58" t="s">
        <v>535</v>
      </c>
      <c r="N182" s="54" t="s">
        <v>254</v>
      </c>
      <c r="O182" s="59">
        <v>46132</v>
      </c>
      <c r="P182" s="74"/>
      <c r="Q182" s="57"/>
      <c r="R182" s="61"/>
      <c r="S182" s="61"/>
    </row>
    <row r="183" spans="2:19" s="62" customFormat="1" outlineLevel="1" x14ac:dyDescent="0.25">
      <c r="B183" s="53"/>
      <c r="C183" s="58">
        <v>238</v>
      </c>
      <c r="D183" s="54" t="s">
        <v>263</v>
      </c>
      <c r="E183" s="64" t="s">
        <v>1050</v>
      </c>
      <c r="F183" s="64" t="s">
        <v>264</v>
      </c>
      <c r="G183" s="63">
        <v>2</v>
      </c>
      <c r="H183" s="57" t="s">
        <v>61</v>
      </c>
      <c r="I183" s="54" t="s">
        <v>265</v>
      </c>
      <c r="J183" s="54" t="s">
        <v>266</v>
      </c>
      <c r="K183" s="54" t="s">
        <v>267</v>
      </c>
      <c r="L183" s="54" t="s">
        <v>252</v>
      </c>
      <c r="M183" s="58" t="s">
        <v>268</v>
      </c>
      <c r="N183" s="54" t="s">
        <v>269</v>
      </c>
      <c r="O183" s="59">
        <v>46132</v>
      </c>
      <c r="P183" s="74"/>
      <c r="Q183" s="57"/>
      <c r="R183" s="61"/>
      <c r="S183" s="61"/>
    </row>
    <row r="184" spans="2:19" s="62" customFormat="1" outlineLevel="1" x14ac:dyDescent="0.25">
      <c r="B184" s="53"/>
      <c r="C184" s="58">
        <v>239</v>
      </c>
      <c r="D184" s="54" t="s">
        <v>743</v>
      </c>
      <c r="E184" s="64" t="s">
        <v>1050</v>
      </c>
      <c r="F184" s="64" t="s">
        <v>744</v>
      </c>
      <c r="G184" s="63">
        <v>1</v>
      </c>
      <c r="H184" s="57" t="s">
        <v>745</v>
      </c>
      <c r="I184" s="54" t="s">
        <v>746</v>
      </c>
      <c r="J184" s="54" t="s">
        <v>747</v>
      </c>
      <c r="K184" s="54" t="s">
        <v>748</v>
      </c>
      <c r="L184" s="54" t="s">
        <v>749</v>
      </c>
      <c r="M184" s="58" t="s">
        <v>750</v>
      </c>
      <c r="N184" s="54" t="s">
        <v>751</v>
      </c>
      <c r="O184" s="59">
        <v>46132</v>
      </c>
      <c r="P184" s="74"/>
      <c r="Q184" s="57"/>
      <c r="R184" s="61"/>
      <c r="S184" s="61"/>
    </row>
    <row r="185" spans="2:19" s="62" customFormat="1" outlineLevel="1" x14ac:dyDescent="0.25">
      <c r="B185" s="53"/>
      <c r="C185" s="58">
        <v>240</v>
      </c>
      <c r="D185" s="54" t="s">
        <v>286</v>
      </c>
      <c r="E185" s="64" t="s">
        <v>1050</v>
      </c>
      <c r="F185" s="64" t="s">
        <v>287</v>
      </c>
      <c r="G185" s="63">
        <v>1</v>
      </c>
      <c r="H185" s="57" t="s">
        <v>61</v>
      </c>
      <c r="I185" s="54" t="s">
        <v>288</v>
      </c>
      <c r="J185" s="54" t="s">
        <v>289</v>
      </c>
      <c r="K185" s="54" t="s">
        <v>290</v>
      </c>
      <c r="L185" s="54" t="s">
        <v>291</v>
      </c>
      <c r="M185" s="58" t="s">
        <v>292</v>
      </c>
      <c r="N185" s="54" t="s">
        <v>293</v>
      </c>
      <c r="O185" s="59">
        <v>46132</v>
      </c>
      <c r="P185" s="74"/>
      <c r="Q185" s="57"/>
      <c r="R185" s="61"/>
      <c r="S185" s="61"/>
    </row>
    <row r="186" spans="2:19" s="62" customFormat="1" outlineLevel="1" x14ac:dyDescent="0.25">
      <c r="B186" s="53"/>
      <c r="C186" s="58">
        <v>241</v>
      </c>
      <c r="D186" s="54" t="s">
        <v>294</v>
      </c>
      <c r="E186" s="64" t="s">
        <v>1050</v>
      </c>
      <c r="F186" s="64" t="s">
        <v>295</v>
      </c>
      <c r="G186" s="63">
        <v>1</v>
      </c>
      <c r="H186" s="57" t="s">
        <v>61</v>
      </c>
      <c r="I186" s="54" t="s">
        <v>908</v>
      </c>
      <c r="J186" s="54" t="s">
        <v>909</v>
      </c>
      <c r="K186" s="54" t="s">
        <v>910</v>
      </c>
      <c r="L186" s="54" t="s">
        <v>299</v>
      </c>
      <c r="M186" s="58" t="s">
        <v>300</v>
      </c>
      <c r="N186" s="54" t="s">
        <v>301</v>
      </c>
      <c r="O186" s="59">
        <v>46132</v>
      </c>
      <c r="P186" s="74"/>
      <c r="Q186" s="57"/>
      <c r="R186" s="61"/>
      <c r="S186" s="61"/>
    </row>
    <row r="187" spans="2:19" s="62" customFormat="1" ht="30" customHeight="1" outlineLevel="1" x14ac:dyDescent="0.25">
      <c r="B187" s="53"/>
      <c r="C187" s="58" t="s">
        <v>1057</v>
      </c>
      <c r="D187" s="54" t="s">
        <v>302</v>
      </c>
      <c r="E187" s="64" t="s">
        <v>1050</v>
      </c>
      <c r="F187" s="64" t="s">
        <v>303</v>
      </c>
      <c r="G187" s="63">
        <v>2</v>
      </c>
      <c r="H187" s="57" t="s">
        <v>61</v>
      </c>
      <c r="I187" s="54" t="s">
        <v>304</v>
      </c>
      <c r="J187" s="54" t="s">
        <v>305</v>
      </c>
      <c r="K187" s="54" t="s">
        <v>306</v>
      </c>
      <c r="L187" s="54" t="s">
        <v>307</v>
      </c>
      <c r="M187" s="58" t="s">
        <v>1058</v>
      </c>
      <c r="N187" s="54" t="s">
        <v>309</v>
      </c>
      <c r="O187" s="59">
        <v>46132</v>
      </c>
      <c r="P187" s="74"/>
      <c r="Q187" s="57"/>
      <c r="R187" s="61"/>
      <c r="S187" s="61"/>
    </row>
    <row r="188" spans="2:19" s="62" customFormat="1" outlineLevel="1" x14ac:dyDescent="0.25">
      <c r="B188" s="53"/>
      <c r="C188" s="58">
        <v>243</v>
      </c>
      <c r="D188" s="54" t="s">
        <v>310</v>
      </c>
      <c r="E188" s="64" t="s">
        <v>1050</v>
      </c>
      <c r="F188" s="64" t="s">
        <v>311</v>
      </c>
      <c r="G188" s="63">
        <v>1</v>
      </c>
      <c r="H188" s="57" t="s">
        <v>152</v>
      </c>
      <c r="I188" s="54" t="s">
        <v>312</v>
      </c>
      <c r="J188" s="54" t="s">
        <v>313</v>
      </c>
      <c r="K188" s="54" t="s">
        <v>314</v>
      </c>
      <c r="L188" s="54" t="s">
        <v>315</v>
      </c>
      <c r="M188" s="58" t="s">
        <v>316</v>
      </c>
      <c r="N188" s="54" t="s">
        <v>317</v>
      </c>
      <c r="O188" s="59">
        <v>46132</v>
      </c>
      <c r="P188" s="74"/>
      <c r="Q188" s="57"/>
      <c r="R188" s="61"/>
      <c r="S188" s="61"/>
    </row>
    <row r="189" spans="2:19" s="62" customFormat="1" outlineLevel="1" x14ac:dyDescent="0.25">
      <c r="B189" s="53"/>
      <c r="C189" s="58">
        <v>244</v>
      </c>
      <c r="D189" s="54" t="s">
        <v>326</v>
      </c>
      <c r="E189" s="64" t="s">
        <v>1050</v>
      </c>
      <c r="F189" s="64" t="s">
        <v>327</v>
      </c>
      <c r="G189" s="63">
        <v>1</v>
      </c>
      <c r="H189" s="57" t="s">
        <v>152</v>
      </c>
      <c r="I189" s="54" t="s">
        <v>328</v>
      </c>
      <c r="J189" s="54" t="s">
        <v>329</v>
      </c>
      <c r="K189" s="54" t="s">
        <v>330</v>
      </c>
      <c r="L189" s="54" t="s">
        <v>331</v>
      </c>
      <c r="M189" s="58" t="s">
        <v>332</v>
      </c>
      <c r="N189" s="54" t="s">
        <v>333</v>
      </c>
      <c r="O189" s="59">
        <v>46132</v>
      </c>
      <c r="P189" s="74"/>
      <c r="Q189" s="57"/>
      <c r="R189" s="61"/>
      <c r="S189" s="61"/>
    </row>
    <row r="190" spans="2:19" s="62" customFormat="1" outlineLevel="1" x14ac:dyDescent="0.25">
      <c r="B190" s="53"/>
      <c r="C190" s="58">
        <v>245</v>
      </c>
      <c r="D190" s="54" t="s">
        <v>334</v>
      </c>
      <c r="E190" s="64" t="s">
        <v>1050</v>
      </c>
      <c r="F190" s="64" t="s">
        <v>335</v>
      </c>
      <c r="G190" s="63">
        <v>1</v>
      </c>
      <c r="H190" s="57" t="s">
        <v>61</v>
      </c>
      <c r="I190" s="54" t="s">
        <v>336</v>
      </c>
      <c r="J190" s="54" t="s">
        <v>337</v>
      </c>
      <c r="K190" s="54" t="s">
        <v>338</v>
      </c>
      <c r="L190" s="54" t="s">
        <v>339</v>
      </c>
      <c r="M190" s="58" t="s">
        <v>543</v>
      </c>
      <c r="N190" s="54" t="s">
        <v>341</v>
      </c>
      <c r="O190" s="59">
        <v>46132</v>
      </c>
      <c r="P190" s="74"/>
      <c r="Q190" s="57"/>
      <c r="R190" s="61"/>
      <c r="S190" s="61"/>
    </row>
    <row r="191" spans="2:19" s="62" customFormat="1" outlineLevel="1" x14ac:dyDescent="0.25">
      <c r="B191" s="53"/>
      <c r="C191" s="58">
        <v>246</v>
      </c>
      <c r="D191" s="54" t="s">
        <v>342</v>
      </c>
      <c r="E191" s="64" t="s">
        <v>1050</v>
      </c>
      <c r="F191" s="64" t="s">
        <v>343</v>
      </c>
      <c r="G191" s="63">
        <v>4</v>
      </c>
      <c r="H191" s="57" t="s">
        <v>24</v>
      </c>
      <c r="I191" s="54" t="s">
        <v>344</v>
      </c>
      <c r="J191" s="54" t="s">
        <v>345</v>
      </c>
      <c r="K191" s="54" t="s">
        <v>346</v>
      </c>
      <c r="L191" s="54" t="s">
        <v>347</v>
      </c>
      <c r="M191" s="58" t="s">
        <v>348</v>
      </c>
      <c r="N191" s="54" t="s">
        <v>349</v>
      </c>
      <c r="O191" s="59">
        <v>46132</v>
      </c>
      <c r="P191" s="74"/>
      <c r="Q191" s="57"/>
      <c r="R191" s="61"/>
      <c r="S191" s="61"/>
    </row>
    <row r="192" spans="2:19" s="62" customFormat="1" outlineLevel="1" x14ac:dyDescent="0.25">
      <c r="B192" s="53"/>
      <c r="C192" s="58">
        <v>247</v>
      </c>
      <c r="D192" s="54" t="s">
        <v>350</v>
      </c>
      <c r="E192" s="64" t="s">
        <v>1050</v>
      </c>
      <c r="F192" s="64" t="s">
        <v>351</v>
      </c>
      <c r="G192" s="63">
        <v>1</v>
      </c>
      <c r="H192" s="57" t="s">
        <v>152</v>
      </c>
      <c r="I192" s="54" t="s">
        <v>352</v>
      </c>
      <c r="J192" s="54" t="s">
        <v>353</v>
      </c>
      <c r="K192" s="54" t="s">
        <v>354</v>
      </c>
      <c r="L192" s="54" t="s">
        <v>355</v>
      </c>
      <c r="M192" s="58" t="s">
        <v>355</v>
      </c>
      <c r="N192" s="54" t="s">
        <v>356</v>
      </c>
      <c r="O192" s="59">
        <v>46132</v>
      </c>
      <c r="P192" s="74"/>
      <c r="Q192" s="57"/>
      <c r="R192" s="61"/>
      <c r="S192" s="61"/>
    </row>
    <row r="193" spans="2:19" s="62" customFormat="1" outlineLevel="1" x14ac:dyDescent="0.25">
      <c r="B193" s="53"/>
      <c r="C193" s="58">
        <v>248</v>
      </c>
      <c r="D193" s="54" t="s">
        <v>802</v>
      </c>
      <c r="E193" s="64" t="s">
        <v>1050</v>
      </c>
      <c r="F193" s="64" t="s">
        <v>803</v>
      </c>
      <c r="G193" s="63">
        <v>4</v>
      </c>
      <c r="H193" s="57" t="s">
        <v>804</v>
      </c>
      <c r="I193" s="54" t="s">
        <v>805</v>
      </c>
      <c r="J193" s="54" t="s">
        <v>806</v>
      </c>
      <c r="K193" s="53" t="s">
        <v>807</v>
      </c>
      <c r="L193" s="54" t="s">
        <v>808</v>
      </c>
      <c r="M193" s="58" t="s">
        <v>872</v>
      </c>
      <c r="N193" s="54" t="s">
        <v>810</v>
      </c>
      <c r="O193" s="59">
        <v>46132</v>
      </c>
      <c r="P193" s="74"/>
      <c r="Q193" s="57"/>
      <c r="R193" s="61"/>
      <c r="S193" s="61"/>
    </row>
    <row r="194" spans="2:19" s="62" customFormat="1" outlineLevel="1" x14ac:dyDescent="0.25">
      <c r="B194" s="53"/>
      <c r="C194" s="58">
        <v>249</v>
      </c>
      <c r="D194" s="54" t="s">
        <v>604</v>
      </c>
      <c r="E194" s="64" t="s">
        <v>1050</v>
      </c>
      <c r="F194" s="64" t="s">
        <v>605</v>
      </c>
      <c r="G194" s="63">
        <v>1</v>
      </c>
      <c r="H194" s="57" t="s">
        <v>61</v>
      </c>
      <c r="I194" s="54" t="s">
        <v>606</v>
      </c>
      <c r="J194" s="54" t="s">
        <v>607</v>
      </c>
      <c r="K194" s="54" t="s">
        <v>608</v>
      </c>
      <c r="L194" s="54" t="s">
        <v>252</v>
      </c>
      <c r="M194" s="58" t="s">
        <v>609</v>
      </c>
      <c r="N194" s="54" t="s">
        <v>610</v>
      </c>
      <c r="O194" s="59">
        <v>46132</v>
      </c>
      <c r="P194" s="74"/>
      <c r="Q194" s="57"/>
      <c r="R194" s="61"/>
      <c r="S194" s="61"/>
    </row>
    <row r="195" spans="2:19" s="62" customFormat="1" ht="30" customHeight="1" outlineLevel="1" x14ac:dyDescent="0.25">
      <c r="B195" s="53"/>
      <c r="C195" s="58" t="s">
        <v>1059</v>
      </c>
      <c r="D195" s="54" t="s">
        <v>375</v>
      </c>
      <c r="E195" s="64" t="s">
        <v>1050</v>
      </c>
      <c r="F195" s="64" t="s">
        <v>376</v>
      </c>
      <c r="G195" s="63">
        <v>5</v>
      </c>
      <c r="H195" s="57" t="s">
        <v>111</v>
      </c>
      <c r="I195" s="54" t="s">
        <v>1060</v>
      </c>
      <c r="J195" s="54" t="s">
        <v>1061</v>
      </c>
      <c r="K195" s="54" t="s">
        <v>1062</v>
      </c>
      <c r="L195" s="54" t="s">
        <v>380</v>
      </c>
      <c r="M195" s="58" t="s">
        <v>1063</v>
      </c>
      <c r="N195" s="54" t="s">
        <v>382</v>
      </c>
      <c r="O195" s="59">
        <v>46132</v>
      </c>
      <c r="P195" s="74"/>
      <c r="Q195" s="57"/>
      <c r="R195" s="61"/>
      <c r="S195" s="61"/>
    </row>
    <row r="196" spans="2:19" s="62" customFormat="1" outlineLevel="1" x14ac:dyDescent="0.25">
      <c r="B196" s="53"/>
      <c r="C196" s="58">
        <v>251</v>
      </c>
      <c r="D196" s="54" t="s">
        <v>383</v>
      </c>
      <c r="E196" s="64" t="s">
        <v>1050</v>
      </c>
      <c r="F196" s="64" t="s">
        <v>384</v>
      </c>
      <c r="G196" s="63">
        <v>1</v>
      </c>
      <c r="H196" s="57" t="s">
        <v>61</v>
      </c>
      <c r="I196" s="54" t="s">
        <v>385</v>
      </c>
      <c r="J196" s="54" t="s">
        <v>386</v>
      </c>
      <c r="K196" s="54" t="s">
        <v>387</v>
      </c>
      <c r="L196" s="54" t="s">
        <v>388</v>
      </c>
      <c r="M196" s="58" t="s">
        <v>389</v>
      </c>
      <c r="N196" s="54" t="s">
        <v>390</v>
      </c>
      <c r="O196" s="59">
        <v>46132</v>
      </c>
      <c r="P196" s="74"/>
      <c r="Q196" s="57"/>
      <c r="R196" s="61"/>
      <c r="S196" s="61"/>
    </row>
    <row r="197" spans="2:19" s="62" customFormat="1" outlineLevel="1" x14ac:dyDescent="0.25">
      <c r="B197" s="53"/>
      <c r="C197" s="58">
        <v>252</v>
      </c>
      <c r="D197" s="54" t="s">
        <v>431</v>
      </c>
      <c r="E197" s="54" t="s">
        <v>1050</v>
      </c>
      <c r="F197" s="64" t="s">
        <v>432</v>
      </c>
      <c r="G197" s="63">
        <v>1</v>
      </c>
      <c r="H197" s="57" t="s">
        <v>152</v>
      </c>
      <c r="I197" s="54" t="s">
        <v>868</v>
      </c>
      <c r="J197" s="54" t="s">
        <v>869</v>
      </c>
      <c r="K197" s="54" t="s">
        <v>870</v>
      </c>
      <c r="L197" s="54" t="s">
        <v>436</v>
      </c>
      <c r="M197" s="58" t="s">
        <v>871</v>
      </c>
      <c r="N197" s="54" t="s">
        <v>438</v>
      </c>
      <c r="O197" s="59">
        <v>46132</v>
      </c>
      <c r="P197" s="74"/>
      <c r="Q197" s="57"/>
      <c r="R197" s="61"/>
      <c r="S197" s="61"/>
    </row>
    <row r="198" spans="2:19" s="62" customFormat="1" outlineLevel="1" x14ac:dyDescent="0.25">
      <c r="B198" s="53"/>
      <c r="C198" s="58">
        <v>253</v>
      </c>
      <c r="D198" s="54" t="s">
        <v>544</v>
      </c>
      <c r="E198" s="64" t="s">
        <v>1050</v>
      </c>
      <c r="F198" s="64" t="s">
        <v>545</v>
      </c>
      <c r="G198" s="63">
        <v>2</v>
      </c>
      <c r="H198" s="57" t="s">
        <v>24</v>
      </c>
      <c r="I198" s="54" t="s">
        <v>868</v>
      </c>
      <c r="J198" s="54" t="s">
        <v>869</v>
      </c>
      <c r="K198" s="54" t="s">
        <v>870</v>
      </c>
      <c r="L198" s="54" t="s">
        <v>549</v>
      </c>
      <c r="M198" s="58" t="s">
        <v>550</v>
      </c>
      <c r="N198" s="54" t="s">
        <v>551</v>
      </c>
      <c r="O198" s="59">
        <v>46132</v>
      </c>
      <c r="P198" s="74"/>
      <c r="Q198" s="57"/>
      <c r="R198" s="61"/>
      <c r="S198" s="61"/>
    </row>
    <row r="199" spans="2:19" s="62" customFormat="1" outlineLevel="1" x14ac:dyDescent="0.25">
      <c r="B199" s="53"/>
      <c r="C199" s="58">
        <v>254</v>
      </c>
      <c r="D199" s="54" t="s">
        <v>571</v>
      </c>
      <c r="E199" s="64" t="s">
        <v>1050</v>
      </c>
      <c r="F199" s="64" t="s">
        <v>572</v>
      </c>
      <c r="G199" s="63">
        <v>2</v>
      </c>
      <c r="H199" s="57" t="s">
        <v>573</v>
      </c>
      <c r="I199" s="54" t="s">
        <v>868</v>
      </c>
      <c r="J199" s="54" t="s">
        <v>869</v>
      </c>
      <c r="K199" s="54" t="s">
        <v>870</v>
      </c>
      <c r="L199" s="54" t="s">
        <v>577</v>
      </c>
      <c r="M199" s="58" t="s">
        <v>578</v>
      </c>
      <c r="N199" s="54" t="s">
        <v>579</v>
      </c>
      <c r="O199" s="59">
        <v>46132</v>
      </c>
      <c r="P199" s="74"/>
      <c r="Q199" s="57"/>
      <c r="R199" s="61"/>
      <c r="S199" s="61"/>
    </row>
    <row r="200" spans="2:19" s="62" customFormat="1" outlineLevel="1" x14ac:dyDescent="0.25">
      <c r="B200" s="53"/>
      <c r="C200" s="58">
        <v>255</v>
      </c>
      <c r="D200" s="54" t="s">
        <v>596</v>
      </c>
      <c r="E200" s="64" t="s">
        <v>1050</v>
      </c>
      <c r="F200" s="64" t="s">
        <v>597</v>
      </c>
      <c r="G200" s="63">
        <v>1</v>
      </c>
      <c r="H200" s="57" t="s">
        <v>61</v>
      </c>
      <c r="I200" s="54" t="s">
        <v>598</v>
      </c>
      <c r="J200" s="54" t="s">
        <v>599</v>
      </c>
      <c r="K200" s="54" t="s">
        <v>600</v>
      </c>
      <c r="L200" s="54" t="s">
        <v>601</v>
      </c>
      <c r="M200" s="58" t="s">
        <v>602</v>
      </c>
      <c r="N200" s="54" t="s">
        <v>603</v>
      </c>
      <c r="O200" s="59">
        <v>46132</v>
      </c>
      <c r="P200" s="74"/>
      <c r="Q200" s="57"/>
      <c r="R200" s="61"/>
      <c r="S200" s="61"/>
    </row>
    <row r="201" spans="2:19" s="62" customFormat="1" outlineLevel="1" x14ac:dyDescent="0.25">
      <c r="B201" s="53"/>
      <c r="C201" s="58">
        <v>256</v>
      </c>
      <c r="D201" s="54" t="s">
        <v>588</v>
      </c>
      <c r="E201" s="64" t="s">
        <v>1050</v>
      </c>
      <c r="F201" s="64" t="s">
        <v>589</v>
      </c>
      <c r="G201" s="63">
        <v>1</v>
      </c>
      <c r="H201" s="57" t="s">
        <v>24</v>
      </c>
      <c r="I201" s="54" t="s">
        <v>590</v>
      </c>
      <c r="J201" s="54" t="s">
        <v>591</v>
      </c>
      <c r="K201" s="54" t="s">
        <v>592</v>
      </c>
      <c r="L201" s="54" t="s">
        <v>593</v>
      </c>
      <c r="M201" s="58" t="s">
        <v>594</v>
      </c>
      <c r="N201" s="54" t="s">
        <v>595</v>
      </c>
      <c r="O201" s="59">
        <v>46132</v>
      </c>
      <c r="P201" s="74"/>
      <c r="Q201" s="57"/>
      <c r="R201" s="61"/>
      <c r="S201" s="61"/>
    </row>
    <row r="202" spans="2:19" s="62" customFormat="1" ht="30" customHeight="1" outlineLevel="1" x14ac:dyDescent="0.25">
      <c r="B202" s="53"/>
      <c r="C202" s="58">
        <v>257</v>
      </c>
      <c r="D202" s="54" t="s">
        <v>478</v>
      </c>
      <c r="E202" s="64" t="s">
        <v>1050</v>
      </c>
      <c r="F202" s="64" t="s">
        <v>479</v>
      </c>
      <c r="G202" s="63">
        <v>1</v>
      </c>
      <c r="H202" s="57" t="s">
        <v>111</v>
      </c>
      <c r="I202" s="54" t="s">
        <v>480</v>
      </c>
      <c r="J202" s="54" t="s">
        <v>481</v>
      </c>
      <c r="K202" s="54" t="s">
        <v>482</v>
      </c>
      <c r="L202" s="54" t="s">
        <v>483</v>
      </c>
      <c r="M202" s="58" t="s">
        <v>1064</v>
      </c>
      <c r="N202" s="54" t="s">
        <v>485</v>
      </c>
      <c r="O202" s="59">
        <v>46132</v>
      </c>
      <c r="P202" s="74"/>
      <c r="Q202" s="57"/>
      <c r="R202" s="61"/>
      <c r="S202" s="61"/>
    </row>
    <row r="203" spans="2:19" s="62" customFormat="1" outlineLevel="1" x14ac:dyDescent="0.25">
      <c r="B203" s="53"/>
      <c r="C203" s="58">
        <v>258</v>
      </c>
      <c r="D203" s="54" t="s">
        <v>494</v>
      </c>
      <c r="E203" s="64" t="s">
        <v>1050</v>
      </c>
      <c r="F203" s="64" t="s">
        <v>495</v>
      </c>
      <c r="G203" s="63">
        <v>1</v>
      </c>
      <c r="H203" s="57" t="s">
        <v>61</v>
      </c>
      <c r="I203" s="54" t="s">
        <v>496</v>
      </c>
      <c r="J203" s="54" t="s">
        <v>497</v>
      </c>
      <c r="K203" s="54" t="s">
        <v>498</v>
      </c>
      <c r="L203" s="54" t="s">
        <v>499</v>
      </c>
      <c r="M203" s="58" t="s">
        <v>500</v>
      </c>
      <c r="N203" s="54" t="s">
        <v>501</v>
      </c>
      <c r="O203" s="59">
        <v>46132</v>
      </c>
      <c r="P203" s="74"/>
      <c r="Q203" s="57"/>
      <c r="R203" s="61"/>
      <c r="S203" s="61"/>
    </row>
    <row r="204" spans="2:19" s="62" customFormat="1" outlineLevel="1" x14ac:dyDescent="0.25">
      <c r="B204" s="53"/>
      <c r="C204" s="58">
        <v>259</v>
      </c>
      <c r="D204" s="54" t="s">
        <v>502</v>
      </c>
      <c r="E204" s="64" t="s">
        <v>1050</v>
      </c>
      <c r="F204" s="64" t="s">
        <v>503</v>
      </c>
      <c r="G204" s="63">
        <v>1</v>
      </c>
      <c r="H204" s="57" t="s">
        <v>61</v>
      </c>
      <c r="I204" s="54" t="s">
        <v>504</v>
      </c>
      <c r="J204" s="54" t="s">
        <v>505</v>
      </c>
      <c r="K204" s="54" t="s">
        <v>506</v>
      </c>
      <c r="L204" s="54" t="s">
        <v>283</v>
      </c>
      <c r="M204" s="58" t="s">
        <v>284</v>
      </c>
      <c r="N204" s="54" t="s">
        <v>507</v>
      </c>
      <c r="O204" s="59">
        <v>46132</v>
      </c>
      <c r="P204" s="74"/>
      <c r="Q204" s="57"/>
      <c r="R204" s="61"/>
      <c r="S204" s="61"/>
    </row>
    <row r="205" spans="2:19" s="62" customFormat="1" outlineLevel="1" x14ac:dyDescent="0.25">
      <c r="B205" s="53"/>
      <c r="C205" s="58">
        <v>260</v>
      </c>
      <c r="D205" s="54" t="s">
        <v>508</v>
      </c>
      <c r="E205" s="64" t="s">
        <v>1050</v>
      </c>
      <c r="F205" s="64" t="s">
        <v>509</v>
      </c>
      <c r="G205" s="63">
        <v>8</v>
      </c>
      <c r="H205" s="57" t="s">
        <v>61</v>
      </c>
      <c r="I205" s="54" t="s">
        <v>510</v>
      </c>
      <c r="J205" s="54" t="s">
        <v>511</v>
      </c>
      <c r="K205" s="54" t="s">
        <v>512</v>
      </c>
      <c r="L205" s="54" t="s">
        <v>513</v>
      </c>
      <c r="M205" s="58" t="s">
        <v>514</v>
      </c>
      <c r="N205" s="54" t="s">
        <v>515</v>
      </c>
      <c r="O205" s="59">
        <v>46132</v>
      </c>
      <c r="P205" s="74"/>
      <c r="Q205" s="57"/>
      <c r="R205" s="61"/>
      <c r="S205" s="61"/>
    </row>
    <row r="206" spans="2:19" s="62" customFormat="1" outlineLevel="1" x14ac:dyDescent="0.25">
      <c r="B206" s="53"/>
      <c r="C206" s="58">
        <v>261</v>
      </c>
      <c r="D206" s="54" t="s">
        <v>516</v>
      </c>
      <c r="E206" s="64" t="s">
        <v>1050</v>
      </c>
      <c r="F206" s="71" t="s">
        <v>517</v>
      </c>
      <c r="G206" s="63">
        <v>1</v>
      </c>
      <c r="H206" s="57" t="s">
        <v>61</v>
      </c>
      <c r="I206" s="54" t="s">
        <v>518</v>
      </c>
      <c r="J206" s="54" t="s">
        <v>519</v>
      </c>
      <c r="K206" s="54" t="s">
        <v>520</v>
      </c>
      <c r="L206" s="54" t="s">
        <v>521</v>
      </c>
      <c r="M206" s="58" t="s">
        <v>522</v>
      </c>
      <c r="N206" s="54" t="s">
        <v>523</v>
      </c>
      <c r="O206" s="59">
        <v>46132</v>
      </c>
      <c r="P206" s="74"/>
      <c r="Q206" s="57"/>
      <c r="R206" s="61"/>
      <c r="S206" s="61"/>
    </row>
    <row r="207" spans="2:19" s="62" customFormat="1" outlineLevel="1" x14ac:dyDescent="0.25">
      <c r="B207" s="53"/>
      <c r="C207" s="58">
        <v>262</v>
      </c>
      <c r="D207" s="54" t="s">
        <v>644</v>
      </c>
      <c r="E207" s="64" t="s">
        <v>1050</v>
      </c>
      <c r="F207" s="64" t="s">
        <v>645</v>
      </c>
      <c r="G207" s="63">
        <v>1</v>
      </c>
      <c r="H207" s="57" t="s">
        <v>61</v>
      </c>
      <c r="I207" s="54" t="s">
        <v>646</v>
      </c>
      <c r="J207" s="54" t="s">
        <v>647</v>
      </c>
      <c r="K207" s="54" t="s">
        <v>648</v>
      </c>
      <c r="L207" s="54" t="s">
        <v>649</v>
      </c>
      <c r="M207" s="58" t="s">
        <v>650</v>
      </c>
      <c r="N207" s="54"/>
      <c r="O207" s="59">
        <v>46132</v>
      </c>
      <c r="P207" s="74"/>
      <c r="Q207" s="57"/>
      <c r="R207" s="61"/>
      <c r="S207" s="61"/>
    </row>
    <row r="208" spans="2:19" s="33" customFormat="1" ht="30" x14ac:dyDescent="0.25">
      <c r="B208" s="42"/>
      <c r="C208" s="40"/>
      <c r="D208" s="43"/>
      <c r="E208" s="28" t="s">
        <v>1065</v>
      </c>
      <c r="F208" s="52"/>
      <c r="G208" s="32">
        <f>SUM(G209:G242)</f>
        <v>65</v>
      </c>
      <c r="H208" s="35"/>
      <c r="I208" s="35"/>
      <c r="J208" s="36"/>
      <c r="K208" s="32"/>
      <c r="L208" s="42"/>
      <c r="M208" s="40"/>
      <c r="N208" s="42"/>
      <c r="O208" s="42"/>
      <c r="P208" s="42"/>
      <c r="Q208" s="42"/>
      <c r="R208" s="42"/>
      <c r="S208" s="42"/>
    </row>
    <row r="209" spans="2:19" s="62" customFormat="1" outlineLevel="1" x14ac:dyDescent="0.25">
      <c r="B209" s="53"/>
      <c r="C209" s="58">
        <v>263</v>
      </c>
      <c r="D209" s="54" t="s">
        <v>21</v>
      </c>
      <c r="E209" s="64" t="s">
        <v>1065</v>
      </c>
      <c r="F209" s="64" t="s">
        <v>22</v>
      </c>
      <c r="G209" s="63">
        <v>1</v>
      </c>
      <c r="H209" s="57" t="s">
        <v>24</v>
      </c>
      <c r="I209" s="54" t="s">
        <v>25</v>
      </c>
      <c r="J209" s="54" t="s">
        <v>26</v>
      </c>
      <c r="K209" s="54" t="s">
        <v>27</v>
      </c>
      <c r="L209" s="54" t="s">
        <v>28</v>
      </c>
      <c r="M209" s="58" t="s">
        <v>29</v>
      </c>
      <c r="N209" s="54" t="s">
        <v>30</v>
      </c>
      <c r="O209" s="59">
        <v>46160</v>
      </c>
      <c r="P209" s="74"/>
      <c r="Q209" s="57"/>
      <c r="R209" s="61"/>
      <c r="S209" s="61"/>
    </row>
    <row r="210" spans="2:19" s="62" customFormat="1" outlineLevel="1" x14ac:dyDescent="0.25">
      <c r="B210" s="53"/>
      <c r="C210" s="58">
        <v>264</v>
      </c>
      <c r="D210" s="54" t="s">
        <v>59</v>
      </c>
      <c r="E210" s="64" t="s">
        <v>1065</v>
      </c>
      <c r="F210" s="64" t="s">
        <v>60</v>
      </c>
      <c r="G210" s="63">
        <v>4</v>
      </c>
      <c r="H210" s="57" t="s">
        <v>61</v>
      </c>
      <c r="I210" s="54" t="s">
        <v>62</v>
      </c>
      <c r="J210" s="54" t="s">
        <v>63</v>
      </c>
      <c r="K210" s="54" t="s">
        <v>64</v>
      </c>
      <c r="L210" s="54" t="s">
        <v>65</v>
      </c>
      <c r="M210" s="58" t="s">
        <v>66</v>
      </c>
      <c r="N210" s="54" t="s">
        <v>67</v>
      </c>
      <c r="O210" s="59">
        <v>46160</v>
      </c>
      <c r="P210" s="74"/>
      <c r="Q210" s="57"/>
      <c r="R210" s="61"/>
      <c r="S210" s="61"/>
    </row>
    <row r="211" spans="2:19" s="62" customFormat="1" outlineLevel="1" x14ac:dyDescent="0.25">
      <c r="B211" s="53"/>
      <c r="C211" s="58">
        <v>265</v>
      </c>
      <c r="D211" s="54" t="s">
        <v>75</v>
      </c>
      <c r="E211" s="64" t="s">
        <v>1065</v>
      </c>
      <c r="F211" s="64" t="s">
        <v>76</v>
      </c>
      <c r="G211" s="63">
        <v>9</v>
      </c>
      <c r="H211" s="57" t="s">
        <v>77</v>
      </c>
      <c r="I211" s="54" t="s">
        <v>78</v>
      </c>
      <c r="J211" s="54" t="s">
        <v>79</v>
      </c>
      <c r="K211" s="54" t="s">
        <v>80</v>
      </c>
      <c r="L211" s="54" t="s">
        <v>81</v>
      </c>
      <c r="M211" s="58" t="s">
        <v>82</v>
      </c>
      <c r="N211" s="54" t="s">
        <v>83</v>
      </c>
      <c r="O211" s="59">
        <v>46160</v>
      </c>
      <c r="P211" s="74"/>
      <c r="Q211" s="57"/>
      <c r="R211" s="61"/>
      <c r="S211" s="61"/>
    </row>
    <row r="212" spans="2:19" s="62" customFormat="1" outlineLevel="1" x14ac:dyDescent="0.25">
      <c r="B212" s="53"/>
      <c r="C212" s="58">
        <v>266</v>
      </c>
      <c r="D212" s="54" t="s">
        <v>117</v>
      </c>
      <c r="E212" s="64" t="s">
        <v>1065</v>
      </c>
      <c r="F212" s="64" t="s">
        <v>118</v>
      </c>
      <c r="G212" s="63">
        <v>1</v>
      </c>
      <c r="H212" s="57" t="s">
        <v>24</v>
      </c>
      <c r="I212" s="54" t="s">
        <v>119</v>
      </c>
      <c r="J212" s="54" t="s">
        <v>120</v>
      </c>
      <c r="K212" s="54" t="s">
        <v>121</v>
      </c>
      <c r="L212" s="54" t="s">
        <v>122</v>
      </c>
      <c r="M212" s="58" t="s">
        <v>123</v>
      </c>
      <c r="N212" s="54" t="s">
        <v>124</v>
      </c>
      <c r="O212" s="59">
        <v>46160</v>
      </c>
      <c r="P212" s="74"/>
      <c r="Q212" s="57"/>
      <c r="R212" s="61"/>
      <c r="S212" s="61"/>
    </row>
    <row r="213" spans="2:19" s="62" customFormat="1" outlineLevel="1" x14ac:dyDescent="0.25">
      <c r="B213" s="53"/>
      <c r="C213" s="58">
        <v>267</v>
      </c>
      <c r="D213" s="54" t="s">
        <v>125</v>
      </c>
      <c r="E213" s="64" t="s">
        <v>1065</v>
      </c>
      <c r="F213" s="64" t="s">
        <v>126</v>
      </c>
      <c r="G213" s="63">
        <v>2</v>
      </c>
      <c r="H213" s="57" t="s">
        <v>127</v>
      </c>
      <c r="I213" s="54" t="s">
        <v>128</v>
      </c>
      <c r="J213" s="54" t="s">
        <v>129</v>
      </c>
      <c r="K213" s="54" t="s">
        <v>130</v>
      </c>
      <c r="L213" s="54" t="s">
        <v>131</v>
      </c>
      <c r="M213" s="58" t="s">
        <v>132</v>
      </c>
      <c r="N213" s="54" t="s">
        <v>133</v>
      </c>
      <c r="O213" s="59">
        <v>46160</v>
      </c>
      <c r="P213" s="74"/>
      <c r="Q213" s="57"/>
      <c r="R213" s="61"/>
      <c r="S213" s="61"/>
    </row>
    <row r="214" spans="2:19" s="62" customFormat="1" outlineLevel="1" x14ac:dyDescent="0.25">
      <c r="B214" s="53"/>
      <c r="C214" s="58">
        <v>268</v>
      </c>
      <c r="D214" s="54" t="s">
        <v>554</v>
      </c>
      <c r="E214" s="64" t="s">
        <v>1065</v>
      </c>
      <c r="F214" s="64" t="s">
        <v>555</v>
      </c>
      <c r="G214" s="63">
        <v>1</v>
      </c>
      <c r="H214" s="57" t="s">
        <v>61</v>
      </c>
      <c r="I214" s="54" t="s">
        <v>556</v>
      </c>
      <c r="J214" s="54" t="s">
        <v>557</v>
      </c>
      <c r="K214" s="54" t="s">
        <v>558</v>
      </c>
      <c r="L214" s="54" t="s">
        <v>559</v>
      </c>
      <c r="M214" s="58" t="s">
        <v>560</v>
      </c>
      <c r="N214" s="54" t="s">
        <v>561</v>
      </c>
      <c r="O214" s="59">
        <v>46160</v>
      </c>
      <c r="P214" s="74"/>
      <c r="Q214" s="57"/>
      <c r="R214" s="61"/>
      <c r="S214" s="61"/>
    </row>
    <row r="215" spans="2:19" s="62" customFormat="1" outlineLevel="1" x14ac:dyDescent="0.25">
      <c r="B215" s="53"/>
      <c r="C215" s="58">
        <v>269</v>
      </c>
      <c r="D215" s="54" t="s">
        <v>150</v>
      </c>
      <c r="E215" s="64" t="s">
        <v>1065</v>
      </c>
      <c r="F215" s="64" t="s">
        <v>151</v>
      </c>
      <c r="G215" s="63">
        <v>1</v>
      </c>
      <c r="H215" s="57" t="s">
        <v>152</v>
      </c>
      <c r="I215" s="54" t="s">
        <v>153</v>
      </c>
      <c r="J215" s="54" t="s">
        <v>154</v>
      </c>
      <c r="K215" s="54" t="s">
        <v>155</v>
      </c>
      <c r="L215" s="54" t="s">
        <v>156</v>
      </c>
      <c r="M215" s="58" t="s">
        <v>157</v>
      </c>
      <c r="N215" s="54" t="s">
        <v>158</v>
      </c>
      <c r="O215" s="59">
        <v>46160</v>
      </c>
      <c r="P215" s="74"/>
      <c r="Q215" s="57"/>
      <c r="R215" s="61"/>
      <c r="S215" s="61"/>
    </row>
    <row r="216" spans="2:19" s="62" customFormat="1" outlineLevel="1" x14ac:dyDescent="0.25">
      <c r="B216" s="53"/>
      <c r="C216" s="58">
        <v>270</v>
      </c>
      <c r="D216" s="54" t="s">
        <v>166</v>
      </c>
      <c r="E216" s="64" t="s">
        <v>1065</v>
      </c>
      <c r="F216" s="64" t="s">
        <v>167</v>
      </c>
      <c r="G216" s="63">
        <v>4</v>
      </c>
      <c r="H216" s="57" t="s">
        <v>61</v>
      </c>
      <c r="I216" s="54" t="s">
        <v>168</v>
      </c>
      <c r="J216" s="54" t="s">
        <v>169</v>
      </c>
      <c r="K216" s="54" t="s">
        <v>170</v>
      </c>
      <c r="L216" s="54" t="s">
        <v>171</v>
      </c>
      <c r="M216" s="58" t="s">
        <v>172</v>
      </c>
      <c r="N216" s="54" t="s">
        <v>173</v>
      </c>
      <c r="O216" s="59">
        <v>46160</v>
      </c>
      <c r="P216" s="74"/>
      <c r="Q216" s="57"/>
      <c r="R216" s="61"/>
      <c r="S216" s="61"/>
    </row>
    <row r="217" spans="2:19" s="62" customFormat="1" outlineLevel="1" x14ac:dyDescent="0.25">
      <c r="B217" s="53"/>
      <c r="C217" s="58">
        <v>271</v>
      </c>
      <c r="D217" s="54" t="s">
        <v>198</v>
      </c>
      <c r="E217" s="64" t="s">
        <v>1065</v>
      </c>
      <c r="F217" s="64" t="s">
        <v>199</v>
      </c>
      <c r="G217" s="63">
        <v>2</v>
      </c>
      <c r="H217" s="57" t="s">
        <v>200</v>
      </c>
      <c r="I217" s="54" t="s">
        <v>201</v>
      </c>
      <c r="J217" s="54" t="s">
        <v>202</v>
      </c>
      <c r="K217" s="54" t="s">
        <v>203</v>
      </c>
      <c r="L217" s="54" t="s">
        <v>204</v>
      </c>
      <c r="M217" s="58" t="s">
        <v>205</v>
      </c>
      <c r="N217" s="54" t="s">
        <v>206</v>
      </c>
      <c r="O217" s="59">
        <v>46160</v>
      </c>
      <c r="P217" s="74"/>
      <c r="Q217" s="57"/>
      <c r="R217" s="61"/>
      <c r="S217" s="61"/>
    </row>
    <row r="218" spans="2:19" s="62" customFormat="1" ht="30" customHeight="1" outlineLevel="1" x14ac:dyDescent="0.25">
      <c r="B218" s="53"/>
      <c r="C218" s="58" t="s">
        <v>1066</v>
      </c>
      <c r="D218" s="54" t="s">
        <v>231</v>
      </c>
      <c r="E218" s="64" t="s">
        <v>1065</v>
      </c>
      <c r="F218" s="64" t="s">
        <v>232</v>
      </c>
      <c r="G218" s="63">
        <v>2</v>
      </c>
      <c r="H218" s="57" t="s">
        <v>61</v>
      </c>
      <c r="I218" s="54" t="s">
        <v>702</v>
      </c>
      <c r="J218" s="54" t="s">
        <v>703</v>
      </c>
      <c r="K218" s="54" t="s">
        <v>704</v>
      </c>
      <c r="L218" s="54" t="s">
        <v>236</v>
      </c>
      <c r="M218" s="58" t="s">
        <v>838</v>
      </c>
      <c r="N218" s="54" t="s">
        <v>238</v>
      </c>
      <c r="O218" s="59">
        <v>46160</v>
      </c>
      <c r="P218" s="74"/>
      <c r="Q218" s="57"/>
      <c r="R218" s="61"/>
      <c r="S218" s="61"/>
    </row>
    <row r="219" spans="2:19" s="62" customFormat="1" outlineLevel="1" x14ac:dyDescent="0.25">
      <c r="B219" s="53"/>
      <c r="C219" s="58">
        <v>273</v>
      </c>
      <c r="D219" s="54" t="s">
        <v>239</v>
      </c>
      <c r="E219" s="64" t="s">
        <v>1065</v>
      </c>
      <c r="F219" s="64" t="s">
        <v>240</v>
      </c>
      <c r="G219" s="63">
        <v>1</v>
      </c>
      <c r="H219" s="57" t="s">
        <v>24</v>
      </c>
      <c r="I219" s="54" t="s">
        <v>241</v>
      </c>
      <c r="J219" s="54" t="s">
        <v>242</v>
      </c>
      <c r="K219" s="54" t="s">
        <v>243</v>
      </c>
      <c r="L219" s="54" t="s">
        <v>244</v>
      </c>
      <c r="M219" s="58" t="s">
        <v>714</v>
      </c>
      <c r="N219" s="54" t="s">
        <v>246</v>
      </c>
      <c r="O219" s="59">
        <v>46160</v>
      </c>
      <c r="P219" s="74"/>
      <c r="Q219" s="57"/>
      <c r="R219" s="61"/>
      <c r="S219" s="61"/>
    </row>
    <row r="220" spans="2:19" s="62" customFormat="1" outlineLevel="1" x14ac:dyDescent="0.25">
      <c r="B220" s="53"/>
      <c r="C220" s="58">
        <v>274</v>
      </c>
      <c r="D220" s="54" t="s">
        <v>247</v>
      </c>
      <c r="E220" s="64" t="s">
        <v>1065</v>
      </c>
      <c r="F220" s="64" t="s">
        <v>248</v>
      </c>
      <c r="G220" s="63">
        <v>1</v>
      </c>
      <c r="H220" s="57" t="s">
        <v>61</v>
      </c>
      <c r="I220" s="54" t="s">
        <v>1067</v>
      </c>
      <c r="J220" s="54" t="s">
        <v>1068</v>
      </c>
      <c r="K220" s="53" t="s">
        <v>1069</v>
      </c>
      <c r="L220" s="54" t="s">
        <v>252</v>
      </c>
      <c r="M220" s="58" t="s">
        <v>531</v>
      </c>
      <c r="N220" s="54" t="s">
        <v>254</v>
      </c>
      <c r="O220" s="59">
        <v>46160</v>
      </c>
      <c r="P220" s="74"/>
      <c r="Q220" s="57"/>
      <c r="R220" s="61"/>
      <c r="S220" s="61"/>
    </row>
    <row r="221" spans="2:19" s="62" customFormat="1" outlineLevel="1" x14ac:dyDescent="0.25">
      <c r="B221" s="53"/>
      <c r="C221" s="58">
        <v>275</v>
      </c>
      <c r="D221" s="54" t="s">
        <v>263</v>
      </c>
      <c r="E221" s="64" t="s">
        <v>1065</v>
      </c>
      <c r="F221" s="64" t="s">
        <v>264</v>
      </c>
      <c r="G221" s="63">
        <v>3</v>
      </c>
      <c r="H221" s="57" t="s">
        <v>61</v>
      </c>
      <c r="I221" s="54" t="s">
        <v>265</v>
      </c>
      <c r="J221" s="54" t="s">
        <v>266</v>
      </c>
      <c r="K221" s="54" t="s">
        <v>267</v>
      </c>
      <c r="L221" s="54" t="s">
        <v>252</v>
      </c>
      <c r="M221" s="58" t="s">
        <v>268</v>
      </c>
      <c r="N221" s="54" t="s">
        <v>269</v>
      </c>
      <c r="O221" s="59">
        <v>46160</v>
      </c>
      <c r="P221" s="74"/>
      <c r="Q221" s="57"/>
      <c r="R221" s="61"/>
      <c r="S221" s="61"/>
    </row>
    <row r="222" spans="2:19" s="62" customFormat="1" outlineLevel="1" x14ac:dyDescent="0.25">
      <c r="B222" s="53"/>
      <c r="C222" s="58">
        <v>276</v>
      </c>
      <c r="D222" s="54" t="s">
        <v>270</v>
      </c>
      <c r="E222" s="64" t="s">
        <v>1065</v>
      </c>
      <c r="F222" s="64" t="s">
        <v>271</v>
      </c>
      <c r="G222" s="63">
        <v>1</v>
      </c>
      <c r="H222" s="57" t="s">
        <v>61</v>
      </c>
      <c r="I222" s="54" t="s">
        <v>272</v>
      </c>
      <c r="J222" s="54" t="s">
        <v>273</v>
      </c>
      <c r="K222" s="54" t="s">
        <v>274</v>
      </c>
      <c r="L222" s="54" t="s">
        <v>275</v>
      </c>
      <c r="M222" s="58" t="s">
        <v>792</v>
      </c>
      <c r="N222" s="54" t="s">
        <v>277</v>
      </c>
      <c r="O222" s="59">
        <v>46160</v>
      </c>
      <c r="P222" s="74"/>
      <c r="Q222" s="57"/>
      <c r="R222" s="61"/>
      <c r="S222" s="61"/>
    </row>
    <row r="223" spans="2:19" s="62" customFormat="1" outlineLevel="1" x14ac:dyDescent="0.25">
      <c r="B223" s="53"/>
      <c r="C223" s="58">
        <v>277</v>
      </c>
      <c r="D223" s="54" t="s">
        <v>294</v>
      </c>
      <c r="E223" s="64" t="s">
        <v>1065</v>
      </c>
      <c r="F223" s="64" t="s">
        <v>295</v>
      </c>
      <c r="G223" s="63">
        <v>1</v>
      </c>
      <c r="H223" s="57" t="s">
        <v>61</v>
      </c>
      <c r="I223" s="54" t="s">
        <v>908</v>
      </c>
      <c r="J223" s="54" t="s">
        <v>909</v>
      </c>
      <c r="K223" s="54" t="s">
        <v>910</v>
      </c>
      <c r="L223" s="54" t="s">
        <v>299</v>
      </c>
      <c r="M223" s="58" t="s">
        <v>300</v>
      </c>
      <c r="N223" s="54" t="s">
        <v>301</v>
      </c>
      <c r="O223" s="59">
        <v>46160</v>
      </c>
      <c r="P223" s="74"/>
      <c r="Q223" s="57"/>
      <c r="R223" s="61"/>
      <c r="S223" s="61"/>
    </row>
    <row r="224" spans="2:19" s="62" customFormat="1" outlineLevel="1" x14ac:dyDescent="0.25">
      <c r="B224" s="53"/>
      <c r="C224" s="58">
        <v>278</v>
      </c>
      <c r="D224" s="54" t="s">
        <v>302</v>
      </c>
      <c r="E224" s="64" t="s">
        <v>1065</v>
      </c>
      <c r="F224" s="64" t="s">
        <v>303</v>
      </c>
      <c r="G224" s="63">
        <v>4</v>
      </c>
      <c r="H224" s="57" t="s">
        <v>61</v>
      </c>
      <c r="I224" s="54" t="s">
        <v>304</v>
      </c>
      <c r="J224" s="54" t="s">
        <v>305</v>
      </c>
      <c r="K224" s="54" t="s">
        <v>306</v>
      </c>
      <c r="L224" s="54" t="s">
        <v>307</v>
      </c>
      <c r="M224" s="58" t="s">
        <v>526</v>
      </c>
      <c r="N224" s="54" t="s">
        <v>309</v>
      </c>
      <c r="O224" s="59">
        <v>46160</v>
      </c>
      <c r="P224" s="74"/>
      <c r="Q224" s="57"/>
      <c r="R224" s="61"/>
      <c r="S224" s="61"/>
    </row>
    <row r="225" spans="2:19" s="62" customFormat="1" outlineLevel="1" x14ac:dyDescent="0.25">
      <c r="B225" s="53"/>
      <c r="C225" s="58">
        <v>279</v>
      </c>
      <c r="D225" s="54" t="s">
        <v>326</v>
      </c>
      <c r="E225" s="64" t="s">
        <v>1065</v>
      </c>
      <c r="F225" s="64" t="s">
        <v>327</v>
      </c>
      <c r="G225" s="63">
        <v>3</v>
      </c>
      <c r="H225" s="57" t="s">
        <v>152</v>
      </c>
      <c r="I225" s="54" t="s">
        <v>328</v>
      </c>
      <c r="J225" s="54" t="s">
        <v>329</v>
      </c>
      <c r="K225" s="54" t="s">
        <v>330</v>
      </c>
      <c r="L225" s="54" t="s">
        <v>331</v>
      </c>
      <c r="M225" s="58" t="s">
        <v>332</v>
      </c>
      <c r="N225" s="54" t="s">
        <v>333</v>
      </c>
      <c r="O225" s="59">
        <v>46160</v>
      </c>
      <c r="P225" s="74"/>
      <c r="Q225" s="57"/>
      <c r="R225" s="61"/>
      <c r="S225" s="61"/>
    </row>
    <row r="226" spans="2:19" s="62" customFormat="1" outlineLevel="1" x14ac:dyDescent="0.25">
      <c r="B226" s="53"/>
      <c r="C226" s="58">
        <v>280</v>
      </c>
      <c r="D226" s="54" t="s">
        <v>342</v>
      </c>
      <c r="E226" s="64" t="s">
        <v>1065</v>
      </c>
      <c r="F226" s="64" t="s">
        <v>343</v>
      </c>
      <c r="G226" s="63">
        <v>1</v>
      </c>
      <c r="H226" s="57" t="s">
        <v>24</v>
      </c>
      <c r="I226" s="54" t="s">
        <v>344</v>
      </c>
      <c r="J226" s="54" t="s">
        <v>345</v>
      </c>
      <c r="K226" s="54" t="s">
        <v>346</v>
      </c>
      <c r="L226" s="54" t="s">
        <v>347</v>
      </c>
      <c r="M226" s="58" t="s">
        <v>348</v>
      </c>
      <c r="N226" s="54" t="s">
        <v>349</v>
      </c>
      <c r="O226" s="59">
        <v>46160</v>
      </c>
      <c r="P226" s="74"/>
      <c r="Q226" s="57"/>
      <c r="R226" s="61"/>
      <c r="S226" s="61"/>
    </row>
    <row r="227" spans="2:19" s="62" customFormat="1" outlineLevel="1" x14ac:dyDescent="0.25">
      <c r="B227" s="53"/>
      <c r="C227" s="58">
        <v>281</v>
      </c>
      <c r="D227" s="54" t="s">
        <v>350</v>
      </c>
      <c r="E227" s="64" t="s">
        <v>1065</v>
      </c>
      <c r="F227" s="64" t="s">
        <v>351</v>
      </c>
      <c r="G227" s="63">
        <v>1</v>
      </c>
      <c r="H227" s="57" t="s">
        <v>152</v>
      </c>
      <c r="I227" s="54" t="s">
        <v>352</v>
      </c>
      <c r="J227" s="54" t="s">
        <v>353</v>
      </c>
      <c r="K227" s="54" t="s">
        <v>354</v>
      </c>
      <c r="L227" s="54" t="s">
        <v>355</v>
      </c>
      <c r="M227" s="58" t="s">
        <v>355</v>
      </c>
      <c r="N227" s="54" t="s">
        <v>356</v>
      </c>
      <c r="O227" s="59">
        <v>46160</v>
      </c>
      <c r="P227" s="74"/>
      <c r="Q227" s="57"/>
      <c r="R227" s="61"/>
      <c r="S227" s="61"/>
    </row>
    <row r="228" spans="2:19" s="62" customFormat="1" outlineLevel="1" x14ac:dyDescent="0.25">
      <c r="B228" s="53"/>
      <c r="C228" s="58">
        <v>282</v>
      </c>
      <c r="D228" s="54" t="s">
        <v>802</v>
      </c>
      <c r="E228" s="64" t="s">
        <v>1065</v>
      </c>
      <c r="F228" s="64" t="s">
        <v>803</v>
      </c>
      <c r="G228" s="63">
        <v>4</v>
      </c>
      <c r="H228" s="57" t="s">
        <v>804</v>
      </c>
      <c r="I228" s="54" t="s">
        <v>805</v>
      </c>
      <c r="J228" s="54" t="s">
        <v>806</v>
      </c>
      <c r="K228" s="53" t="s">
        <v>807</v>
      </c>
      <c r="L228" s="54" t="s">
        <v>808</v>
      </c>
      <c r="M228" s="58" t="s">
        <v>872</v>
      </c>
      <c r="N228" s="54" t="s">
        <v>810</v>
      </c>
      <c r="O228" s="59">
        <v>46160</v>
      </c>
      <c r="P228" s="74"/>
      <c r="Q228" s="57"/>
      <c r="R228" s="61"/>
      <c r="S228" s="61"/>
    </row>
    <row r="229" spans="2:19" s="62" customFormat="1" outlineLevel="1" x14ac:dyDescent="0.25">
      <c r="B229" s="53"/>
      <c r="C229" s="58">
        <v>283</v>
      </c>
      <c r="D229" s="54" t="s">
        <v>357</v>
      </c>
      <c r="E229" s="64" t="s">
        <v>1065</v>
      </c>
      <c r="F229" s="64" t="s">
        <v>358</v>
      </c>
      <c r="G229" s="63">
        <v>1</v>
      </c>
      <c r="H229" s="57" t="s">
        <v>359</v>
      </c>
      <c r="I229" s="54" t="s">
        <v>360</v>
      </c>
      <c r="J229" s="54" t="s">
        <v>361</v>
      </c>
      <c r="K229" s="54" t="s">
        <v>362</v>
      </c>
      <c r="L229" s="54" t="s">
        <v>363</v>
      </c>
      <c r="M229" s="58" t="s">
        <v>364</v>
      </c>
      <c r="N229" s="54" t="s">
        <v>365</v>
      </c>
      <c r="O229" s="59">
        <v>46160</v>
      </c>
      <c r="P229" s="74"/>
      <c r="Q229" s="57"/>
      <c r="R229" s="61"/>
      <c r="S229" s="61"/>
    </row>
    <row r="230" spans="2:19" s="62" customFormat="1" outlineLevel="1" x14ac:dyDescent="0.25">
      <c r="B230" s="53"/>
      <c r="C230" s="58">
        <v>284</v>
      </c>
      <c r="D230" s="54" t="s">
        <v>375</v>
      </c>
      <c r="E230" s="64" t="s">
        <v>1065</v>
      </c>
      <c r="F230" s="64" t="s">
        <v>376</v>
      </c>
      <c r="G230" s="63">
        <v>3</v>
      </c>
      <c r="H230" s="57" t="s">
        <v>111</v>
      </c>
      <c r="I230" s="54" t="s">
        <v>377</v>
      </c>
      <c r="J230" s="54" t="s">
        <v>378</v>
      </c>
      <c r="K230" s="54" t="s">
        <v>379</v>
      </c>
      <c r="L230" s="54" t="s">
        <v>380</v>
      </c>
      <c r="M230" s="58" t="s">
        <v>381</v>
      </c>
      <c r="N230" s="54" t="s">
        <v>382</v>
      </c>
      <c r="O230" s="59">
        <v>46160</v>
      </c>
      <c r="P230" s="74"/>
      <c r="Q230" s="57"/>
      <c r="R230" s="61"/>
      <c r="S230" s="61"/>
    </row>
    <row r="231" spans="2:19" s="62" customFormat="1" outlineLevel="1" x14ac:dyDescent="0.25">
      <c r="B231" s="53"/>
      <c r="C231" s="58">
        <v>285</v>
      </c>
      <c r="D231" s="54" t="s">
        <v>383</v>
      </c>
      <c r="E231" s="64" t="s">
        <v>1065</v>
      </c>
      <c r="F231" s="64" t="s">
        <v>384</v>
      </c>
      <c r="G231" s="63">
        <v>2</v>
      </c>
      <c r="H231" s="57" t="s">
        <v>61</v>
      </c>
      <c r="I231" s="54" t="s">
        <v>385</v>
      </c>
      <c r="J231" s="54" t="s">
        <v>386</v>
      </c>
      <c r="K231" s="54" t="s">
        <v>387</v>
      </c>
      <c r="L231" s="54" t="s">
        <v>388</v>
      </c>
      <c r="M231" s="58" t="s">
        <v>389</v>
      </c>
      <c r="N231" s="54" t="s">
        <v>390</v>
      </c>
      <c r="O231" s="59">
        <v>46160</v>
      </c>
      <c r="P231" s="74"/>
      <c r="Q231" s="57"/>
      <c r="R231" s="61"/>
      <c r="S231" s="61"/>
    </row>
    <row r="232" spans="2:19" s="62" customFormat="1" ht="30" customHeight="1" outlineLevel="1" x14ac:dyDescent="0.25">
      <c r="B232" s="53"/>
      <c r="C232" s="58" t="s">
        <v>1070</v>
      </c>
      <c r="D232" s="54" t="s">
        <v>399</v>
      </c>
      <c r="E232" s="64" t="s">
        <v>1065</v>
      </c>
      <c r="F232" s="64" t="s">
        <v>400</v>
      </c>
      <c r="G232" s="63">
        <v>1</v>
      </c>
      <c r="H232" s="57" t="s">
        <v>152</v>
      </c>
      <c r="I232" s="54" t="s">
        <v>401</v>
      </c>
      <c r="J232" s="54" t="s">
        <v>402</v>
      </c>
      <c r="K232" s="54" t="s">
        <v>403</v>
      </c>
      <c r="L232" s="54" t="s">
        <v>404</v>
      </c>
      <c r="M232" s="58" t="s">
        <v>1071</v>
      </c>
      <c r="N232" s="54" t="s">
        <v>406</v>
      </c>
      <c r="O232" s="59">
        <v>46160</v>
      </c>
      <c r="P232" s="74"/>
      <c r="Q232" s="57"/>
      <c r="R232" s="61"/>
      <c r="S232" s="61"/>
    </row>
    <row r="233" spans="2:19" s="62" customFormat="1" outlineLevel="1" x14ac:dyDescent="0.25">
      <c r="B233" s="53"/>
      <c r="C233" s="54">
        <v>287</v>
      </c>
      <c r="D233" s="54" t="s">
        <v>892</v>
      </c>
      <c r="E233" s="64" t="s">
        <v>1065</v>
      </c>
      <c r="F233" s="64" t="s">
        <v>893</v>
      </c>
      <c r="G233" s="63">
        <v>1</v>
      </c>
      <c r="H233" s="57" t="s">
        <v>61</v>
      </c>
      <c r="I233" s="54" t="s">
        <v>894</v>
      </c>
      <c r="J233" s="54" t="s">
        <v>895</v>
      </c>
      <c r="K233" s="54" t="s">
        <v>896</v>
      </c>
      <c r="L233" s="58" t="s">
        <v>897</v>
      </c>
      <c r="M233" s="54" t="s">
        <v>897</v>
      </c>
      <c r="N233" s="54" t="s">
        <v>898</v>
      </c>
      <c r="O233" s="59">
        <v>46160</v>
      </c>
      <c r="P233" s="74"/>
      <c r="Q233" s="57"/>
      <c r="R233" s="61"/>
      <c r="S233" s="61"/>
    </row>
    <row r="234" spans="2:19" s="62" customFormat="1" outlineLevel="1" x14ac:dyDescent="0.25">
      <c r="B234" s="53"/>
      <c r="C234" s="58">
        <v>288</v>
      </c>
      <c r="D234" s="54" t="s">
        <v>431</v>
      </c>
      <c r="E234" s="54" t="s">
        <v>1065</v>
      </c>
      <c r="F234" s="64" t="s">
        <v>432</v>
      </c>
      <c r="G234" s="63">
        <v>2</v>
      </c>
      <c r="H234" s="57" t="s">
        <v>152</v>
      </c>
      <c r="I234" s="54" t="s">
        <v>868</v>
      </c>
      <c r="J234" s="54" t="s">
        <v>869</v>
      </c>
      <c r="K234" s="54" t="s">
        <v>870</v>
      </c>
      <c r="L234" s="54" t="s">
        <v>436</v>
      </c>
      <c r="M234" s="58" t="s">
        <v>871</v>
      </c>
      <c r="N234" s="54" t="s">
        <v>438</v>
      </c>
      <c r="O234" s="59">
        <v>46160</v>
      </c>
      <c r="P234" s="74"/>
      <c r="Q234" s="57"/>
      <c r="R234" s="61"/>
      <c r="S234" s="61"/>
    </row>
    <row r="235" spans="2:19" s="62" customFormat="1" outlineLevel="1" x14ac:dyDescent="0.25">
      <c r="B235" s="53"/>
      <c r="C235" s="58">
        <v>289</v>
      </c>
      <c r="D235" s="54" t="s">
        <v>447</v>
      </c>
      <c r="E235" s="64" t="s">
        <v>1065</v>
      </c>
      <c r="F235" s="64" t="s">
        <v>448</v>
      </c>
      <c r="G235" s="63">
        <v>1</v>
      </c>
      <c r="H235" s="57" t="s">
        <v>24</v>
      </c>
      <c r="I235" s="54" t="s">
        <v>449</v>
      </c>
      <c r="J235" s="54" t="s">
        <v>450</v>
      </c>
      <c r="K235" s="54" t="s">
        <v>451</v>
      </c>
      <c r="L235" s="54" t="s">
        <v>452</v>
      </c>
      <c r="M235" s="58" t="s">
        <v>453</v>
      </c>
      <c r="N235" s="54" t="s">
        <v>454</v>
      </c>
      <c r="O235" s="59">
        <v>46160</v>
      </c>
      <c r="P235" s="74"/>
      <c r="Q235" s="57"/>
      <c r="R235" s="61"/>
      <c r="S235" s="61"/>
    </row>
    <row r="236" spans="2:19" s="62" customFormat="1" outlineLevel="1" x14ac:dyDescent="0.25">
      <c r="B236" s="53"/>
      <c r="C236" s="58">
        <v>290</v>
      </c>
      <c r="D236" s="54" t="s">
        <v>463</v>
      </c>
      <c r="E236" s="64" t="s">
        <v>1065</v>
      </c>
      <c r="F236" s="64" t="s">
        <v>464</v>
      </c>
      <c r="G236" s="63">
        <v>1</v>
      </c>
      <c r="H236" s="57" t="s">
        <v>152</v>
      </c>
      <c r="I236" s="54" t="s">
        <v>465</v>
      </c>
      <c r="J236" s="54" t="s">
        <v>466</v>
      </c>
      <c r="K236" s="54" t="s">
        <v>467</v>
      </c>
      <c r="L236" s="54" t="s">
        <v>468</v>
      </c>
      <c r="M236" s="58" t="s">
        <v>469</v>
      </c>
      <c r="N236" s="54" t="s">
        <v>470</v>
      </c>
      <c r="O236" s="59">
        <v>46160</v>
      </c>
      <c r="P236" s="74"/>
      <c r="Q236" s="57"/>
      <c r="R236" s="61"/>
      <c r="S236" s="61"/>
    </row>
    <row r="237" spans="2:19" s="62" customFormat="1" outlineLevel="1" x14ac:dyDescent="0.25">
      <c r="B237" s="53"/>
      <c r="C237" s="58">
        <v>291</v>
      </c>
      <c r="D237" s="54" t="s">
        <v>471</v>
      </c>
      <c r="E237" s="64" t="s">
        <v>1065</v>
      </c>
      <c r="F237" s="64" t="s">
        <v>472</v>
      </c>
      <c r="G237" s="63">
        <v>1</v>
      </c>
      <c r="H237" s="57" t="s">
        <v>111</v>
      </c>
      <c r="I237" s="54" t="s">
        <v>473</v>
      </c>
      <c r="J237" s="54" t="s">
        <v>474</v>
      </c>
      <c r="K237" s="54" t="s">
        <v>475</v>
      </c>
      <c r="L237" s="54" t="s">
        <v>476</v>
      </c>
      <c r="M237" s="58" t="s">
        <v>476</v>
      </c>
      <c r="N237" s="54" t="s">
        <v>477</v>
      </c>
      <c r="O237" s="59">
        <v>46160</v>
      </c>
      <c r="P237" s="74"/>
      <c r="Q237" s="57"/>
      <c r="R237" s="61"/>
      <c r="S237" s="61"/>
    </row>
    <row r="238" spans="2:19" s="62" customFormat="1" outlineLevel="1" x14ac:dyDescent="0.25">
      <c r="B238" s="53"/>
      <c r="C238" s="58">
        <v>292</v>
      </c>
      <c r="D238" s="54" t="s">
        <v>588</v>
      </c>
      <c r="E238" s="64" t="s">
        <v>1065</v>
      </c>
      <c r="F238" s="64" t="s">
        <v>589</v>
      </c>
      <c r="G238" s="63">
        <v>1</v>
      </c>
      <c r="H238" s="57" t="s">
        <v>24</v>
      </c>
      <c r="I238" s="54" t="s">
        <v>590</v>
      </c>
      <c r="J238" s="54" t="s">
        <v>591</v>
      </c>
      <c r="K238" s="54" t="s">
        <v>592</v>
      </c>
      <c r="L238" s="54" t="s">
        <v>593</v>
      </c>
      <c r="M238" s="58" t="s">
        <v>594</v>
      </c>
      <c r="N238" s="54" t="s">
        <v>595</v>
      </c>
      <c r="O238" s="59">
        <v>46160</v>
      </c>
      <c r="P238" s="74"/>
      <c r="Q238" s="57"/>
      <c r="R238" s="61"/>
      <c r="S238" s="61"/>
    </row>
    <row r="239" spans="2:19" s="62" customFormat="1" outlineLevel="1" x14ac:dyDescent="0.25">
      <c r="B239" s="53"/>
      <c r="C239" s="58">
        <v>293</v>
      </c>
      <c r="D239" s="54" t="s">
        <v>494</v>
      </c>
      <c r="E239" s="64" t="s">
        <v>1065</v>
      </c>
      <c r="F239" s="64" t="s">
        <v>495</v>
      </c>
      <c r="G239" s="63">
        <v>1</v>
      </c>
      <c r="H239" s="57" t="s">
        <v>61</v>
      </c>
      <c r="I239" s="54" t="s">
        <v>496</v>
      </c>
      <c r="J239" s="54" t="s">
        <v>497</v>
      </c>
      <c r="K239" s="54" t="s">
        <v>498</v>
      </c>
      <c r="L239" s="54" t="s">
        <v>499</v>
      </c>
      <c r="M239" s="58" t="s">
        <v>500</v>
      </c>
      <c r="N239" s="54" t="s">
        <v>501</v>
      </c>
      <c r="O239" s="59">
        <v>46160</v>
      </c>
      <c r="P239" s="74"/>
      <c r="Q239" s="57"/>
      <c r="R239" s="61"/>
      <c r="S239" s="61"/>
    </row>
    <row r="240" spans="2:19" s="62" customFormat="1" outlineLevel="1" x14ac:dyDescent="0.25">
      <c r="B240" s="53"/>
      <c r="C240" s="58">
        <v>294</v>
      </c>
      <c r="D240" s="54" t="s">
        <v>502</v>
      </c>
      <c r="E240" s="64" t="s">
        <v>1065</v>
      </c>
      <c r="F240" s="64" t="s">
        <v>503</v>
      </c>
      <c r="G240" s="63">
        <v>1</v>
      </c>
      <c r="H240" s="57" t="s">
        <v>61</v>
      </c>
      <c r="I240" s="54" t="s">
        <v>504</v>
      </c>
      <c r="J240" s="54" t="s">
        <v>505</v>
      </c>
      <c r="K240" s="54" t="s">
        <v>506</v>
      </c>
      <c r="L240" s="54" t="s">
        <v>283</v>
      </c>
      <c r="M240" s="58" t="s">
        <v>284</v>
      </c>
      <c r="N240" s="54" t="s">
        <v>507</v>
      </c>
      <c r="O240" s="59">
        <v>46160</v>
      </c>
      <c r="P240" s="74"/>
      <c r="Q240" s="57"/>
      <c r="R240" s="61"/>
      <c r="S240" s="61"/>
    </row>
    <row r="241" spans="2:19" s="62" customFormat="1" outlineLevel="1" x14ac:dyDescent="0.25">
      <c r="B241" s="53"/>
      <c r="C241" s="58">
        <v>295</v>
      </c>
      <c r="D241" s="54" t="s">
        <v>516</v>
      </c>
      <c r="E241" s="64" t="s">
        <v>1065</v>
      </c>
      <c r="F241" s="71" t="s">
        <v>517</v>
      </c>
      <c r="G241" s="63">
        <v>1</v>
      </c>
      <c r="H241" s="57" t="s">
        <v>61</v>
      </c>
      <c r="I241" s="54" t="s">
        <v>518</v>
      </c>
      <c r="J241" s="54" t="s">
        <v>519</v>
      </c>
      <c r="K241" s="54" t="s">
        <v>520</v>
      </c>
      <c r="L241" s="54" t="s">
        <v>521</v>
      </c>
      <c r="M241" s="58" t="s">
        <v>522</v>
      </c>
      <c r="N241" s="54" t="s">
        <v>523</v>
      </c>
      <c r="O241" s="59">
        <v>46160</v>
      </c>
      <c r="P241" s="74"/>
      <c r="Q241" s="57"/>
      <c r="R241" s="61"/>
      <c r="S241" s="61"/>
    </row>
    <row r="242" spans="2:19" s="62" customFormat="1" outlineLevel="1" x14ac:dyDescent="0.25">
      <c r="B242" s="53"/>
      <c r="C242" s="58">
        <v>296</v>
      </c>
      <c r="D242" s="54" t="s">
        <v>644</v>
      </c>
      <c r="E242" s="64" t="s">
        <v>1065</v>
      </c>
      <c r="F242" s="64" t="s">
        <v>645</v>
      </c>
      <c r="G242" s="63">
        <v>1</v>
      </c>
      <c r="H242" s="57" t="s">
        <v>61</v>
      </c>
      <c r="I242" s="54" t="s">
        <v>646</v>
      </c>
      <c r="J242" s="54" t="s">
        <v>647</v>
      </c>
      <c r="K242" s="54" t="s">
        <v>648</v>
      </c>
      <c r="L242" s="54" t="s">
        <v>649</v>
      </c>
      <c r="M242" s="58" t="s">
        <v>650</v>
      </c>
      <c r="N242" s="54"/>
      <c r="O242" s="59">
        <v>46160</v>
      </c>
      <c r="P242" s="74"/>
      <c r="Q242" s="57"/>
      <c r="R242" s="61"/>
      <c r="S242" s="61"/>
    </row>
    <row r="243" spans="2:19" s="33" customFormat="1" x14ac:dyDescent="0.25">
      <c r="B243" s="42"/>
      <c r="C243" s="40"/>
      <c r="D243" s="43"/>
      <c r="E243" s="28" t="s">
        <v>1072</v>
      </c>
      <c r="F243" s="52"/>
      <c r="G243" s="32">
        <f>SUM(G244:G258)</f>
        <v>20</v>
      </c>
      <c r="H243" s="35"/>
      <c r="I243" s="36"/>
      <c r="J243" s="32"/>
      <c r="K243" s="42"/>
      <c r="L243" s="42"/>
      <c r="M243" s="40"/>
      <c r="N243" s="42"/>
      <c r="O243" s="42"/>
      <c r="P243" s="42"/>
      <c r="Q243" s="42"/>
      <c r="R243" s="42"/>
      <c r="S243" s="42"/>
    </row>
    <row r="244" spans="2:19" s="62" customFormat="1" outlineLevel="2" x14ac:dyDescent="0.25">
      <c r="B244" s="53"/>
      <c r="C244" s="58">
        <v>297</v>
      </c>
      <c r="D244" s="54" t="s">
        <v>68</v>
      </c>
      <c r="E244" s="64" t="s">
        <v>1072</v>
      </c>
      <c r="F244" s="64" t="s">
        <v>69</v>
      </c>
      <c r="G244" s="63">
        <v>1</v>
      </c>
      <c r="H244" s="57" t="s">
        <v>61</v>
      </c>
      <c r="I244" s="54" t="s">
        <v>70</v>
      </c>
      <c r="J244" s="54" t="s">
        <v>71</v>
      </c>
      <c r="K244" s="53" t="s">
        <v>72</v>
      </c>
      <c r="L244" s="54" t="s">
        <v>73</v>
      </c>
      <c r="M244" s="58" t="s">
        <v>73</v>
      </c>
      <c r="N244" s="54" t="s">
        <v>74</v>
      </c>
      <c r="O244" s="59">
        <v>46167</v>
      </c>
      <c r="P244" s="74"/>
      <c r="Q244" s="57"/>
      <c r="R244" s="61"/>
      <c r="S244" s="61"/>
    </row>
    <row r="245" spans="2:19" s="62" customFormat="1" ht="30" customHeight="1" outlineLevel="2" x14ac:dyDescent="0.25">
      <c r="B245" s="53"/>
      <c r="C245" s="58">
        <v>298</v>
      </c>
      <c r="D245" s="54" t="s">
        <v>75</v>
      </c>
      <c r="E245" s="64" t="s">
        <v>1072</v>
      </c>
      <c r="F245" s="64" t="s">
        <v>76</v>
      </c>
      <c r="G245" s="63">
        <v>3</v>
      </c>
      <c r="H245" s="57" t="s">
        <v>77</v>
      </c>
      <c r="I245" s="54" t="s">
        <v>78</v>
      </c>
      <c r="J245" s="54" t="s">
        <v>79</v>
      </c>
      <c r="K245" s="54" t="s">
        <v>80</v>
      </c>
      <c r="L245" s="54" t="s">
        <v>81</v>
      </c>
      <c r="M245" s="58" t="s">
        <v>978</v>
      </c>
      <c r="N245" s="54" t="s">
        <v>83</v>
      </c>
      <c r="O245" s="59">
        <v>46167</v>
      </c>
      <c r="P245" s="74"/>
      <c r="Q245" s="57"/>
      <c r="R245" s="61"/>
      <c r="S245" s="61"/>
    </row>
    <row r="246" spans="2:19" s="62" customFormat="1" outlineLevel="2" x14ac:dyDescent="0.25">
      <c r="B246" s="53"/>
      <c r="C246" s="58">
        <v>299</v>
      </c>
      <c r="D246" s="54" t="s">
        <v>94</v>
      </c>
      <c r="E246" s="64" t="s">
        <v>1072</v>
      </c>
      <c r="F246" s="64" t="s">
        <v>95</v>
      </c>
      <c r="G246" s="63">
        <v>1</v>
      </c>
      <c r="H246" s="57" t="s">
        <v>36</v>
      </c>
      <c r="I246" s="54" t="s">
        <v>96</v>
      </c>
      <c r="J246" s="54" t="s">
        <v>97</v>
      </c>
      <c r="K246" s="54" t="s">
        <v>98</v>
      </c>
      <c r="L246" s="54" t="s">
        <v>99</v>
      </c>
      <c r="M246" s="58" t="s">
        <v>100</v>
      </c>
      <c r="N246" s="54" t="s">
        <v>101</v>
      </c>
      <c r="O246" s="59">
        <v>46167</v>
      </c>
      <c r="P246" s="74"/>
      <c r="Q246" s="57"/>
      <c r="R246" s="61"/>
      <c r="S246" s="61"/>
    </row>
    <row r="247" spans="2:19" s="62" customFormat="1" outlineLevel="2" x14ac:dyDescent="0.25">
      <c r="B247" s="53"/>
      <c r="C247" s="58">
        <v>300</v>
      </c>
      <c r="D247" s="54" t="s">
        <v>117</v>
      </c>
      <c r="E247" s="64" t="s">
        <v>1072</v>
      </c>
      <c r="F247" s="64" t="s">
        <v>118</v>
      </c>
      <c r="G247" s="63">
        <v>1</v>
      </c>
      <c r="H247" s="57" t="s">
        <v>24</v>
      </c>
      <c r="I247" s="54" t="s">
        <v>119</v>
      </c>
      <c r="J247" s="54" t="s">
        <v>120</v>
      </c>
      <c r="K247" s="54" t="s">
        <v>121</v>
      </c>
      <c r="L247" s="54" t="s">
        <v>122</v>
      </c>
      <c r="M247" s="58" t="s">
        <v>123</v>
      </c>
      <c r="N247" s="54" t="s">
        <v>124</v>
      </c>
      <c r="O247" s="59">
        <v>46167</v>
      </c>
      <c r="P247" s="74"/>
      <c r="Q247" s="57"/>
      <c r="R247" s="61"/>
      <c r="S247" s="61"/>
    </row>
    <row r="248" spans="2:19" s="62" customFormat="1" outlineLevel="2" x14ac:dyDescent="0.25">
      <c r="B248" s="53"/>
      <c r="C248" s="58">
        <v>301</v>
      </c>
      <c r="D248" s="54" t="s">
        <v>190</v>
      </c>
      <c r="E248" s="64" t="s">
        <v>1072</v>
      </c>
      <c r="F248" s="64" t="s">
        <v>191</v>
      </c>
      <c r="G248" s="63">
        <v>1</v>
      </c>
      <c r="H248" s="57" t="s">
        <v>24</v>
      </c>
      <c r="I248" s="65" t="s">
        <v>1073</v>
      </c>
      <c r="J248" s="75" t="s">
        <v>1074</v>
      </c>
      <c r="K248" s="53" t="s">
        <v>1075</v>
      </c>
      <c r="L248" s="54" t="s">
        <v>195</v>
      </c>
      <c r="M248" s="58" t="s">
        <v>696</v>
      </c>
      <c r="N248" s="54" t="s">
        <v>197</v>
      </c>
      <c r="O248" s="59">
        <v>46167</v>
      </c>
      <c r="P248" s="74"/>
      <c r="Q248" s="57"/>
      <c r="R248" s="61"/>
      <c r="S248" s="61"/>
    </row>
    <row r="249" spans="2:19" s="62" customFormat="1" outlineLevel="2" x14ac:dyDescent="0.25">
      <c r="B249" s="53"/>
      <c r="C249" s="58">
        <v>302</v>
      </c>
      <c r="D249" s="54" t="s">
        <v>198</v>
      </c>
      <c r="E249" s="64" t="s">
        <v>1072</v>
      </c>
      <c r="F249" s="64" t="s">
        <v>199</v>
      </c>
      <c r="G249" s="63">
        <v>1</v>
      </c>
      <c r="H249" s="57" t="s">
        <v>200</v>
      </c>
      <c r="I249" s="54" t="s">
        <v>201</v>
      </c>
      <c r="J249" s="54" t="s">
        <v>202</v>
      </c>
      <c r="K249" s="54" t="s">
        <v>203</v>
      </c>
      <c r="L249" s="54" t="s">
        <v>204</v>
      </c>
      <c r="M249" s="58" t="s">
        <v>205</v>
      </c>
      <c r="N249" s="54" t="s">
        <v>206</v>
      </c>
      <c r="O249" s="59">
        <v>46167</v>
      </c>
      <c r="P249" s="74"/>
      <c r="Q249" s="57"/>
      <c r="R249" s="61"/>
      <c r="S249" s="61"/>
    </row>
    <row r="250" spans="2:19" s="62" customFormat="1" outlineLevel="2" x14ac:dyDescent="0.25">
      <c r="B250" s="53"/>
      <c r="C250" s="58">
        <v>303</v>
      </c>
      <c r="D250" s="54" t="s">
        <v>651</v>
      </c>
      <c r="E250" s="64" t="s">
        <v>1072</v>
      </c>
      <c r="F250" s="64" t="s">
        <v>652</v>
      </c>
      <c r="G250" s="63">
        <v>1</v>
      </c>
      <c r="H250" s="57" t="s">
        <v>111</v>
      </c>
      <c r="I250" s="54" t="s">
        <v>653</v>
      </c>
      <c r="J250" s="54" t="s">
        <v>654</v>
      </c>
      <c r="K250" s="54" t="s">
        <v>655</v>
      </c>
      <c r="L250" s="54" t="s">
        <v>656</v>
      </c>
      <c r="M250" s="58" t="s">
        <v>657</v>
      </c>
      <c r="N250" s="54" t="s">
        <v>658</v>
      </c>
      <c r="O250" s="59">
        <v>46167</v>
      </c>
      <c r="P250" s="74"/>
      <c r="Q250" s="57"/>
      <c r="R250" s="61"/>
      <c r="S250" s="61"/>
    </row>
    <row r="251" spans="2:19" s="62" customFormat="1" outlineLevel="2" x14ac:dyDescent="0.25">
      <c r="B251" s="53"/>
      <c r="C251" s="58">
        <v>304</v>
      </c>
      <c r="D251" s="54" t="s">
        <v>270</v>
      </c>
      <c r="E251" s="64" t="s">
        <v>1072</v>
      </c>
      <c r="F251" s="64" t="s">
        <v>271</v>
      </c>
      <c r="G251" s="63">
        <v>1</v>
      </c>
      <c r="H251" s="57" t="s">
        <v>61</v>
      </c>
      <c r="I251" s="54" t="s">
        <v>272</v>
      </c>
      <c r="J251" s="54" t="s">
        <v>273</v>
      </c>
      <c r="K251" s="54" t="s">
        <v>274</v>
      </c>
      <c r="L251" s="54" t="s">
        <v>275</v>
      </c>
      <c r="M251" s="58" t="s">
        <v>792</v>
      </c>
      <c r="N251" s="54" t="s">
        <v>277</v>
      </c>
      <c r="O251" s="59">
        <v>46167</v>
      </c>
      <c r="P251" s="74"/>
      <c r="Q251" s="57"/>
      <c r="R251" s="61"/>
      <c r="S251" s="61"/>
    </row>
    <row r="252" spans="2:19" s="62" customFormat="1" outlineLevel="2" x14ac:dyDescent="0.25">
      <c r="B252" s="53"/>
      <c r="C252" s="58">
        <v>305</v>
      </c>
      <c r="D252" s="54" t="s">
        <v>294</v>
      </c>
      <c r="E252" s="64" t="s">
        <v>1072</v>
      </c>
      <c r="F252" s="64" t="s">
        <v>295</v>
      </c>
      <c r="G252" s="63">
        <v>1</v>
      </c>
      <c r="H252" s="57" t="s">
        <v>61</v>
      </c>
      <c r="I252" s="54" t="s">
        <v>908</v>
      </c>
      <c r="J252" s="54" t="s">
        <v>909</v>
      </c>
      <c r="K252" s="54" t="s">
        <v>910</v>
      </c>
      <c r="L252" s="54" t="s">
        <v>299</v>
      </c>
      <c r="M252" s="58" t="s">
        <v>300</v>
      </c>
      <c r="N252" s="54" t="s">
        <v>301</v>
      </c>
      <c r="O252" s="59">
        <v>46167</v>
      </c>
      <c r="P252" s="74"/>
      <c r="Q252" s="57"/>
      <c r="R252" s="61"/>
      <c r="S252" s="61"/>
    </row>
    <row r="253" spans="2:19" s="62" customFormat="1" ht="30" customHeight="1" outlineLevel="2" x14ac:dyDescent="0.25">
      <c r="B253" s="53"/>
      <c r="C253" s="58" t="s">
        <v>1076</v>
      </c>
      <c r="D253" s="54" t="s">
        <v>802</v>
      </c>
      <c r="E253" s="64" t="s">
        <v>1072</v>
      </c>
      <c r="F253" s="64" t="s">
        <v>803</v>
      </c>
      <c r="G253" s="63">
        <v>3</v>
      </c>
      <c r="H253" s="57" t="s">
        <v>804</v>
      </c>
      <c r="I253" s="54" t="s">
        <v>874</v>
      </c>
      <c r="J253" s="54" t="s">
        <v>875</v>
      </c>
      <c r="K253" s="54" t="s">
        <v>876</v>
      </c>
      <c r="L253" s="54" t="s">
        <v>808</v>
      </c>
      <c r="M253" s="58" t="s">
        <v>1077</v>
      </c>
      <c r="N253" s="54" t="s">
        <v>810</v>
      </c>
      <c r="O253" s="59">
        <v>46167</v>
      </c>
      <c r="P253" s="74"/>
      <c r="Q253" s="57"/>
      <c r="R253" s="61"/>
      <c r="S253" s="61"/>
    </row>
    <row r="254" spans="2:19" s="62" customFormat="1" outlineLevel="2" x14ac:dyDescent="0.25">
      <c r="B254" s="53"/>
      <c r="C254" s="58">
        <v>307</v>
      </c>
      <c r="D254" s="54" t="s">
        <v>375</v>
      </c>
      <c r="E254" s="64" t="s">
        <v>1072</v>
      </c>
      <c r="F254" s="64" t="s">
        <v>376</v>
      </c>
      <c r="G254" s="63">
        <v>2</v>
      </c>
      <c r="H254" s="57" t="s">
        <v>111</v>
      </c>
      <c r="I254" s="54" t="s">
        <v>377</v>
      </c>
      <c r="J254" s="54" t="s">
        <v>378</v>
      </c>
      <c r="K254" s="54" t="s">
        <v>379</v>
      </c>
      <c r="L254" s="54" t="s">
        <v>380</v>
      </c>
      <c r="M254" s="58" t="s">
        <v>381</v>
      </c>
      <c r="N254" s="54" t="s">
        <v>382</v>
      </c>
      <c r="O254" s="59">
        <v>46167</v>
      </c>
      <c r="P254" s="74"/>
      <c r="Q254" s="57"/>
      <c r="R254" s="61"/>
      <c r="S254" s="61"/>
    </row>
    <row r="255" spans="2:19" s="62" customFormat="1" outlineLevel="2" x14ac:dyDescent="0.25">
      <c r="B255" s="53"/>
      <c r="C255" s="58">
        <v>308</v>
      </c>
      <c r="D255" s="54" t="s">
        <v>383</v>
      </c>
      <c r="E255" s="64" t="s">
        <v>1072</v>
      </c>
      <c r="F255" s="64" t="s">
        <v>384</v>
      </c>
      <c r="G255" s="63">
        <v>1</v>
      </c>
      <c r="H255" s="57" t="s">
        <v>61</v>
      </c>
      <c r="I255" s="54" t="s">
        <v>385</v>
      </c>
      <c r="J255" s="54" t="s">
        <v>386</v>
      </c>
      <c r="K255" s="54" t="s">
        <v>387</v>
      </c>
      <c r="L255" s="54" t="s">
        <v>388</v>
      </c>
      <c r="M255" s="58" t="s">
        <v>389</v>
      </c>
      <c r="N255" s="54" t="s">
        <v>390</v>
      </c>
      <c r="O255" s="59">
        <v>46167</v>
      </c>
      <c r="P255" s="74"/>
      <c r="Q255" s="57"/>
      <c r="R255" s="61"/>
      <c r="S255" s="61"/>
    </row>
    <row r="256" spans="2:19" s="62" customFormat="1" outlineLevel="2" x14ac:dyDescent="0.25">
      <c r="B256" s="53"/>
      <c r="C256" s="58">
        <v>309</v>
      </c>
      <c r="D256" s="54" t="s">
        <v>431</v>
      </c>
      <c r="E256" s="54" t="s">
        <v>1072</v>
      </c>
      <c r="F256" s="64" t="s">
        <v>432</v>
      </c>
      <c r="G256" s="63">
        <v>1</v>
      </c>
      <c r="H256" s="57" t="s">
        <v>152</v>
      </c>
      <c r="I256" s="54" t="s">
        <v>868</v>
      </c>
      <c r="J256" s="54" t="s">
        <v>869</v>
      </c>
      <c r="K256" s="54" t="s">
        <v>870</v>
      </c>
      <c r="L256" s="54" t="s">
        <v>436</v>
      </c>
      <c r="M256" s="58" t="s">
        <v>871</v>
      </c>
      <c r="N256" s="54" t="s">
        <v>438</v>
      </c>
      <c r="O256" s="59">
        <v>46167</v>
      </c>
      <c r="P256" s="74"/>
      <c r="Q256" s="57"/>
      <c r="R256" s="61"/>
      <c r="S256" s="61"/>
    </row>
    <row r="257" spans="2:19" s="62" customFormat="1" outlineLevel="2" x14ac:dyDescent="0.25">
      <c r="B257" s="53"/>
      <c r="C257" s="58">
        <v>310</v>
      </c>
      <c r="D257" s="54" t="s">
        <v>463</v>
      </c>
      <c r="E257" s="64" t="s">
        <v>1072</v>
      </c>
      <c r="F257" s="64" t="s">
        <v>464</v>
      </c>
      <c r="G257" s="63">
        <v>1</v>
      </c>
      <c r="H257" s="57" t="s">
        <v>152</v>
      </c>
      <c r="I257" s="54" t="s">
        <v>465</v>
      </c>
      <c r="J257" s="54" t="s">
        <v>466</v>
      </c>
      <c r="K257" s="54" t="s">
        <v>467</v>
      </c>
      <c r="L257" s="54" t="s">
        <v>468</v>
      </c>
      <c r="M257" s="58" t="s">
        <v>469</v>
      </c>
      <c r="N257" s="54" t="s">
        <v>470</v>
      </c>
      <c r="O257" s="59">
        <v>46167</v>
      </c>
      <c r="P257" s="74"/>
      <c r="Q257" s="57"/>
      <c r="R257" s="61"/>
      <c r="S257" s="61"/>
    </row>
    <row r="258" spans="2:19" s="62" customFormat="1" outlineLevel="2" x14ac:dyDescent="0.25">
      <c r="B258" s="53"/>
      <c r="C258" s="58">
        <v>311</v>
      </c>
      <c r="D258" s="54" t="s">
        <v>588</v>
      </c>
      <c r="E258" s="64" t="s">
        <v>1072</v>
      </c>
      <c r="F258" s="64" t="s">
        <v>589</v>
      </c>
      <c r="G258" s="63">
        <v>1</v>
      </c>
      <c r="H258" s="57" t="s">
        <v>24</v>
      </c>
      <c r="I258" s="54" t="s">
        <v>590</v>
      </c>
      <c r="J258" s="54" t="s">
        <v>591</v>
      </c>
      <c r="K258" s="54" t="s">
        <v>592</v>
      </c>
      <c r="L258" s="54" t="s">
        <v>593</v>
      </c>
      <c r="M258" s="58" t="s">
        <v>594</v>
      </c>
      <c r="N258" s="54" t="s">
        <v>595</v>
      </c>
      <c r="O258" s="59">
        <v>46167</v>
      </c>
      <c r="P258" s="74"/>
      <c r="Q258" s="57"/>
      <c r="R258" s="61"/>
      <c r="S258" s="61"/>
    </row>
    <row r="259" spans="2:19" s="33" customFormat="1" x14ac:dyDescent="0.25">
      <c r="B259" s="42"/>
      <c r="C259" s="40"/>
      <c r="D259" s="43"/>
      <c r="E259" s="28" t="s">
        <v>1078</v>
      </c>
      <c r="F259" s="52"/>
      <c r="G259" s="32">
        <f>SUM(G260:G324)</f>
        <v>249</v>
      </c>
      <c r="H259" s="36"/>
      <c r="I259" s="32"/>
      <c r="J259" s="42"/>
      <c r="K259" s="42"/>
      <c r="L259" s="42"/>
      <c r="M259" s="40"/>
      <c r="N259" s="42"/>
      <c r="O259" s="42"/>
      <c r="P259" s="42"/>
      <c r="Q259" s="42"/>
      <c r="R259" s="42"/>
      <c r="S259" s="42"/>
    </row>
    <row r="260" spans="2:19" s="62" customFormat="1" outlineLevel="1" x14ac:dyDescent="0.25">
      <c r="B260" s="53"/>
      <c r="C260" s="58">
        <v>312</v>
      </c>
      <c r="D260" s="54" t="s">
        <v>21</v>
      </c>
      <c r="E260" s="64" t="s">
        <v>1078</v>
      </c>
      <c r="F260" s="64" t="s">
        <v>22</v>
      </c>
      <c r="G260" s="63">
        <v>1</v>
      </c>
      <c r="H260" s="57" t="s">
        <v>24</v>
      </c>
      <c r="I260" s="54" t="s">
        <v>25</v>
      </c>
      <c r="J260" s="54" t="s">
        <v>26</v>
      </c>
      <c r="K260" s="54" t="s">
        <v>27</v>
      </c>
      <c r="L260" s="54" t="s">
        <v>28</v>
      </c>
      <c r="M260" s="58" t="s">
        <v>29</v>
      </c>
      <c r="N260" s="54" t="s">
        <v>30</v>
      </c>
      <c r="O260" s="59">
        <v>46160</v>
      </c>
      <c r="P260" s="74"/>
      <c r="Q260" s="57"/>
      <c r="R260" s="61"/>
      <c r="S260" s="61"/>
    </row>
    <row r="261" spans="2:19" s="62" customFormat="1" outlineLevel="1" x14ac:dyDescent="0.25">
      <c r="B261" s="53"/>
      <c r="C261" s="58">
        <v>313</v>
      </c>
      <c r="D261" s="54" t="s">
        <v>34</v>
      </c>
      <c r="E261" s="64" t="s">
        <v>1078</v>
      </c>
      <c r="F261" s="64" t="s">
        <v>35</v>
      </c>
      <c r="G261" s="63">
        <v>11</v>
      </c>
      <c r="H261" s="57" t="s">
        <v>36</v>
      </c>
      <c r="I261" s="54" t="s">
        <v>37</v>
      </c>
      <c r="J261" s="54" t="s">
        <v>38</v>
      </c>
      <c r="K261" s="54" t="s">
        <v>39</v>
      </c>
      <c r="L261" s="54" t="s">
        <v>40</v>
      </c>
      <c r="M261" s="58" t="s">
        <v>553</v>
      </c>
      <c r="N261" s="54" t="s">
        <v>42</v>
      </c>
      <c r="O261" s="59">
        <v>46160</v>
      </c>
      <c r="P261" s="74"/>
      <c r="Q261" s="57"/>
      <c r="R261" s="61"/>
      <c r="S261" s="61"/>
    </row>
    <row r="262" spans="2:19" s="62" customFormat="1" outlineLevel="1" x14ac:dyDescent="0.25">
      <c r="B262" s="53"/>
      <c r="C262" s="58">
        <v>314</v>
      </c>
      <c r="D262" s="54" t="s">
        <v>1079</v>
      </c>
      <c r="E262" s="64" t="s">
        <v>1078</v>
      </c>
      <c r="F262" s="64" t="s">
        <v>918</v>
      </c>
      <c r="G262" s="63">
        <v>1</v>
      </c>
      <c r="H262" s="57" t="s">
        <v>152</v>
      </c>
      <c r="I262" s="54" t="s">
        <v>1080</v>
      </c>
      <c r="J262" s="54" t="s">
        <v>1081</v>
      </c>
      <c r="K262" s="54" t="s">
        <v>1082</v>
      </c>
      <c r="L262" s="54" t="s">
        <v>1083</v>
      </c>
      <c r="M262" s="58" t="s">
        <v>1084</v>
      </c>
      <c r="N262" s="54" t="s">
        <v>1085</v>
      </c>
      <c r="O262" s="59">
        <v>46160</v>
      </c>
      <c r="P262" s="74"/>
      <c r="Q262" s="57"/>
      <c r="R262" s="61"/>
      <c r="S262" s="61"/>
    </row>
    <row r="263" spans="2:19" s="62" customFormat="1" outlineLevel="1" x14ac:dyDescent="0.25">
      <c r="B263" s="53"/>
      <c r="C263" s="58">
        <v>315</v>
      </c>
      <c r="D263" s="54" t="s">
        <v>59</v>
      </c>
      <c r="E263" s="64" t="s">
        <v>1078</v>
      </c>
      <c r="F263" s="64" t="s">
        <v>60</v>
      </c>
      <c r="G263" s="63">
        <v>2</v>
      </c>
      <c r="H263" s="57" t="s">
        <v>61</v>
      </c>
      <c r="I263" s="54" t="s">
        <v>62</v>
      </c>
      <c r="J263" s="54" t="s">
        <v>63</v>
      </c>
      <c r="K263" s="54" t="s">
        <v>64</v>
      </c>
      <c r="L263" s="54" t="s">
        <v>65</v>
      </c>
      <c r="M263" s="58" t="s">
        <v>66</v>
      </c>
      <c r="N263" s="54" t="s">
        <v>67</v>
      </c>
      <c r="O263" s="59">
        <v>46132</v>
      </c>
      <c r="P263" s="74"/>
      <c r="Q263" s="57"/>
      <c r="R263" s="61"/>
      <c r="S263" s="61"/>
    </row>
    <row r="264" spans="2:19" s="62" customFormat="1" outlineLevel="1" x14ac:dyDescent="0.25">
      <c r="B264" s="53"/>
      <c r="C264" s="58">
        <v>316</v>
      </c>
      <c r="D264" s="54" t="s">
        <v>75</v>
      </c>
      <c r="E264" s="64" t="s">
        <v>1078</v>
      </c>
      <c r="F264" s="64" t="s">
        <v>76</v>
      </c>
      <c r="G264" s="63">
        <v>48</v>
      </c>
      <c r="H264" s="57" t="s">
        <v>77</v>
      </c>
      <c r="I264" s="54" t="s">
        <v>78</v>
      </c>
      <c r="J264" s="54" t="s">
        <v>79</v>
      </c>
      <c r="K264" s="54" t="s">
        <v>80</v>
      </c>
      <c r="L264" s="54" t="s">
        <v>81</v>
      </c>
      <c r="M264" s="58" t="s">
        <v>82</v>
      </c>
      <c r="N264" s="54" t="s">
        <v>83</v>
      </c>
      <c r="O264" s="59">
        <v>46160</v>
      </c>
      <c r="P264" s="74"/>
      <c r="Q264" s="57"/>
      <c r="R264" s="61"/>
      <c r="S264" s="61"/>
    </row>
    <row r="265" spans="2:19" s="62" customFormat="1" outlineLevel="1" x14ac:dyDescent="0.25">
      <c r="B265" s="53"/>
      <c r="C265" s="58">
        <v>317</v>
      </c>
      <c r="D265" s="54" t="s">
        <v>85</v>
      </c>
      <c r="E265" s="64" t="s">
        <v>1078</v>
      </c>
      <c r="F265" s="64" t="s">
        <v>86</v>
      </c>
      <c r="G265" s="63">
        <v>1</v>
      </c>
      <c r="H265" s="57" t="s">
        <v>87</v>
      </c>
      <c r="I265" s="54" t="s">
        <v>88</v>
      </c>
      <c r="J265" s="54" t="s">
        <v>89</v>
      </c>
      <c r="K265" s="54" t="s">
        <v>90</v>
      </c>
      <c r="L265" s="54" t="s">
        <v>91</v>
      </c>
      <c r="M265" s="58" t="s">
        <v>92</v>
      </c>
      <c r="N265" s="54" t="s">
        <v>93</v>
      </c>
      <c r="O265" s="59">
        <v>46160</v>
      </c>
      <c r="P265" s="74"/>
      <c r="Q265" s="57"/>
      <c r="R265" s="61"/>
      <c r="S265" s="61"/>
    </row>
    <row r="266" spans="2:19" s="62" customFormat="1" outlineLevel="1" x14ac:dyDescent="0.25">
      <c r="B266" s="53"/>
      <c r="C266" s="58">
        <v>318</v>
      </c>
      <c r="D266" s="54" t="s">
        <v>580</v>
      </c>
      <c r="E266" s="64" t="s">
        <v>1078</v>
      </c>
      <c r="F266" s="64" t="s">
        <v>581</v>
      </c>
      <c r="G266" s="63">
        <v>2</v>
      </c>
      <c r="H266" s="57" t="s">
        <v>61</v>
      </c>
      <c r="I266" s="54" t="s">
        <v>582</v>
      </c>
      <c r="J266" s="54" t="s">
        <v>583</v>
      </c>
      <c r="K266" s="54" t="s">
        <v>584</v>
      </c>
      <c r="L266" s="54" t="s">
        <v>585</v>
      </c>
      <c r="M266" s="58" t="s">
        <v>586</v>
      </c>
      <c r="N266" s="54" t="s">
        <v>587</v>
      </c>
      <c r="O266" s="59">
        <v>46132</v>
      </c>
      <c r="P266" s="74"/>
      <c r="Q266" s="57"/>
      <c r="R266" s="61"/>
      <c r="S266" s="61"/>
    </row>
    <row r="267" spans="2:19" s="62" customFormat="1" outlineLevel="1" x14ac:dyDescent="0.25">
      <c r="B267" s="53"/>
      <c r="C267" s="58">
        <v>319</v>
      </c>
      <c r="D267" s="54" t="s">
        <v>94</v>
      </c>
      <c r="E267" s="64" t="s">
        <v>1078</v>
      </c>
      <c r="F267" s="64" t="s">
        <v>95</v>
      </c>
      <c r="G267" s="63">
        <v>5</v>
      </c>
      <c r="H267" s="57" t="s">
        <v>36</v>
      </c>
      <c r="I267" s="54" t="s">
        <v>96</v>
      </c>
      <c r="J267" s="54" t="s">
        <v>97</v>
      </c>
      <c r="K267" s="54" t="s">
        <v>98</v>
      </c>
      <c r="L267" s="54" t="s">
        <v>99</v>
      </c>
      <c r="M267" s="58" t="s">
        <v>100</v>
      </c>
      <c r="N267" s="54" t="s">
        <v>101</v>
      </c>
      <c r="O267" s="59">
        <v>46160</v>
      </c>
      <c r="P267" s="74"/>
      <c r="Q267" s="57"/>
      <c r="R267" s="61"/>
      <c r="S267" s="61"/>
    </row>
    <row r="268" spans="2:19" s="62" customFormat="1" outlineLevel="1" x14ac:dyDescent="0.25">
      <c r="B268" s="53"/>
      <c r="C268" s="58">
        <v>320</v>
      </c>
      <c r="D268" s="54" t="s">
        <v>725</v>
      </c>
      <c r="E268" s="64" t="s">
        <v>1078</v>
      </c>
      <c r="F268" s="64" t="s">
        <v>726</v>
      </c>
      <c r="G268" s="63">
        <v>6</v>
      </c>
      <c r="H268" s="57" t="s">
        <v>727</v>
      </c>
      <c r="I268" s="54" t="s">
        <v>728</v>
      </c>
      <c r="J268" s="54" t="s">
        <v>729</v>
      </c>
      <c r="K268" s="54" t="s">
        <v>730</v>
      </c>
      <c r="L268" s="54" t="s">
        <v>731</v>
      </c>
      <c r="M268" s="58" t="s">
        <v>732</v>
      </c>
      <c r="N268" s="54" t="s">
        <v>733</v>
      </c>
      <c r="O268" s="59">
        <v>46160</v>
      </c>
      <c r="P268" s="74"/>
      <c r="Q268" s="57"/>
      <c r="R268" s="61"/>
      <c r="S268" s="61"/>
    </row>
    <row r="269" spans="2:19" s="62" customFormat="1" outlineLevel="1" x14ac:dyDescent="0.25">
      <c r="B269" s="53"/>
      <c r="C269" s="58">
        <v>321</v>
      </c>
      <c r="D269" s="54" t="s">
        <v>102</v>
      </c>
      <c r="E269" s="64" t="s">
        <v>1078</v>
      </c>
      <c r="F269" s="64" t="s">
        <v>103</v>
      </c>
      <c r="G269" s="63">
        <v>3</v>
      </c>
      <c r="H269" s="57" t="s">
        <v>61</v>
      </c>
      <c r="I269" s="54" t="s">
        <v>104</v>
      </c>
      <c r="J269" s="54" t="s">
        <v>105</v>
      </c>
      <c r="K269" s="54" t="s">
        <v>106</v>
      </c>
      <c r="L269" s="54" t="s">
        <v>107</v>
      </c>
      <c r="M269" s="58" t="s">
        <v>107</v>
      </c>
      <c r="N269" s="54" t="s">
        <v>108</v>
      </c>
      <c r="O269" s="59">
        <v>46132</v>
      </c>
      <c r="P269" s="74"/>
      <c r="Q269" s="57"/>
      <c r="R269" s="61"/>
      <c r="S269" s="61"/>
    </row>
    <row r="270" spans="2:19" s="62" customFormat="1" outlineLevel="1" x14ac:dyDescent="0.25">
      <c r="B270" s="53"/>
      <c r="C270" s="58">
        <v>322</v>
      </c>
      <c r="D270" s="54" t="s">
        <v>117</v>
      </c>
      <c r="E270" s="64" t="s">
        <v>1078</v>
      </c>
      <c r="F270" s="64" t="s">
        <v>118</v>
      </c>
      <c r="G270" s="63">
        <v>4</v>
      </c>
      <c r="H270" s="57" t="s">
        <v>24</v>
      </c>
      <c r="I270" s="54" t="s">
        <v>119</v>
      </c>
      <c r="J270" s="54" t="s">
        <v>120</v>
      </c>
      <c r="K270" s="54" t="s">
        <v>121</v>
      </c>
      <c r="L270" s="54" t="s">
        <v>122</v>
      </c>
      <c r="M270" s="58" t="s">
        <v>123</v>
      </c>
      <c r="N270" s="54" t="s">
        <v>124</v>
      </c>
      <c r="O270" s="59">
        <v>46160</v>
      </c>
      <c r="P270" s="74"/>
      <c r="Q270" s="57"/>
      <c r="R270" s="61"/>
      <c r="S270" s="61"/>
    </row>
    <row r="271" spans="2:19" s="62" customFormat="1" outlineLevel="1" x14ac:dyDescent="0.25">
      <c r="B271" s="53"/>
      <c r="C271" s="58">
        <v>323</v>
      </c>
      <c r="D271" s="54" t="s">
        <v>134</v>
      </c>
      <c r="E271" s="64" t="s">
        <v>1078</v>
      </c>
      <c r="F271" s="64" t="s">
        <v>135</v>
      </c>
      <c r="G271" s="63">
        <v>1</v>
      </c>
      <c r="H271" s="57" t="s">
        <v>24</v>
      </c>
      <c r="I271" s="54" t="s">
        <v>136</v>
      </c>
      <c r="J271" s="54" t="s">
        <v>137</v>
      </c>
      <c r="K271" s="54" t="s">
        <v>138</v>
      </c>
      <c r="L271" s="54" t="s">
        <v>139</v>
      </c>
      <c r="M271" s="58" t="s">
        <v>140</v>
      </c>
      <c r="N271" s="54" t="s">
        <v>141</v>
      </c>
      <c r="O271" s="59">
        <v>46160</v>
      </c>
      <c r="P271" s="74"/>
      <c r="Q271" s="57"/>
      <c r="R271" s="61"/>
      <c r="S271" s="61"/>
    </row>
    <row r="272" spans="2:19" s="62" customFormat="1" outlineLevel="1" x14ac:dyDescent="0.25">
      <c r="B272" s="53"/>
      <c r="C272" s="58">
        <v>324</v>
      </c>
      <c r="D272" s="54" t="s">
        <v>618</v>
      </c>
      <c r="E272" s="64" t="s">
        <v>1078</v>
      </c>
      <c r="F272" s="64" t="s">
        <v>619</v>
      </c>
      <c r="G272" s="63">
        <v>1</v>
      </c>
      <c r="H272" s="57" t="s">
        <v>61</v>
      </c>
      <c r="I272" s="54" t="s">
        <v>620</v>
      </c>
      <c r="J272" s="54" t="s">
        <v>621</v>
      </c>
      <c r="K272" s="54" t="s">
        <v>622</v>
      </c>
      <c r="L272" s="54" t="s">
        <v>623</v>
      </c>
      <c r="M272" s="58" t="s">
        <v>624</v>
      </c>
      <c r="N272" s="54" t="s">
        <v>625</v>
      </c>
      <c r="O272" s="59">
        <v>46132</v>
      </c>
      <c r="P272" s="74"/>
      <c r="Q272" s="57"/>
      <c r="R272" s="61"/>
      <c r="S272" s="61"/>
    </row>
    <row r="273" spans="2:19" s="62" customFormat="1" outlineLevel="1" x14ac:dyDescent="0.25">
      <c r="B273" s="53"/>
      <c r="C273" s="58">
        <v>325</v>
      </c>
      <c r="D273" s="54" t="s">
        <v>536</v>
      </c>
      <c r="E273" s="64" t="s">
        <v>1078</v>
      </c>
      <c r="F273" s="64" t="s">
        <v>537</v>
      </c>
      <c r="G273" s="63">
        <v>2</v>
      </c>
      <c r="H273" s="57" t="s">
        <v>111</v>
      </c>
      <c r="I273" s="54" t="s">
        <v>538</v>
      </c>
      <c r="J273" s="54" t="s">
        <v>539</v>
      </c>
      <c r="K273" s="54" t="s">
        <v>540</v>
      </c>
      <c r="L273" s="54" t="s">
        <v>541</v>
      </c>
      <c r="M273" s="58" t="s">
        <v>541</v>
      </c>
      <c r="N273" s="54" t="s">
        <v>542</v>
      </c>
      <c r="O273" s="59">
        <v>46160</v>
      </c>
      <c r="P273" s="74"/>
      <c r="Q273" s="57"/>
      <c r="R273" s="61"/>
      <c r="S273" s="61"/>
    </row>
    <row r="274" spans="2:19" s="62" customFormat="1" outlineLevel="1" x14ac:dyDescent="0.25">
      <c r="B274" s="53"/>
      <c r="C274" s="58">
        <v>326</v>
      </c>
      <c r="D274" s="54" t="s">
        <v>150</v>
      </c>
      <c r="E274" s="64" t="s">
        <v>1078</v>
      </c>
      <c r="F274" s="64" t="s">
        <v>151</v>
      </c>
      <c r="G274" s="63">
        <v>1</v>
      </c>
      <c r="H274" s="57" t="s">
        <v>152</v>
      </c>
      <c r="I274" s="54" t="s">
        <v>153</v>
      </c>
      <c r="J274" s="54" t="s">
        <v>154</v>
      </c>
      <c r="K274" s="54" t="s">
        <v>155</v>
      </c>
      <c r="L274" s="54" t="s">
        <v>156</v>
      </c>
      <c r="M274" s="58" t="s">
        <v>157</v>
      </c>
      <c r="N274" s="54" t="s">
        <v>158</v>
      </c>
      <c r="O274" s="59">
        <v>46160</v>
      </c>
      <c r="P274" s="74"/>
      <c r="Q274" s="57"/>
      <c r="R274" s="61"/>
      <c r="S274" s="61"/>
    </row>
    <row r="275" spans="2:19" s="62" customFormat="1" outlineLevel="1" x14ac:dyDescent="0.25">
      <c r="B275" s="53"/>
      <c r="C275" s="58">
        <v>327</v>
      </c>
      <c r="D275" s="54" t="s">
        <v>768</v>
      </c>
      <c r="E275" s="64" t="s">
        <v>1078</v>
      </c>
      <c r="F275" s="64" t="s">
        <v>769</v>
      </c>
      <c r="G275" s="63">
        <v>4</v>
      </c>
      <c r="H275" s="57" t="s">
        <v>61</v>
      </c>
      <c r="I275" s="54" t="s">
        <v>770</v>
      </c>
      <c r="J275" s="54" t="s">
        <v>771</v>
      </c>
      <c r="K275" s="54" t="s">
        <v>772</v>
      </c>
      <c r="L275" s="54" t="s">
        <v>773</v>
      </c>
      <c r="M275" s="58" t="s">
        <v>774</v>
      </c>
      <c r="N275" s="54" t="s">
        <v>775</v>
      </c>
      <c r="O275" s="59">
        <v>46132</v>
      </c>
      <c r="P275" s="74"/>
      <c r="Q275" s="57"/>
      <c r="R275" s="61"/>
      <c r="S275" s="61"/>
    </row>
    <row r="276" spans="2:19" s="62" customFormat="1" outlineLevel="1" x14ac:dyDescent="0.25">
      <c r="B276" s="53"/>
      <c r="C276" s="58">
        <v>328</v>
      </c>
      <c r="D276" s="54" t="s">
        <v>166</v>
      </c>
      <c r="E276" s="64" t="s">
        <v>1078</v>
      </c>
      <c r="F276" s="64" t="s">
        <v>167</v>
      </c>
      <c r="G276" s="63">
        <v>7</v>
      </c>
      <c r="H276" s="57" t="s">
        <v>61</v>
      </c>
      <c r="I276" s="54" t="s">
        <v>168</v>
      </c>
      <c r="J276" s="54" t="s">
        <v>169</v>
      </c>
      <c r="K276" s="54" t="s">
        <v>170</v>
      </c>
      <c r="L276" s="54" t="s">
        <v>171</v>
      </c>
      <c r="M276" s="58" t="s">
        <v>172</v>
      </c>
      <c r="N276" s="54" t="s">
        <v>173</v>
      </c>
      <c r="O276" s="59">
        <v>46132</v>
      </c>
      <c r="P276" s="74"/>
      <c r="Q276" s="57"/>
      <c r="R276" s="61"/>
      <c r="S276" s="61"/>
    </row>
    <row r="277" spans="2:19" s="62" customFormat="1" outlineLevel="1" x14ac:dyDescent="0.25">
      <c r="B277" s="53"/>
      <c r="C277" s="58">
        <v>329</v>
      </c>
      <c r="D277" s="54" t="s">
        <v>174</v>
      </c>
      <c r="E277" s="64" t="s">
        <v>1078</v>
      </c>
      <c r="F277" s="64" t="s">
        <v>175</v>
      </c>
      <c r="G277" s="63">
        <v>1</v>
      </c>
      <c r="H277" s="57" t="s">
        <v>152</v>
      </c>
      <c r="I277" s="54" t="s">
        <v>176</v>
      </c>
      <c r="J277" s="54" t="s">
        <v>177</v>
      </c>
      <c r="K277" s="54" t="s">
        <v>178</v>
      </c>
      <c r="L277" s="54" t="s">
        <v>179</v>
      </c>
      <c r="M277" s="58" t="s">
        <v>180</v>
      </c>
      <c r="N277" s="54" t="s">
        <v>181</v>
      </c>
      <c r="O277" s="59">
        <v>46160</v>
      </c>
      <c r="P277" s="74"/>
      <c r="Q277" s="57"/>
      <c r="R277" s="61"/>
      <c r="S277" s="61"/>
    </row>
    <row r="278" spans="2:19" s="62" customFormat="1" outlineLevel="1" x14ac:dyDescent="0.25">
      <c r="B278" s="53"/>
      <c r="C278" s="58">
        <v>330</v>
      </c>
      <c r="D278" s="54" t="s">
        <v>667</v>
      </c>
      <c r="E278" s="64" t="s">
        <v>1078</v>
      </c>
      <c r="F278" s="64" t="s">
        <v>668</v>
      </c>
      <c r="G278" s="63">
        <v>4</v>
      </c>
      <c r="H278" s="57" t="s">
        <v>61</v>
      </c>
      <c r="I278" s="54" t="s">
        <v>674</v>
      </c>
      <c r="J278" s="54" t="s">
        <v>675</v>
      </c>
      <c r="K278" s="53" t="s">
        <v>676</v>
      </c>
      <c r="L278" s="54" t="s">
        <v>672</v>
      </c>
      <c r="M278" s="58" t="s">
        <v>677</v>
      </c>
      <c r="N278" s="54" t="s">
        <v>673</v>
      </c>
      <c r="O278" s="59">
        <v>46132</v>
      </c>
      <c r="P278" s="74"/>
      <c r="Q278" s="57"/>
      <c r="R278" s="61"/>
      <c r="S278" s="61"/>
    </row>
    <row r="279" spans="2:19" s="62" customFormat="1" ht="45" customHeight="1" outlineLevel="1" x14ac:dyDescent="0.25">
      <c r="B279" s="53"/>
      <c r="C279" s="73" t="s">
        <v>1086</v>
      </c>
      <c r="D279" s="54" t="s">
        <v>190</v>
      </c>
      <c r="E279" s="64" t="s">
        <v>1078</v>
      </c>
      <c r="F279" s="64" t="s">
        <v>191</v>
      </c>
      <c r="G279" s="63">
        <v>6</v>
      </c>
      <c r="H279" s="57" t="s">
        <v>24</v>
      </c>
      <c r="I279" s="65" t="s">
        <v>886</v>
      </c>
      <c r="J279" s="65" t="s">
        <v>887</v>
      </c>
      <c r="K279" s="65" t="s">
        <v>888</v>
      </c>
      <c r="L279" s="54" t="s">
        <v>195</v>
      </c>
      <c r="M279" s="73" t="s">
        <v>1087</v>
      </c>
      <c r="N279" s="54" t="s">
        <v>197</v>
      </c>
      <c r="O279" s="59">
        <v>46160</v>
      </c>
      <c r="P279" s="74"/>
      <c r="Q279" s="57"/>
      <c r="R279" s="61"/>
      <c r="S279" s="61"/>
    </row>
    <row r="280" spans="2:19" s="62" customFormat="1" outlineLevel="1" x14ac:dyDescent="0.25">
      <c r="B280" s="53"/>
      <c r="C280" s="58">
        <v>332</v>
      </c>
      <c r="D280" s="54" t="s">
        <v>635</v>
      </c>
      <c r="E280" s="64" t="s">
        <v>1078</v>
      </c>
      <c r="F280" s="64" t="s">
        <v>636</v>
      </c>
      <c r="G280" s="63">
        <v>2</v>
      </c>
      <c r="H280" s="57" t="s">
        <v>637</v>
      </c>
      <c r="I280" s="54" t="s">
        <v>638</v>
      </c>
      <c r="J280" s="54" t="s">
        <v>639</v>
      </c>
      <c r="K280" s="54" t="s">
        <v>640</v>
      </c>
      <c r="L280" s="54" t="s">
        <v>641</v>
      </c>
      <c r="M280" s="58" t="s">
        <v>642</v>
      </c>
      <c r="N280" s="54" t="s">
        <v>643</v>
      </c>
      <c r="O280" s="59">
        <v>46160</v>
      </c>
      <c r="P280" s="74"/>
      <c r="Q280" s="57"/>
      <c r="R280" s="61"/>
      <c r="S280" s="61"/>
    </row>
    <row r="281" spans="2:19" s="62" customFormat="1" outlineLevel="1" x14ac:dyDescent="0.25">
      <c r="B281" s="53"/>
      <c r="C281" s="58">
        <v>333</v>
      </c>
      <c r="D281" s="54" t="s">
        <v>198</v>
      </c>
      <c r="E281" s="64" t="s">
        <v>1078</v>
      </c>
      <c r="F281" s="64" t="s">
        <v>199</v>
      </c>
      <c r="G281" s="63">
        <v>10</v>
      </c>
      <c r="H281" s="57" t="s">
        <v>200</v>
      </c>
      <c r="I281" s="54" t="s">
        <v>201</v>
      </c>
      <c r="J281" s="54" t="s">
        <v>202</v>
      </c>
      <c r="K281" s="54" t="s">
        <v>203</v>
      </c>
      <c r="L281" s="54" t="s">
        <v>204</v>
      </c>
      <c r="M281" s="58" t="s">
        <v>205</v>
      </c>
      <c r="N281" s="54" t="s">
        <v>206</v>
      </c>
      <c r="O281" s="59">
        <v>46160</v>
      </c>
      <c r="P281" s="74"/>
      <c r="Q281" s="57"/>
      <c r="R281" s="61"/>
      <c r="S281" s="61"/>
    </row>
    <row r="282" spans="2:19" s="62" customFormat="1" outlineLevel="1" x14ac:dyDescent="0.25">
      <c r="B282" s="53"/>
      <c r="C282" s="58">
        <v>334</v>
      </c>
      <c r="D282" s="54" t="s">
        <v>215</v>
      </c>
      <c r="E282" s="64" t="s">
        <v>1078</v>
      </c>
      <c r="F282" s="64" t="s">
        <v>216</v>
      </c>
      <c r="G282" s="63">
        <v>1</v>
      </c>
      <c r="H282" s="57" t="s">
        <v>24</v>
      </c>
      <c r="I282" s="54" t="s">
        <v>217</v>
      </c>
      <c r="J282" s="54" t="s">
        <v>218</v>
      </c>
      <c r="K282" s="54" t="s">
        <v>219</v>
      </c>
      <c r="L282" s="54" t="s">
        <v>220</v>
      </c>
      <c r="M282" s="58" t="s">
        <v>221</v>
      </c>
      <c r="N282" s="54" t="s">
        <v>222</v>
      </c>
      <c r="O282" s="59">
        <v>46160</v>
      </c>
      <c r="P282" s="74"/>
      <c r="Q282" s="57"/>
      <c r="R282" s="61"/>
      <c r="S282" s="61"/>
    </row>
    <row r="283" spans="2:19" s="62" customFormat="1" outlineLevel="1" x14ac:dyDescent="0.25">
      <c r="B283" s="53"/>
      <c r="C283" s="58">
        <v>335</v>
      </c>
      <c r="D283" s="54" t="s">
        <v>223</v>
      </c>
      <c r="E283" s="64" t="s">
        <v>1078</v>
      </c>
      <c r="F283" s="64" t="s">
        <v>224</v>
      </c>
      <c r="G283" s="63">
        <v>1</v>
      </c>
      <c r="H283" s="57" t="s">
        <v>61</v>
      </c>
      <c r="I283" s="54" t="s">
        <v>225</v>
      </c>
      <c r="J283" s="54" t="s">
        <v>226</v>
      </c>
      <c r="K283" s="54" t="s">
        <v>227</v>
      </c>
      <c r="L283" s="54" t="s">
        <v>228</v>
      </c>
      <c r="M283" s="58" t="s">
        <v>229</v>
      </c>
      <c r="N283" s="54" t="s">
        <v>230</v>
      </c>
      <c r="O283" s="59">
        <v>46132</v>
      </c>
      <c r="P283" s="74"/>
      <c r="Q283" s="57"/>
      <c r="R283" s="61"/>
      <c r="S283" s="61"/>
    </row>
    <row r="284" spans="2:19" s="62" customFormat="1" ht="30" customHeight="1" outlineLevel="1" x14ac:dyDescent="0.25">
      <c r="B284" s="53"/>
      <c r="C284" s="58">
        <v>336</v>
      </c>
      <c r="D284" s="54" t="s">
        <v>231</v>
      </c>
      <c r="E284" s="64" t="s">
        <v>1078</v>
      </c>
      <c r="F284" s="64" t="s">
        <v>232</v>
      </c>
      <c r="G284" s="63">
        <v>3</v>
      </c>
      <c r="H284" s="57" t="s">
        <v>61</v>
      </c>
      <c r="I284" s="54" t="s">
        <v>233</v>
      </c>
      <c r="J284" s="54" t="s">
        <v>234</v>
      </c>
      <c r="K284" s="54" t="s">
        <v>235</v>
      </c>
      <c r="L284" s="54" t="s">
        <v>236</v>
      </c>
      <c r="M284" s="58" t="s">
        <v>891</v>
      </c>
      <c r="N284" s="54" t="s">
        <v>238</v>
      </c>
      <c r="O284" s="59">
        <v>46132</v>
      </c>
      <c r="P284" s="74"/>
      <c r="Q284" s="57"/>
      <c r="R284" s="61"/>
      <c r="S284" s="61"/>
    </row>
    <row r="285" spans="2:19" s="62" customFormat="1" ht="30" customHeight="1" outlineLevel="1" x14ac:dyDescent="0.25">
      <c r="B285" s="53"/>
      <c r="C285" s="58" t="s">
        <v>1088</v>
      </c>
      <c r="D285" s="54" t="s">
        <v>239</v>
      </c>
      <c r="E285" s="64" t="s">
        <v>1078</v>
      </c>
      <c r="F285" s="64" t="s">
        <v>240</v>
      </c>
      <c r="G285" s="63">
        <v>2</v>
      </c>
      <c r="H285" s="57" t="s">
        <v>24</v>
      </c>
      <c r="I285" s="54" t="s">
        <v>241</v>
      </c>
      <c r="J285" s="54" t="s">
        <v>242</v>
      </c>
      <c r="K285" s="54" t="s">
        <v>243</v>
      </c>
      <c r="L285" s="54" t="s">
        <v>244</v>
      </c>
      <c r="M285" s="58" t="s">
        <v>1089</v>
      </c>
      <c r="N285" s="54" t="s">
        <v>246</v>
      </c>
      <c r="O285" s="59">
        <v>46160</v>
      </c>
      <c r="P285" s="74"/>
      <c r="Q285" s="57"/>
      <c r="R285" s="61"/>
      <c r="S285" s="61"/>
    </row>
    <row r="286" spans="2:19" s="62" customFormat="1" outlineLevel="1" x14ac:dyDescent="0.25">
      <c r="B286" s="53"/>
      <c r="C286" s="58">
        <v>338</v>
      </c>
      <c r="D286" s="54" t="s">
        <v>247</v>
      </c>
      <c r="E286" s="64" t="s">
        <v>1078</v>
      </c>
      <c r="F286" s="64" t="s">
        <v>248</v>
      </c>
      <c r="G286" s="63">
        <v>1</v>
      </c>
      <c r="H286" s="57" t="s">
        <v>61</v>
      </c>
      <c r="I286" s="54" t="s">
        <v>532</v>
      </c>
      <c r="J286" s="54" t="s">
        <v>533</v>
      </c>
      <c r="K286" s="53" t="s">
        <v>534</v>
      </c>
      <c r="L286" s="54" t="s">
        <v>252</v>
      </c>
      <c r="M286" s="58" t="s">
        <v>535</v>
      </c>
      <c r="N286" s="54" t="s">
        <v>254</v>
      </c>
      <c r="O286" s="59">
        <v>46132</v>
      </c>
      <c r="P286" s="74"/>
      <c r="Q286" s="57"/>
      <c r="R286" s="61"/>
      <c r="S286" s="61"/>
    </row>
    <row r="287" spans="2:19" s="62" customFormat="1" outlineLevel="1" x14ac:dyDescent="0.25">
      <c r="B287" s="53"/>
      <c r="C287" s="58">
        <v>339</v>
      </c>
      <c r="D287" s="54" t="s">
        <v>715</v>
      </c>
      <c r="E287" s="64" t="s">
        <v>1078</v>
      </c>
      <c r="F287" s="64" t="s">
        <v>716</v>
      </c>
      <c r="G287" s="63">
        <v>1</v>
      </c>
      <c r="H287" s="57" t="s">
        <v>717</v>
      </c>
      <c r="I287" s="54" t="s">
        <v>718</v>
      </c>
      <c r="J287" s="54" t="s">
        <v>719</v>
      </c>
      <c r="K287" s="54" t="s">
        <v>720</v>
      </c>
      <c r="L287" s="54" t="s">
        <v>721</v>
      </c>
      <c r="M287" s="58" t="s">
        <v>722</v>
      </c>
      <c r="N287" s="54" t="s">
        <v>723</v>
      </c>
      <c r="O287" s="59">
        <v>46160</v>
      </c>
      <c r="P287" s="74"/>
      <c r="Q287" s="57"/>
      <c r="R287" s="61"/>
      <c r="S287" s="61"/>
    </row>
    <row r="288" spans="2:19" s="62" customFormat="1" outlineLevel="1" x14ac:dyDescent="0.25">
      <c r="B288" s="53"/>
      <c r="C288" s="58">
        <v>340</v>
      </c>
      <c r="D288" s="54" t="s">
        <v>263</v>
      </c>
      <c r="E288" s="64" t="s">
        <v>1078</v>
      </c>
      <c r="F288" s="64" t="s">
        <v>264</v>
      </c>
      <c r="G288" s="63">
        <v>4</v>
      </c>
      <c r="H288" s="57" t="s">
        <v>61</v>
      </c>
      <c r="I288" s="54" t="s">
        <v>265</v>
      </c>
      <c r="J288" s="54" t="s">
        <v>266</v>
      </c>
      <c r="K288" s="54" t="s">
        <v>267</v>
      </c>
      <c r="L288" s="54" t="s">
        <v>252</v>
      </c>
      <c r="M288" s="58" t="s">
        <v>268</v>
      </c>
      <c r="N288" s="54" t="s">
        <v>269</v>
      </c>
      <c r="O288" s="59">
        <v>46132</v>
      </c>
      <c r="P288" s="74"/>
      <c r="Q288" s="57"/>
      <c r="R288" s="61"/>
      <c r="S288" s="61"/>
    </row>
    <row r="289" spans="2:19" s="62" customFormat="1" outlineLevel="1" x14ac:dyDescent="0.25">
      <c r="B289" s="53"/>
      <c r="C289" s="58">
        <v>341</v>
      </c>
      <c r="D289" s="54" t="s">
        <v>651</v>
      </c>
      <c r="E289" s="64" t="s">
        <v>1078</v>
      </c>
      <c r="F289" s="64" t="s">
        <v>652</v>
      </c>
      <c r="G289" s="63">
        <v>1</v>
      </c>
      <c r="H289" s="57" t="s">
        <v>111</v>
      </c>
      <c r="I289" s="54" t="s">
        <v>653</v>
      </c>
      <c r="J289" s="54" t="s">
        <v>654</v>
      </c>
      <c r="K289" s="54" t="s">
        <v>655</v>
      </c>
      <c r="L289" s="54" t="s">
        <v>656</v>
      </c>
      <c r="M289" s="58" t="s">
        <v>657</v>
      </c>
      <c r="N289" s="54" t="s">
        <v>658</v>
      </c>
      <c r="O289" s="59">
        <v>46160</v>
      </c>
      <c r="P289" s="74"/>
      <c r="Q289" s="57"/>
      <c r="R289" s="61"/>
      <c r="S289" s="61"/>
    </row>
    <row r="290" spans="2:19" s="62" customFormat="1" outlineLevel="1" x14ac:dyDescent="0.25">
      <c r="B290" s="53"/>
      <c r="C290" s="58">
        <v>342</v>
      </c>
      <c r="D290" s="54" t="s">
        <v>743</v>
      </c>
      <c r="E290" s="64" t="s">
        <v>1078</v>
      </c>
      <c r="F290" s="64" t="s">
        <v>744</v>
      </c>
      <c r="G290" s="63">
        <v>1</v>
      </c>
      <c r="H290" s="57" t="s">
        <v>745</v>
      </c>
      <c r="I290" s="54" t="s">
        <v>746</v>
      </c>
      <c r="J290" s="54" t="s">
        <v>747</v>
      </c>
      <c r="K290" s="54" t="s">
        <v>748</v>
      </c>
      <c r="L290" s="54" t="s">
        <v>749</v>
      </c>
      <c r="M290" s="58" t="s">
        <v>750</v>
      </c>
      <c r="N290" s="54" t="s">
        <v>751</v>
      </c>
      <c r="O290" s="59">
        <v>46160</v>
      </c>
      <c r="P290" s="74"/>
      <c r="Q290" s="57"/>
      <c r="R290" s="61"/>
      <c r="S290" s="61"/>
    </row>
    <row r="291" spans="2:19" s="62" customFormat="1" outlineLevel="1" x14ac:dyDescent="0.25">
      <c r="B291" s="53"/>
      <c r="C291" s="58">
        <v>343</v>
      </c>
      <c r="D291" s="54" t="s">
        <v>278</v>
      </c>
      <c r="E291" s="64" t="s">
        <v>1078</v>
      </c>
      <c r="F291" s="64" t="s">
        <v>279</v>
      </c>
      <c r="G291" s="63">
        <v>5</v>
      </c>
      <c r="H291" s="57" t="s">
        <v>61</v>
      </c>
      <c r="I291" s="54" t="s">
        <v>280</v>
      </c>
      <c r="J291" s="54" t="s">
        <v>281</v>
      </c>
      <c r="K291" s="54" t="s">
        <v>282</v>
      </c>
      <c r="L291" s="54" t="s">
        <v>283</v>
      </c>
      <c r="M291" s="58" t="s">
        <v>284</v>
      </c>
      <c r="N291" s="54" t="s">
        <v>285</v>
      </c>
      <c r="O291" s="59">
        <v>46132</v>
      </c>
      <c r="P291" s="74"/>
      <c r="Q291" s="57"/>
      <c r="R291" s="61"/>
      <c r="S291" s="61"/>
    </row>
    <row r="292" spans="2:19" s="62" customFormat="1" outlineLevel="1" x14ac:dyDescent="0.25">
      <c r="B292" s="53"/>
      <c r="C292" s="58">
        <v>344</v>
      </c>
      <c r="D292" s="54" t="s">
        <v>859</v>
      </c>
      <c r="E292" s="64" t="s">
        <v>1078</v>
      </c>
      <c r="F292" s="64" t="s">
        <v>860</v>
      </c>
      <c r="G292" s="63">
        <v>1</v>
      </c>
      <c r="H292" s="57" t="s">
        <v>861</v>
      </c>
      <c r="I292" s="54" t="s">
        <v>862</v>
      </c>
      <c r="J292" s="54" t="s">
        <v>863</v>
      </c>
      <c r="K292" s="54" t="s">
        <v>864</v>
      </c>
      <c r="L292" s="54" t="s">
        <v>865</v>
      </c>
      <c r="M292" s="58" t="s">
        <v>866</v>
      </c>
      <c r="N292" s="54" t="s">
        <v>867</v>
      </c>
      <c r="O292" s="59">
        <v>46160</v>
      </c>
      <c r="P292" s="74"/>
      <c r="Q292" s="57"/>
      <c r="R292" s="61"/>
      <c r="S292" s="61"/>
    </row>
    <row r="293" spans="2:19" s="62" customFormat="1" outlineLevel="1" x14ac:dyDescent="0.25">
      <c r="B293" s="53"/>
      <c r="C293" s="58">
        <v>345</v>
      </c>
      <c r="D293" s="54" t="s">
        <v>286</v>
      </c>
      <c r="E293" s="64" t="s">
        <v>1078</v>
      </c>
      <c r="F293" s="64" t="s">
        <v>287</v>
      </c>
      <c r="G293" s="63">
        <v>1</v>
      </c>
      <c r="H293" s="57" t="s">
        <v>61</v>
      </c>
      <c r="I293" s="54" t="s">
        <v>288</v>
      </c>
      <c r="J293" s="54" t="s">
        <v>289</v>
      </c>
      <c r="K293" s="54" t="s">
        <v>290</v>
      </c>
      <c r="L293" s="54" t="s">
        <v>291</v>
      </c>
      <c r="M293" s="58" t="s">
        <v>292</v>
      </c>
      <c r="N293" s="54" t="s">
        <v>293</v>
      </c>
      <c r="O293" s="59">
        <v>46132</v>
      </c>
      <c r="P293" s="74"/>
      <c r="Q293" s="57"/>
      <c r="R293" s="61"/>
      <c r="S293" s="61"/>
    </row>
    <row r="294" spans="2:19" s="62" customFormat="1" outlineLevel="1" x14ac:dyDescent="0.25">
      <c r="B294" s="53"/>
      <c r="C294" s="58">
        <v>346</v>
      </c>
      <c r="D294" s="54" t="s">
        <v>326</v>
      </c>
      <c r="E294" s="64" t="s">
        <v>1078</v>
      </c>
      <c r="F294" s="64" t="s">
        <v>327</v>
      </c>
      <c r="G294" s="63">
        <v>2</v>
      </c>
      <c r="H294" s="57" t="s">
        <v>152</v>
      </c>
      <c r="I294" s="54" t="s">
        <v>328</v>
      </c>
      <c r="J294" s="54" t="s">
        <v>329</v>
      </c>
      <c r="K294" s="54" t="s">
        <v>330</v>
      </c>
      <c r="L294" s="54" t="s">
        <v>331</v>
      </c>
      <c r="M294" s="58" t="s">
        <v>332</v>
      </c>
      <c r="N294" s="54" t="s">
        <v>333</v>
      </c>
      <c r="O294" s="59">
        <v>46160</v>
      </c>
      <c r="P294" s="74"/>
      <c r="Q294" s="57"/>
      <c r="R294" s="61"/>
      <c r="S294" s="61"/>
    </row>
    <row r="295" spans="2:19" s="62" customFormat="1" outlineLevel="1" x14ac:dyDescent="0.25">
      <c r="B295" s="53"/>
      <c r="C295" s="58">
        <v>347</v>
      </c>
      <c r="D295" s="54" t="s">
        <v>334</v>
      </c>
      <c r="E295" s="64" t="s">
        <v>1078</v>
      </c>
      <c r="F295" s="64" t="s">
        <v>335</v>
      </c>
      <c r="G295" s="63">
        <v>1</v>
      </c>
      <c r="H295" s="57" t="s">
        <v>61</v>
      </c>
      <c r="I295" s="54" t="s">
        <v>336</v>
      </c>
      <c r="J295" s="54" t="s">
        <v>337</v>
      </c>
      <c r="K295" s="54" t="s">
        <v>338</v>
      </c>
      <c r="L295" s="54" t="s">
        <v>339</v>
      </c>
      <c r="M295" s="58" t="s">
        <v>1090</v>
      </c>
      <c r="N295" s="54" t="s">
        <v>341</v>
      </c>
      <c r="O295" s="59">
        <v>46132</v>
      </c>
      <c r="P295" s="74"/>
      <c r="Q295" s="57"/>
      <c r="R295" s="61"/>
      <c r="S295" s="61"/>
    </row>
    <row r="296" spans="2:19" s="62" customFormat="1" outlineLevel="1" x14ac:dyDescent="0.25">
      <c r="B296" s="53"/>
      <c r="C296" s="58">
        <v>348</v>
      </c>
      <c r="D296" s="54" t="s">
        <v>342</v>
      </c>
      <c r="E296" s="64" t="s">
        <v>1078</v>
      </c>
      <c r="F296" s="64" t="s">
        <v>343</v>
      </c>
      <c r="G296" s="63">
        <v>1</v>
      </c>
      <c r="H296" s="57" t="s">
        <v>24</v>
      </c>
      <c r="I296" s="54" t="s">
        <v>344</v>
      </c>
      <c r="J296" s="54" t="s">
        <v>345</v>
      </c>
      <c r="K296" s="54" t="s">
        <v>346</v>
      </c>
      <c r="L296" s="54" t="s">
        <v>347</v>
      </c>
      <c r="M296" s="58" t="s">
        <v>348</v>
      </c>
      <c r="N296" s="54" t="s">
        <v>349</v>
      </c>
      <c r="O296" s="59">
        <v>46160</v>
      </c>
      <c r="P296" s="74"/>
      <c r="Q296" s="57"/>
      <c r="R296" s="61"/>
      <c r="S296" s="61"/>
    </row>
    <row r="297" spans="2:19" s="62" customFormat="1" outlineLevel="1" x14ac:dyDescent="0.25">
      <c r="B297" s="53"/>
      <c r="C297" s="58">
        <v>349</v>
      </c>
      <c r="D297" s="54" t="s">
        <v>350</v>
      </c>
      <c r="E297" s="64" t="s">
        <v>1078</v>
      </c>
      <c r="F297" s="64" t="s">
        <v>351</v>
      </c>
      <c r="G297" s="63">
        <v>6</v>
      </c>
      <c r="H297" s="57" t="s">
        <v>152</v>
      </c>
      <c r="I297" s="54" t="s">
        <v>352</v>
      </c>
      <c r="J297" s="54" t="s">
        <v>353</v>
      </c>
      <c r="K297" s="54" t="s">
        <v>354</v>
      </c>
      <c r="L297" s="54" t="s">
        <v>355</v>
      </c>
      <c r="M297" s="58" t="s">
        <v>355</v>
      </c>
      <c r="N297" s="54" t="s">
        <v>356</v>
      </c>
      <c r="O297" s="59">
        <v>46160</v>
      </c>
      <c r="P297" s="74"/>
      <c r="Q297" s="57"/>
      <c r="R297" s="61"/>
      <c r="S297" s="61"/>
    </row>
    <row r="298" spans="2:19" s="62" customFormat="1" ht="30" customHeight="1" outlineLevel="1" x14ac:dyDescent="0.25">
      <c r="B298" s="53"/>
      <c r="C298" s="58" t="s">
        <v>1091</v>
      </c>
      <c r="D298" s="54" t="s">
        <v>802</v>
      </c>
      <c r="E298" s="64" t="s">
        <v>1078</v>
      </c>
      <c r="F298" s="64" t="s">
        <v>803</v>
      </c>
      <c r="G298" s="63">
        <v>13</v>
      </c>
      <c r="H298" s="57" t="s">
        <v>804</v>
      </c>
      <c r="I298" s="54" t="s">
        <v>874</v>
      </c>
      <c r="J298" s="54" t="s">
        <v>875</v>
      </c>
      <c r="K298" s="54" t="s">
        <v>876</v>
      </c>
      <c r="L298" s="54" t="s">
        <v>808</v>
      </c>
      <c r="M298" s="58" t="s">
        <v>1092</v>
      </c>
      <c r="N298" s="54" t="s">
        <v>810</v>
      </c>
      <c r="O298" s="59">
        <v>46160</v>
      </c>
      <c r="P298" s="74"/>
      <c r="Q298" s="57"/>
      <c r="R298" s="61"/>
      <c r="S298" s="61"/>
    </row>
    <row r="299" spans="2:19" s="62" customFormat="1" outlineLevel="1" x14ac:dyDescent="0.25">
      <c r="B299" s="53"/>
      <c r="C299" s="58">
        <v>351</v>
      </c>
      <c r="D299" s="54" t="s">
        <v>963</v>
      </c>
      <c r="E299" s="64" t="s">
        <v>1078</v>
      </c>
      <c r="F299" s="64" t="s">
        <v>917</v>
      </c>
      <c r="G299" s="63">
        <v>2</v>
      </c>
      <c r="H299" s="57" t="s">
        <v>152</v>
      </c>
      <c r="I299" s="54" t="s">
        <v>964</v>
      </c>
      <c r="J299" s="54" t="s">
        <v>965</v>
      </c>
      <c r="K299" s="54" t="s">
        <v>966</v>
      </c>
      <c r="L299" s="54" t="s">
        <v>967</v>
      </c>
      <c r="M299" s="58" t="s">
        <v>985</v>
      </c>
      <c r="N299" s="54" t="s">
        <v>969</v>
      </c>
      <c r="O299" s="59">
        <v>46160</v>
      </c>
      <c r="P299" s="74"/>
      <c r="Q299" s="57"/>
      <c r="R299" s="61"/>
      <c r="S299" s="61"/>
    </row>
    <row r="300" spans="2:19" s="62" customFormat="1" outlineLevel="1" x14ac:dyDescent="0.25">
      <c r="B300" s="53"/>
      <c r="C300" s="58">
        <v>352</v>
      </c>
      <c r="D300" s="54" t="s">
        <v>366</v>
      </c>
      <c r="E300" s="64" t="s">
        <v>1078</v>
      </c>
      <c r="F300" s="64" t="s">
        <v>367</v>
      </c>
      <c r="G300" s="63">
        <v>6</v>
      </c>
      <c r="H300" s="57" t="s">
        <v>368</v>
      </c>
      <c r="I300" s="54" t="s">
        <v>369</v>
      </c>
      <c r="J300" s="54" t="s">
        <v>370</v>
      </c>
      <c r="K300" s="54" t="s">
        <v>371</v>
      </c>
      <c r="L300" s="54" t="s">
        <v>372</v>
      </c>
      <c r="M300" s="58" t="s">
        <v>682</v>
      </c>
      <c r="N300" s="54" t="s">
        <v>374</v>
      </c>
      <c r="O300" s="59">
        <v>46160</v>
      </c>
      <c r="P300" s="74"/>
      <c r="Q300" s="57"/>
      <c r="R300" s="61"/>
      <c r="S300" s="61"/>
    </row>
    <row r="301" spans="2:19" s="62" customFormat="1" outlineLevel="1" x14ac:dyDescent="0.25">
      <c r="B301" s="53"/>
      <c r="C301" s="58">
        <v>353</v>
      </c>
      <c r="D301" s="54" t="s">
        <v>604</v>
      </c>
      <c r="E301" s="64" t="s">
        <v>1078</v>
      </c>
      <c r="F301" s="64" t="s">
        <v>605</v>
      </c>
      <c r="G301" s="63">
        <v>1</v>
      </c>
      <c r="H301" s="57" t="s">
        <v>61</v>
      </c>
      <c r="I301" s="54" t="s">
        <v>606</v>
      </c>
      <c r="J301" s="54" t="s">
        <v>607</v>
      </c>
      <c r="K301" s="54" t="s">
        <v>608</v>
      </c>
      <c r="L301" s="54" t="s">
        <v>252</v>
      </c>
      <c r="M301" s="58" t="s">
        <v>609</v>
      </c>
      <c r="N301" s="54" t="s">
        <v>610</v>
      </c>
      <c r="O301" s="59">
        <v>46132</v>
      </c>
      <c r="P301" s="74"/>
      <c r="Q301" s="57"/>
      <c r="R301" s="61"/>
      <c r="S301" s="61"/>
    </row>
    <row r="302" spans="2:19" s="62" customFormat="1" ht="30" customHeight="1" outlineLevel="1" x14ac:dyDescent="0.25">
      <c r="B302" s="53"/>
      <c r="C302" s="58">
        <v>354</v>
      </c>
      <c r="D302" s="54" t="s">
        <v>375</v>
      </c>
      <c r="E302" s="64" t="s">
        <v>1078</v>
      </c>
      <c r="F302" s="64" t="s">
        <v>376</v>
      </c>
      <c r="G302" s="63">
        <v>18</v>
      </c>
      <c r="H302" s="57" t="s">
        <v>111</v>
      </c>
      <c r="I302" s="54" t="s">
        <v>1093</v>
      </c>
      <c r="J302" s="54" t="s">
        <v>1094</v>
      </c>
      <c r="K302" s="54" t="s">
        <v>1095</v>
      </c>
      <c r="L302" s="54" t="s">
        <v>380</v>
      </c>
      <c r="M302" s="58" t="s">
        <v>381</v>
      </c>
      <c r="N302" s="54" t="s">
        <v>382</v>
      </c>
      <c r="O302" s="59">
        <v>46160</v>
      </c>
      <c r="P302" s="74"/>
      <c r="Q302" s="57"/>
      <c r="R302" s="61"/>
      <c r="S302" s="61"/>
    </row>
    <row r="303" spans="2:19" s="62" customFormat="1" outlineLevel="1" x14ac:dyDescent="0.25">
      <c r="B303" s="53"/>
      <c r="C303" s="58">
        <v>355</v>
      </c>
      <c r="D303" s="54" t="s">
        <v>383</v>
      </c>
      <c r="E303" s="64" t="s">
        <v>1078</v>
      </c>
      <c r="F303" s="64" t="s">
        <v>384</v>
      </c>
      <c r="G303" s="63">
        <v>8</v>
      </c>
      <c r="H303" s="57" t="s">
        <v>61</v>
      </c>
      <c r="I303" s="54" t="s">
        <v>385</v>
      </c>
      <c r="J303" s="54" t="s">
        <v>386</v>
      </c>
      <c r="K303" s="54" t="s">
        <v>387</v>
      </c>
      <c r="L303" s="54" t="s">
        <v>388</v>
      </c>
      <c r="M303" s="58" t="s">
        <v>389</v>
      </c>
      <c r="N303" s="54" t="s">
        <v>390</v>
      </c>
      <c r="O303" s="59">
        <v>46132</v>
      </c>
      <c r="P303" s="74"/>
      <c r="Q303" s="57"/>
      <c r="R303" s="61"/>
      <c r="S303" s="61"/>
    </row>
    <row r="304" spans="2:19" s="62" customFormat="1" outlineLevel="1" x14ac:dyDescent="0.25">
      <c r="B304" s="53"/>
      <c r="C304" s="58">
        <v>356</v>
      </c>
      <c r="D304" s="54" t="s">
        <v>391</v>
      </c>
      <c r="E304" s="64" t="s">
        <v>1078</v>
      </c>
      <c r="F304" s="64" t="s">
        <v>392</v>
      </c>
      <c r="G304" s="63">
        <v>1</v>
      </c>
      <c r="H304" s="57" t="s">
        <v>111</v>
      </c>
      <c r="I304" s="54" t="s">
        <v>393</v>
      </c>
      <c r="J304" s="54" t="s">
        <v>394</v>
      </c>
      <c r="K304" s="54" t="s">
        <v>395</v>
      </c>
      <c r="L304" s="54" t="s">
        <v>396</v>
      </c>
      <c r="M304" s="58" t="s">
        <v>397</v>
      </c>
      <c r="N304" s="54" t="s">
        <v>398</v>
      </c>
      <c r="O304" s="59">
        <v>46160</v>
      </c>
      <c r="P304" s="74"/>
      <c r="Q304" s="57"/>
      <c r="R304" s="61"/>
      <c r="S304" s="61"/>
    </row>
    <row r="305" spans="2:19" s="62" customFormat="1" outlineLevel="1" x14ac:dyDescent="0.25">
      <c r="B305" s="53"/>
      <c r="C305" s="58">
        <v>357</v>
      </c>
      <c r="D305" s="54" t="s">
        <v>399</v>
      </c>
      <c r="E305" s="64" t="s">
        <v>1078</v>
      </c>
      <c r="F305" s="64" t="s">
        <v>400</v>
      </c>
      <c r="G305" s="63">
        <v>1</v>
      </c>
      <c r="H305" s="57" t="s">
        <v>152</v>
      </c>
      <c r="I305" s="54" t="s">
        <v>401</v>
      </c>
      <c r="J305" s="54" t="s">
        <v>402</v>
      </c>
      <c r="K305" s="54" t="s">
        <v>403</v>
      </c>
      <c r="L305" s="54" t="s">
        <v>404</v>
      </c>
      <c r="M305" s="58" t="s">
        <v>791</v>
      </c>
      <c r="N305" s="54" t="s">
        <v>406</v>
      </c>
      <c r="O305" s="59">
        <v>46160</v>
      </c>
      <c r="P305" s="74"/>
      <c r="Q305" s="57"/>
      <c r="R305" s="61"/>
      <c r="S305" s="61"/>
    </row>
    <row r="306" spans="2:19" s="62" customFormat="1" outlineLevel="1" x14ac:dyDescent="0.25">
      <c r="B306" s="53"/>
      <c r="C306" s="54">
        <v>358</v>
      </c>
      <c r="D306" s="54" t="s">
        <v>892</v>
      </c>
      <c r="E306" s="64" t="s">
        <v>1078</v>
      </c>
      <c r="F306" s="64" t="s">
        <v>893</v>
      </c>
      <c r="G306" s="63">
        <v>1</v>
      </c>
      <c r="H306" s="57" t="s">
        <v>61</v>
      </c>
      <c r="I306" s="54" t="s">
        <v>894</v>
      </c>
      <c r="J306" s="54" t="s">
        <v>895</v>
      </c>
      <c r="K306" s="54" t="s">
        <v>896</v>
      </c>
      <c r="L306" s="58" t="s">
        <v>897</v>
      </c>
      <c r="M306" s="54" t="s">
        <v>897</v>
      </c>
      <c r="N306" s="59" t="s">
        <v>898</v>
      </c>
      <c r="O306" s="59">
        <v>46132</v>
      </c>
      <c r="P306" s="57"/>
      <c r="Q306" s="61"/>
      <c r="R306" s="61"/>
    </row>
    <row r="307" spans="2:19" s="62" customFormat="1" outlineLevel="1" x14ac:dyDescent="0.25">
      <c r="B307" s="53"/>
      <c r="C307" s="58">
        <v>359</v>
      </c>
      <c r="D307" s="54" t="s">
        <v>415</v>
      </c>
      <c r="E307" s="64" t="s">
        <v>1078</v>
      </c>
      <c r="F307" s="64" t="s">
        <v>416</v>
      </c>
      <c r="G307" s="63">
        <v>2</v>
      </c>
      <c r="H307" s="57" t="s">
        <v>417</v>
      </c>
      <c r="I307" s="54" t="s">
        <v>418</v>
      </c>
      <c r="J307" s="54" t="s">
        <v>419</v>
      </c>
      <c r="K307" s="54" t="s">
        <v>420</v>
      </c>
      <c r="L307" s="54" t="s">
        <v>421</v>
      </c>
      <c r="M307" s="58" t="s">
        <v>422</v>
      </c>
      <c r="N307" s="54" t="s">
        <v>423</v>
      </c>
      <c r="O307" s="59">
        <v>46160</v>
      </c>
      <c r="P307" s="74"/>
      <c r="Q307" s="57"/>
      <c r="R307" s="61"/>
      <c r="S307" s="61"/>
    </row>
    <row r="308" spans="2:19" s="62" customFormat="1" outlineLevel="1" x14ac:dyDescent="0.25">
      <c r="B308" s="53"/>
      <c r="C308" s="58">
        <v>360</v>
      </c>
      <c r="D308" s="54" t="s">
        <v>1016</v>
      </c>
      <c r="E308" s="64" t="s">
        <v>1078</v>
      </c>
      <c r="F308" s="64" t="s">
        <v>919</v>
      </c>
      <c r="G308" s="63">
        <v>2</v>
      </c>
      <c r="H308" s="57" t="s">
        <v>61</v>
      </c>
      <c r="I308" s="54" t="s">
        <v>1017</v>
      </c>
      <c r="J308" s="54" t="s">
        <v>1018</v>
      </c>
      <c r="K308" s="54" t="s">
        <v>1019</v>
      </c>
      <c r="L308" s="54" t="s">
        <v>1020</v>
      </c>
      <c r="M308" s="58" t="s">
        <v>1021</v>
      </c>
      <c r="N308" s="54" t="s">
        <v>1022</v>
      </c>
      <c r="O308" s="59">
        <v>46132</v>
      </c>
      <c r="P308" s="74"/>
      <c r="Q308" s="57"/>
      <c r="R308" s="61"/>
      <c r="S308" s="61"/>
    </row>
    <row r="309" spans="2:19" s="62" customFormat="1" outlineLevel="1" x14ac:dyDescent="0.25">
      <c r="B309" s="53"/>
      <c r="C309" s="58">
        <v>361</v>
      </c>
      <c r="D309" s="54" t="s">
        <v>424</v>
      </c>
      <c r="E309" s="64" t="s">
        <v>1078</v>
      </c>
      <c r="F309" s="64" t="s">
        <v>425</v>
      </c>
      <c r="G309" s="63">
        <v>3</v>
      </c>
      <c r="H309" s="57" t="s">
        <v>111</v>
      </c>
      <c r="I309" s="54" t="s">
        <v>426</v>
      </c>
      <c r="J309" s="54" t="s">
        <v>427</v>
      </c>
      <c r="K309" s="54" t="s">
        <v>428</v>
      </c>
      <c r="L309" s="54" t="s">
        <v>429</v>
      </c>
      <c r="M309" s="58" t="s">
        <v>429</v>
      </c>
      <c r="N309" s="54" t="s">
        <v>430</v>
      </c>
      <c r="O309" s="59">
        <v>46160</v>
      </c>
      <c r="P309" s="74"/>
      <c r="Q309" s="57"/>
      <c r="R309" s="61"/>
      <c r="S309" s="61"/>
    </row>
    <row r="310" spans="2:19" s="62" customFormat="1" ht="30" customHeight="1" outlineLevel="1" x14ac:dyDescent="0.25">
      <c r="B310" s="53"/>
      <c r="C310" s="58" t="s">
        <v>1096</v>
      </c>
      <c r="D310" s="54" t="s">
        <v>431</v>
      </c>
      <c r="E310" s="54" t="s">
        <v>1078</v>
      </c>
      <c r="F310" s="64" t="s">
        <v>432</v>
      </c>
      <c r="G310" s="63">
        <v>8</v>
      </c>
      <c r="H310" s="57" t="s">
        <v>152</v>
      </c>
      <c r="I310" s="54" t="s">
        <v>1097</v>
      </c>
      <c r="J310" s="54" t="s">
        <v>1098</v>
      </c>
      <c r="K310" s="54" t="s">
        <v>1099</v>
      </c>
      <c r="L310" s="54" t="s">
        <v>436</v>
      </c>
      <c r="M310" s="58" t="s">
        <v>1100</v>
      </c>
      <c r="N310" s="54" t="s">
        <v>438</v>
      </c>
      <c r="O310" s="59">
        <v>46160</v>
      </c>
      <c r="P310" s="74"/>
      <c r="Q310" s="57"/>
      <c r="R310" s="61"/>
      <c r="S310" s="61"/>
    </row>
    <row r="311" spans="2:19" s="62" customFormat="1" outlineLevel="1" x14ac:dyDescent="0.25">
      <c r="B311" s="53"/>
      <c r="C311" s="58">
        <v>363</v>
      </c>
      <c r="D311" s="54" t="s">
        <v>447</v>
      </c>
      <c r="E311" s="64" t="s">
        <v>1078</v>
      </c>
      <c r="F311" s="64" t="s">
        <v>448</v>
      </c>
      <c r="G311" s="63">
        <v>1</v>
      </c>
      <c r="H311" s="57" t="s">
        <v>24</v>
      </c>
      <c r="I311" s="54" t="s">
        <v>449</v>
      </c>
      <c r="J311" s="54" t="s">
        <v>450</v>
      </c>
      <c r="K311" s="54" t="s">
        <v>451</v>
      </c>
      <c r="L311" s="54" t="s">
        <v>452</v>
      </c>
      <c r="M311" s="58" t="s">
        <v>453</v>
      </c>
      <c r="N311" s="54" t="s">
        <v>454</v>
      </c>
      <c r="O311" s="59">
        <v>46160</v>
      </c>
      <c r="P311" s="74"/>
      <c r="Q311" s="57"/>
      <c r="R311" s="61"/>
      <c r="S311" s="61"/>
    </row>
    <row r="312" spans="2:19" s="62" customFormat="1" outlineLevel="1" x14ac:dyDescent="0.25">
      <c r="B312" s="53"/>
      <c r="C312" s="58">
        <v>364</v>
      </c>
      <c r="D312" s="54" t="s">
        <v>571</v>
      </c>
      <c r="E312" s="64" t="s">
        <v>1078</v>
      </c>
      <c r="F312" s="64" t="s">
        <v>572</v>
      </c>
      <c r="G312" s="63">
        <v>3</v>
      </c>
      <c r="H312" s="57" t="s">
        <v>573</v>
      </c>
      <c r="I312" s="54" t="s">
        <v>574</v>
      </c>
      <c r="J312" s="54" t="s">
        <v>575</v>
      </c>
      <c r="K312" s="54" t="s">
        <v>576</v>
      </c>
      <c r="L312" s="54" t="s">
        <v>577</v>
      </c>
      <c r="M312" s="58" t="s">
        <v>578</v>
      </c>
      <c r="N312" s="54" t="s">
        <v>579</v>
      </c>
      <c r="O312" s="59">
        <v>46160</v>
      </c>
      <c r="P312" s="74"/>
      <c r="Q312" s="57"/>
      <c r="R312" s="61"/>
      <c r="S312" s="61"/>
    </row>
    <row r="313" spans="2:19" s="62" customFormat="1" outlineLevel="1" x14ac:dyDescent="0.25">
      <c r="B313" s="53"/>
      <c r="C313" s="58">
        <v>365</v>
      </c>
      <c r="D313" s="54" t="s">
        <v>596</v>
      </c>
      <c r="E313" s="64" t="s">
        <v>1078</v>
      </c>
      <c r="F313" s="64" t="s">
        <v>597</v>
      </c>
      <c r="G313" s="63">
        <v>1</v>
      </c>
      <c r="H313" s="57" t="s">
        <v>61</v>
      </c>
      <c r="I313" s="54" t="s">
        <v>598</v>
      </c>
      <c r="J313" s="54" t="s">
        <v>599</v>
      </c>
      <c r="K313" s="54" t="s">
        <v>600</v>
      </c>
      <c r="L313" s="54" t="s">
        <v>601</v>
      </c>
      <c r="M313" s="58" t="s">
        <v>602</v>
      </c>
      <c r="N313" s="54" t="s">
        <v>603</v>
      </c>
      <c r="O313" s="59">
        <v>46132</v>
      </c>
      <c r="P313" s="74"/>
      <c r="Q313" s="57"/>
      <c r="R313" s="61"/>
      <c r="S313" s="61"/>
    </row>
    <row r="314" spans="2:19" s="62" customFormat="1" outlineLevel="1" x14ac:dyDescent="0.25">
      <c r="B314" s="53"/>
      <c r="C314" s="58">
        <v>366</v>
      </c>
      <c r="D314" s="54" t="s">
        <v>455</v>
      </c>
      <c r="E314" s="64" t="s">
        <v>1078</v>
      </c>
      <c r="F314" s="64" t="s">
        <v>456</v>
      </c>
      <c r="G314" s="63">
        <v>1</v>
      </c>
      <c r="H314" s="57" t="s">
        <v>111</v>
      </c>
      <c r="I314" s="54" t="s">
        <v>457</v>
      </c>
      <c r="J314" s="54" t="s">
        <v>458</v>
      </c>
      <c r="K314" s="54" t="s">
        <v>459</v>
      </c>
      <c r="L314" s="54" t="s">
        <v>460</v>
      </c>
      <c r="M314" s="58" t="s">
        <v>461</v>
      </c>
      <c r="N314" s="54" t="s">
        <v>462</v>
      </c>
      <c r="O314" s="59">
        <v>46160</v>
      </c>
      <c r="P314" s="74"/>
      <c r="Q314" s="57"/>
      <c r="R314" s="61"/>
      <c r="S314" s="61"/>
    </row>
    <row r="315" spans="2:19" s="62" customFormat="1" outlineLevel="1" x14ac:dyDescent="0.25">
      <c r="B315" s="53"/>
      <c r="C315" s="58">
        <v>367</v>
      </c>
      <c r="D315" s="54" t="s">
        <v>463</v>
      </c>
      <c r="E315" s="64" t="s">
        <v>1078</v>
      </c>
      <c r="F315" s="64" t="s">
        <v>464</v>
      </c>
      <c r="G315" s="63">
        <v>1</v>
      </c>
      <c r="H315" s="57" t="s">
        <v>152</v>
      </c>
      <c r="I315" s="54" t="s">
        <v>465</v>
      </c>
      <c r="J315" s="54" t="s">
        <v>466</v>
      </c>
      <c r="K315" s="54" t="s">
        <v>467</v>
      </c>
      <c r="L315" s="54" t="s">
        <v>468</v>
      </c>
      <c r="M315" s="58" t="s">
        <v>469</v>
      </c>
      <c r="N315" s="54" t="s">
        <v>470</v>
      </c>
      <c r="O315" s="59">
        <v>46160</v>
      </c>
      <c r="P315" s="74"/>
      <c r="Q315" s="57"/>
      <c r="R315" s="61"/>
      <c r="S315" s="61"/>
    </row>
    <row r="316" spans="2:19" s="62" customFormat="1" outlineLevel="1" x14ac:dyDescent="0.25">
      <c r="B316" s="53"/>
      <c r="C316" s="58">
        <v>368</v>
      </c>
      <c r="D316" s="54" t="s">
        <v>760</v>
      </c>
      <c r="E316" s="64" t="s">
        <v>1078</v>
      </c>
      <c r="F316" s="64" t="s">
        <v>761</v>
      </c>
      <c r="G316" s="63">
        <v>2</v>
      </c>
      <c r="H316" s="57" t="s">
        <v>61</v>
      </c>
      <c r="I316" s="54" t="s">
        <v>762</v>
      </c>
      <c r="J316" s="54" t="s">
        <v>763</v>
      </c>
      <c r="K316" s="54" t="s">
        <v>764</v>
      </c>
      <c r="L316" s="54" t="s">
        <v>765</v>
      </c>
      <c r="M316" s="58" t="s">
        <v>765</v>
      </c>
      <c r="N316" s="54" t="s">
        <v>766</v>
      </c>
      <c r="O316" s="59">
        <v>46132</v>
      </c>
      <c r="P316" s="74"/>
      <c r="Q316" s="57"/>
      <c r="R316" s="61"/>
      <c r="S316" s="61"/>
    </row>
    <row r="317" spans="2:19" s="62" customFormat="1" ht="30" customHeight="1" outlineLevel="1" x14ac:dyDescent="0.25">
      <c r="B317" s="53"/>
      <c r="C317" s="58">
        <v>369</v>
      </c>
      <c r="D317" s="54" t="s">
        <v>478</v>
      </c>
      <c r="E317" s="64" t="s">
        <v>1078</v>
      </c>
      <c r="F317" s="64" t="s">
        <v>479</v>
      </c>
      <c r="G317" s="63">
        <v>6</v>
      </c>
      <c r="H317" s="57" t="s">
        <v>111</v>
      </c>
      <c r="I317" s="54" t="s">
        <v>480</v>
      </c>
      <c r="J317" s="54" t="s">
        <v>481</v>
      </c>
      <c r="K317" s="54" t="s">
        <v>482</v>
      </c>
      <c r="L317" s="54" t="s">
        <v>483</v>
      </c>
      <c r="M317" s="58" t="s">
        <v>634</v>
      </c>
      <c r="N317" s="54" t="s">
        <v>485</v>
      </c>
      <c r="O317" s="59">
        <v>46160</v>
      </c>
      <c r="P317" s="74"/>
      <c r="Q317" s="57"/>
      <c r="R317" s="61"/>
      <c r="S317" s="61"/>
    </row>
    <row r="318" spans="2:19" s="62" customFormat="1" outlineLevel="1" x14ac:dyDescent="0.25">
      <c r="B318" s="53"/>
      <c r="C318" s="58">
        <v>370</v>
      </c>
      <c r="D318" s="54" t="s">
        <v>486</v>
      </c>
      <c r="E318" s="64" t="s">
        <v>1078</v>
      </c>
      <c r="F318" s="64" t="s">
        <v>487</v>
      </c>
      <c r="G318" s="63">
        <v>1</v>
      </c>
      <c r="H318" s="57" t="s">
        <v>152</v>
      </c>
      <c r="I318" s="54" t="s">
        <v>488</v>
      </c>
      <c r="J318" s="54" t="s">
        <v>489</v>
      </c>
      <c r="K318" s="54" t="s">
        <v>490</v>
      </c>
      <c r="L318" s="54" t="s">
        <v>491</v>
      </c>
      <c r="M318" s="58" t="s">
        <v>492</v>
      </c>
      <c r="N318" s="54" t="s">
        <v>493</v>
      </c>
      <c r="O318" s="59">
        <v>46160</v>
      </c>
      <c r="P318" s="74"/>
      <c r="Q318" s="57"/>
      <c r="R318" s="61"/>
      <c r="S318" s="61"/>
    </row>
    <row r="319" spans="2:19" s="62" customFormat="1" outlineLevel="1" x14ac:dyDescent="0.25">
      <c r="B319" s="53"/>
      <c r="C319" s="58">
        <v>371</v>
      </c>
      <c r="D319" s="54" t="s">
        <v>611</v>
      </c>
      <c r="E319" s="64" t="s">
        <v>1078</v>
      </c>
      <c r="F319" s="64" t="s">
        <v>612</v>
      </c>
      <c r="G319" s="63">
        <v>1</v>
      </c>
      <c r="H319" s="57" t="s">
        <v>24</v>
      </c>
      <c r="I319" s="54" t="s">
        <v>613</v>
      </c>
      <c r="J319" s="54" t="s">
        <v>614</v>
      </c>
      <c r="K319" s="54" t="s">
        <v>615</v>
      </c>
      <c r="L319" s="54" t="s">
        <v>616</v>
      </c>
      <c r="M319" s="58" t="s">
        <v>616</v>
      </c>
      <c r="N319" s="54" t="s">
        <v>617</v>
      </c>
      <c r="O319" s="59">
        <v>46160</v>
      </c>
      <c r="P319" s="74"/>
      <c r="Q319" s="57"/>
      <c r="R319" s="61"/>
      <c r="S319" s="61"/>
    </row>
    <row r="320" spans="2:19" s="62" customFormat="1" outlineLevel="1" x14ac:dyDescent="0.25">
      <c r="B320" s="53"/>
      <c r="C320" s="58">
        <v>372</v>
      </c>
      <c r="D320" s="54" t="s">
        <v>494</v>
      </c>
      <c r="E320" s="64" t="s">
        <v>1078</v>
      </c>
      <c r="F320" s="64" t="s">
        <v>495</v>
      </c>
      <c r="G320" s="63">
        <v>2</v>
      </c>
      <c r="H320" s="57" t="s">
        <v>61</v>
      </c>
      <c r="I320" s="54" t="s">
        <v>496</v>
      </c>
      <c r="J320" s="54" t="s">
        <v>497</v>
      </c>
      <c r="K320" s="54" t="s">
        <v>498</v>
      </c>
      <c r="L320" s="54" t="s">
        <v>499</v>
      </c>
      <c r="M320" s="58" t="s">
        <v>500</v>
      </c>
      <c r="N320" s="54" t="s">
        <v>501</v>
      </c>
      <c r="O320" s="59">
        <v>46132</v>
      </c>
      <c r="P320" s="74"/>
      <c r="Q320" s="57"/>
      <c r="R320" s="61"/>
      <c r="S320" s="61"/>
    </row>
    <row r="321" spans="2:19" s="62" customFormat="1" outlineLevel="1" x14ac:dyDescent="0.25">
      <c r="B321" s="53"/>
      <c r="C321" s="58">
        <v>373</v>
      </c>
      <c r="D321" s="54" t="s">
        <v>502</v>
      </c>
      <c r="E321" s="64" t="s">
        <v>1078</v>
      </c>
      <c r="F321" s="64" t="s">
        <v>503</v>
      </c>
      <c r="G321" s="63">
        <v>1</v>
      </c>
      <c r="H321" s="57" t="s">
        <v>61</v>
      </c>
      <c r="I321" s="54" t="s">
        <v>504</v>
      </c>
      <c r="J321" s="54" t="s">
        <v>505</v>
      </c>
      <c r="K321" s="54" t="s">
        <v>506</v>
      </c>
      <c r="L321" s="54" t="s">
        <v>283</v>
      </c>
      <c r="M321" s="58" t="s">
        <v>284</v>
      </c>
      <c r="N321" s="54" t="s">
        <v>507</v>
      </c>
      <c r="O321" s="59">
        <v>46132</v>
      </c>
      <c r="P321" s="74"/>
      <c r="Q321" s="57"/>
      <c r="R321" s="61"/>
      <c r="S321" s="61"/>
    </row>
    <row r="322" spans="2:19" s="62" customFormat="1" outlineLevel="1" x14ac:dyDescent="0.25">
      <c r="B322" s="53"/>
      <c r="C322" s="58">
        <v>374</v>
      </c>
      <c r="D322" s="54" t="s">
        <v>508</v>
      </c>
      <c r="E322" s="64" t="s">
        <v>1078</v>
      </c>
      <c r="F322" s="64" t="s">
        <v>509</v>
      </c>
      <c r="G322" s="63">
        <v>2</v>
      </c>
      <c r="H322" s="57" t="s">
        <v>61</v>
      </c>
      <c r="I322" s="54" t="s">
        <v>510</v>
      </c>
      <c r="J322" s="54" t="s">
        <v>511</v>
      </c>
      <c r="K322" s="54" t="s">
        <v>512</v>
      </c>
      <c r="L322" s="54" t="s">
        <v>513</v>
      </c>
      <c r="M322" s="58" t="s">
        <v>514</v>
      </c>
      <c r="N322" s="54" t="s">
        <v>515</v>
      </c>
      <c r="O322" s="59">
        <v>46132</v>
      </c>
      <c r="P322" s="74"/>
      <c r="Q322" s="57"/>
      <c r="R322" s="61"/>
      <c r="S322" s="61"/>
    </row>
    <row r="323" spans="2:19" s="62" customFormat="1" outlineLevel="1" x14ac:dyDescent="0.25">
      <c r="B323" s="53"/>
      <c r="C323" s="58">
        <v>375</v>
      </c>
      <c r="D323" s="54" t="s">
        <v>516</v>
      </c>
      <c r="E323" s="64" t="s">
        <v>1078</v>
      </c>
      <c r="F323" s="71" t="s">
        <v>517</v>
      </c>
      <c r="G323" s="63">
        <v>1</v>
      </c>
      <c r="H323" s="57" t="s">
        <v>61</v>
      </c>
      <c r="I323" s="54" t="s">
        <v>518</v>
      </c>
      <c r="J323" s="54" t="s">
        <v>519</v>
      </c>
      <c r="K323" s="54" t="s">
        <v>520</v>
      </c>
      <c r="L323" s="54" t="s">
        <v>521</v>
      </c>
      <c r="M323" s="58" t="s">
        <v>522</v>
      </c>
      <c r="N323" s="54" t="s">
        <v>523</v>
      </c>
      <c r="O323" s="59">
        <v>46160</v>
      </c>
      <c r="P323" s="74"/>
      <c r="Q323" s="57"/>
      <c r="R323" s="61"/>
      <c r="S323" s="61"/>
    </row>
    <row r="324" spans="2:19" s="62" customFormat="1" outlineLevel="1" x14ac:dyDescent="0.25">
      <c r="B324" s="53"/>
      <c r="C324" s="58">
        <v>376</v>
      </c>
      <c r="D324" s="54" t="s">
        <v>644</v>
      </c>
      <c r="E324" s="64" t="s">
        <v>1078</v>
      </c>
      <c r="F324" s="64" t="s">
        <v>645</v>
      </c>
      <c r="G324" s="63">
        <v>5</v>
      </c>
      <c r="H324" s="57" t="s">
        <v>61</v>
      </c>
      <c r="I324" s="54" t="s">
        <v>646</v>
      </c>
      <c r="J324" s="54" t="s">
        <v>647</v>
      </c>
      <c r="K324" s="54" t="s">
        <v>648</v>
      </c>
      <c r="L324" s="54" t="s">
        <v>649</v>
      </c>
      <c r="M324" s="58" t="s">
        <v>650</v>
      </c>
      <c r="N324" s="54"/>
      <c r="O324" s="59">
        <v>46160</v>
      </c>
      <c r="P324" s="74"/>
      <c r="Q324" s="57"/>
      <c r="R324" s="61"/>
      <c r="S324" s="61"/>
    </row>
    <row r="325" spans="2:19" s="33" customFormat="1" x14ac:dyDescent="0.25">
      <c r="B325" s="42"/>
      <c r="C325" s="40"/>
      <c r="D325" s="43"/>
      <c r="E325" s="28" t="s">
        <v>1101</v>
      </c>
      <c r="F325" s="52"/>
      <c r="G325" s="32">
        <f>SUM(G326:G360)</f>
        <v>92</v>
      </c>
      <c r="H325" s="32"/>
      <c r="I325" s="42"/>
      <c r="J325" s="42"/>
      <c r="K325" s="42"/>
      <c r="L325" s="42"/>
      <c r="M325" s="40"/>
      <c r="N325" s="42"/>
      <c r="O325" s="42"/>
      <c r="P325" s="42"/>
      <c r="Q325" s="42"/>
      <c r="R325" s="42"/>
      <c r="S325" s="42"/>
    </row>
    <row r="326" spans="2:19" s="62" customFormat="1" outlineLevel="1" x14ac:dyDescent="0.25">
      <c r="B326" s="53"/>
      <c r="C326" s="58">
        <v>377</v>
      </c>
      <c r="D326" s="54" t="s">
        <v>811</v>
      </c>
      <c r="E326" s="64" t="s">
        <v>1101</v>
      </c>
      <c r="F326" s="64" t="s">
        <v>812</v>
      </c>
      <c r="G326" s="63">
        <v>1</v>
      </c>
      <c r="H326" s="57" t="s">
        <v>813</v>
      </c>
      <c r="I326" s="54" t="s">
        <v>814</v>
      </c>
      <c r="J326" s="54" t="s">
        <v>815</v>
      </c>
      <c r="K326" s="54" t="s">
        <v>816</v>
      </c>
      <c r="L326" s="54" t="s">
        <v>817</v>
      </c>
      <c r="M326" s="58" t="s">
        <v>818</v>
      </c>
      <c r="N326" s="54" t="s">
        <v>819</v>
      </c>
      <c r="O326" s="59">
        <v>46153</v>
      </c>
      <c r="P326" s="74"/>
      <c r="Q326" s="57"/>
      <c r="R326" s="61"/>
      <c r="S326" s="61"/>
    </row>
    <row r="327" spans="2:19" s="62" customFormat="1" outlineLevel="1" x14ac:dyDescent="0.25">
      <c r="B327" s="53"/>
      <c r="C327" s="58">
        <v>378</v>
      </c>
      <c r="D327" s="54" t="s">
        <v>34</v>
      </c>
      <c r="E327" s="64" t="s">
        <v>1101</v>
      </c>
      <c r="F327" s="64" t="s">
        <v>35</v>
      </c>
      <c r="G327" s="63">
        <v>15</v>
      </c>
      <c r="H327" s="57" t="s">
        <v>36</v>
      </c>
      <c r="I327" s="54" t="s">
        <v>37</v>
      </c>
      <c r="J327" s="54" t="s">
        <v>38</v>
      </c>
      <c r="K327" s="54" t="s">
        <v>39</v>
      </c>
      <c r="L327" s="54" t="s">
        <v>40</v>
      </c>
      <c r="M327" s="58" t="s">
        <v>553</v>
      </c>
      <c r="N327" s="54" t="s">
        <v>42</v>
      </c>
      <c r="O327" s="59">
        <v>46132</v>
      </c>
      <c r="P327" s="74"/>
      <c r="Q327" s="57"/>
      <c r="R327" s="61"/>
      <c r="S327" s="61"/>
    </row>
    <row r="328" spans="2:19" s="62" customFormat="1" outlineLevel="1" x14ac:dyDescent="0.25">
      <c r="B328" s="53"/>
      <c r="C328" s="58">
        <v>379</v>
      </c>
      <c r="D328" s="54" t="s">
        <v>75</v>
      </c>
      <c r="E328" s="64" t="s">
        <v>1101</v>
      </c>
      <c r="F328" s="64" t="s">
        <v>76</v>
      </c>
      <c r="G328" s="63">
        <v>10</v>
      </c>
      <c r="H328" s="57" t="s">
        <v>77</v>
      </c>
      <c r="I328" s="54" t="s">
        <v>78</v>
      </c>
      <c r="J328" s="54" t="s">
        <v>79</v>
      </c>
      <c r="K328" s="54" t="s">
        <v>80</v>
      </c>
      <c r="L328" s="54" t="s">
        <v>81</v>
      </c>
      <c r="M328" s="58" t="s">
        <v>82</v>
      </c>
      <c r="N328" s="54" t="s">
        <v>83</v>
      </c>
      <c r="O328" s="59">
        <v>46132</v>
      </c>
      <c r="P328" s="74"/>
      <c r="Q328" s="57"/>
      <c r="R328" s="61"/>
      <c r="S328" s="61"/>
    </row>
    <row r="329" spans="2:19" s="62" customFormat="1" outlineLevel="1" x14ac:dyDescent="0.25">
      <c r="B329" s="53"/>
      <c r="C329" s="58">
        <v>380</v>
      </c>
      <c r="D329" s="54" t="s">
        <v>580</v>
      </c>
      <c r="E329" s="64" t="s">
        <v>1101</v>
      </c>
      <c r="F329" s="64" t="s">
        <v>581</v>
      </c>
      <c r="G329" s="63">
        <v>1</v>
      </c>
      <c r="H329" s="57" t="s">
        <v>61</v>
      </c>
      <c r="I329" s="54" t="s">
        <v>582</v>
      </c>
      <c r="J329" s="54" t="s">
        <v>583</v>
      </c>
      <c r="K329" s="54" t="s">
        <v>584</v>
      </c>
      <c r="L329" s="54" t="s">
        <v>585</v>
      </c>
      <c r="M329" s="58" t="s">
        <v>586</v>
      </c>
      <c r="N329" s="54" t="s">
        <v>587</v>
      </c>
      <c r="O329" s="59">
        <v>46132</v>
      </c>
      <c r="P329" s="74"/>
      <c r="Q329" s="57"/>
      <c r="R329" s="61"/>
      <c r="S329" s="61"/>
    </row>
    <row r="330" spans="2:19" s="62" customFormat="1" outlineLevel="1" x14ac:dyDescent="0.25">
      <c r="B330" s="53"/>
      <c r="C330" s="58">
        <v>381</v>
      </c>
      <c r="D330" s="54" t="s">
        <v>554</v>
      </c>
      <c r="E330" s="64" t="s">
        <v>1101</v>
      </c>
      <c r="F330" s="64" t="s">
        <v>555</v>
      </c>
      <c r="G330" s="63">
        <v>1</v>
      </c>
      <c r="H330" s="57" t="s">
        <v>61</v>
      </c>
      <c r="I330" s="54" t="s">
        <v>556</v>
      </c>
      <c r="J330" s="54" t="s">
        <v>557</v>
      </c>
      <c r="K330" s="54" t="s">
        <v>558</v>
      </c>
      <c r="L330" s="54" t="s">
        <v>559</v>
      </c>
      <c r="M330" s="58" t="s">
        <v>560</v>
      </c>
      <c r="N330" s="54" t="s">
        <v>561</v>
      </c>
      <c r="O330" s="59">
        <v>46132</v>
      </c>
      <c r="P330" s="74"/>
      <c r="Q330" s="57"/>
      <c r="R330" s="61"/>
      <c r="S330" s="61"/>
    </row>
    <row r="331" spans="2:19" s="62" customFormat="1" outlineLevel="1" x14ac:dyDescent="0.25">
      <c r="B331" s="53"/>
      <c r="C331" s="58">
        <v>382</v>
      </c>
      <c r="D331" s="54" t="s">
        <v>142</v>
      </c>
      <c r="E331" s="64" t="s">
        <v>1101</v>
      </c>
      <c r="F331" s="64" t="s">
        <v>143</v>
      </c>
      <c r="G331" s="63">
        <v>1</v>
      </c>
      <c r="H331" s="57" t="s">
        <v>61</v>
      </c>
      <c r="I331" s="54" t="s">
        <v>144</v>
      </c>
      <c r="J331" s="54" t="s">
        <v>145</v>
      </c>
      <c r="K331" s="54" t="s">
        <v>146</v>
      </c>
      <c r="L331" s="54" t="s">
        <v>147</v>
      </c>
      <c r="M331" s="58" t="s">
        <v>148</v>
      </c>
      <c r="N331" s="54" t="s">
        <v>149</v>
      </c>
      <c r="O331" s="59">
        <v>46132</v>
      </c>
      <c r="P331" s="74"/>
      <c r="Q331" s="57"/>
      <c r="R331" s="61"/>
      <c r="S331" s="61"/>
    </row>
    <row r="332" spans="2:19" s="62" customFormat="1" outlineLevel="1" x14ac:dyDescent="0.25">
      <c r="B332" s="53"/>
      <c r="C332" s="58">
        <v>383</v>
      </c>
      <c r="D332" s="54" t="s">
        <v>150</v>
      </c>
      <c r="E332" s="64" t="s">
        <v>1101</v>
      </c>
      <c r="F332" s="64" t="s">
        <v>151</v>
      </c>
      <c r="G332" s="63">
        <v>1</v>
      </c>
      <c r="H332" s="57" t="s">
        <v>152</v>
      </c>
      <c r="I332" s="54" t="s">
        <v>153</v>
      </c>
      <c r="J332" s="54" t="s">
        <v>154</v>
      </c>
      <c r="K332" s="54" t="s">
        <v>155</v>
      </c>
      <c r="L332" s="54" t="s">
        <v>156</v>
      </c>
      <c r="M332" s="58" t="s">
        <v>157</v>
      </c>
      <c r="N332" s="54" t="s">
        <v>158</v>
      </c>
      <c r="O332" s="59">
        <v>46132</v>
      </c>
      <c r="P332" s="74"/>
      <c r="Q332" s="57"/>
      <c r="R332" s="61"/>
      <c r="S332" s="61"/>
    </row>
    <row r="333" spans="2:19" s="62" customFormat="1" outlineLevel="1" x14ac:dyDescent="0.25">
      <c r="B333" s="53"/>
      <c r="C333" s="58">
        <v>384</v>
      </c>
      <c r="D333" s="54" t="s">
        <v>166</v>
      </c>
      <c r="E333" s="64" t="s">
        <v>1101</v>
      </c>
      <c r="F333" s="64" t="s">
        <v>167</v>
      </c>
      <c r="G333" s="63">
        <v>8</v>
      </c>
      <c r="H333" s="57" t="s">
        <v>61</v>
      </c>
      <c r="I333" s="54" t="s">
        <v>168</v>
      </c>
      <c r="J333" s="54" t="s">
        <v>169</v>
      </c>
      <c r="K333" s="54" t="s">
        <v>170</v>
      </c>
      <c r="L333" s="54" t="s">
        <v>171</v>
      </c>
      <c r="M333" s="58" t="s">
        <v>172</v>
      </c>
      <c r="N333" s="54" t="s">
        <v>173</v>
      </c>
      <c r="O333" s="59">
        <v>46132</v>
      </c>
      <c r="P333" s="74"/>
      <c r="Q333" s="57"/>
      <c r="R333" s="61"/>
      <c r="S333" s="61"/>
    </row>
    <row r="334" spans="2:19" s="62" customFormat="1" outlineLevel="1" x14ac:dyDescent="0.25">
      <c r="B334" s="53"/>
      <c r="C334" s="58">
        <v>385</v>
      </c>
      <c r="D334" s="54" t="s">
        <v>667</v>
      </c>
      <c r="E334" s="64" t="s">
        <v>1101</v>
      </c>
      <c r="F334" s="64" t="s">
        <v>668</v>
      </c>
      <c r="G334" s="63">
        <v>2</v>
      </c>
      <c r="H334" s="57" t="s">
        <v>61</v>
      </c>
      <c r="I334" s="54" t="s">
        <v>674</v>
      </c>
      <c r="J334" s="54" t="s">
        <v>675</v>
      </c>
      <c r="K334" s="53" t="s">
        <v>676</v>
      </c>
      <c r="L334" s="54" t="s">
        <v>672</v>
      </c>
      <c r="M334" s="58" t="s">
        <v>677</v>
      </c>
      <c r="N334" s="54" t="s">
        <v>673</v>
      </c>
      <c r="O334" s="59">
        <v>46132</v>
      </c>
      <c r="P334" s="74"/>
      <c r="Q334" s="57"/>
      <c r="R334" s="61"/>
      <c r="S334" s="61"/>
    </row>
    <row r="335" spans="2:19" s="62" customFormat="1" ht="30" customHeight="1" outlineLevel="1" x14ac:dyDescent="0.25">
      <c r="B335" s="53"/>
      <c r="C335" s="73" t="s">
        <v>1102</v>
      </c>
      <c r="D335" s="54" t="s">
        <v>190</v>
      </c>
      <c r="E335" s="64" t="s">
        <v>1101</v>
      </c>
      <c r="F335" s="64" t="s">
        <v>191</v>
      </c>
      <c r="G335" s="63">
        <v>4</v>
      </c>
      <c r="H335" s="57" t="s">
        <v>24</v>
      </c>
      <c r="I335" s="65" t="s">
        <v>1103</v>
      </c>
      <c r="J335" s="65" t="s">
        <v>1104</v>
      </c>
      <c r="K335" s="65" t="s">
        <v>1105</v>
      </c>
      <c r="L335" s="54" t="s">
        <v>195</v>
      </c>
      <c r="M335" s="73" t="s">
        <v>1106</v>
      </c>
      <c r="N335" s="54" t="s">
        <v>197</v>
      </c>
      <c r="O335" s="59">
        <v>46132</v>
      </c>
      <c r="P335" s="74"/>
      <c r="Q335" s="57"/>
      <c r="R335" s="61"/>
      <c r="S335" s="61"/>
    </row>
    <row r="336" spans="2:19" s="62" customFormat="1" outlineLevel="1" x14ac:dyDescent="0.25">
      <c r="B336" s="53"/>
      <c r="C336" s="58">
        <v>387</v>
      </c>
      <c r="D336" s="54" t="s">
        <v>198</v>
      </c>
      <c r="E336" s="64" t="s">
        <v>1101</v>
      </c>
      <c r="F336" s="64" t="s">
        <v>199</v>
      </c>
      <c r="G336" s="63">
        <v>1</v>
      </c>
      <c r="H336" s="57" t="s">
        <v>200</v>
      </c>
      <c r="I336" s="54" t="s">
        <v>201</v>
      </c>
      <c r="J336" s="54" t="s">
        <v>202</v>
      </c>
      <c r="K336" s="54" t="s">
        <v>203</v>
      </c>
      <c r="L336" s="54" t="s">
        <v>204</v>
      </c>
      <c r="M336" s="58" t="s">
        <v>205</v>
      </c>
      <c r="N336" s="54" t="s">
        <v>206</v>
      </c>
      <c r="O336" s="59">
        <v>46132</v>
      </c>
      <c r="P336" s="74"/>
      <c r="Q336" s="57"/>
      <c r="R336" s="61"/>
      <c r="S336" s="61"/>
    </row>
    <row r="337" spans="2:19" s="62" customFormat="1" outlineLevel="1" x14ac:dyDescent="0.25">
      <c r="B337" s="53"/>
      <c r="C337" s="58">
        <v>388</v>
      </c>
      <c r="D337" s="54" t="s">
        <v>223</v>
      </c>
      <c r="E337" s="64" t="s">
        <v>1101</v>
      </c>
      <c r="F337" s="64" t="s">
        <v>224</v>
      </c>
      <c r="G337" s="63">
        <v>1</v>
      </c>
      <c r="H337" s="57" t="s">
        <v>61</v>
      </c>
      <c r="I337" s="54" t="s">
        <v>225</v>
      </c>
      <c r="J337" s="54" t="s">
        <v>226</v>
      </c>
      <c r="K337" s="54" t="s">
        <v>227</v>
      </c>
      <c r="L337" s="54" t="s">
        <v>228</v>
      </c>
      <c r="M337" s="58" t="s">
        <v>229</v>
      </c>
      <c r="N337" s="54" t="s">
        <v>230</v>
      </c>
      <c r="O337" s="59">
        <v>46132</v>
      </c>
      <c r="P337" s="74"/>
      <c r="Q337" s="57"/>
      <c r="R337" s="61"/>
      <c r="S337" s="61"/>
    </row>
    <row r="338" spans="2:19" s="62" customFormat="1" outlineLevel="1" x14ac:dyDescent="0.25">
      <c r="B338" s="53"/>
      <c r="C338" s="58">
        <v>389</v>
      </c>
      <c r="D338" s="54" t="s">
        <v>239</v>
      </c>
      <c r="E338" s="64" t="s">
        <v>1101</v>
      </c>
      <c r="F338" s="64" t="s">
        <v>240</v>
      </c>
      <c r="G338" s="63">
        <v>1</v>
      </c>
      <c r="H338" s="57" t="s">
        <v>24</v>
      </c>
      <c r="I338" s="54" t="s">
        <v>241</v>
      </c>
      <c r="J338" s="54" t="s">
        <v>242</v>
      </c>
      <c r="K338" s="54" t="s">
        <v>243</v>
      </c>
      <c r="L338" s="54" t="s">
        <v>244</v>
      </c>
      <c r="M338" s="58" t="s">
        <v>245</v>
      </c>
      <c r="N338" s="54" t="s">
        <v>246</v>
      </c>
      <c r="O338" s="59">
        <v>46132</v>
      </c>
      <c r="P338" s="74"/>
      <c r="Q338" s="57"/>
      <c r="R338" s="61"/>
      <c r="S338" s="61"/>
    </row>
    <row r="339" spans="2:19" s="62" customFormat="1" outlineLevel="1" x14ac:dyDescent="0.25">
      <c r="B339" s="53"/>
      <c r="C339" s="58">
        <v>390</v>
      </c>
      <c r="D339" s="54" t="s">
        <v>247</v>
      </c>
      <c r="E339" s="64" t="s">
        <v>1101</v>
      </c>
      <c r="F339" s="64" t="s">
        <v>248</v>
      </c>
      <c r="G339" s="63">
        <v>2</v>
      </c>
      <c r="H339" s="57" t="s">
        <v>61</v>
      </c>
      <c r="I339" s="54" t="s">
        <v>532</v>
      </c>
      <c r="J339" s="54" t="s">
        <v>533</v>
      </c>
      <c r="K339" s="53" t="s">
        <v>534</v>
      </c>
      <c r="L339" s="54" t="s">
        <v>252</v>
      </c>
      <c r="M339" s="58" t="s">
        <v>535</v>
      </c>
      <c r="N339" s="54" t="s">
        <v>254</v>
      </c>
      <c r="O339" s="59">
        <v>46132</v>
      </c>
      <c r="P339" s="74"/>
      <c r="Q339" s="57"/>
      <c r="R339" s="61"/>
      <c r="S339" s="61"/>
    </row>
    <row r="340" spans="2:19" s="62" customFormat="1" outlineLevel="1" x14ac:dyDescent="0.25">
      <c r="B340" s="53"/>
      <c r="C340" s="58">
        <v>391</v>
      </c>
      <c r="D340" s="54" t="s">
        <v>270</v>
      </c>
      <c r="E340" s="64" t="s">
        <v>1101</v>
      </c>
      <c r="F340" s="64" t="s">
        <v>271</v>
      </c>
      <c r="G340" s="63">
        <v>1</v>
      </c>
      <c r="H340" s="57" t="s">
        <v>61</v>
      </c>
      <c r="I340" s="54" t="s">
        <v>272</v>
      </c>
      <c r="J340" s="54" t="s">
        <v>273</v>
      </c>
      <c r="K340" s="54" t="s">
        <v>274</v>
      </c>
      <c r="L340" s="54" t="s">
        <v>275</v>
      </c>
      <c r="M340" s="58" t="s">
        <v>792</v>
      </c>
      <c r="N340" s="54" t="s">
        <v>277</v>
      </c>
      <c r="O340" s="59">
        <v>46132</v>
      </c>
      <c r="P340" s="74"/>
      <c r="Q340" s="57"/>
      <c r="R340" s="61"/>
      <c r="S340" s="61"/>
    </row>
    <row r="341" spans="2:19" s="62" customFormat="1" outlineLevel="1" x14ac:dyDescent="0.25">
      <c r="B341" s="53"/>
      <c r="C341" s="58">
        <v>392</v>
      </c>
      <c r="D341" s="54" t="s">
        <v>743</v>
      </c>
      <c r="E341" s="64" t="s">
        <v>1101</v>
      </c>
      <c r="F341" s="64" t="s">
        <v>744</v>
      </c>
      <c r="G341" s="63">
        <v>1</v>
      </c>
      <c r="H341" s="57" t="s">
        <v>745</v>
      </c>
      <c r="I341" s="54" t="s">
        <v>746</v>
      </c>
      <c r="J341" s="54" t="s">
        <v>747</v>
      </c>
      <c r="K341" s="54" t="s">
        <v>748</v>
      </c>
      <c r="L341" s="54" t="s">
        <v>749</v>
      </c>
      <c r="M341" s="58" t="s">
        <v>750</v>
      </c>
      <c r="N341" s="54" t="s">
        <v>751</v>
      </c>
      <c r="O341" s="59">
        <v>46132</v>
      </c>
      <c r="P341" s="74"/>
      <c r="Q341" s="57"/>
      <c r="R341" s="61"/>
      <c r="S341" s="61"/>
    </row>
    <row r="342" spans="2:19" s="62" customFormat="1" outlineLevel="1" x14ac:dyDescent="0.25">
      <c r="B342" s="53"/>
      <c r="C342" s="58">
        <v>393</v>
      </c>
      <c r="D342" s="54" t="s">
        <v>278</v>
      </c>
      <c r="E342" s="64" t="s">
        <v>1101</v>
      </c>
      <c r="F342" s="64" t="s">
        <v>279</v>
      </c>
      <c r="G342" s="63">
        <v>4</v>
      </c>
      <c r="H342" s="57" t="s">
        <v>61</v>
      </c>
      <c r="I342" s="54" t="s">
        <v>280</v>
      </c>
      <c r="J342" s="54" t="s">
        <v>281</v>
      </c>
      <c r="K342" s="54" t="s">
        <v>282</v>
      </c>
      <c r="L342" s="54" t="s">
        <v>283</v>
      </c>
      <c r="M342" s="58" t="s">
        <v>284</v>
      </c>
      <c r="N342" s="54" t="s">
        <v>285</v>
      </c>
      <c r="O342" s="59">
        <v>46132</v>
      </c>
      <c r="P342" s="74"/>
      <c r="Q342" s="57"/>
      <c r="R342" s="61"/>
      <c r="S342" s="61"/>
    </row>
    <row r="343" spans="2:19" s="62" customFormat="1" outlineLevel="1" x14ac:dyDescent="0.25">
      <c r="B343" s="53"/>
      <c r="C343" s="58">
        <v>394</v>
      </c>
      <c r="D343" s="54" t="s">
        <v>859</v>
      </c>
      <c r="E343" s="64" t="s">
        <v>1101</v>
      </c>
      <c r="F343" s="64" t="s">
        <v>860</v>
      </c>
      <c r="G343" s="63">
        <v>1</v>
      </c>
      <c r="H343" s="57" t="s">
        <v>861</v>
      </c>
      <c r="I343" s="54" t="s">
        <v>862</v>
      </c>
      <c r="J343" s="54" t="s">
        <v>863</v>
      </c>
      <c r="K343" s="54" t="s">
        <v>864</v>
      </c>
      <c r="L343" s="54" t="s">
        <v>865</v>
      </c>
      <c r="M343" s="58" t="s">
        <v>866</v>
      </c>
      <c r="N343" s="54" t="s">
        <v>867</v>
      </c>
      <c r="O343" s="59">
        <v>46132</v>
      </c>
      <c r="P343" s="74"/>
      <c r="Q343" s="57"/>
      <c r="R343" s="61"/>
      <c r="S343" s="61"/>
    </row>
    <row r="344" spans="2:19" s="62" customFormat="1" outlineLevel="1" x14ac:dyDescent="0.25">
      <c r="B344" s="53"/>
      <c r="C344" s="58">
        <v>395</v>
      </c>
      <c r="D344" s="54" t="s">
        <v>310</v>
      </c>
      <c r="E344" s="64" t="s">
        <v>1101</v>
      </c>
      <c r="F344" s="64" t="s">
        <v>311</v>
      </c>
      <c r="G344" s="63">
        <v>1</v>
      </c>
      <c r="H344" s="57" t="s">
        <v>152</v>
      </c>
      <c r="I344" s="54" t="s">
        <v>312</v>
      </c>
      <c r="J344" s="54" t="s">
        <v>313</v>
      </c>
      <c r="K344" s="54" t="s">
        <v>314</v>
      </c>
      <c r="L344" s="54" t="s">
        <v>315</v>
      </c>
      <c r="M344" s="58" t="s">
        <v>316</v>
      </c>
      <c r="N344" s="54" t="s">
        <v>317</v>
      </c>
      <c r="O344" s="59">
        <v>46132</v>
      </c>
      <c r="P344" s="74"/>
      <c r="Q344" s="57"/>
      <c r="R344" s="61"/>
      <c r="S344" s="61"/>
    </row>
    <row r="345" spans="2:19" s="62" customFormat="1" outlineLevel="1" x14ac:dyDescent="0.25">
      <c r="B345" s="53"/>
      <c r="C345" s="58">
        <v>396</v>
      </c>
      <c r="D345" s="54" t="s">
        <v>326</v>
      </c>
      <c r="E345" s="64" t="s">
        <v>1101</v>
      </c>
      <c r="F345" s="64" t="s">
        <v>327</v>
      </c>
      <c r="G345" s="63">
        <v>1</v>
      </c>
      <c r="H345" s="57" t="s">
        <v>152</v>
      </c>
      <c r="I345" s="54" t="s">
        <v>328</v>
      </c>
      <c r="J345" s="54" t="s">
        <v>329</v>
      </c>
      <c r="K345" s="54" t="s">
        <v>330</v>
      </c>
      <c r="L345" s="54" t="s">
        <v>331</v>
      </c>
      <c r="M345" s="58" t="s">
        <v>332</v>
      </c>
      <c r="N345" s="54" t="s">
        <v>333</v>
      </c>
      <c r="O345" s="59">
        <v>46132</v>
      </c>
      <c r="P345" s="74"/>
      <c r="Q345" s="57"/>
      <c r="R345" s="61"/>
      <c r="S345" s="61"/>
    </row>
    <row r="346" spans="2:19" s="62" customFormat="1" outlineLevel="1" x14ac:dyDescent="0.25">
      <c r="B346" s="53"/>
      <c r="C346" s="58">
        <v>397</v>
      </c>
      <c r="D346" s="54" t="s">
        <v>334</v>
      </c>
      <c r="E346" s="64" t="s">
        <v>1101</v>
      </c>
      <c r="F346" s="64" t="s">
        <v>335</v>
      </c>
      <c r="G346" s="63">
        <v>2</v>
      </c>
      <c r="H346" s="57" t="s">
        <v>61</v>
      </c>
      <c r="I346" s="54" t="s">
        <v>336</v>
      </c>
      <c r="J346" s="54" t="s">
        <v>337</v>
      </c>
      <c r="K346" s="54" t="s">
        <v>338</v>
      </c>
      <c r="L346" s="54" t="s">
        <v>339</v>
      </c>
      <c r="M346" s="58" t="s">
        <v>543</v>
      </c>
      <c r="N346" s="54" t="s">
        <v>341</v>
      </c>
      <c r="O346" s="59">
        <v>46132</v>
      </c>
      <c r="P346" s="74"/>
      <c r="Q346" s="57"/>
      <c r="R346" s="61"/>
      <c r="S346" s="61"/>
    </row>
    <row r="347" spans="2:19" s="62" customFormat="1" outlineLevel="1" x14ac:dyDescent="0.25">
      <c r="B347" s="53"/>
      <c r="C347" s="58">
        <v>398</v>
      </c>
      <c r="D347" s="54" t="s">
        <v>350</v>
      </c>
      <c r="E347" s="64" t="s">
        <v>1101</v>
      </c>
      <c r="F347" s="64" t="s">
        <v>351</v>
      </c>
      <c r="G347" s="63">
        <v>2</v>
      </c>
      <c r="H347" s="57" t="s">
        <v>152</v>
      </c>
      <c r="I347" s="54" t="s">
        <v>352</v>
      </c>
      <c r="J347" s="54" t="s">
        <v>353</v>
      </c>
      <c r="K347" s="54" t="s">
        <v>354</v>
      </c>
      <c r="L347" s="54" t="s">
        <v>355</v>
      </c>
      <c r="M347" s="58" t="s">
        <v>355</v>
      </c>
      <c r="N347" s="54" t="s">
        <v>356</v>
      </c>
      <c r="O347" s="59">
        <v>46132</v>
      </c>
      <c r="P347" s="74"/>
      <c r="Q347" s="57"/>
      <c r="R347" s="61"/>
      <c r="S347" s="61"/>
    </row>
    <row r="348" spans="2:19" s="62" customFormat="1" outlineLevel="1" x14ac:dyDescent="0.25">
      <c r="B348" s="53"/>
      <c r="C348" s="58">
        <v>399</v>
      </c>
      <c r="D348" s="54" t="s">
        <v>366</v>
      </c>
      <c r="E348" s="64" t="s">
        <v>1101</v>
      </c>
      <c r="F348" s="64" t="s">
        <v>367</v>
      </c>
      <c r="G348" s="63">
        <v>6</v>
      </c>
      <c r="H348" s="57" t="s">
        <v>368</v>
      </c>
      <c r="I348" s="54" t="s">
        <v>369</v>
      </c>
      <c r="J348" s="54" t="s">
        <v>370</v>
      </c>
      <c r="K348" s="54" t="s">
        <v>371</v>
      </c>
      <c r="L348" s="54" t="s">
        <v>372</v>
      </c>
      <c r="M348" s="58" t="s">
        <v>682</v>
      </c>
      <c r="N348" s="54" t="s">
        <v>374</v>
      </c>
      <c r="O348" s="59">
        <v>46132</v>
      </c>
      <c r="P348" s="74"/>
      <c r="Q348" s="57"/>
      <c r="R348" s="61"/>
      <c r="S348" s="61"/>
    </row>
    <row r="349" spans="2:19" s="62" customFormat="1" ht="30" customHeight="1" outlineLevel="1" x14ac:dyDescent="0.25">
      <c r="B349" s="53"/>
      <c r="C349" s="58" t="s">
        <v>1107</v>
      </c>
      <c r="D349" s="54" t="s">
        <v>375</v>
      </c>
      <c r="E349" s="64" t="s">
        <v>1101</v>
      </c>
      <c r="F349" s="64" t="s">
        <v>376</v>
      </c>
      <c r="G349" s="63">
        <v>10</v>
      </c>
      <c r="H349" s="57" t="s">
        <v>111</v>
      </c>
      <c r="I349" s="54" t="s">
        <v>1108</v>
      </c>
      <c r="J349" s="54" t="s">
        <v>1109</v>
      </c>
      <c r="K349" s="54" t="s">
        <v>1110</v>
      </c>
      <c r="L349" s="54" t="s">
        <v>380</v>
      </c>
      <c r="M349" s="58" t="s">
        <v>1111</v>
      </c>
      <c r="N349" s="54" t="s">
        <v>382</v>
      </c>
      <c r="O349" s="59">
        <v>46132</v>
      </c>
      <c r="P349" s="74"/>
      <c r="Q349" s="57"/>
      <c r="R349" s="61"/>
      <c r="S349" s="61"/>
    </row>
    <row r="350" spans="2:19" s="62" customFormat="1" outlineLevel="1" x14ac:dyDescent="0.25">
      <c r="B350" s="53"/>
      <c r="C350" s="58">
        <v>401</v>
      </c>
      <c r="D350" s="54" t="s">
        <v>892</v>
      </c>
      <c r="E350" s="64" t="s">
        <v>1101</v>
      </c>
      <c r="F350" s="64" t="s">
        <v>893</v>
      </c>
      <c r="G350" s="63">
        <v>1</v>
      </c>
      <c r="H350" s="57" t="s">
        <v>61</v>
      </c>
      <c r="I350" s="54" t="s">
        <v>894</v>
      </c>
      <c r="J350" s="54" t="s">
        <v>895</v>
      </c>
      <c r="K350" s="54" t="s">
        <v>896</v>
      </c>
      <c r="L350" s="54" t="s">
        <v>991</v>
      </c>
      <c r="M350" s="58" t="s">
        <v>897</v>
      </c>
      <c r="N350" s="54" t="s">
        <v>898</v>
      </c>
      <c r="O350" s="59">
        <v>46132</v>
      </c>
      <c r="P350" s="74"/>
      <c r="Q350" s="57"/>
      <c r="R350" s="61"/>
      <c r="S350" s="61"/>
    </row>
    <row r="351" spans="2:19" s="62" customFormat="1" outlineLevel="1" x14ac:dyDescent="0.25">
      <c r="B351" s="53"/>
      <c r="C351" s="58">
        <v>402</v>
      </c>
      <c r="D351" s="54" t="s">
        <v>431</v>
      </c>
      <c r="E351" s="54" t="s">
        <v>1101</v>
      </c>
      <c r="F351" s="64" t="s">
        <v>432</v>
      </c>
      <c r="G351" s="63">
        <v>2</v>
      </c>
      <c r="H351" s="57" t="s">
        <v>152</v>
      </c>
      <c r="I351" s="54" t="s">
        <v>868</v>
      </c>
      <c r="J351" s="54" t="s">
        <v>869</v>
      </c>
      <c r="K351" s="54" t="s">
        <v>870</v>
      </c>
      <c r="L351" s="54" t="s">
        <v>436</v>
      </c>
      <c r="M351" s="58" t="s">
        <v>871</v>
      </c>
      <c r="N351" s="54" t="s">
        <v>438</v>
      </c>
      <c r="O351" s="59">
        <v>46132</v>
      </c>
      <c r="P351" s="74"/>
      <c r="Q351" s="57"/>
      <c r="R351" s="61"/>
      <c r="S351" s="61"/>
    </row>
    <row r="352" spans="2:19" s="62" customFormat="1" outlineLevel="1" x14ac:dyDescent="0.25">
      <c r="B352" s="53"/>
      <c r="C352" s="58">
        <v>403</v>
      </c>
      <c r="D352" s="54" t="s">
        <v>447</v>
      </c>
      <c r="E352" s="64" t="s">
        <v>1101</v>
      </c>
      <c r="F352" s="64" t="s">
        <v>448</v>
      </c>
      <c r="G352" s="63">
        <v>2</v>
      </c>
      <c r="H352" s="57" t="s">
        <v>24</v>
      </c>
      <c r="I352" s="54" t="s">
        <v>449</v>
      </c>
      <c r="J352" s="54" t="s">
        <v>450</v>
      </c>
      <c r="K352" s="54" t="s">
        <v>451</v>
      </c>
      <c r="L352" s="54" t="s">
        <v>452</v>
      </c>
      <c r="M352" s="58" t="s">
        <v>453</v>
      </c>
      <c r="N352" s="54" t="s">
        <v>454</v>
      </c>
      <c r="O352" s="59">
        <v>46132</v>
      </c>
      <c r="P352" s="74"/>
      <c r="Q352" s="57"/>
      <c r="R352" s="61"/>
      <c r="S352" s="61"/>
    </row>
    <row r="353" spans="2:19" s="62" customFormat="1" outlineLevel="1" x14ac:dyDescent="0.25">
      <c r="B353" s="53"/>
      <c r="C353" s="58">
        <v>404</v>
      </c>
      <c r="D353" s="54" t="s">
        <v>463</v>
      </c>
      <c r="E353" s="64" t="s">
        <v>1101</v>
      </c>
      <c r="F353" s="64" t="s">
        <v>464</v>
      </c>
      <c r="G353" s="63">
        <v>1</v>
      </c>
      <c r="H353" s="57" t="s">
        <v>152</v>
      </c>
      <c r="I353" s="54" t="s">
        <v>465</v>
      </c>
      <c r="J353" s="54" t="s">
        <v>466</v>
      </c>
      <c r="K353" s="54" t="s">
        <v>467</v>
      </c>
      <c r="L353" s="54" t="s">
        <v>468</v>
      </c>
      <c r="M353" s="58" t="s">
        <v>469</v>
      </c>
      <c r="N353" s="54" t="s">
        <v>470</v>
      </c>
      <c r="O353" s="59">
        <v>46132</v>
      </c>
      <c r="P353" s="74"/>
      <c r="Q353" s="57"/>
      <c r="R353" s="61"/>
      <c r="S353" s="61"/>
    </row>
    <row r="354" spans="2:19" s="62" customFormat="1" outlineLevel="1" x14ac:dyDescent="0.25">
      <c r="B354" s="53"/>
      <c r="C354" s="58">
        <v>405</v>
      </c>
      <c r="D354" s="54" t="s">
        <v>588</v>
      </c>
      <c r="E354" s="64" t="s">
        <v>1101</v>
      </c>
      <c r="F354" s="64" t="s">
        <v>589</v>
      </c>
      <c r="G354" s="63">
        <v>1</v>
      </c>
      <c r="H354" s="57" t="s">
        <v>24</v>
      </c>
      <c r="I354" s="54" t="s">
        <v>590</v>
      </c>
      <c r="J354" s="54" t="s">
        <v>591</v>
      </c>
      <c r="K354" s="54" t="s">
        <v>592</v>
      </c>
      <c r="L354" s="54" t="s">
        <v>593</v>
      </c>
      <c r="M354" s="58" t="s">
        <v>594</v>
      </c>
      <c r="N354" s="54" t="s">
        <v>595</v>
      </c>
      <c r="O354" s="59">
        <v>46132</v>
      </c>
      <c r="P354" s="74"/>
      <c r="Q354" s="57"/>
      <c r="R354" s="61"/>
      <c r="S354" s="61"/>
    </row>
    <row r="355" spans="2:19" s="62" customFormat="1" ht="30" customHeight="1" outlineLevel="1" x14ac:dyDescent="0.25">
      <c r="B355" s="53"/>
      <c r="C355" s="58">
        <v>406</v>
      </c>
      <c r="D355" s="54" t="s">
        <v>478</v>
      </c>
      <c r="E355" s="64" t="s">
        <v>1101</v>
      </c>
      <c r="F355" s="64" t="s">
        <v>479</v>
      </c>
      <c r="G355" s="63">
        <v>1</v>
      </c>
      <c r="H355" s="57" t="s">
        <v>111</v>
      </c>
      <c r="I355" s="54" t="s">
        <v>480</v>
      </c>
      <c r="J355" s="54" t="s">
        <v>481</v>
      </c>
      <c r="K355" s="54" t="s">
        <v>482</v>
      </c>
      <c r="L355" s="54" t="s">
        <v>483</v>
      </c>
      <c r="M355" s="58" t="s">
        <v>634</v>
      </c>
      <c r="N355" s="54" t="s">
        <v>485</v>
      </c>
      <c r="O355" s="59">
        <v>46132</v>
      </c>
      <c r="P355" s="74"/>
      <c r="Q355" s="57"/>
      <c r="R355" s="61"/>
      <c r="S355" s="61"/>
    </row>
    <row r="356" spans="2:19" s="62" customFormat="1" outlineLevel="1" x14ac:dyDescent="0.25">
      <c r="B356" s="53"/>
      <c r="C356" s="58">
        <v>407</v>
      </c>
      <c r="D356" s="54" t="s">
        <v>611</v>
      </c>
      <c r="E356" s="64" t="s">
        <v>1101</v>
      </c>
      <c r="F356" s="64" t="s">
        <v>612</v>
      </c>
      <c r="G356" s="63">
        <v>1</v>
      </c>
      <c r="H356" s="57" t="s">
        <v>24</v>
      </c>
      <c r="I356" s="54" t="s">
        <v>613</v>
      </c>
      <c r="J356" s="54" t="s">
        <v>614</v>
      </c>
      <c r="K356" s="54" t="s">
        <v>615</v>
      </c>
      <c r="L356" s="54" t="s">
        <v>616</v>
      </c>
      <c r="M356" s="58" t="s">
        <v>616</v>
      </c>
      <c r="N356" s="54" t="s">
        <v>617</v>
      </c>
      <c r="O356" s="59">
        <v>46132</v>
      </c>
      <c r="P356" s="74"/>
      <c r="Q356" s="57"/>
      <c r="R356" s="61"/>
      <c r="S356" s="61"/>
    </row>
    <row r="357" spans="2:19" s="62" customFormat="1" outlineLevel="1" x14ac:dyDescent="0.25">
      <c r="B357" s="53"/>
      <c r="C357" s="58">
        <v>408</v>
      </c>
      <c r="D357" s="54" t="s">
        <v>494</v>
      </c>
      <c r="E357" s="64" t="s">
        <v>1101</v>
      </c>
      <c r="F357" s="64" t="s">
        <v>495</v>
      </c>
      <c r="G357" s="63">
        <v>2</v>
      </c>
      <c r="H357" s="57" t="s">
        <v>61</v>
      </c>
      <c r="I357" s="54" t="s">
        <v>496</v>
      </c>
      <c r="J357" s="54" t="s">
        <v>497</v>
      </c>
      <c r="K357" s="54" t="s">
        <v>498</v>
      </c>
      <c r="L357" s="54" t="s">
        <v>499</v>
      </c>
      <c r="M357" s="58" t="s">
        <v>500</v>
      </c>
      <c r="N357" s="54" t="s">
        <v>501</v>
      </c>
      <c r="O357" s="59">
        <v>46132</v>
      </c>
      <c r="P357" s="74"/>
      <c r="Q357" s="57"/>
      <c r="R357" s="61"/>
      <c r="S357" s="61"/>
    </row>
    <row r="358" spans="2:19" s="62" customFormat="1" outlineLevel="1" x14ac:dyDescent="0.25">
      <c r="B358" s="53"/>
      <c r="C358" s="58">
        <v>409</v>
      </c>
      <c r="D358" s="54" t="s">
        <v>502</v>
      </c>
      <c r="E358" s="64" t="s">
        <v>1101</v>
      </c>
      <c r="F358" s="64" t="s">
        <v>503</v>
      </c>
      <c r="G358" s="63">
        <v>1</v>
      </c>
      <c r="H358" s="57" t="s">
        <v>61</v>
      </c>
      <c r="I358" s="54" t="s">
        <v>504</v>
      </c>
      <c r="J358" s="54" t="s">
        <v>505</v>
      </c>
      <c r="K358" s="54" t="s">
        <v>506</v>
      </c>
      <c r="L358" s="54" t="s">
        <v>283</v>
      </c>
      <c r="M358" s="58" t="s">
        <v>284</v>
      </c>
      <c r="N358" s="54" t="s">
        <v>507</v>
      </c>
      <c r="O358" s="59">
        <v>46132</v>
      </c>
      <c r="P358" s="74"/>
      <c r="Q358" s="57"/>
      <c r="R358" s="61"/>
      <c r="S358" s="61"/>
    </row>
    <row r="359" spans="2:19" s="62" customFormat="1" outlineLevel="1" x14ac:dyDescent="0.25">
      <c r="B359" s="53"/>
      <c r="C359" s="58">
        <v>410</v>
      </c>
      <c r="D359" s="54" t="s">
        <v>516</v>
      </c>
      <c r="E359" s="64" t="s">
        <v>1101</v>
      </c>
      <c r="F359" s="71" t="s">
        <v>517</v>
      </c>
      <c r="G359" s="63">
        <v>1</v>
      </c>
      <c r="H359" s="57" t="s">
        <v>61</v>
      </c>
      <c r="I359" s="54" t="s">
        <v>518</v>
      </c>
      <c r="J359" s="54" t="s">
        <v>519</v>
      </c>
      <c r="K359" s="54" t="s">
        <v>520</v>
      </c>
      <c r="L359" s="54" t="s">
        <v>521</v>
      </c>
      <c r="M359" s="58" t="s">
        <v>522</v>
      </c>
      <c r="N359" s="54" t="s">
        <v>523</v>
      </c>
      <c r="O359" s="59">
        <v>46132</v>
      </c>
      <c r="P359" s="74"/>
      <c r="Q359" s="57"/>
      <c r="R359" s="61"/>
      <c r="S359" s="61"/>
    </row>
    <row r="360" spans="2:19" s="62" customFormat="1" outlineLevel="1" x14ac:dyDescent="0.25">
      <c r="B360" s="53"/>
      <c r="C360" s="58">
        <v>411</v>
      </c>
      <c r="D360" s="54" t="s">
        <v>644</v>
      </c>
      <c r="E360" s="64" t="s">
        <v>1101</v>
      </c>
      <c r="F360" s="64" t="s">
        <v>645</v>
      </c>
      <c r="G360" s="63">
        <v>1</v>
      </c>
      <c r="H360" s="57" t="s">
        <v>61</v>
      </c>
      <c r="I360" s="54" t="s">
        <v>646</v>
      </c>
      <c r="J360" s="54" t="s">
        <v>647</v>
      </c>
      <c r="K360" s="54" t="s">
        <v>648</v>
      </c>
      <c r="L360" s="54" t="s">
        <v>649</v>
      </c>
      <c r="M360" s="58" t="s">
        <v>650</v>
      </c>
      <c r="N360" s="54"/>
      <c r="O360" s="59">
        <v>46132</v>
      </c>
      <c r="P360" s="74"/>
      <c r="Q360" s="57"/>
      <c r="R360" s="61"/>
      <c r="S360" s="61"/>
    </row>
    <row r="361" spans="2:19" s="33" customFormat="1" x14ac:dyDescent="0.25">
      <c r="B361" s="42"/>
      <c r="C361" s="40"/>
      <c r="D361" s="43"/>
      <c r="E361" s="28" t="s">
        <v>855</v>
      </c>
      <c r="F361" s="52"/>
      <c r="G361" s="32">
        <f>SUM(G362:G392)</f>
        <v>59</v>
      </c>
      <c r="H361" s="42"/>
      <c r="I361" s="42"/>
      <c r="J361" s="42"/>
      <c r="K361" s="42"/>
      <c r="L361" s="42"/>
      <c r="M361" s="40"/>
      <c r="N361" s="42"/>
      <c r="O361" s="42"/>
      <c r="P361" s="42"/>
      <c r="Q361" s="42"/>
      <c r="R361" s="42"/>
      <c r="S361" s="42"/>
    </row>
    <row r="362" spans="2:19" s="62" customFormat="1" outlineLevel="1" x14ac:dyDescent="0.25">
      <c r="B362" s="53"/>
      <c r="C362" s="58">
        <v>412</v>
      </c>
      <c r="D362" s="54" t="s">
        <v>59</v>
      </c>
      <c r="E362" s="64" t="s">
        <v>855</v>
      </c>
      <c r="F362" s="64" t="s">
        <v>60</v>
      </c>
      <c r="G362" s="63">
        <v>5</v>
      </c>
      <c r="H362" s="57" t="s">
        <v>61</v>
      </c>
      <c r="I362" s="54" t="s">
        <v>62</v>
      </c>
      <c r="J362" s="54" t="s">
        <v>63</v>
      </c>
      <c r="K362" s="54" t="s">
        <v>64</v>
      </c>
      <c r="L362" s="54" t="s">
        <v>65</v>
      </c>
      <c r="M362" s="58" t="s">
        <v>66</v>
      </c>
      <c r="N362" s="54" t="s">
        <v>67</v>
      </c>
      <c r="O362" s="59">
        <v>46125</v>
      </c>
      <c r="P362" s="74"/>
      <c r="Q362" s="57"/>
      <c r="R362" s="61"/>
      <c r="S362" s="61"/>
    </row>
    <row r="363" spans="2:19" s="62" customFormat="1" outlineLevel="1" x14ac:dyDescent="0.25">
      <c r="B363" s="53"/>
      <c r="C363" s="58">
        <v>413</v>
      </c>
      <c r="D363" s="54" t="s">
        <v>68</v>
      </c>
      <c r="E363" s="64" t="s">
        <v>855</v>
      </c>
      <c r="F363" s="64" t="s">
        <v>69</v>
      </c>
      <c r="G363" s="63">
        <v>1</v>
      </c>
      <c r="H363" s="57" t="s">
        <v>61</v>
      </c>
      <c r="I363" s="54" t="s">
        <v>70</v>
      </c>
      <c r="J363" s="54" t="s">
        <v>71</v>
      </c>
      <c r="K363" s="53" t="s">
        <v>72</v>
      </c>
      <c r="L363" s="54" t="s">
        <v>73</v>
      </c>
      <c r="M363" s="58" t="s">
        <v>73</v>
      </c>
      <c r="N363" s="54" t="s">
        <v>74</v>
      </c>
      <c r="O363" s="59">
        <v>46125</v>
      </c>
      <c r="P363" s="74"/>
      <c r="Q363" s="57"/>
      <c r="R363" s="61"/>
      <c r="S363" s="61"/>
    </row>
    <row r="364" spans="2:19" s="62" customFormat="1" outlineLevel="1" x14ac:dyDescent="0.25">
      <c r="B364" s="53"/>
      <c r="C364" s="58">
        <v>414</v>
      </c>
      <c r="D364" s="54" t="s">
        <v>75</v>
      </c>
      <c r="E364" s="64" t="s">
        <v>855</v>
      </c>
      <c r="F364" s="64" t="s">
        <v>76</v>
      </c>
      <c r="G364" s="63">
        <v>3</v>
      </c>
      <c r="H364" s="57" t="s">
        <v>77</v>
      </c>
      <c r="I364" s="54" t="s">
        <v>78</v>
      </c>
      <c r="J364" s="54" t="s">
        <v>79</v>
      </c>
      <c r="K364" s="54" t="s">
        <v>80</v>
      </c>
      <c r="L364" s="54" t="s">
        <v>81</v>
      </c>
      <c r="M364" s="58" t="s">
        <v>82</v>
      </c>
      <c r="N364" s="54" t="s">
        <v>83</v>
      </c>
      <c r="O364" s="59">
        <v>46125</v>
      </c>
      <c r="P364" s="74"/>
      <c r="Q364" s="57"/>
      <c r="R364" s="61"/>
      <c r="S364" s="61"/>
    </row>
    <row r="365" spans="2:19" s="62" customFormat="1" outlineLevel="1" x14ac:dyDescent="0.25">
      <c r="B365" s="53"/>
      <c r="C365" s="58">
        <v>415</v>
      </c>
      <c r="D365" s="54" t="s">
        <v>899</v>
      </c>
      <c r="E365" s="64" t="s">
        <v>855</v>
      </c>
      <c r="F365" s="64" t="s">
        <v>900</v>
      </c>
      <c r="G365" s="63">
        <v>1</v>
      </c>
      <c r="H365" s="57" t="s">
        <v>901</v>
      </c>
      <c r="I365" s="54" t="s">
        <v>902</v>
      </c>
      <c r="J365" s="54" t="s">
        <v>903</v>
      </c>
      <c r="K365" s="54" t="s">
        <v>904</v>
      </c>
      <c r="L365" s="54" t="s">
        <v>905</v>
      </c>
      <c r="M365" s="58" t="s">
        <v>906</v>
      </c>
      <c r="N365" s="54" t="s">
        <v>907</v>
      </c>
      <c r="O365" s="59">
        <v>46125</v>
      </c>
      <c r="P365" s="74"/>
      <c r="Q365" s="57"/>
      <c r="R365" s="61"/>
      <c r="S365" s="61"/>
    </row>
    <row r="366" spans="2:19" s="62" customFormat="1" outlineLevel="1" x14ac:dyDescent="0.25">
      <c r="B366" s="53"/>
      <c r="C366" s="58">
        <v>416</v>
      </c>
      <c r="D366" s="54" t="s">
        <v>117</v>
      </c>
      <c r="E366" s="64" t="s">
        <v>855</v>
      </c>
      <c r="F366" s="64" t="s">
        <v>118</v>
      </c>
      <c r="G366" s="63">
        <v>1</v>
      </c>
      <c r="H366" s="57" t="s">
        <v>24</v>
      </c>
      <c r="I366" s="54" t="s">
        <v>119</v>
      </c>
      <c r="J366" s="54" t="s">
        <v>120</v>
      </c>
      <c r="K366" s="54" t="s">
        <v>121</v>
      </c>
      <c r="L366" s="54" t="s">
        <v>122</v>
      </c>
      <c r="M366" s="58" t="s">
        <v>123</v>
      </c>
      <c r="N366" s="54" t="s">
        <v>124</v>
      </c>
      <c r="O366" s="59">
        <v>46125</v>
      </c>
      <c r="P366" s="74"/>
      <c r="Q366" s="57"/>
      <c r="R366" s="61"/>
      <c r="S366" s="61"/>
    </row>
    <row r="367" spans="2:19" s="62" customFormat="1" outlineLevel="1" x14ac:dyDescent="0.25">
      <c r="B367" s="53"/>
      <c r="C367" s="58">
        <v>417</v>
      </c>
      <c r="D367" s="54" t="s">
        <v>554</v>
      </c>
      <c r="E367" s="64" t="s">
        <v>855</v>
      </c>
      <c r="F367" s="64" t="s">
        <v>555</v>
      </c>
      <c r="G367" s="63">
        <v>1</v>
      </c>
      <c r="H367" s="57" t="s">
        <v>61</v>
      </c>
      <c r="I367" s="54" t="s">
        <v>556</v>
      </c>
      <c r="J367" s="54" t="s">
        <v>557</v>
      </c>
      <c r="K367" s="54" t="s">
        <v>558</v>
      </c>
      <c r="L367" s="54" t="s">
        <v>559</v>
      </c>
      <c r="M367" s="58" t="s">
        <v>560</v>
      </c>
      <c r="N367" s="54" t="s">
        <v>561</v>
      </c>
      <c r="O367" s="59">
        <v>46125</v>
      </c>
      <c r="P367" s="74"/>
      <c r="Q367" s="57"/>
      <c r="R367" s="61"/>
      <c r="S367" s="61"/>
    </row>
    <row r="368" spans="2:19" s="62" customFormat="1" outlineLevel="1" x14ac:dyDescent="0.25">
      <c r="B368" s="53"/>
      <c r="C368" s="58">
        <v>418</v>
      </c>
      <c r="D368" s="54" t="s">
        <v>142</v>
      </c>
      <c r="E368" s="64" t="s">
        <v>855</v>
      </c>
      <c r="F368" s="64" t="s">
        <v>143</v>
      </c>
      <c r="G368" s="63">
        <v>1</v>
      </c>
      <c r="H368" s="57" t="s">
        <v>61</v>
      </c>
      <c r="I368" s="54" t="s">
        <v>144</v>
      </c>
      <c r="J368" s="54" t="s">
        <v>145</v>
      </c>
      <c r="K368" s="54" t="s">
        <v>146</v>
      </c>
      <c r="L368" s="54" t="s">
        <v>147</v>
      </c>
      <c r="M368" s="58" t="s">
        <v>148</v>
      </c>
      <c r="N368" s="54" t="s">
        <v>149</v>
      </c>
      <c r="O368" s="59">
        <v>46125</v>
      </c>
      <c r="P368" s="74"/>
      <c r="Q368" s="57"/>
      <c r="R368" s="61"/>
      <c r="S368" s="61"/>
    </row>
    <row r="369" spans="2:19" s="62" customFormat="1" outlineLevel="1" x14ac:dyDescent="0.25">
      <c r="B369" s="53"/>
      <c r="C369" s="58">
        <v>419</v>
      </c>
      <c r="D369" s="54" t="s">
        <v>857</v>
      </c>
      <c r="E369" s="64" t="s">
        <v>855</v>
      </c>
      <c r="F369" s="64" t="s">
        <v>160</v>
      </c>
      <c r="G369" s="63">
        <v>1</v>
      </c>
      <c r="H369" s="57" t="s">
        <v>61</v>
      </c>
      <c r="I369" s="54" t="s">
        <v>161</v>
      </c>
      <c r="J369" s="54" t="s">
        <v>162</v>
      </c>
      <c r="K369" s="54" t="s">
        <v>163</v>
      </c>
      <c r="L369" s="54" t="s">
        <v>164</v>
      </c>
      <c r="M369" s="58" t="s">
        <v>164</v>
      </c>
      <c r="N369" s="54" t="s">
        <v>165</v>
      </c>
      <c r="O369" s="59">
        <v>46125</v>
      </c>
      <c r="P369" s="74"/>
      <c r="Q369" s="57"/>
      <c r="R369" s="61"/>
      <c r="S369" s="61"/>
    </row>
    <row r="370" spans="2:19" s="62" customFormat="1" outlineLevel="1" x14ac:dyDescent="0.25">
      <c r="B370" s="53"/>
      <c r="C370" s="58">
        <v>420</v>
      </c>
      <c r="D370" s="54" t="s">
        <v>166</v>
      </c>
      <c r="E370" s="64" t="s">
        <v>855</v>
      </c>
      <c r="F370" s="64" t="s">
        <v>167</v>
      </c>
      <c r="G370" s="63">
        <v>2</v>
      </c>
      <c r="H370" s="57" t="s">
        <v>61</v>
      </c>
      <c r="I370" s="54" t="s">
        <v>168</v>
      </c>
      <c r="J370" s="54" t="s">
        <v>169</v>
      </c>
      <c r="K370" s="54" t="s">
        <v>170</v>
      </c>
      <c r="L370" s="54" t="s">
        <v>171</v>
      </c>
      <c r="M370" s="58" t="s">
        <v>172</v>
      </c>
      <c r="N370" s="54" t="s">
        <v>173</v>
      </c>
      <c r="O370" s="59">
        <v>46125</v>
      </c>
      <c r="P370" s="74"/>
      <c r="Q370" s="57"/>
      <c r="R370" s="61"/>
      <c r="S370" s="61"/>
    </row>
    <row r="371" spans="2:19" s="62" customFormat="1" ht="45" customHeight="1" outlineLevel="1" x14ac:dyDescent="0.25">
      <c r="B371" s="53"/>
      <c r="C371" s="73" t="s">
        <v>885</v>
      </c>
      <c r="D371" s="54" t="s">
        <v>190</v>
      </c>
      <c r="E371" s="64" t="s">
        <v>855</v>
      </c>
      <c r="F371" s="64" t="s">
        <v>191</v>
      </c>
      <c r="G371" s="63">
        <v>4</v>
      </c>
      <c r="H371" s="57" t="s">
        <v>24</v>
      </c>
      <c r="I371" s="65" t="s">
        <v>886</v>
      </c>
      <c r="J371" s="65" t="s">
        <v>887</v>
      </c>
      <c r="K371" s="65" t="s">
        <v>888</v>
      </c>
      <c r="L371" s="54" t="s">
        <v>195</v>
      </c>
      <c r="M371" s="73" t="s">
        <v>889</v>
      </c>
      <c r="N371" s="54" t="s">
        <v>197</v>
      </c>
      <c r="O371" s="59">
        <v>46125</v>
      </c>
      <c r="P371" s="74"/>
      <c r="Q371" s="57"/>
      <c r="R371" s="61"/>
      <c r="S371" s="61"/>
    </row>
    <row r="372" spans="2:19" s="62" customFormat="1" outlineLevel="1" x14ac:dyDescent="0.25">
      <c r="B372" s="53"/>
      <c r="C372" s="58">
        <v>422</v>
      </c>
      <c r="D372" s="54" t="s">
        <v>198</v>
      </c>
      <c r="E372" s="64" t="s">
        <v>855</v>
      </c>
      <c r="F372" s="64" t="s">
        <v>199</v>
      </c>
      <c r="G372" s="63">
        <v>4</v>
      </c>
      <c r="H372" s="57" t="s">
        <v>200</v>
      </c>
      <c r="I372" s="54" t="s">
        <v>201</v>
      </c>
      <c r="J372" s="54" t="s">
        <v>202</v>
      </c>
      <c r="K372" s="54" t="s">
        <v>203</v>
      </c>
      <c r="L372" s="54" t="s">
        <v>204</v>
      </c>
      <c r="M372" s="58" t="s">
        <v>205</v>
      </c>
      <c r="N372" s="54" t="s">
        <v>206</v>
      </c>
      <c r="O372" s="59">
        <v>46125</v>
      </c>
      <c r="P372" s="74"/>
      <c r="Q372" s="57"/>
      <c r="R372" s="61"/>
      <c r="S372" s="61"/>
    </row>
    <row r="373" spans="2:19" s="62" customFormat="1" ht="30" customHeight="1" outlineLevel="1" x14ac:dyDescent="0.25">
      <c r="B373" s="53"/>
      <c r="C373" s="58">
        <v>423</v>
      </c>
      <c r="D373" s="54" t="s">
        <v>231</v>
      </c>
      <c r="E373" s="64" t="s">
        <v>855</v>
      </c>
      <c r="F373" s="64" t="s">
        <v>232</v>
      </c>
      <c r="G373" s="63">
        <v>1</v>
      </c>
      <c r="H373" s="57" t="s">
        <v>61</v>
      </c>
      <c r="I373" s="54" t="s">
        <v>233</v>
      </c>
      <c r="J373" s="54" t="s">
        <v>234</v>
      </c>
      <c r="K373" s="54" t="s">
        <v>235</v>
      </c>
      <c r="L373" s="54" t="s">
        <v>236</v>
      </c>
      <c r="M373" s="58" t="s">
        <v>891</v>
      </c>
      <c r="N373" s="54" t="s">
        <v>238</v>
      </c>
      <c r="O373" s="59">
        <v>46125</v>
      </c>
      <c r="P373" s="74"/>
      <c r="Q373" s="57"/>
      <c r="R373" s="61"/>
      <c r="S373" s="61"/>
    </row>
    <row r="374" spans="2:19" s="62" customFormat="1" outlineLevel="1" x14ac:dyDescent="0.25">
      <c r="B374" s="53"/>
      <c r="C374" s="58">
        <v>424</v>
      </c>
      <c r="D374" s="54" t="s">
        <v>239</v>
      </c>
      <c r="E374" s="64" t="s">
        <v>855</v>
      </c>
      <c r="F374" s="64" t="s">
        <v>240</v>
      </c>
      <c r="G374" s="63">
        <v>1</v>
      </c>
      <c r="H374" s="57" t="s">
        <v>24</v>
      </c>
      <c r="I374" s="54" t="s">
        <v>241</v>
      </c>
      <c r="J374" s="54" t="s">
        <v>242</v>
      </c>
      <c r="K374" s="54" t="s">
        <v>243</v>
      </c>
      <c r="L374" s="54" t="s">
        <v>244</v>
      </c>
      <c r="M374" s="58" t="s">
        <v>714</v>
      </c>
      <c r="N374" s="54" t="s">
        <v>246</v>
      </c>
      <c r="O374" s="59">
        <v>46125</v>
      </c>
      <c r="P374" s="74"/>
      <c r="Q374" s="57"/>
      <c r="R374" s="61"/>
      <c r="S374" s="61"/>
    </row>
    <row r="375" spans="2:19" s="62" customFormat="1" outlineLevel="1" x14ac:dyDescent="0.25">
      <c r="B375" s="53"/>
      <c r="C375" s="58">
        <v>425</v>
      </c>
      <c r="D375" s="54" t="s">
        <v>247</v>
      </c>
      <c r="E375" s="64" t="s">
        <v>855</v>
      </c>
      <c r="F375" s="64" t="s">
        <v>248</v>
      </c>
      <c r="G375" s="63">
        <v>1</v>
      </c>
      <c r="H375" s="57" t="s">
        <v>61</v>
      </c>
      <c r="I375" s="54" t="s">
        <v>532</v>
      </c>
      <c r="J375" s="54" t="s">
        <v>533</v>
      </c>
      <c r="K375" s="53" t="s">
        <v>534</v>
      </c>
      <c r="L375" s="54" t="s">
        <v>252</v>
      </c>
      <c r="M375" s="58" t="s">
        <v>535</v>
      </c>
      <c r="N375" s="54" t="s">
        <v>254</v>
      </c>
      <c r="O375" s="59">
        <v>46125</v>
      </c>
      <c r="P375" s="74"/>
      <c r="Q375" s="57"/>
      <c r="R375" s="61"/>
      <c r="S375" s="61"/>
    </row>
    <row r="376" spans="2:19" s="62" customFormat="1" outlineLevel="1" x14ac:dyDescent="0.25">
      <c r="B376" s="53"/>
      <c r="C376" s="58">
        <v>426</v>
      </c>
      <c r="D376" s="54" t="s">
        <v>270</v>
      </c>
      <c r="E376" s="64" t="s">
        <v>855</v>
      </c>
      <c r="F376" s="64" t="s">
        <v>271</v>
      </c>
      <c r="G376" s="63">
        <v>2</v>
      </c>
      <c r="H376" s="57" t="s">
        <v>61</v>
      </c>
      <c r="I376" s="54" t="s">
        <v>272</v>
      </c>
      <c r="J376" s="54" t="s">
        <v>273</v>
      </c>
      <c r="K376" s="54" t="s">
        <v>274</v>
      </c>
      <c r="L376" s="54" t="s">
        <v>275</v>
      </c>
      <c r="M376" s="58" t="s">
        <v>792</v>
      </c>
      <c r="N376" s="54" t="s">
        <v>277</v>
      </c>
      <c r="O376" s="59">
        <v>46125</v>
      </c>
      <c r="P376" s="74"/>
      <c r="Q376" s="57"/>
      <c r="R376" s="61"/>
      <c r="S376" s="61"/>
    </row>
    <row r="377" spans="2:19" s="62" customFormat="1" outlineLevel="1" x14ac:dyDescent="0.25">
      <c r="B377" s="53"/>
      <c r="C377" s="58">
        <v>427</v>
      </c>
      <c r="D377" s="54" t="s">
        <v>859</v>
      </c>
      <c r="E377" s="64" t="s">
        <v>855</v>
      </c>
      <c r="F377" s="64" t="s">
        <v>860</v>
      </c>
      <c r="G377" s="63">
        <v>1</v>
      </c>
      <c r="H377" s="57" t="s">
        <v>861</v>
      </c>
      <c r="I377" s="54" t="s">
        <v>862</v>
      </c>
      <c r="J377" s="54" t="s">
        <v>863</v>
      </c>
      <c r="K377" s="54" t="s">
        <v>864</v>
      </c>
      <c r="L377" s="54" t="s">
        <v>865</v>
      </c>
      <c r="M377" s="58" t="s">
        <v>866</v>
      </c>
      <c r="N377" s="54" t="s">
        <v>867</v>
      </c>
      <c r="O377" s="59">
        <v>46125</v>
      </c>
      <c r="P377" s="74"/>
      <c r="Q377" s="57"/>
      <c r="R377" s="61"/>
      <c r="S377" s="61"/>
    </row>
    <row r="378" spans="2:19" s="62" customFormat="1" outlineLevel="1" x14ac:dyDescent="0.25">
      <c r="B378" s="53"/>
      <c r="C378" s="58">
        <v>428</v>
      </c>
      <c r="D378" s="54" t="s">
        <v>294</v>
      </c>
      <c r="E378" s="64" t="s">
        <v>855</v>
      </c>
      <c r="F378" s="64" t="s">
        <v>295</v>
      </c>
      <c r="G378" s="63">
        <v>1</v>
      </c>
      <c r="H378" s="57" t="s">
        <v>61</v>
      </c>
      <c r="I378" s="54" t="s">
        <v>908</v>
      </c>
      <c r="J378" s="54" t="s">
        <v>909</v>
      </c>
      <c r="K378" s="54" t="s">
        <v>910</v>
      </c>
      <c r="L378" s="54" t="s">
        <v>299</v>
      </c>
      <c r="M378" s="58" t="s">
        <v>300</v>
      </c>
      <c r="N378" s="54" t="s">
        <v>301</v>
      </c>
      <c r="O378" s="59">
        <v>46125</v>
      </c>
      <c r="P378" s="74"/>
      <c r="Q378" s="57"/>
      <c r="R378" s="61"/>
      <c r="S378" s="61"/>
    </row>
    <row r="379" spans="2:19" s="62" customFormat="1" outlineLevel="1" x14ac:dyDescent="0.25">
      <c r="B379" s="53"/>
      <c r="C379" s="58">
        <v>429</v>
      </c>
      <c r="D379" s="54" t="s">
        <v>326</v>
      </c>
      <c r="E379" s="64" t="s">
        <v>855</v>
      </c>
      <c r="F379" s="64" t="s">
        <v>327</v>
      </c>
      <c r="G379" s="63">
        <v>1</v>
      </c>
      <c r="H379" s="57" t="s">
        <v>152</v>
      </c>
      <c r="I379" s="54" t="s">
        <v>328</v>
      </c>
      <c r="J379" s="54" t="s">
        <v>329</v>
      </c>
      <c r="K379" s="54" t="s">
        <v>330</v>
      </c>
      <c r="L379" s="54" t="s">
        <v>331</v>
      </c>
      <c r="M379" s="58" t="s">
        <v>332</v>
      </c>
      <c r="N379" s="54" t="s">
        <v>333</v>
      </c>
      <c r="O379" s="59">
        <v>46125</v>
      </c>
      <c r="P379" s="74"/>
      <c r="Q379" s="57"/>
      <c r="R379" s="61"/>
      <c r="S379" s="61"/>
    </row>
    <row r="380" spans="2:19" s="62" customFormat="1" outlineLevel="1" x14ac:dyDescent="0.25">
      <c r="B380" s="53"/>
      <c r="C380" s="58">
        <v>430</v>
      </c>
      <c r="D380" s="54" t="s">
        <v>350</v>
      </c>
      <c r="E380" s="64" t="s">
        <v>855</v>
      </c>
      <c r="F380" s="64" t="s">
        <v>351</v>
      </c>
      <c r="G380" s="63">
        <v>1</v>
      </c>
      <c r="H380" s="57" t="s">
        <v>152</v>
      </c>
      <c r="I380" s="54" t="s">
        <v>352</v>
      </c>
      <c r="J380" s="54" t="s">
        <v>353</v>
      </c>
      <c r="K380" s="54" t="s">
        <v>354</v>
      </c>
      <c r="L380" s="54" t="s">
        <v>355</v>
      </c>
      <c r="M380" s="58" t="s">
        <v>355</v>
      </c>
      <c r="N380" s="54" t="s">
        <v>356</v>
      </c>
      <c r="O380" s="59">
        <v>46125</v>
      </c>
      <c r="P380" s="74"/>
      <c r="Q380" s="57"/>
      <c r="R380" s="61"/>
      <c r="S380" s="61"/>
    </row>
    <row r="381" spans="2:19" s="62" customFormat="1" outlineLevel="1" x14ac:dyDescent="0.25">
      <c r="B381" s="53"/>
      <c r="C381" s="58">
        <v>431</v>
      </c>
      <c r="D381" s="54" t="s">
        <v>802</v>
      </c>
      <c r="E381" s="64" t="s">
        <v>855</v>
      </c>
      <c r="F381" s="64" t="s">
        <v>803</v>
      </c>
      <c r="G381" s="63">
        <v>5</v>
      </c>
      <c r="H381" s="57" t="s">
        <v>804</v>
      </c>
      <c r="I381" s="54" t="s">
        <v>805</v>
      </c>
      <c r="J381" s="54" t="s">
        <v>806</v>
      </c>
      <c r="K381" s="53" t="s">
        <v>807</v>
      </c>
      <c r="L381" s="54" t="s">
        <v>808</v>
      </c>
      <c r="M381" s="58" t="s">
        <v>872</v>
      </c>
      <c r="N381" s="54" t="s">
        <v>810</v>
      </c>
      <c r="O381" s="59">
        <v>46125</v>
      </c>
      <c r="P381" s="74"/>
      <c r="Q381" s="57"/>
      <c r="R381" s="61"/>
      <c r="S381" s="61"/>
    </row>
    <row r="382" spans="2:19" s="62" customFormat="1" outlineLevel="1" x14ac:dyDescent="0.25">
      <c r="B382" s="53"/>
      <c r="C382" s="58">
        <v>432</v>
      </c>
      <c r="D382" s="54" t="s">
        <v>366</v>
      </c>
      <c r="E382" s="64" t="s">
        <v>855</v>
      </c>
      <c r="F382" s="64" t="s">
        <v>367</v>
      </c>
      <c r="G382" s="63">
        <v>3</v>
      </c>
      <c r="H382" s="57" t="s">
        <v>368</v>
      </c>
      <c r="I382" s="54" t="s">
        <v>369</v>
      </c>
      <c r="J382" s="54" t="s">
        <v>370</v>
      </c>
      <c r="K382" s="54" t="s">
        <v>371</v>
      </c>
      <c r="L382" s="54" t="s">
        <v>372</v>
      </c>
      <c r="M382" s="58" t="s">
        <v>682</v>
      </c>
      <c r="N382" s="54" t="s">
        <v>374</v>
      </c>
      <c r="O382" s="59">
        <v>46125</v>
      </c>
      <c r="P382" s="74"/>
      <c r="Q382" s="57"/>
      <c r="R382" s="61"/>
      <c r="S382" s="61"/>
    </row>
    <row r="383" spans="2:19" s="62" customFormat="1" outlineLevel="1" x14ac:dyDescent="0.25">
      <c r="B383" s="53"/>
      <c r="C383" s="58">
        <v>433</v>
      </c>
      <c r="D383" s="54" t="s">
        <v>375</v>
      </c>
      <c r="E383" s="64" t="s">
        <v>855</v>
      </c>
      <c r="F383" s="64" t="s">
        <v>376</v>
      </c>
      <c r="G383" s="63">
        <v>4</v>
      </c>
      <c r="H383" s="57" t="s">
        <v>111</v>
      </c>
      <c r="I383" s="54" t="s">
        <v>377</v>
      </c>
      <c r="J383" s="54" t="s">
        <v>378</v>
      </c>
      <c r="K383" s="54" t="s">
        <v>379</v>
      </c>
      <c r="L383" s="54" t="s">
        <v>380</v>
      </c>
      <c r="M383" s="58" t="s">
        <v>381</v>
      </c>
      <c r="N383" s="54" t="s">
        <v>382</v>
      </c>
      <c r="O383" s="59">
        <v>46125</v>
      </c>
      <c r="P383" s="74"/>
      <c r="Q383" s="57"/>
      <c r="R383" s="61"/>
      <c r="S383" s="61"/>
    </row>
    <row r="384" spans="2:19" s="62" customFormat="1" outlineLevel="1" x14ac:dyDescent="0.25">
      <c r="B384" s="53"/>
      <c r="C384" s="58">
        <v>434</v>
      </c>
      <c r="D384" s="54" t="s">
        <v>383</v>
      </c>
      <c r="E384" s="64" t="s">
        <v>855</v>
      </c>
      <c r="F384" s="64" t="s">
        <v>384</v>
      </c>
      <c r="G384" s="63">
        <v>5</v>
      </c>
      <c r="H384" s="57" t="s">
        <v>61</v>
      </c>
      <c r="I384" s="54" t="s">
        <v>385</v>
      </c>
      <c r="J384" s="54" t="s">
        <v>386</v>
      </c>
      <c r="K384" s="54" t="s">
        <v>387</v>
      </c>
      <c r="L384" s="54" t="s">
        <v>388</v>
      </c>
      <c r="M384" s="58" t="s">
        <v>389</v>
      </c>
      <c r="N384" s="54" t="s">
        <v>390</v>
      </c>
      <c r="O384" s="59">
        <v>46125</v>
      </c>
      <c r="P384" s="74"/>
      <c r="Q384" s="57"/>
      <c r="R384" s="61"/>
      <c r="S384" s="61"/>
    </row>
    <row r="385" spans="2:19" s="62" customFormat="1" outlineLevel="1" x14ac:dyDescent="0.25">
      <c r="B385" s="53"/>
      <c r="C385" s="58">
        <v>435</v>
      </c>
      <c r="D385" s="54" t="s">
        <v>431</v>
      </c>
      <c r="E385" s="54" t="s">
        <v>855</v>
      </c>
      <c r="F385" s="64" t="s">
        <v>432</v>
      </c>
      <c r="G385" s="63">
        <v>1</v>
      </c>
      <c r="H385" s="57" t="s">
        <v>152</v>
      </c>
      <c r="I385" s="54" t="s">
        <v>868</v>
      </c>
      <c r="J385" s="54" t="s">
        <v>869</v>
      </c>
      <c r="K385" s="54" t="s">
        <v>870</v>
      </c>
      <c r="L385" s="54" t="s">
        <v>436</v>
      </c>
      <c r="M385" s="58" t="s">
        <v>871</v>
      </c>
      <c r="N385" s="54" t="s">
        <v>438</v>
      </c>
      <c r="O385" s="59">
        <v>46125</v>
      </c>
      <c r="P385" s="74"/>
      <c r="Q385" s="57"/>
      <c r="R385" s="61"/>
      <c r="S385" s="61"/>
    </row>
    <row r="386" spans="2:19" s="62" customFormat="1" outlineLevel="1" x14ac:dyDescent="0.25">
      <c r="B386" s="53"/>
      <c r="C386" s="58">
        <v>436</v>
      </c>
      <c r="D386" s="54" t="s">
        <v>447</v>
      </c>
      <c r="E386" s="64" t="s">
        <v>855</v>
      </c>
      <c r="F386" s="64" t="s">
        <v>448</v>
      </c>
      <c r="G386" s="63">
        <v>1</v>
      </c>
      <c r="H386" s="57" t="s">
        <v>24</v>
      </c>
      <c r="I386" s="54" t="s">
        <v>449</v>
      </c>
      <c r="J386" s="54" t="s">
        <v>450</v>
      </c>
      <c r="K386" s="54" t="s">
        <v>451</v>
      </c>
      <c r="L386" s="54" t="s">
        <v>452</v>
      </c>
      <c r="M386" s="58" t="s">
        <v>453</v>
      </c>
      <c r="N386" s="54" t="s">
        <v>454</v>
      </c>
      <c r="O386" s="59">
        <v>46125</v>
      </c>
      <c r="P386" s="74"/>
      <c r="Q386" s="57"/>
      <c r="R386" s="61"/>
      <c r="S386" s="61"/>
    </row>
    <row r="387" spans="2:19" s="62" customFormat="1" outlineLevel="1" x14ac:dyDescent="0.25">
      <c r="B387" s="53"/>
      <c r="C387" s="58">
        <v>437</v>
      </c>
      <c r="D387" s="54" t="s">
        <v>455</v>
      </c>
      <c r="E387" s="64" t="s">
        <v>855</v>
      </c>
      <c r="F387" s="64" t="s">
        <v>456</v>
      </c>
      <c r="G387" s="63">
        <v>1</v>
      </c>
      <c r="H387" s="57" t="s">
        <v>111</v>
      </c>
      <c r="I387" s="54" t="s">
        <v>457</v>
      </c>
      <c r="J387" s="54" t="s">
        <v>458</v>
      </c>
      <c r="K387" s="54" t="s">
        <v>459</v>
      </c>
      <c r="L387" s="54" t="s">
        <v>460</v>
      </c>
      <c r="M387" s="58" t="s">
        <v>461</v>
      </c>
      <c r="N387" s="54" t="s">
        <v>462</v>
      </c>
      <c r="O387" s="59">
        <v>46125</v>
      </c>
      <c r="P387" s="74"/>
      <c r="Q387" s="57"/>
      <c r="R387" s="61"/>
      <c r="S387" s="61"/>
    </row>
    <row r="388" spans="2:19" s="62" customFormat="1" outlineLevel="1" x14ac:dyDescent="0.25">
      <c r="B388" s="53"/>
      <c r="C388" s="58">
        <v>438</v>
      </c>
      <c r="D388" s="54" t="s">
        <v>463</v>
      </c>
      <c r="E388" s="64" t="s">
        <v>855</v>
      </c>
      <c r="F388" s="64" t="s">
        <v>464</v>
      </c>
      <c r="G388" s="63">
        <v>2</v>
      </c>
      <c r="H388" s="57" t="s">
        <v>152</v>
      </c>
      <c r="I388" s="54" t="s">
        <v>465</v>
      </c>
      <c r="J388" s="54" t="s">
        <v>466</v>
      </c>
      <c r="K388" s="54" t="s">
        <v>467</v>
      </c>
      <c r="L388" s="54" t="s">
        <v>468</v>
      </c>
      <c r="M388" s="58" t="s">
        <v>469</v>
      </c>
      <c r="N388" s="54" t="s">
        <v>470</v>
      </c>
      <c r="O388" s="59">
        <v>46125</v>
      </c>
      <c r="P388" s="74"/>
      <c r="Q388" s="57"/>
      <c r="R388" s="61"/>
      <c r="S388" s="61"/>
    </row>
    <row r="389" spans="2:19" s="62" customFormat="1" outlineLevel="1" x14ac:dyDescent="0.25">
      <c r="B389" s="53"/>
      <c r="C389" s="58">
        <v>439</v>
      </c>
      <c r="D389" s="54" t="s">
        <v>588</v>
      </c>
      <c r="E389" s="64" t="s">
        <v>855</v>
      </c>
      <c r="F389" s="64" t="s">
        <v>589</v>
      </c>
      <c r="G389" s="63">
        <v>1</v>
      </c>
      <c r="H389" s="57" t="s">
        <v>24</v>
      </c>
      <c r="I389" s="54" t="s">
        <v>590</v>
      </c>
      <c r="J389" s="54" t="s">
        <v>591</v>
      </c>
      <c r="K389" s="54" t="s">
        <v>592</v>
      </c>
      <c r="L389" s="54" t="s">
        <v>593</v>
      </c>
      <c r="M389" s="58" t="s">
        <v>594</v>
      </c>
      <c r="N389" s="54" t="s">
        <v>595</v>
      </c>
      <c r="O389" s="59">
        <v>46125</v>
      </c>
      <c r="P389" s="74"/>
      <c r="Q389" s="57"/>
      <c r="R389" s="61"/>
      <c r="S389" s="61"/>
    </row>
    <row r="390" spans="2:19" s="62" customFormat="1" outlineLevel="1" x14ac:dyDescent="0.25">
      <c r="B390" s="53"/>
      <c r="C390" s="58">
        <v>440</v>
      </c>
      <c r="D390" s="54" t="s">
        <v>611</v>
      </c>
      <c r="E390" s="64" t="s">
        <v>855</v>
      </c>
      <c r="F390" s="64" t="s">
        <v>612</v>
      </c>
      <c r="G390" s="63">
        <v>1</v>
      </c>
      <c r="H390" s="57" t="s">
        <v>24</v>
      </c>
      <c r="I390" s="54" t="s">
        <v>613</v>
      </c>
      <c r="J390" s="54" t="s">
        <v>614</v>
      </c>
      <c r="K390" s="54" t="s">
        <v>615</v>
      </c>
      <c r="L390" s="54" t="s">
        <v>616</v>
      </c>
      <c r="M390" s="58" t="s">
        <v>616</v>
      </c>
      <c r="N390" s="54" t="s">
        <v>617</v>
      </c>
      <c r="O390" s="59">
        <v>46125</v>
      </c>
      <c r="P390" s="74"/>
      <c r="Q390" s="57"/>
      <c r="R390" s="61"/>
      <c r="S390" s="61"/>
    </row>
    <row r="391" spans="2:19" s="62" customFormat="1" outlineLevel="1" x14ac:dyDescent="0.25">
      <c r="B391" s="53"/>
      <c r="C391" s="58">
        <v>441</v>
      </c>
      <c r="D391" s="54" t="s">
        <v>502</v>
      </c>
      <c r="E391" s="64" t="s">
        <v>855</v>
      </c>
      <c r="F391" s="64" t="s">
        <v>503</v>
      </c>
      <c r="G391" s="63">
        <v>1</v>
      </c>
      <c r="H391" s="57" t="s">
        <v>61</v>
      </c>
      <c r="I391" s="54" t="s">
        <v>504</v>
      </c>
      <c r="J391" s="54" t="s">
        <v>505</v>
      </c>
      <c r="K391" s="54" t="s">
        <v>506</v>
      </c>
      <c r="L391" s="54" t="s">
        <v>283</v>
      </c>
      <c r="M391" s="58" t="s">
        <v>284</v>
      </c>
      <c r="N391" s="54" t="s">
        <v>507</v>
      </c>
      <c r="O391" s="59">
        <v>46125</v>
      </c>
      <c r="P391" s="74"/>
      <c r="Q391" s="57"/>
      <c r="R391" s="61"/>
      <c r="S391" s="61"/>
    </row>
    <row r="392" spans="2:19" s="62" customFormat="1" outlineLevel="1" x14ac:dyDescent="0.25">
      <c r="B392" s="53"/>
      <c r="C392" s="58">
        <v>442</v>
      </c>
      <c r="D392" s="54" t="s">
        <v>508</v>
      </c>
      <c r="E392" s="64" t="s">
        <v>855</v>
      </c>
      <c r="F392" s="64" t="s">
        <v>509</v>
      </c>
      <c r="G392" s="63">
        <v>1</v>
      </c>
      <c r="H392" s="57" t="s">
        <v>61</v>
      </c>
      <c r="I392" s="54" t="s">
        <v>510</v>
      </c>
      <c r="J392" s="54" t="s">
        <v>511</v>
      </c>
      <c r="K392" s="54" t="s">
        <v>512</v>
      </c>
      <c r="L392" s="54" t="s">
        <v>513</v>
      </c>
      <c r="M392" s="58" t="s">
        <v>514</v>
      </c>
      <c r="N392" s="54" t="s">
        <v>515</v>
      </c>
      <c r="O392" s="59">
        <v>46125</v>
      </c>
      <c r="P392" s="74"/>
      <c r="Q392" s="57"/>
      <c r="R392" s="61"/>
      <c r="S392" s="61"/>
    </row>
    <row r="393" spans="2:19" s="33" customFormat="1" ht="30" customHeight="1" x14ac:dyDescent="0.25">
      <c r="B393" s="42"/>
      <c r="C393" s="40"/>
      <c r="D393" s="43"/>
      <c r="E393" s="28" t="s">
        <v>777</v>
      </c>
      <c r="F393" s="52"/>
      <c r="G393" s="32">
        <f>SUM(G394:G418)</f>
        <v>74</v>
      </c>
      <c r="H393" s="42"/>
      <c r="I393" s="42"/>
      <c r="J393" s="42"/>
      <c r="K393" s="42"/>
      <c r="L393" s="42"/>
      <c r="M393" s="40"/>
      <c r="N393" s="42"/>
      <c r="O393" s="42"/>
      <c r="P393" s="42"/>
      <c r="Q393" s="42"/>
      <c r="R393" s="32" t="s">
        <v>31</v>
      </c>
      <c r="S393" s="42"/>
    </row>
    <row r="394" spans="2:19" s="62" customFormat="1" ht="36" customHeight="1" outlineLevel="1" x14ac:dyDescent="0.25">
      <c r="B394" s="53"/>
      <c r="C394" s="58" t="s">
        <v>1112</v>
      </c>
      <c r="D394" s="54" t="s">
        <v>811</v>
      </c>
      <c r="E394" s="64" t="s">
        <v>777</v>
      </c>
      <c r="F394" s="64" t="s">
        <v>812</v>
      </c>
      <c r="G394" s="63">
        <v>7</v>
      </c>
      <c r="H394" s="57" t="s">
        <v>813</v>
      </c>
      <c r="I394" s="54" t="s">
        <v>814</v>
      </c>
      <c r="J394" s="54" t="s">
        <v>815</v>
      </c>
      <c r="K394" s="54" t="s">
        <v>816</v>
      </c>
      <c r="L394" s="54" t="s">
        <v>817</v>
      </c>
      <c r="M394" s="58" t="s">
        <v>1113</v>
      </c>
      <c r="N394" s="54" t="s">
        <v>819</v>
      </c>
      <c r="O394" s="59">
        <v>46153</v>
      </c>
      <c r="P394" s="74"/>
      <c r="Q394" s="77"/>
      <c r="R394" s="61" t="s">
        <v>31</v>
      </c>
      <c r="S394" s="61" t="s">
        <v>84</v>
      </c>
    </row>
    <row r="395" spans="2:19" s="62" customFormat="1" outlineLevel="1" x14ac:dyDescent="0.25">
      <c r="B395" s="53"/>
      <c r="C395" s="58">
        <v>444</v>
      </c>
      <c r="D395" s="54" t="s">
        <v>75</v>
      </c>
      <c r="E395" s="64" t="s">
        <v>777</v>
      </c>
      <c r="F395" s="64" t="s">
        <v>76</v>
      </c>
      <c r="G395" s="63">
        <v>1</v>
      </c>
      <c r="H395" s="57" t="s">
        <v>77</v>
      </c>
      <c r="I395" s="54" t="s">
        <v>78</v>
      </c>
      <c r="J395" s="54" t="s">
        <v>79</v>
      </c>
      <c r="K395" s="54" t="s">
        <v>80</v>
      </c>
      <c r="L395" s="54" t="s">
        <v>81</v>
      </c>
      <c r="M395" s="58" t="s">
        <v>82</v>
      </c>
      <c r="N395" s="54" t="s">
        <v>83</v>
      </c>
      <c r="O395" s="59">
        <v>46132</v>
      </c>
      <c r="P395" s="74"/>
      <c r="Q395" s="77"/>
      <c r="R395" s="61" t="s">
        <v>31</v>
      </c>
      <c r="S395" s="61" t="s">
        <v>84</v>
      </c>
    </row>
    <row r="396" spans="2:19" s="62" customFormat="1" outlineLevel="1" x14ac:dyDescent="0.25">
      <c r="B396" s="53"/>
      <c r="C396" s="58">
        <v>445</v>
      </c>
      <c r="D396" s="54" t="s">
        <v>580</v>
      </c>
      <c r="E396" s="64" t="s">
        <v>777</v>
      </c>
      <c r="F396" s="64" t="s">
        <v>581</v>
      </c>
      <c r="G396" s="63">
        <v>1</v>
      </c>
      <c r="H396" s="57" t="s">
        <v>61</v>
      </c>
      <c r="I396" s="54" t="s">
        <v>582</v>
      </c>
      <c r="J396" s="54" t="s">
        <v>583</v>
      </c>
      <c r="K396" s="54" t="s">
        <v>584</v>
      </c>
      <c r="L396" s="54" t="s">
        <v>585</v>
      </c>
      <c r="M396" s="58" t="s">
        <v>586</v>
      </c>
      <c r="N396" s="54" t="s">
        <v>587</v>
      </c>
      <c r="O396" s="59">
        <v>46132</v>
      </c>
      <c r="P396" s="74"/>
      <c r="Q396" s="77"/>
      <c r="R396" s="61" t="s">
        <v>31</v>
      </c>
      <c r="S396" s="61" t="s">
        <v>84</v>
      </c>
    </row>
    <row r="397" spans="2:19" s="62" customFormat="1" outlineLevel="1" x14ac:dyDescent="0.25">
      <c r="B397" s="53"/>
      <c r="C397" s="58">
        <v>446</v>
      </c>
      <c r="D397" s="54" t="s">
        <v>725</v>
      </c>
      <c r="E397" s="64" t="s">
        <v>777</v>
      </c>
      <c r="F397" s="64" t="s">
        <v>726</v>
      </c>
      <c r="G397" s="63">
        <v>3</v>
      </c>
      <c r="H397" s="57" t="s">
        <v>727</v>
      </c>
      <c r="I397" s="54" t="s">
        <v>848</v>
      </c>
      <c r="J397" s="54" t="s">
        <v>849</v>
      </c>
      <c r="K397" s="54" t="s">
        <v>850</v>
      </c>
      <c r="L397" s="54" t="s">
        <v>731</v>
      </c>
      <c r="M397" s="58" t="s">
        <v>851</v>
      </c>
      <c r="N397" s="54" t="s">
        <v>733</v>
      </c>
      <c r="O397" s="59">
        <v>46119</v>
      </c>
      <c r="P397" s="74"/>
      <c r="Q397" s="77"/>
      <c r="R397" s="61" t="s">
        <v>31</v>
      </c>
      <c r="S397" s="61" t="s">
        <v>31</v>
      </c>
    </row>
    <row r="398" spans="2:19" s="62" customFormat="1" outlineLevel="1" x14ac:dyDescent="0.25">
      <c r="B398" s="53"/>
      <c r="C398" s="58">
        <v>447</v>
      </c>
      <c r="D398" s="54" t="s">
        <v>102</v>
      </c>
      <c r="E398" s="64" t="s">
        <v>777</v>
      </c>
      <c r="F398" s="64" t="s">
        <v>103</v>
      </c>
      <c r="G398" s="63">
        <v>5</v>
      </c>
      <c r="H398" s="57" t="s">
        <v>61</v>
      </c>
      <c r="I398" s="54" t="s">
        <v>104</v>
      </c>
      <c r="J398" s="54" t="s">
        <v>105</v>
      </c>
      <c r="K398" s="54" t="s">
        <v>106</v>
      </c>
      <c r="L398" s="54" t="s">
        <v>107</v>
      </c>
      <c r="M398" s="58" t="s">
        <v>107</v>
      </c>
      <c r="N398" s="54" t="s">
        <v>108</v>
      </c>
      <c r="O398" s="59">
        <v>46132</v>
      </c>
      <c r="P398" s="74"/>
      <c r="Q398" s="77"/>
      <c r="R398" s="61" t="s">
        <v>31</v>
      </c>
      <c r="S398" s="61" t="s">
        <v>84</v>
      </c>
    </row>
    <row r="399" spans="2:19" s="62" customFormat="1" outlineLevel="1" x14ac:dyDescent="0.25">
      <c r="B399" s="53"/>
      <c r="C399" s="58">
        <v>448</v>
      </c>
      <c r="D399" s="54" t="s">
        <v>134</v>
      </c>
      <c r="E399" s="64" t="s">
        <v>777</v>
      </c>
      <c r="F399" s="64" t="s">
        <v>135</v>
      </c>
      <c r="G399" s="63">
        <v>2</v>
      </c>
      <c r="H399" s="57" t="s">
        <v>24</v>
      </c>
      <c r="I399" s="54" t="s">
        <v>136</v>
      </c>
      <c r="J399" s="54" t="s">
        <v>137</v>
      </c>
      <c r="K399" s="54" t="s">
        <v>138</v>
      </c>
      <c r="L399" s="54" t="s">
        <v>139</v>
      </c>
      <c r="M399" s="58" t="s">
        <v>140</v>
      </c>
      <c r="N399" s="54" t="s">
        <v>141</v>
      </c>
      <c r="O399" s="59">
        <v>46119</v>
      </c>
      <c r="P399" s="74"/>
      <c r="Q399" s="77"/>
      <c r="R399" s="61" t="s">
        <v>31</v>
      </c>
      <c r="S399" s="61" t="s">
        <v>31</v>
      </c>
    </row>
    <row r="400" spans="2:19" s="62" customFormat="1" outlineLevel="1" x14ac:dyDescent="0.25">
      <c r="B400" s="53"/>
      <c r="C400" s="58">
        <v>449</v>
      </c>
      <c r="D400" s="54" t="s">
        <v>150</v>
      </c>
      <c r="E400" s="64" t="s">
        <v>777</v>
      </c>
      <c r="F400" s="64" t="s">
        <v>151</v>
      </c>
      <c r="G400" s="63">
        <v>1</v>
      </c>
      <c r="H400" s="57" t="s">
        <v>152</v>
      </c>
      <c r="I400" s="54" t="s">
        <v>153</v>
      </c>
      <c r="J400" s="54" t="s">
        <v>154</v>
      </c>
      <c r="K400" s="54" t="s">
        <v>155</v>
      </c>
      <c r="L400" s="54" t="s">
        <v>156</v>
      </c>
      <c r="M400" s="58" t="s">
        <v>1114</v>
      </c>
      <c r="N400" s="54" t="s">
        <v>158</v>
      </c>
      <c r="O400" s="59">
        <v>46132</v>
      </c>
      <c r="P400" s="74"/>
      <c r="Q400" s="77"/>
      <c r="R400" s="61" t="s">
        <v>31</v>
      </c>
      <c r="S400" s="61" t="s">
        <v>84</v>
      </c>
    </row>
    <row r="401" spans="2:19" s="62" customFormat="1" ht="30" customHeight="1" outlineLevel="1" x14ac:dyDescent="0.25">
      <c r="B401" s="53"/>
      <c r="C401" s="58" t="s">
        <v>776</v>
      </c>
      <c r="D401" s="54" t="s">
        <v>768</v>
      </c>
      <c r="E401" s="64" t="s">
        <v>777</v>
      </c>
      <c r="F401" s="64" t="s">
        <v>769</v>
      </c>
      <c r="G401" s="85">
        <v>1</v>
      </c>
      <c r="H401" s="57" t="s">
        <v>61</v>
      </c>
      <c r="I401" s="54" t="s">
        <v>770</v>
      </c>
      <c r="J401" s="54" t="s">
        <v>771</v>
      </c>
      <c r="K401" s="54" t="s">
        <v>772</v>
      </c>
      <c r="L401" s="54" t="s">
        <v>773</v>
      </c>
      <c r="M401" s="58" t="s">
        <v>774</v>
      </c>
      <c r="N401" s="54" t="s">
        <v>775</v>
      </c>
      <c r="O401" s="59">
        <v>46119</v>
      </c>
      <c r="P401" s="74"/>
      <c r="Q401" s="77"/>
      <c r="R401" s="61" t="s">
        <v>31</v>
      </c>
      <c r="S401" s="61" t="s">
        <v>31</v>
      </c>
    </row>
    <row r="402" spans="2:19" s="62" customFormat="1" ht="30" customHeight="1" outlineLevel="1" x14ac:dyDescent="0.25">
      <c r="B402" s="53"/>
      <c r="C402" s="58" t="s">
        <v>1115</v>
      </c>
      <c r="D402" s="54" t="s">
        <v>768</v>
      </c>
      <c r="E402" s="64" t="s">
        <v>777</v>
      </c>
      <c r="F402" s="64" t="s">
        <v>769</v>
      </c>
      <c r="G402" s="85">
        <v>9</v>
      </c>
      <c r="H402" s="57" t="s">
        <v>61</v>
      </c>
      <c r="I402" s="54" t="s">
        <v>770</v>
      </c>
      <c r="J402" s="54" t="s">
        <v>771</v>
      </c>
      <c r="K402" s="54" t="s">
        <v>772</v>
      </c>
      <c r="L402" s="54" t="s">
        <v>773</v>
      </c>
      <c r="M402" s="58" t="s">
        <v>774</v>
      </c>
      <c r="N402" s="54" t="s">
        <v>775</v>
      </c>
      <c r="O402" s="59">
        <v>46132</v>
      </c>
      <c r="P402" s="74"/>
      <c r="Q402" s="77"/>
      <c r="R402" s="61" t="s">
        <v>31</v>
      </c>
      <c r="S402" s="61" t="s">
        <v>31</v>
      </c>
    </row>
    <row r="403" spans="2:19" s="62" customFormat="1" outlineLevel="1" x14ac:dyDescent="0.25">
      <c r="B403" s="53"/>
      <c r="C403" s="58">
        <v>451</v>
      </c>
      <c r="D403" s="54" t="s">
        <v>667</v>
      </c>
      <c r="E403" s="64" t="s">
        <v>777</v>
      </c>
      <c r="F403" s="64" t="s">
        <v>668</v>
      </c>
      <c r="G403" s="63">
        <v>2</v>
      </c>
      <c r="H403" s="57" t="s">
        <v>61</v>
      </c>
      <c r="I403" s="54" t="s">
        <v>669</v>
      </c>
      <c r="J403" s="54" t="s">
        <v>670</v>
      </c>
      <c r="K403" s="53" t="s">
        <v>671</v>
      </c>
      <c r="L403" s="54" t="s">
        <v>672</v>
      </c>
      <c r="M403" s="58" t="s">
        <v>672</v>
      </c>
      <c r="N403" s="54" t="s">
        <v>673</v>
      </c>
      <c r="O403" s="59">
        <v>46132</v>
      </c>
      <c r="P403" s="74"/>
      <c r="Q403" s="77"/>
      <c r="R403" s="61" t="s">
        <v>31</v>
      </c>
      <c r="S403" s="61" t="s">
        <v>84</v>
      </c>
    </row>
    <row r="404" spans="2:19" s="62" customFormat="1" outlineLevel="1" x14ac:dyDescent="0.25">
      <c r="B404" s="53"/>
      <c r="C404" s="58">
        <v>452</v>
      </c>
      <c r="D404" s="54" t="s">
        <v>198</v>
      </c>
      <c r="E404" s="64" t="s">
        <v>777</v>
      </c>
      <c r="F404" s="64" t="s">
        <v>199</v>
      </c>
      <c r="G404" s="63">
        <v>1</v>
      </c>
      <c r="H404" s="57" t="s">
        <v>200</v>
      </c>
      <c r="I404" s="54" t="s">
        <v>201</v>
      </c>
      <c r="J404" s="54" t="s">
        <v>202</v>
      </c>
      <c r="K404" s="54" t="s">
        <v>203</v>
      </c>
      <c r="L404" s="54" t="s">
        <v>204</v>
      </c>
      <c r="M404" s="58" t="s">
        <v>1116</v>
      </c>
      <c r="N404" s="54" t="s">
        <v>206</v>
      </c>
      <c r="O404" s="59">
        <v>46132</v>
      </c>
      <c r="P404" s="74"/>
      <c r="Q404" s="77"/>
      <c r="R404" s="61" t="s">
        <v>31</v>
      </c>
      <c r="S404" s="61" t="s">
        <v>84</v>
      </c>
    </row>
    <row r="405" spans="2:19" s="62" customFormat="1" ht="36" customHeight="1" outlineLevel="1" x14ac:dyDescent="0.25">
      <c r="B405" s="53"/>
      <c r="C405" s="58" t="s">
        <v>794</v>
      </c>
      <c r="D405" s="54" t="s">
        <v>795</v>
      </c>
      <c r="E405" s="64" t="s">
        <v>777</v>
      </c>
      <c r="F405" s="64" t="s">
        <v>796</v>
      </c>
      <c r="G405" s="63">
        <v>5</v>
      </c>
      <c r="H405" s="57" t="s">
        <v>61</v>
      </c>
      <c r="I405" s="54" t="s">
        <v>797</v>
      </c>
      <c r="J405" s="54" t="s">
        <v>798</v>
      </c>
      <c r="K405" s="65" t="s">
        <v>799</v>
      </c>
      <c r="L405" s="54" t="s">
        <v>236</v>
      </c>
      <c r="M405" s="58" t="s">
        <v>800</v>
      </c>
      <c r="N405" s="54" t="s">
        <v>801</v>
      </c>
      <c r="O405" s="59">
        <v>46119</v>
      </c>
      <c r="P405" s="74"/>
      <c r="Q405" s="77"/>
      <c r="R405" s="61" t="s">
        <v>31</v>
      </c>
      <c r="S405" s="61" t="s">
        <v>84</v>
      </c>
    </row>
    <row r="406" spans="2:19" s="62" customFormat="1" outlineLevel="1" x14ac:dyDescent="0.25">
      <c r="B406" s="53"/>
      <c r="C406" s="58">
        <v>454</v>
      </c>
      <c r="D406" s="54" t="s">
        <v>859</v>
      </c>
      <c r="E406" s="64" t="s">
        <v>777</v>
      </c>
      <c r="F406" s="64" t="s">
        <v>860</v>
      </c>
      <c r="G406" s="63">
        <v>1</v>
      </c>
      <c r="H406" s="57" t="s">
        <v>861</v>
      </c>
      <c r="I406" s="54" t="s">
        <v>862</v>
      </c>
      <c r="J406" s="54" t="s">
        <v>863</v>
      </c>
      <c r="K406" s="54" t="s">
        <v>864</v>
      </c>
      <c r="L406" s="54" t="s">
        <v>865</v>
      </c>
      <c r="M406" s="58" t="s">
        <v>866</v>
      </c>
      <c r="N406" s="54" t="s">
        <v>867</v>
      </c>
      <c r="O406" s="59">
        <v>46132</v>
      </c>
      <c r="P406" s="74"/>
      <c r="Q406" s="77"/>
      <c r="R406" s="61" t="s">
        <v>31</v>
      </c>
      <c r="S406" s="61" t="s">
        <v>31</v>
      </c>
    </row>
    <row r="407" spans="2:19" s="62" customFormat="1" outlineLevel="1" x14ac:dyDescent="0.25">
      <c r="B407" s="53"/>
      <c r="C407" s="58">
        <v>455</v>
      </c>
      <c r="D407" s="54" t="s">
        <v>342</v>
      </c>
      <c r="E407" s="64" t="s">
        <v>777</v>
      </c>
      <c r="F407" s="64" t="s">
        <v>343</v>
      </c>
      <c r="G407" s="63">
        <v>1</v>
      </c>
      <c r="H407" s="57" t="s">
        <v>24</v>
      </c>
      <c r="I407" s="54" t="s">
        <v>344</v>
      </c>
      <c r="J407" s="54" t="s">
        <v>345</v>
      </c>
      <c r="K407" s="54" t="s">
        <v>346</v>
      </c>
      <c r="L407" s="54" t="s">
        <v>347</v>
      </c>
      <c r="M407" s="58" t="s">
        <v>348</v>
      </c>
      <c r="N407" s="54" t="s">
        <v>349</v>
      </c>
      <c r="O407" s="59">
        <v>46132</v>
      </c>
      <c r="P407" s="74"/>
      <c r="Q407" s="77"/>
      <c r="R407" s="61" t="s">
        <v>31</v>
      </c>
      <c r="S407" s="61" t="s">
        <v>31</v>
      </c>
    </row>
    <row r="408" spans="2:19" s="62" customFormat="1" ht="36" customHeight="1" outlineLevel="1" x14ac:dyDescent="0.25">
      <c r="B408" s="53"/>
      <c r="C408" s="58" t="s">
        <v>1117</v>
      </c>
      <c r="D408" s="54" t="s">
        <v>802</v>
      </c>
      <c r="E408" s="64" t="s">
        <v>777</v>
      </c>
      <c r="F408" s="64" t="s">
        <v>803</v>
      </c>
      <c r="G408" s="63">
        <v>8</v>
      </c>
      <c r="H408" s="57" t="s">
        <v>804</v>
      </c>
      <c r="I408" s="54" t="s">
        <v>874</v>
      </c>
      <c r="J408" s="54" t="s">
        <v>875</v>
      </c>
      <c r="K408" s="54" t="s">
        <v>876</v>
      </c>
      <c r="L408" s="54" t="s">
        <v>808</v>
      </c>
      <c r="M408" s="58" t="s">
        <v>1118</v>
      </c>
      <c r="N408" s="54" t="s">
        <v>810</v>
      </c>
      <c r="O408" s="59">
        <v>46132</v>
      </c>
      <c r="P408" s="74"/>
      <c r="Q408" s="77"/>
      <c r="R408" s="61" t="s">
        <v>31</v>
      </c>
      <c r="S408" s="61" t="s">
        <v>84</v>
      </c>
    </row>
    <row r="409" spans="2:19" s="62" customFormat="1" ht="36" customHeight="1" outlineLevel="1" x14ac:dyDescent="0.25">
      <c r="B409" s="53"/>
      <c r="C409" s="58" t="s">
        <v>1119</v>
      </c>
      <c r="D409" s="54" t="s">
        <v>375</v>
      </c>
      <c r="E409" s="64" t="s">
        <v>777</v>
      </c>
      <c r="F409" s="64" t="s">
        <v>376</v>
      </c>
      <c r="G409" s="63">
        <v>3</v>
      </c>
      <c r="H409" s="57" t="s">
        <v>111</v>
      </c>
      <c r="I409" s="54" t="s">
        <v>1120</v>
      </c>
      <c r="J409" s="54" t="s">
        <v>1121</v>
      </c>
      <c r="K409" s="54" t="s">
        <v>1122</v>
      </c>
      <c r="L409" s="54" t="s">
        <v>380</v>
      </c>
      <c r="M409" s="58" t="s">
        <v>1123</v>
      </c>
      <c r="N409" s="54" t="s">
        <v>382</v>
      </c>
      <c r="O409" s="59">
        <v>46132</v>
      </c>
      <c r="P409" s="74"/>
      <c r="Q409" s="77"/>
      <c r="R409" s="61" t="s">
        <v>31</v>
      </c>
      <c r="S409" s="61" t="s">
        <v>31</v>
      </c>
    </row>
    <row r="410" spans="2:19" s="62" customFormat="1" outlineLevel="1" x14ac:dyDescent="0.25">
      <c r="B410" s="53"/>
      <c r="C410" s="58">
        <v>458</v>
      </c>
      <c r="D410" s="54" t="s">
        <v>383</v>
      </c>
      <c r="E410" s="64" t="s">
        <v>777</v>
      </c>
      <c r="F410" s="64" t="s">
        <v>384</v>
      </c>
      <c r="G410" s="63">
        <v>1</v>
      </c>
      <c r="H410" s="57" t="s">
        <v>61</v>
      </c>
      <c r="I410" s="54" t="s">
        <v>385</v>
      </c>
      <c r="J410" s="54" t="s">
        <v>386</v>
      </c>
      <c r="K410" s="54" t="s">
        <v>387</v>
      </c>
      <c r="L410" s="54" t="s">
        <v>388</v>
      </c>
      <c r="M410" s="58" t="s">
        <v>389</v>
      </c>
      <c r="N410" s="54" t="s">
        <v>390</v>
      </c>
      <c r="O410" s="59">
        <v>46132</v>
      </c>
      <c r="P410" s="74"/>
      <c r="Q410" s="77"/>
      <c r="R410" s="61" t="s">
        <v>31</v>
      </c>
      <c r="S410" s="61" t="s">
        <v>84</v>
      </c>
    </row>
    <row r="411" spans="2:19" s="62" customFormat="1" outlineLevel="1" x14ac:dyDescent="0.25">
      <c r="B411" s="53"/>
      <c r="C411" s="58">
        <v>459</v>
      </c>
      <c r="D411" s="54" t="s">
        <v>391</v>
      </c>
      <c r="E411" s="64" t="s">
        <v>777</v>
      </c>
      <c r="F411" s="64" t="s">
        <v>392</v>
      </c>
      <c r="G411" s="63">
        <v>8</v>
      </c>
      <c r="H411" s="57" t="s">
        <v>111</v>
      </c>
      <c r="I411" s="54" t="s">
        <v>393</v>
      </c>
      <c r="J411" s="54" t="s">
        <v>394</v>
      </c>
      <c r="K411" s="54" t="s">
        <v>395</v>
      </c>
      <c r="L411" s="54" t="s">
        <v>396</v>
      </c>
      <c r="M411" s="58" t="s">
        <v>397</v>
      </c>
      <c r="N411" s="54" t="s">
        <v>398</v>
      </c>
      <c r="O411" s="59">
        <v>46119</v>
      </c>
      <c r="P411" s="74"/>
      <c r="Q411" s="77"/>
      <c r="R411" s="61" t="s">
        <v>31</v>
      </c>
      <c r="S411" s="61" t="s">
        <v>84</v>
      </c>
    </row>
    <row r="412" spans="2:19" s="62" customFormat="1" outlineLevel="1" x14ac:dyDescent="0.25">
      <c r="B412" s="53"/>
      <c r="C412" s="58">
        <v>460</v>
      </c>
      <c r="D412" s="54" t="s">
        <v>424</v>
      </c>
      <c r="E412" s="64" t="s">
        <v>777</v>
      </c>
      <c r="F412" s="64" t="s">
        <v>425</v>
      </c>
      <c r="G412" s="63">
        <v>1</v>
      </c>
      <c r="H412" s="57" t="s">
        <v>111</v>
      </c>
      <c r="I412" s="54" t="s">
        <v>426</v>
      </c>
      <c r="J412" s="54" t="s">
        <v>427</v>
      </c>
      <c r="K412" s="54" t="s">
        <v>428</v>
      </c>
      <c r="L412" s="54" t="s">
        <v>429</v>
      </c>
      <c r="M412" s="58" t="s">
        <v>429</v>
      </c>
      <c r="N412" s="54" t="s">
        <v>430</v>
      </c>
      <c r="O412" s="59">
        <v>46132</v>
      </c>
      <c r="P412" s="74"/>
      <c r="Q412" s="77"/>
      <c r="R412" s="61" t="s">
        <v>31</v>
      </c>
      <c r="S412" s="61" t="s">
        <v>84</v>
      </c>
    </row>
    <row r="413" spans="2:19" s="62" customFormat="1" ht="30" customHeight="1" outlineLevel="1" x14ac:dyDescent="0.25">
      <c r="B413" s="53"/>
      <c r="C413" s="58">
        <v>461</v>
      </c>
      <c r="D413" s="54" t="s">
        <v>431</v>
      </c>
      <c r="E413" s="54" t="s">
        <v>777</v>
      </c>
      <c r="F413" s="64" t="s">
        <v>432</v>
      </c>
      <c r="G413" s="63">
        <v>1</v>
      </c>
      <c r="H413" s="57" t="s">
        <v>152</v>
      </c>
      <c r="I413" s="54" t="s">
        <v>433</v>
      </c>
      <c r="J413" s="54" t="s">
        <v>434</v>
      </c>
      <c r="K413" s="54" t="s">
        <v>435</v>
      </c>
      <c r="L413" s="54" t="s">
        <v>436</v>
      </c>
      <c r="M413" s="58" t="s">
        <v>437</v>
      </c>
      <c r="N413" s="54" t="s">
        <v>438</v>
      </c>
      <c r="O413" s="59">
        <v>46132</v>
      </c>
      <c r="P413" s="74"/>
      <c r="Q413" s="77"/>
      <c r="R413" s="61" t="s">
        <v>31</v>
      </c>
      <c r="S413" s="61" t="s">
        <v>31</v>
      </c>
    </row>
    <row r="414" spans="2:19" s="62" customFormat="1" ht="30" customHeight="1" outlineLevel="1" x14ac:dyDescent="0.25">
      <c r="B414" s="53"/>
      <c r="C414" s="58">
        <v>462</v>
      </c>
      <c r="D414" s="54" t="s">
        <v>439</v>
      </c>
      <c r="E414" s="64" t="s">
        <v>777</v>
      </c>
      <c r="F414" s="64" t="s">
        <v>440</v>
      </c>
      <c r="G414" s="63">
        <v>1</v>
      </c>
      <c r="H414" s="57" t="s">
        <v>152</v>
      </c>
      <c r="I414" s="54" t="s">
        <v>441</v>
      </c>
      <c r="J414" s="54" t="s">
        <v>442</v>
      </c>
      <c r="K414" s="54" t="s">
        <v>443</v>
      </c>
      <c r="L414" s="54" t="s">
        <v>444</v>
      </c>
      <c r="M414" s="58" t="s">
        <v>570</v>
      </c>
      <c r="N414" s="54" t="s">
        <v>446</v>
      </c>
      <c r="O414" s="59">
        <v>46132</v>
      </c>
      <c r="P414" s="74"/>
      <c r="Q414" s="77"/>
      <c r="R414" s="61" t="s">
        <v>31</v>
      </c>
      <c r="S414" s="61" t="s">
        <v>31</v>
      </c>
    </row>
    <row r="415" spans="2:19" s="62" customFormat="1" ht="36" customHeight="1" outlineLevel="1" x14ac:dyDescent="0.25">
      <c r="B415" s="53"/>
      <c r="C415" s="58" t="s">
        <v>778</v>
      </c>
      <c r="D415" s="54" t="s">
        <v>463</v>
      </c>
      <c r="E415" s="64" t="s">
        <v>777</v>
      </c>
      <c r="F415" s="64" t="s">
        <v>464</v>
      </c>
      <c r="G415" s="63">
        <v>3</v>
      </c>
      <c r="H415" s="57" t="s">
        <v>152</v>
      </c>
      <c r="I415" s="54" t="s">
        <v>465</v>
      </c>
      <c r="J415" s="54" t="s">
        <v>466</v>
      </c>
      <c r="K415" s="54" t="s">
        <v>467</v>
      </c>
      <c r="L415" s="54" t="s">
        <v>468</v>
      </c>
      <c r="M415" s="58" t="s">
        <v>779</v>
      </c>
      <c r="N415" s="54" t="s">
        <v>470</v>
      </c>
      <c r="O415" s="59">
        <v>46119</v>
      </c>
      <c r="P415" s="74"/>
      <c r="Q415" s="77"/>
      <c r="R415" s="61" t="s">
        <v>31</v>
      </c>
      <c r="S415" s="61" t="s">
        <v>31</v>
      </c>
    </row>
    <row r="416" spans="2:19" s="62" customFormat="1" ht="36" customHeight="1" outlineLevel="1" x14ac:dyDescent="0.25">
      <c r="B416" s="53"/>
      <c r="C416" s="58" t="s">
        <v>1124</v>
      </c>
      <c r="D416" s="54" t="s">
        <v>760</v>
      </c>
      <c r="E416" s="64" t="s">
        <v>777</v>
      </c>
      <c r="F416" s="64" t="s">
        <v>761</v>
      </c>
      <c r="G416" s="63">
        <v>6</v>
      </c>
      <c r="H416" s="57" t="s">
        <v>61</v>
      </c>
      <c r="I416" s="54" t="s">
        <v>762</v>
      </c>
      <c r="J416" s="54" t="s">
        <v>763</v>
      </c>
      <c r="K416" s="54" t="s">
        <v>764</v>
      </c>
      <c r="L416" s="54" t="s">
        <v>765</v>
      </c>
      <c r="M416" s="58" t="s">
        <v>1125</v>
      </c>
      <c r="N416" s="54" t="s">
        <v>766</v>
      </c>
      <c r="O416" s="59">
        <v>46132</v>
      </c>
      <c r="P416" s="74"/>
      <c r="Q416" s="77"/>
      <c r="R416" s="61" t="s">
        <v>31</v>
      </c>
      <c r="S416" s="61" t="s">
        <v>84</v>
      </c>
    </row>
    <row r="417" spans="2:19" s="62" customFormat="1" outlineLevel="1" x14ac:dyDescent="0.25">
      <c r="B417" s="53"/>
      <c r="C417" s="58">
        <v>465</v>
      </c>
      <c r="D417" s="54" t="s">
        <v>471</v>
      </c>
      <c r="E417" s="64" t="s">
        <v>777</v>
      </c>
      <c r="F417" s="64" t="s">
        <v>472</v>
      </c>
      <c r="G417" s="63">
        <v>1</v>
      </c>
      <c r="H417" s="57" t="s">
        <v>111</v>
      </c>
      <c r="I417" s="54" t="s">
        <v>473</v>
      </c>
      <c r="J417" s="54" t="s">
        <v>474</v>
      </c>
      <c r="K417" s="54" t="s">
        <v>475</v>
      </c>
      <c r="L417" s="54" t="s">
        <v>476</v>
      </c>
      <c r="M417" s="58" t="s">
        <v>476</v>
      </c>
      <c r="N417" s="54" t="s">
        <v>477</v>
      </c>
      <c r="O417" s="59">
        <v>46132</v>
      </c>
      <c r="P417" s="74"/>
      <c r="Q417" s="77"/>
      <c r="R417" s="61" t="s">
        <v>31</v>
      </c>
      <c r="S417" s="61" t="s">
        <v>84</v>
      </c>
    </row>
    <row r="418" spans="2:19" s="62" customFormat="1" outlineLevel="1" x14ac:dyDescent="0.25">
      <c r="B418" s="53"/>
      <c r="C418" s="58">
        <v>466</v>
      </c>
      <c r="D418" s="54" t="s">
        <v>502</v>
      </c>
      <c r="E418" s="64" t="s">
        <v>777</v>
      </c>
      <c r="F418" s="64" t="s">
        <v>503</v>
      </c>
      <c r="G418" s="63">
        <v>1</v>
      </c>
      <c r="H418" s="57" t="s">
        <v>61</v>
      </c>
      <c r="I418" s="54" t="s">
        <v>504</v>
      </c>
      <c r="J418" s="54" t="s">
        <v>505</v>
      </c>
      <c r="K418" s="54" t="s">
        <v>506</v>
      </c>
      <c r="L418" s="54" t="s">
        <v>283</v>
      </c>
      <c r="M418" s="58" t="s">
        <v>284</v>
      </c>
      <c r="N418" s="54" t="s">
        <v>507</v>
      </c>
      <c r="O418" s="59">
        <v>46132</v>
      </c>
      <c r="P418" s="74"/>
      <c r="Q418" s="77"/>
      <c r="R418" s="61" t="s">
        <v>31</v>
      </c>
      <c r="S418" s="61" t="s">
        <v>84</v>
      </c>
    </row>
    <row r="419" spans="2:19" s="33" customFormat="1" ht="30" customHeight="1" x14ac:dyDescent="0.25">
      <c r="B419" s="42"/>
      <c r="C419" s="40"/>
      <c r="D419" s="43"/>
      <c r="E419" s="28" t="s">
        <v>758</v>
      </c>
      <c r="F419" s="52"/>
      <c r="G419" s="32">
        <f>SUM(G420:G465)</f>
        <v>116</v>
      </c>
      <c r="H419" s="42"/>
      <c r="I419" s="42"/>
      <c r="J419" s="42"/>
      <c r="K419" s="42"/>
      <c r="L419" s="42"/>
      <c r="M419" s="40"/>
      <c r="N419" s="42"/>
      <c r="O419" s="42"/>
      <c r="P419" s="42"/>
      <c r="Q419" s="42"/>
      <c r="R419" s="32" t="s">
        <v>757</v>
      </c>
      <c r="S419" s="42"/>
    </row>
    <row r="420" spans="2:19" s="62" customFormat="1" outlineLevel="1" x14ac:dyDescent="0.25">
      <c r="B420" s="53"/>
      <c r="C420" s="58">
        <v>467</v>
      </c>
      <c r="D420" s="54" t="s">
        <v>43</v>
      </c>
      <c r="E420" s="64" t="s">
        <v>758</v>
      </c>
      <c r="F420" s="64" t="s">
        <v>44</v>
      </c>
      <c r="G420" s="63">
        <v>4</v>
      </c>
      <c r="H420" s="57" t="s">
        <v>24</v>
      </c>
      <c r="I420" s="54" t="s">
        <v>45</v>
      </c>
      <c r="J420" s="54" t="s">
        <v>46</v>
      </c>
      <c r="K420" s="54" t="s">
        <v>47</v>
      </c>
      <c r="L420" s="54" t="s">
        <v>48</v>
      </c>
      <c r="M420" s="58" t="s">
        <v>49</v>
      </c>
      <c r="N420" s="54" t="s">
        <v>50</v>
      </c>
      <c r="O420" s="59">
        <v>46139</v>
      </c>
      <c r="P420" s="74">
        <f t="shared" ref="P420:P466" si="0">O420+7</f>
        <v>46146</v>
      </c>
      <c r="Q420" s="57"/>
      <c r="R420" s="61" t="s">
        <v>757</v>
      </c>
      <c r="S420" s="61" t="s">
        <v>31</v>
      </c>
    </row>
    <row r="421" spans="2:19" s="62" customFormat="1" outlineLevel="1" x14ac:dyDescent="0.25">
      <c r="B421" s="53"/>
      <c r="C421" s="58">
        <v>468</v>
      </c>
      <c r="D421" s="54" t="s">
        <v>1079</v>
      </c>
      <c r="E421" s="64" t="s">
        <v>758</v>
      </c>
      <c r="F421" s="64" t="s">
        <v>918</v>
      </c>
      <c r="G421" s="63">
        <v>2</v>
      </c>
      <c r="H421" s="57" t="s">
        <v>152</v>
      </c>
      <c r="I421" s="54" t="s">
        <v>1080</v>
      </c>
      <c r="J421" s="54" t="s">
        <v>1081</v>
      </c>
      <c r="K421" s="76" t="s">
        <v>1082</v>
      </c>
      <c r="L421" s="54" t="s">
        <v>1083</v>
      </c>
      <c r="M421" s="58" t="s">
        <v>1084</v>
      </c>
      <c r="N421" s="54" t="s">
        <v>1085</v>
      </c>
      <c r="O421" s="59">
        <v>46139</v>
      </c>
      <c r="P421" s="74">
        <f t="shared" si="0"/>
        <v>46146</v>
      </c>
      <c r="Q421" s="57"/>
      <c r="R421" s="61" t="s">
        <v>757</v>
      </c>
      <c r="S421" s="61" t="s">
        <v>84</v>
      </c>
    </row>
    <row r="422" spans="2:19" s="62" customFormat="1" outlineLevel="1" x14ac:dyDescent="0.25">
      <c r="B422" s="53"/>
      <c r="C422" s="58">
        <v>469</v>
      </c>
      <c r="D422" s="54" t="s">
        <v>59</v>
      </c>
      <c r="E422" s="64" t="s">
        <v>758</v>
      </c>
      <c r="F422" s="64" t="s">
        <v>60</v>
      </c>
      <c r="G422" s="63">
        <v>3</v>
      </c>
      <c r="H422" s="57" t="s">
        <v>61</v>
      </c>
      <c r="I422" s="54" t="s">
        <v>62</v>
      </c>
      <c r="J422" s="54" t="s">
        <v>63</v>
      </c>
      <c r="K422" s="54" t="s">
        <v>64</v>
      </c>
      <c r="L422" s="54" t="s">
        <v>65</v>
      </c>
      <c r="M422" s="58" t="s">
        <v>66</v>
      </c>
      <c r="N422" s="54" t="s">
        <v>67</v>
      </c>
      <c r="O422" s="59">
        <v>46119</v>
      </c>
      <c r="P422" s="74">
        <f t="shared" si="0"/>
        <v>46126</v>
      </c>
      <c r="Q422" s="57"/>
      <c r="R422" s="61" t="s">
        <v>757</v>
      </c>
      <c r="S422" s="61" t="s">
        <v>31</v>
      </c>
    </row>
    <row r="423" spans="2:19" s="62" customFormat="1" ht="30" customHeight="1" outlineLevel="1" x14ac:dyDescent="0.25">
      <c r="B423" s="53"/>
      <c r="C423" s="58">
        <v>470</v>
      </c>
      <c r="D423" s="54" t="s">
        <v>68</v>
      </c>
      <c r="E423" s="64" t="s">
        <v>758</v>
      </c>
      <c r="F423" s="64" t="s">
        <v>69</v>
      </c>
      <c r="G423" s="63">
        <v>2</v>
      </c>
      <c r="H423" s="57" t="s">
        <v>61</v>
      </c>
      <c r="I423" s="54" t="s">
        <v>843</v>
      </c>
      <c r="J423" s="54" t="s">
        <v>844</v>
      </c>
      <c r="K423" s="54" t="s">
        <v>845</v>
      </c>
      <c r="L423" s="54" t="s">
        <v>73</v>
      </c>
      <c r="M423" s="58" t="s">
        <v>846</v>
      </c>
      <c r="N423" s="54" t="s">
        <v>74</v>
      </c>
      <c r="O423" s="59">
        <v>46119</v>
      </c>
      <c r="P423" s="74">
        <f t="shared" si="0"/>
        <v>46126</v>
      </c>
      <c r="Q423" s="57"/>
      <c r="R423" s="61" t="s">
        <v>757</v>
      </c>
      <c r="S423" s="61" t="s">
        <v>31</v>
      </c>
    </row>
    <row r="424" spans="2:19" s="62" customFormat="1" ht="30" customHeight="1" outlineLevel="1" x14ac:dyDescent="0.25">
      <c r="B424" s="53"/>
      <c r="C424" s="58">
        <v>471</v>
      </c>
      <c r="D424" s="54" t="s">
        <v>75</v>
      </c>
      <c r="E424" s="64" t="s">
        <v>758</v>
      </c>
      <c r="F424" s="64" t="s">
        <v>76</v>
      </c>
      <c r="G424" s="63">
        <v>2</v>
      </c>
      <c r="H424" s="57" t="s">
        <v>77</v>
      </c>
      <c r="I424" s="54" t="s">
        <v>833</v>
      </c>
      <c r="J424" s="54" t="s">
        <v>834</v>
      </c>
      <c r="K424" s="54" t="s">
        <v>835</v>
      </c>
      <c r="L424" s="54" t="s">
        <v>81</v>
      </c>
      <c r="M424" s="58" t="s">
        <v>836</v>
      </c>
      <c r="N424" s="54" t="s">
        <v>83</v>
      </c>
      <c r="O424" s="59">
        <v>46119</v>
      </c>
      <c r="P424" s="74">
        <f t="shared" si="0"/>
        <v>46126</v>
      </c>
      <c r="Q424" s="57"/>
      <c r="R424" s="61" t="s">
        <v>757</v>
      </c>
      <c r="S424" s="61" t="s">
        <v>84</v>
      </c>
    </row>
    <row r="425" spans="2:19" s="62" customFormat="1" outlineLevel="1" x14ac:dyDescent="0.25">
      <c r="B425" s="53"/>
      <c r="C425" s="58">
        <v>472</v>
      </c>
      <c r="D425" s="54" t="s">
        <v>899</v>
      </c>
      <c r="E425" s="64" t="s">
        <v>758</v>
      </c>
      <c r="F425" s="64" t="s">
        <v>900</v>
      </c>
      <c r="G425" s="63">
        <v>1</v>
      </c>
      <c r="H425" s="57" t="s">
        <v>901</v>
      </c>
      <c r="I425" s="54" t="s">
        <v>902</v>
      </c>
      <c r="J425" s="54" t="s">
        <v>903</v>
      </c>
      <c r="K425" s="54" t="s">
        <v>904</v>
      </c>
      <c r="L425" s="54" t="s">
        <v>905</v>
      </c>
      <c r="M425" s="58" t="s">
        <v>906</v>
      </c>
      <c r="N425" s="54" t="s">
        <v>907</v>
      </c>
      <c r="O425" s="59">
        <v>46139</v>
      </c>
      <c r="P425" s="74">
        <f t="shared" si="0"/>
        <v>46146</v>
      </c>
      <c r="Q425" s="57"/>
      <c r="R425" s="61" t="s">
        <v>757</v>
      </c>
      <c r="S425" s="61" t="s">
        <v>31</v>
      </c>
    </row>
    <row r="426" spans="2:19" s="62" customFormat="1" outlineLevel="1" x14ac:dyDescent="0.25">
      <c r="B426" s="53"/>
      <c r="C426" s="58">
        <v>473</v>
      </c>
      <c r="D426" s="54" t="s">
        <v>580</v>
      </c>
      <c r="E426" s="64" t="s">
        <v>758</v>
      </c>
      <c r="F426" s="64" t="s">
        <v>581</v>
      </c>
      <c r="G426" s="63">
        <v>1</v>
      </c>
      <c r="H426" s="57" t="s">
        <v>61</v>
      </c>
      <c r="I426" s="54" t="s">
        <v>582</v>
      </c>
      <c r="J426" s="54" t="s">
        <v>583</v>
      </c>
      <c r="K426" s="54" t="s">
        <v>584</v>
      </c>
      <c r="L426" s="54" t="s">
        <v>585</v>
      </c>
      <c r="M426" s="58" t="s">
        <v>586</v>
      </c>
      <c r="N426" s="54" t="s">
        <v>587</v>
      </c>
      <c r="O426" s="59">
        <v>46119</v>
      </c>
      <c r="P426" s="74">
        <f t="shared" si="0"/>
        <v>46126</v>
      </c>
      <c r="Q426" s="57"/>
      <c r="R426" s="61" t="s">
        <v>757</v>
      </c>
      <c r="S426" s="61" t="s">
        <v>84</v>
      </c>
    </row>
    <row r="427" spans="2:19" s="62" customFormat="1" outlineLevel="1" x14ac:dyDescent="0.25">
      <c r="B427" s="53"/>
      <c r="C427" s="58">
        <v>474</v>
      </c>
      <c r="D427" s="54" t="s">
        <v>94</v>
      </c>
      <c r="E427" s="64" t="s">
        <v>758</v>
      </c>
      <c r="F427" s="64" t="s">
        <v>95</v>
      </c>
      <c r="G427" s="63">
        <v>1</v>
      </c>
      <c r="H427" s="57" t="s">
        <v>36</v>
      </c>
      <c r="I427" s="54" t="s">
        <v>96</v>
      </c>
      <c r="J427" s="54" t="s">
        <v>97</v>
      </c>
      <c r="K427" s="54" t="s">
        <v>98</v>
      </c>
      <c r="L427" s="54" t="s">
        <v>99</v>
      </c>
      <c r="M427" s="58" t="s">
        <v>100</v>
      </c>
      <c r="N427" s="54" t="s">
        <v>101</v>
      </c>
      <c r="O427" s="59">
        <v>46139</v>
      </c>
      <c r="P427" s="74">
        <f t="shared" si="0"/>
        <v>46146</v>
      </c>
      <c r="Q427" s="57"/>
      <c r="R427" s="61" t="s">
        <v>757</v>
      </c>
      <c r="S427" s="61" t="s">
        <v>31</v>
      </c>
    </row>
    <row r="428" spans="2:19" s="62" customFormat="1" outlineLevel="1" x14ac:dyDescent="0.25">
      <c r="B428" s="53"/>
      <c r="C428" s="58">
        <v>475</v>
      </c>
      <c r="D428" s="54" t="s">
        <v>725</v>
      </c>
      <c r="E428" s="64" t="s">
        <v>758</v>
      </c>
      <c r="F428" s="64" t="s">
        <v>726</v>
      </c>
      <c r="G428" s="63">
        <v>1</v>
      </c>
      <c r="H428" s="57" t="s">
        <v>727</v>
      </c>
      <c r="I428" s="54" t="s">
        <v>848</v>
      </c>
      <c r="J428" s="54" t="s">
        <v>849</v>
      </c>
      <c r="K428" s="54" t="s">
        <v>850</v>
      </c>
      <c r="L428" s="54" t="s">
        <v>731</v>
      </c>
      <c r="M428" s="58" t="s">
        <v>851</v>
      </c>
      <c r="N428" s="54" t="s">
        <v>733</v>
      </c>
      <c r="O428" s="59">
        <v>46139</v>
      </c>
      <c r="P428" s="74">
        <f t="shared" si="0"/>
        <v>46146</v>
      </c>
      <c r="Q428" s="57"/>
      <c r="R428" s="61" t="s">
        <v>757</v>
      </c>
      <c r="S428" s="61" t="s">
        <v>31</v>
      </c>
    </row>
    <row r="429" spans="2:19" s="62" customFormat="1" outlineLevel="1" x14ac:dyDescent="0.25">
      <c r="B429" s="53"/>
      <c r="C429" s="58">
        <v>476</v>
      </c>
      <c r="D429" s="54" t="s">
        <v>109</v>
      </c>
      <c r="E429" s="64" t="s">
        <v>758</v>
      </c>
      <c r="F429" s="64" t="s">
        <v>110</v>
      </c>
      <c r="G429" s="63">
        <v>2</v>
      </c>
      <c r="H429" s="57" t="s">
        <v>111</v>
      </c>
      <c r="I429" s="54" t="s">
        <v>112</v>
      </c>
      <c r="J429" s="54" t="s">
        <v>113</v>
      </c>
      <c r="K429" s="54" t="s">
        <v>114</v>
      </c>
      <c r="L429" s="54" t="s">
        <v>115</v>
      </c>
      <c r="M429" s="58" t="s">
        <v>115</v>
      </c>
      <c r="N429" s="54" t="s">
        <v>116</v>
      </c>
      <c r="O429" s="59">
        <v>46139</v>
      </c>
      <c r="P429" s="74">
        <f t="shared" si="0"/>
        <v>46146</v>
      </c>
      <c r="Q429" s="57"/>
      <c r="R429" s="61" t="s">
        <v>757</v>
      </c>
      <c r="S429" s="61" t="s">
        <v>84</v>
      </c>
    </row>
    <row r="430" spans="2:19" s="62" customFormat="1" outlineLevel="1" x14ac:dyDescent="0.25">
      <c r="B430" s="53"/>
      <c r="C430" s="58">
        <v>477</v>
      </c>
      <c r="D430" s="54" t="s">
        <v>117</v>
      </c>
      <c r="E430" s="64" t="s">
        <v>758</v>
      </c>
      <c r="F430" s="64" t="s">
        <v>118</v>
      </c>
      <c r="G430" s="63">
        <v>1</v>
      </c>
      <c r="H430" s="57" t="s">
        <v>24</v>
      </c>
      <c r="I430" s="54" t="s">
        <v>119</v>
      </c>
      <c r="J430" s="54" t="s">
        <v>120</v>
      </c>
      <c r="K430" s="54" t="s">
        <v>121</v>
      </c>
      <c r="L430" s="54" t="s">
        <v>122</v>
      </c>
      <c r="M430" s="58" t="s">
        <v>123</v>
      </c>
      <c r="N430" s="54" t="s">
        <v>124</v>
      </c>
      <c r="O430" s="59">
        <v>46139</v>
      </c>
      <c r="P430" s="74">
        <f t="shared" si="0"/>
        <v>46146</v>
      </c>
      <c r="Q430" s="57"/>
      <c r="R430" s="61" t="s">
        <v>757</v>
      </c>
      <c r="S430" s="61" t="s">
        <v>31</v>
      </c>
    </row>
    <row r="431" spans="2:19" s="62" customFormat="1" outlineLevel="1" x14ac:dyDescent="0.25">
      <c r="B431" s="53"/>
      <c r="C431" s="58">
        <v>478</v>
      </c>
      <c r="D431" s="54" t="s">
        <v>134</v>
      </c>
      <c r="E431" s="64" t="s">
        <v>758</v>
      </c>
      <c r="F431" s="64" t="s">
        <v>135</v>
      </c>
      <c r="G431" s="63">
        <v>5</v>
      </c>
      <c r="H431" s="57" t="s">
        <v>24</v>
      </c>
      <c r="I431" s="54" t="s">
        <v>136</v>
      </c>
      <c r="J431" s="54" t="s">
        <v>137</v>
      </c>
      <c r="K431" s="54" t="s">
        <v>138</v>
      </c>
      <c r="L431" s="54" t="s">
        <v>139</v>
      </c>
      <c r="M431" s="58" t="s">
        <v>140</v>
      </c>
      <c r="N431" s="54" t="s">
        <v>141</v>
      </c>
      <c r="O431" s="59">
        <v>46139</v>
      </c>
      <c r="P431" s="74">
        <f t="shared" si="0"/>
        <v>46146</v>
      </c>
      <c r="Q431" s="57"/>
      <c r="R431" s="61" t="s">
        <v>757</v>
      </c>
      <c r="S431" s="61" t="s">
        <v>31</v>
      </c>
    </row>
    <row r="432" spans="2:19" s="62" customFormat="1" outlineLevel="1" x14ac:dyDescent="0.25">
      <c r="B432" s="53"/>
      <c r="C432" s="58">
        <v>479</v>
      </c>
      <c r="D432" s="54" t="s">
        <v>554</v>
      </c>
      <c r="E432" s="64" t="s">
        <v>758</v>
      </c>
      <c r="F432" s="64" t="s">
        <v>555</v>
      </c>
      <c r="G432" s="63">
        <v>1</v>
      </c>
      <c r="H432" s="57" t="s">
        <v>61</v>
      </c>
      <c r="I432" s="54" t="s">
        <v>556</v>
      </c>
      <c r="J432" s="54" t="s">
        <v>557</v>
      </c>
      <c r="K432" s="54" t="s">
        <v>558</v>
      </c>
      <c r="L432" s="54" t="s">
        <v>559</v>
      </c>
      <c r="M432" s="58" t="s">
        <v>560</v>
      </c>
      <c r="N432" s="54" t="s">
        <v>561</v>
      </c>
      <c r="O432" s="59">
        <v>46119</v>
      </c>
      <c r="P432" s="74">
        <f t="shared" si="0"/>
        <v>46126</v>
      </c>
      <c r="Q432" s="57"/>
      <c r="R432" s="61" t="s">
        <v>757</v>
      </c>
      <c r="S432" s="61" t="s">
        <v>31</v>
      </c>
    </row>
    <row r="433" spans="2:19" s="62" customFormat="1" outlineLevel="1" x14ac:dyDescent="0.25">
      <c r="B433" s="53"/>
      <c r="C433" s="58">
        <v>480</v>
      </c>
      <c r="D433" s="54" t="s">
        <v>536</v>
      </c>
      <c r="E433" s="64" t="s">
        <v>758</v>
      </c>
      <c r="F433" s="64" t="s">
        <v>537</v>
      </c>
      <c r="G433" s="63">
        <v>6</v>
      </c>
      <c r="H433" s="57" t="s">
        <v>111</v>
      </c>
      <c r="I433" s="54" t="s">
        <v>538</v>
      </c>
      <c r="J433" s="54" t="s">
        <v>539</v>
      </c>
      <c r="K433" s="54" t="s">
        <v>540</v>
      </c>
      <c r="L433" s="54" t="s">
        <v>541</v>
      </c>
      <c r="M433" s="58" t="s">
        <v>541</v>
      </c>
      <c r="N433" s="54" t="s">
        <v>542</v>
      </c>
      <c r="O433" s="59">
        <v>46139</v>
      </c>
      <c r="P433" s="74">
        <f t="shared" si="0"/>
        <v>46146</v>
      </c>
      <c r="Q433" s="57"/>
      <c r="R433" s="61" t="s">
        <v>757</v>
      </c>
      <c r="S433" s="61" t="s">
        <v>84</v>
      </c>
    </row>
    <row r="434" spans="2:19" s="62" customFormat="1" outlineLevel="1" x14ac:dyDescent="0.25">
      <c r="B434" s="53"/>
      <c r="C434" s="58">
        <v>481</v>
      </c>
      <c r="D434" s="54" t="s">
        <v>150</v>
      </c>
      <c r="E434" s="64" t="s">
        <v>758</v>
      </c>
      <c r="F434" s="64" t="s">
        <v>151</v>
      </c>
      <c r="G434" s="63">
        <v>1</v>
      </c>
      <c r="H434" s="57" t="s">
        <v>152</v>
      </c>
      <c r="I434" s="54" t="s">
        <v>153</v>
      </c>
      <c r="J434" s="54" t="s">
        <v>154</v>
      </c>
      <c r="K434" s="54" t="s">
        <v>155</v>
      </c>
      <c r="L434" s="54" t="s">
        <v>156</v>
      </c>
      <c r="M434" s="58" t="s">
        <v>1114</v>
      </c>
      <c r="N434" s="54" t="s">
        <v>158</v>
      </c>
      <c r="O434" s="59">
        <v>46139</v>
      </c>
      <c r="P434" s="74">
        <f t="shared" si="0"/>
        <v>46146</v>
      </c>
      <c r="Q434" s="57"/>
      <c r="R434" s="61" t="s">
        <v>757</v>
      </c>
      <c r="S434" s="61" t="s">
        <v>84</v>
      </c>
    </row>
    <row r="435" spans="2:19" s="62" customFormat="1" outlineLevel="1" x14ac:dyDescent="0.25">
      <c r="B435" s="53"/>
      <c r="C435" s="58">
        <v>482</v>
      </c>
      <c r="D435" s="54" t="s">
        <v>159</v>
      </c>
      <c r="E435" s="64" t="s">
        <v>758</v>
      </c>
      <c r="F435" s="64" t="s">
        <v>160</v>
      </c>
      <c r="G435" s="63">
        <v>1</v>
      </c>
      <c r="H435" s="57" t="s">
        <v>61</v>
      </c>
      <c r="I435" s="54" t="s">
        <v>161</v>
      </c>
      <c r="J435" s="54" t="s">
        <v>162</v>
      </c>
      <c r="K435" s="54" t="s">
        <v>163</v>
      </c>
      <c r="L435" s="54" t="s">
        <v>164</v>
      </c>
      <c r="M435" s="58" t="s">
        <v>164</v>
      </c>
      <c r="N435" s="54" t="s">
        <v>165</v>
      </c>
      <c r="O435" s="59">
        <v>46119</v>
      </c>
      <c r="P435" s="74">
        <f t="shared" si="0"/>
        <v>46126</v>
      </c>
      <c r="Q435" s="57"/>
      <c r="R435" s="61" t="s">
        <v>757</v>
      </c>
      <c r="S435" s="61" t="s">
        <v>31</v>
      </c>
    </row>
    <row r="436" spans="2:19" s="62" customFormat="1" outlineLevel="1" x14ac:dyDescent="0.25">
      <c r="B436" s="53"/>
      <c r="C436" s="58">
        <v>483</v>
      </c>
      <c r="D436" s="54" t="s">
        <v>768</v>
      </c>
      <c r="E436" s="64" t="s">
        <v>758</v>
      </c>
      <c r="F436" s="64" t="s">
        <v>769</v>
      </c>
      <c r="G436" s="63">
        <v>8</v>
      </c>
      <c r="H436" s="57" t="s">
        <v>61</v>
      </c>
      <c r="I436" s="54" t="s">
        <v>770</v>
      </c>
      <c r="J436" s="54" t="s">
        <v>771</v>
      </c>
      <c r="K436" s="54" t="s">
        <v>772</v>
      </c>
      <c r="L436" s="54" t="s">
        <v>773</v>
      </c>
      <c r="M436" s="58" t="s">
        <v>774</v>
      </c>
      <c r="N436" s="54" t="s">
        <v>775</v>
      </c>
      <c r="O436" s="59">
        <v>46119</v>
      </c>
      <c r="P436" s="74">
        <f t="shared" si="0"/>
        <v>46126</v>
      </c>
      <c r="Q436" s="57"/>
      <c r="R436" s="61" t="s">
        <v>757</v>
      </c>
      <c r="S436" s="61" t="s">
        <v>31</v>
      </c>
    </row>
    <row r="437" spans="2:19" s="62" customFormat="1" outlineLevel="1" x14ac:dyDescent="0.25">
      <c r="B437" s="53"/>
      <c r="C437" s="58">
        <v>484</v>
      </c>
      <c r="D437" s="54" t="s">
        <v>174</v>
      </c>
      <c r="E437" s="64" t="s">
        <v>758</v>
      </c>
      <c r="F437" s="64" t="s">
        <v>175</v>
      </c>
      <c r="G437" s="63">
        <v>5</v>
      </c>
      <c r="H437" s="57" t="s">
        <v>152</v>
      </c>
      <c r="I437" s="54" t="s">
        <v>176</v>
      </c>
      <c r="J437" s="54" t="s">
        <v>177</v>
      </c>
      <c r="K437" s="54" t="s">
        <v>178</v>
      </c>
      <c r="L437" s="54" t="s">
        <v>179</v>
      </c>
      <c r="M437" s="58" t="s">
        <v>180</v>
      </c>
      <c r="N437" s="54" t="s">
        <v>181</v>
      </c>
      <c r="O437" s="59">
        <v>46139</v>
      </c>
      <c r="P437" s="74">
        <f t="shared" si="0"/>
        <v>46146</v>
      </c>
      <c r="Q437" s="57"/>
      <c r="R437" s="61" t="s">
        <v>757</v>
      </c>
      <c r="S437" s="61" t="s">
        <v>84</v>
      </c>
    </row>
    <row r="438" spans="2:19" s="62" customFormat="1" outlineLevel="1" x14ac:dyDescent="0.25">
      <c r="B438" s="53"/>
      <c r="C438" s="58">
        <v>485</v>
      </c>
      <c r="D438" s="54" t="s">
        <v>667</v>
      </c>
      <c r="E438" s="64" t="s">
        <v>758</v>
      </c>
      <c r="F438" s="64" t="s">
        <v>668</v>
      </c>
      <c r="G438" s="63">
        <v>1</v>
      </c>
      <c r="H438" s="57" t="s">
        <v>61</v>
      </c>
      <c r="I438" s="54" t="s">
        <v>669</v>
      </c>
      <c r="J438" s="54" t="s">
        <v>670</v>
      </c>
      <c r="K438" s="53" t="s">
        <v>671</v>
      </c>
      <c r="L438" s="54" t="s">
        <v>672</v>
      </c>
      <c r="M438" s="58" t="s">
        <v>672</v>
      </c>
      <c r="N438" s="54" t="s">
        <v>673</v>
      </c>
      <c r="O438" s="59">
        <v>46139</v>
      </c>
      <c r="P438" s="74">
        <f t="shared" si="0"/>
        <v>46146</v>
      </c>
      <c r="Q438" s="57"/>
      <c r="R438" s="61" t="s">
        <v>757</v>
      </c>
      <c r="S438" s="61" t="s">
        <v>84</v>
      </c>
    </row>
    <row r="439" spans="2:19" s="62" customFormat="1" ht="60" customHeight="1" outlineLevel="1" x14ac:dyDescent="0.25">
      <c r="B439" s="53"/>
      <c r="C439" s="58" t="s">
        <v>1126</v>
      </c>
      <c r="D439" s="54" t="s">
        <v>190</v>
      </c>
      <c r="E439" s="64" t="s">
        <v>758</v>
      </c>
      <c r="F439" s="64" t="s">
        <v>191</v>
      </c>
      <c r="G439" s="63">
        <v>12</v>
      </c>
      <c r="H439" s="57" t="s">
        <v>24</v>
      </c>
      <c r="I439" s="65" t="s">
        <v>1127</v>
      </c>
      <c r="J439" s="65" t="s">
        <v>1128</v>
      </c>
      <c r="K439" s="65" t="s">
        <v>1129</v>
      </c>
      <c r="L439" s="54" t="s">
        <v>195</v>
      </c>
      <c r="M439" s="58" t="s">
        <v>1130</v>
      </c>
      <c r="N439" s="54" t="s">
        <v>197</v>
      </c>
      <c r="O439" s="59">
        <v>46139</v>
      </c>
      <c r="P439" s="74">
        <f t="shared" si="0"/>
        <v>46146</v>
      </c>
      <c r="Q439" s="57"/>
      <c r="R439" s="61" t="s">
        <v>757</v>
      </c>
      <c r="S439" s="61" t="s">
        <v>31</v>
      </c>
    </row>
    <row r="440" spans="2:19" s="62" customFormat="1" outlineLevel="1" x14ac:dyDescent="0.25">
      <c r="B440" s="53"/>
      <c r="C440" s="58">
        <v>487</v>
      </c>
      <c r="D440" s="54" t="s">
        <v>198</v>
      </c>
      <c r="E440" s="64" t="s">
        <v>758</v>
      </c>
      <c r="F440" s="64" t="s">
        <v>199</v>
      </c>
      <c r="G440" s="63">
        <v>6</v>
      </c>
      <c r="H440" s="57" t="s">
        <v>200</v>
      </c>
      <c r="I440" s="54" t="s">
        <v>201</v>
      </c>
      <c r="J440" s="54" t="s">
        <v>202</v>
      </c>
      <c r="K440" s="54" t="s">
        <v>203</v>
      </c>
      <c r="L440" s="54" t="s">
        <v>204</v>
      </c>
      <c r="M440" s="58" t="s">
        <v>1015</v>
      </c>
      <c r="N440" s="54" t="s">
        <v>206</v>
      </c>
      <c r="O440" s="59">
        <v>46139</v>
      </c>
      <c r="P440" s="74">
        <f t="shared" si="0"/>
        <v>46146</v>
      </c>
      <c r="Q440" s="57"/>
      <c r="R440" s="61" t="s">
        <v>757</v>
      </c>
      <c r="S440" s="61" t="s">
        <v>84</v>
      </c>
    </row>
    <row r="441" spans="2:19" s="62" customFormat="1" outlineLevel="1" x14ac:dyDescent="0.25">
      <c r="B441" s="53"/>
      <c r="C441" s="58">
        <v>488</v>
      </c>
      <c r="D441" s="54" t="s">
        <v>207</v>
      </c>
      <c r="E441" s="64" t="s">
        <v>758</v>
      </c>
      <c r="F441" s="64" t="s">
        <v>208</v>
      </c>
      <c r="G441" s="63">
        <v>1</v>
      </c>
      <c r="H441" s="57" t="s">
        <v>61</v>
      </c>
      <c r="I441" s="54" t="s">
        <v>209</v>
      </c>
      <c r="J441" s="54" t="s">
        <v>210</v>
      </c>
      <c r="K441" s="54" t="s">
        <v>211</v>
      </c>
      <c r="L441" s="54" t="s">
        <v>212</v>
      </c>
      <c r="M441" s="58" t="s">
        <v>213</v>
      </c>
      <c r="N441" s="54" t="s">
        <v>214</v>
      </c>
      <c r="O441" s="59">
        <v>46119</v>
      </c>
      <c r="P441" s="74">
        <f t="shared" si="0"/>
        <v>46126</v>
      </c>
      <c r="Q441" s="57"/>
      <c r="R441" s="61" t="s">
        <v>757</v>
      </c>
      <c r="S441" s="61" t="s">
        <v>31</v>
      </c>
    </row>
    <row r="442" spans="2:19" s="62" customFormat="1" outlineLevel="1" x14ac:dyDescent="0.25">
      <c r="B442" s="53"/>
      <c r="C442" s="58">
        <v>489</v>
      </c>
      <c r="D442" s="54" t="s">
        <v>231</v>
      </c>
      <c r="E442" s="64" t="s">
        <v>758</v>
      </c>
      <c r="F442" s="64" t="s">
        <v>232</v>
      </c>
      <c r="G442" s="63">
        <v>1</v>
      </c>
      <c r="H442" s="57" t="s">
        <v>61</v>
      </c>
      <c r="I442" s="54" t="s">
        <v>697</v>
      </c>
      <c r="J442" s="54" t="s">
        <v>698</v>
      </c>
      <c r="K442" s="54" t="s">
        <v>699</v>
      </c>
      <c r="L442" s="54" t="s">
        <v>236</v>
      </c>
      <c r="M442" s="58" t="s">
        <v>700</v>
      </c>
      <c r="N442" s="54" t="s">
        <v>238</v>
      </c>
      <c r="O442" s="59">
        <v>46139</v>
      </c>
      <c r="P442" s="74">
        <f t="shared" si="0"/>
        <v>46146</v>
      </c>
      <c r="Q442" s="57"/>
      <c r="R442" s="61" t="s">
        <v>757</v>
      </c>
      <c r="S442" s="61" t="s">
        <v>84</v>
      </c>
    </row>
    <row r="443" spans="2:19" s="62" customFormat="1" ht="30" customHeight="1" outlineLevel="1" x14ac:dyDescent="0.25">
      <c r="B443" s="53"/>
      <c r="C443" s="58" t="s">
        <v>1131</v>
      </c>
      <c r="D443" s="54" t="s">
        <v>239</v>
      </c>
      <c r="E443" s="64" t="s">
        <v>758</v>
      </c>
      <c r="F443" s="64" t="s">
        <v>240</v>
      </c>
      <c r="G443" s="63">
        <v>2</v>
      </c>
      <c r="H443" s="57" t="s">
        <v>24</v>
      </c>
      <c r="I443" s="54" t="s">
        <v>241</v>
      </c>
      <c r="J443" s="54" t="s">
        <v>242</v>
      </c>
      <c r="K443" s="54" t="s">
        <v>243</v>
      </c>
      <c r="L443" s="54" t="s">
        <v>244</v>
      </c>
      <c r="M443" s="58" t="s">
        <v>1132</v>
      </c>
      <c r="N443" s="54" t="s">
        <v>246</v>
      </c>
      <c r="O443" s="59">
        <v>46139</v>
      </c>
      <c r="P443" s="74">
        <f t="shared" si="0"/>
        <v>46146</v>
      </c>
      <c r="Q443" s="57"/>
      <c r="R443" s="61" t="s">
        <v>757</v>
      </c>
      <c r="S443" s="61" t="s">
        <v>31</v>
      </c>
    </row>
    <row r="444" spans="2:19" s="62" customFormat="1" outlineLevel="1" x14ac:dyDescent="0.25">
      <c r="B444" s="53"/>
      <c r="C444" s="58">
        <v>491</v>
      </c>
      <c r="D444" s="54" t="s">
        <v>247</v>
      </c>
      <c r="E444" s="64" t="s">
        <v>758</v>
      </c>
      <c r="F444" s="64" t="s">
        <v>248</v>
      </c>
      <c r="G444" s="63">
        <v>1</v>
      </c>
      <c r="H444" s="57" t="s">
        <v>61</v>
      </c>
      <c r="I444" s="54" t="s">
        <v>532</v>
      </c>
      <c r="J444" s="54" t="s">
        <v>533</v>
      </c>
      <c r="K444" s="53" t="s">
        <v>534</v>
      </c>
      <c r="L444" s="54" t="s">
        <v>252</v>
      </c>
      <c r="M444" s="58" t="s">
        <v>535</v>
      </c>
      <c r="N444" s="54" t="s">
        <v>254</v>
      </c>
      <c r="O444" s="59">
        <v>46119</v>
      </c>
      <c r="P444" s="74">
        <f t="shared" si="0"/>
        <v>46126</v>
      </c>
      <c r="Q444" s="57"/>
      <c r="R444" s="61" t="s">
        <v>757</v>
      </c>
      <c r="S444" s="61" t="s">
        <v>84</v>
      </c>
    </row>
    <row r="445" spans="2:19" s="62" customFormat="1" ht="30" customHeight="1" outlineLevel="1" x14ac:dyDescent="0.25">
      <c r="B445" s="53"/>
      <c r="C445" s="58">
        <v>492</v>
      </c>
      <c r="D445" s="54" t="s">
        <v>255</v>
      </c>
      <c r="E445" s="64" t="s">
        <v>758</v>
      </c>
      <c r="F445" s="64" t="s">
        <v>256</v>
      </c>
      <c r="G445" s="63">
        <v>2</v>
      </c>
      <c r="H445" s="57" t="s">
        <v>61</v>
      </c>
      <c r="I445" s="54" t="s">
        <v>257</v>
      </c>
      <c r="J445" s="54" t="s">
        <v>258</v>
      </c>
      <c r="K445" s="54" t="s">
        <v>259</v>
      </c>
      <c r="L445" s="54" t="s">
        <v>260</v>
      </c>
      <c r="M445" s="58" t="s">
        <v>847</v>
      </c>
      <c r="N445" s="54" t="s">
        <v>262</v>
      </c>
      <c r="O445" s="59">
        <v>46119</v>
      </c>
      <c r="P445" s="74">
        <f t="shared" si="0"/>
        <v>46126</v>
      </c>
      <c r="Q445" s="57"/>
      <c r="R445" s="61" t="s">
        <v>757</v>
      </c>
      <c r="S445" s="61" t="s">
        <v>84</v>
      </c>
    </row>
    <row r="446" spans="2:19" s="62" customFormat="1" outlineLevel="1" x14ac:dyDescent="0.25">
      <c r="B446" s="53"/>
      <c r="C446" s="58">
        <v>493</v>
      </c>
      <c r="D446" s="54" t="s">
        <v>706</v>
      </c>
      <c r="E446" s="64" t="s">
        <v>758</v>
      </c>
      <c r="F446" s="64" t="s">
        <v>707</v>
      </c>
      <c r="G446" s="63">
        <v>1</v>
      </c>
      <c r="H446" s="57" t="s">
        <v>111</v>
      </c>
      <c r="I446" s="54" t="s">
        <v>708</v>
      </c>
      <c r="J446" s="54" t="s">
        <v>709</v>
      </c>
      <c r="K446" s="54" t="s">
        <v>710</v>
      </c>
      <c r="L446" s="54" t="s">
        <v>711</v>
      </c>
      <c r="M446" s="58" t="s">
        <v>712</v>
      </c>
      <c r="N446" s="54" t="s">
        <v>713</v>
      </c>
      <c r="O446" s="59">
        <v>46139</v>
      </c>
      <c r="P446" s="74">
        <f t="shared" si="0"/>
        <v>46146</v>
      </c>
      <c r="Q446" s="57"/>
      <c r="R446" s="61" t="s">
        <v>757</v>
      </c>
      <c r="S446" s="61" t="s">
        <v>84</v>
      </c>
    </row>
    <row r="447" spans="2:19" s="62" customFormat="1" outlineLevel="1" x14ac:dyDescent="0.25">
      <c r="B447" s="53"/>
      <c r="C447" s="58">
        <v>494</v>
      </c>
      <c r="D447" s="54" t="s">
        <v>302</v>
      </c>
      <c r="E447" s="64" t="s">
        <v>758</v>
      </c>
      <c r="F447" s="64" t="s">
        <v>303</v>
      </c>
      <c r="G447" s="63">
        <v>1</v>
      </c>
      <c r="H447" s="57" t="s">
        <v>61</v>
      </c>
      <c r="I447" s="54" t="s">
        <v>304</v>
      </c>
      <c r="J447" s="54" t="s">
        <v>305</v>
      </c>
      <c r="K447" s="54" t="s">
        <v>306</v>
      </c>
      <c r="L447" s="54" t="s">
        <v>307</v>
      </c>
      <c r="M447" s="58" t="s">
        <v>759</v>
      </c>
      <c r="N447" s="54" t="s">
        <v>309</v>
      </c>
      <c r="O447" s="59">
        <v>46119</v>
      </c>
      <c r="P447" s="74">
        <f t="shared" si="0"/>
        <v>46126</v>
      </c>
      <c r="Q447" s="57"/>
      <c r="R447" s="61" t="s">
        <v>757</v>
      </c>
      <c r="S447" s="61" t="s">
        <v>84</v>
      </c>
    </row>
    <row r="448" spans="2:19" s="62" customFormat="1" outlineLevel="1" x14ac:dyDescent="0.25">
      <c r="B448" s="53"/>
      <c r="C448" s="58">
        <v>495</v>
      </c>
      <c r="D448" s="54" t="s">
        <v>310</v>
      </c>
      <c r="E448" s="64" t="s">
        <v>758</v>
      </c>
      <c r="F448" s="64" t="s">
        <v>311</v>
      </c>
      <c r="G448" s="63">
        <v>3</v>
      </c>
      <c r="H448" s="57" t="s">
        <v>152</v>
      </c>
      <c r="I448" s="54" t="s">
        <v>312</v>
      </c>
      <c r="J448" s="54" t="s">
        <v>313</v>
      </c>
      <c r="K448" s="54" t="s">
        <v>314</v>
      </c>
      <c r="L448" s="54" t="s">
        <v>315</v>
      </c>
      <c r="M448" s="58" t="s">
        <v>316</v>
      </c>
      <c r="N448" s="54" t="s">
        <v>317</v>
      </c>
      <c r="O448" s="59">
        <v>46139</v>
      </c>
      <c r="P448" s="74">
        <f t="shared" si="0"/>
        <v>46146</v>
      </c>
      <c r="Q448" s="57"/>
      <c r="R448" s="61" t="s">
        <v>757</v>
      </c>
      <c r="S448" s="61" t="s">
        <v>31</v>
      </c>
    </row>
    <row r="449" spans="2:19" s="62" customFormat="1" outlineLevel="1" x14ac:dyDescent="0.25">
      <c r="B449" s="53"/>
      <c r="C449" s="58">
        <v>496</v>
      </c>
      <c r="D449" s="54" t="s">
        <v>318</v>
      </c>
      <c r="E449" s="64" t="s">
        <v>758</v>
      </c>
      <c r="F449" s="64" t="s">
        <v>319</v>
      </c>
      <c r="G449" s="63">
        <v>2</v>
      </c>
      <c r="H449" s="57" t="s">
        <v>111</v>
      </c>
      <c r="I449" s="54" t="s">
        <v>320</v>
      </c>
      <c r="J449" s="54" t="s">
        <v>321</v>
      </c>
      <c r="K449" s="54" t="s">
        <v>322</v>
      </c>
      <c r="L449" s="54" t="s">
        <v>323</v>
      </c>
      <c r="M449" s="58" t="s">
        <v>324</v>
      </c>
      <c r="N449" s="54" t="s">
        <v>325</v>
      </c>
      <c r="O449" s="59">
        <v>46139</v>
      </c>
      <c r="P449" s="74">
        <f t="shared" si="0"/>
        <v>46146</v>
      </c>
      <c r="Q449" s="57"/>
      <c r="R449" s="61" t="s">
        <v>757</v>
      </c>
      <c r="S449" s="61" t="s">
        <v>84</v>
      </c>
    </row>
    <row r="450" spans="2:19" s="62" customFormat="1" outlineLevel="1" x14ac:dyDescent="0.25">
      <c r="B450" s="53"/>
      <c r="C450" s="58">
        <v>497</v>
      </c>
      <c r="D450" s="54" t="s">
        <v>326</v>
      </c>
      <c r="E450" s="64" t="s">
        <v>758</v>
      </c>
      <c r="F450" s="64" t="s">
        <v>327</v>
      </c>
      <c r="G450" s="63">
        <v>2</v>
      </c>
      <c r="H450" s="57" t="s">
        <v>152</v>
      </c>
      <c r="I450" s="54" t="s">
        <v>328</v>
      </c>
      <c r="J450" s="54" t="s">
        <v>329</v>
      </c>
      <c r="K450" s="54" t="s">
        <v>330</v>
      </c>
      <c r="L450" s="54" t="s">
        <v>331</v>
      </c>
      <c r="M450" s="58" t="s">
        <v>332</v>
      </c>
      <c r="N450" s="54" t="s">
        <v>333</v>
      </c>
      <c r="O450" s="59">
        <v>46139</v>
      </c>
      <c r="P450" s="74">
        <f t="shared" si="0"/>
        <v>46146</v>
      </c>
      <c r="Q450" s="57"/>
      <c r="R450" s="61" t="s">
        <v>757</v>
      </c>
      <c r="S450" s="61" t="s">
        <v>31</v>
      </c>
    </row>
    <row r="451" spans="2:19" s="62" customFormat="1" outlineLevel="1" x14ac:dyDescent="0.25">
      <c r="B451" s="53"/>
      <c r="C451" s="58">
        <v>498</v>
      </c>
      <c r="D451" s="54" t="s">
        <v>334</v>
      </c>
      <c r="E451" s="64" t="s">
        <v>758</v>
      </c>
      <c r="F451" s="64" t="s">
        <v>335</v>
      </c>
      <c r="G451" s="63">
        <v>1</v>
      </c>
      <c r="H451" s="57" t="s">
        <v>61</v>
      </c>
      <c r="I451" s="54" t="s">
        <v>336</v>
      </c>
      <c r="J451" s="54" t="s">
        <v>337</v>
      </c>
      <c r="K451" s="54" t="s">
        <v>338</v>
      </c>
      <c r="L451" s="54" t="s">
        <v>339</v>
      </c>
      <c r="M451" s="58" t="s">
        <v>543</v>
      </c>
      <c r="N451" s="54" t="s">
        <v>341</v>
      </c>
      <c r="O451" s="59">
        <v>46119</v>
      </c>
      <c r="P451" s="74">
        <f t="shared" si="0"/>
        <v>46126</v>
      </c>
      <c r="Q451" s="57"/>
      <c r="R451" s="61" t="s">
        <v>757</v>
      </c>
      <c r="S451" s="61" t="s">
        <v>84</v>
      </c>
    </row>
    <row r="452" spans="2:19" s="62" customFormat="1" outlineLevel="1" x14ac:dyDescent="0.25">
      <c r="B452" s="53"/>
      <c r="C452" s="58">
        <v>499</v>
      </c>
      <c r="D452" s="54" t="s">
        <v>350</v>
      </c>
      <c r="E452" s="64" t="s">
        <v>758</v>
      </c>
      <c r="F452" s="64" t="s">
        <v>351</v>
      </c>
      <c r="G452" s="63">
        <v>3</v>
      </c>
      <c r="H452" s="57" t="s">
        <v>152</v>
      </c>
      <c r="I452" s="54" t="s">
        <v>352</v>
      </c>
      <c r="J452" s="54" t="s">
        <v>353</v>
      </c>
      <c r="K452" s="54" t="s">
        <v>354</v>
      </c>
      <c r="L452" s="54" t="s">
        <v>355</v>
      </c>
      <c r="M452" s="58" t="s">
        <v>355</v>
      </c>
      <c r="N452" s="54" t="s">
        <v>356</v>
      </c>
      <c r="O452" s="59">
        <v>46139</v>
      </c>
      <c r="P452" s="74">
        <f t="shared" si="0"/>
        <v>46146</v>
      </c>
      <c r="Q452" s="57"/>
      <c r="R452" s="61" t="s">
        <v>757</v>
      </c>
      <c r="S452" s="61" t="s">
        <v>84</v>
      </c>
    </row>
    <row r="453" spans="2:19" s="62" customFormat="1" outlineLevel="1" x14ac:dyDescent="0.25">
      <c r="B453" s="53"/>
      <c r="C453" s="58">
        <v>500</v>
      </c>
      <c r="D453" s="54" t="s">
        <v>802</v>
      </c>
      <c r="E453" s="64" t="s">
        <v>758</v>
      </c>
      <c r="F453" s="64" t="s">
        <v>803</v>
      </c>
      <c r="G453" s="63">
        <v>4</v>
      </c>
      <c r="H453" s="57" t="s">
        <v>804</v>
      </c>
      <c r="I453" s="54" t="s">
        <v>805</v>
      </c>
      <c r="J453" s="54" t="s">
        <v>806</v>
      </c>
      <c r="K453" s="53" t="s">
        <v>807</v>
      </c>
      <c r="L453" s="54" t="s">
        <v>808</v>
      </c>
      <c r="M453" s="58" t="s">
        <v>809</v>
      </c>
      <c r="N453" s="54" t="s">
        <v>810</v>
      </c>
      <c r="O453" s="59">
        <v>46139</v>
      </c>
      <c r="P453" s="74">
        <f t="shared" si="0"/>
        <v>46146</v>
      </c>
      <c r="Q453" s="57"/>
      <c r="R453" s="61" t="s">
        <v>757</v>
      </c>
      <c r="S453" s="61" t="s">
        <v>84</v>
      </c>
    </row>
    <row r="454" spans="2:19" s="62" customFormat="1" outlineLevel="1" x14ac:dyDescent="0.25">
      <c r="B454" s="53"/>
      <c r="C454" s="58">
        <v>501</v>
      </c>
      <c r="D454" s="54" t="s">
        <v>366</v>
      </c>
      <c r="E454" s="64" t="s">
        <v>758</v>
      </c>
      <c r="F454" s="64" t="s">
        <v>367</v>
      </c>
      <c r="G454" s="63">
        <v>2</v>
      </c>
      <c r="H454" s="57" t="s">
        <v>368</v>
      </c>
      <c r="I454" s="54" t="s">
        <v>369</v>
      </c>
      <c r="J454" s="54" t="s">
        <v>370</v>
      </c>
      <c r="K454" s="54" t="s">
        <v>371</v>
      </c>
      <c r="L454" s="54" t="s">
        <v>372</v>
      </c>
      <c r="M454" s="58" t="s">
        <v>682</v>
      </c>
      <c r="N454" s="54" t="s">
        <v>374</v>
      </c>
      <c r="O454" s="59">
        <v>46139</v>
      </c>
      <c r="P454" s="74">
        <f t="shared" si="0"/>
        <v>46146</v>
      </c>
      <c r="Q454" s="57"/>
      <c r="R454" s="61" t="s">
        <v>757</v>
      </c>
      <c r="S454" s="61" t="s">
        <v>84</v>
      </c>
    </row>
    <row r="455" spans="2:19" s="62" customFormat="1" outlineLevel="1" x14ac:dyDescent="0.25">
      <c r="B455" s="53"/>
      <c r="C455" s="58">
        <v>502</v>
      </c>
      <c r="D455" s="54" t="s">
        <v>375</v>
      </c>
      <c r="E455" s="64" t="s">
        <v>758</v>
      </c>
      <c r="F455" s="64" t="s">
        <v>376</v>
      </c>
      <c r="G455" s="63">
        <v>1</v>
      </c>
      <c r="H455" s="57" t="s">
        <v>111</v>
      </c>
      <c r="I455" s="54" t="s">
        <v>1039</v>
      </c>
      <c r="J455" s="54" t="s">
        <v>1040</v>
      </c>
      <c r="K455" s="54" t="s">
        <v>1041</v>
      </c>
      <c r="L455" s="54" t="s">
        <v>380</v>
      </c>
      <c r="M455" s="58" t="s">
        <v>1042</v>
      </c>
      <c r="N455" s="54" t="s">
        <v>382</v>
      </c>
      <c r="O455" s="59">
        <v>46139</v>
      </c>
      <c r="P455" s="74">
        <f t="shared" si="0"/>
        <v>46146</v>
      </c>
      <c r="Q455" s="57"/>
      <c r="R455" s="61" t="s">
        <v>757</v>
      </c>
      <c r="S455" s="61" t="s">
        <v>31</v>
      </c>
    </row>
    <row r="456" spans="2:19" s="62" customFormat="1" outlineLevel="1" x14ac:dyDescent="0.25">
      <c r="B456" s="53"/>
      <c r="C456" s="58">
        <v>503</v>
      </c>
      <c r="D456" s="54" t="s">
        <v>391</v>
      </c>
      <c r="E456" s="64" t="s">
        <v>758</v>
      </c>
      <c r="F456" s="64" t="s">
        <v>392</v>
      </c>
      <c r="G456" s="63">
        <v>2</v>
      </c>
      <c r="H456" s="57" t="s">
        <v>111</v>
      </c>
      <c r="I456" s="54" t="s">
        <v>393</v>
      </c>
      <c r="J456" s="54" t="s">
        <v>394</v>
      </c>
      <c r="K456" s="54" t="s">
        <v>395</v>
      </c>
      <c r="L456" s="54" t="s">
        <v>396</v>
      </c>
      <c r="M456" s="58" t="s">
        <v>397</v>
      </c>
      <c r="N456" s="54" t="s">
        <v>398</v>
      </c>
      <c r="O456" s="59">
        <v>46139</v>
      </c>
      <c r="P456" s="74">
        <f t="shared" si="0"/>
        <v>46146</v>
      </c>
      <c r="Q456" s="57"/>
      <c r="R456" s="61" t="s">
        <v>757</v>
      </c>
      <c r="S456" s="61" t="s">
        <v>84</v>
      </c>
    </row>
    <row r="457" spans="2:19" s="62" customFormat="1" outlineLevel="1" x14ac:dyDescent="0.25">
      <c r="B457" s="53"/>
      <c r="C457" s="58">
        <v>504</v>
      </c>
      <c r="D457" s="54" t="s">
        <v>424</v>
      </c>
      <c r="E457" s="64" t="s">
        <v>758</v>
      </c>
      <c r="F457" s="64" t="s">
        <v>425</v>
      </c>
      <c r="G457" s="63">
        <v>2</v>
      </c>
      <c r="H457" s="57" t="s">
        <v>111</v>
      </c>
      <c r="I457" s="54" t="s">
        <v>426</v>
      </c>
      <c r="J457" s="54" t="s">
        <v>427</v>
      </c>
      <c r="K457" s="54" t="s">
        <v>428</v>
      </c>
      <c r="L457" s="54" t="s">
        <v>429</v>
      </c>
      <c r="M457" s="58" t="s">
        <v>429</v>
      </c>
      <c r="N457" s="54" t="s">
        <v>430</v>
      </c>
      <c r="O457" s="59">
        <v>46139</v>
      </c>
      <c r="P457" s="74">
        <f t="shared" si="0"/>
        <v>46146</v>
      </c>
      <c r="Q457" s="57"/>
      <c r="R457" s="61" t="s">
        <v>757</v>
      </c>
      <c r="S457" s="61" t="s">
        <v>84</v>
      </c>
    </row>
    <row r="458" spans="2:19" s="62" customFormat="1" outlineLevel="1" x14ac:dyDescent="0.25">
      <c r="B458" s="53"/>
      <c r="C458" s="58">
        <v>505</v>
      </c>
      <c r="D458" s="54" t="s">
        <v>544</v>
      </c>
      <c r="E458" s="64" t="s">
        <v>758</v>
      </c>
      <c r="F458" s="64" t="s">
        <v>545</v>
      </c>
      <c r="G458" s="63">
        <v>3</v>
      </c>
      <c r="H458" s="57" t="s">
        <v>24</v>
      </c>
      <c r="I458" s="54" t="s">
        <v>546</v>
      </c>
      <c r="J458" s="54" t="s">
        <v>547</v>
      </c>
      <c r="K458" s="54" t="s">
        <v>548</v>
      </c>
      <c r="L458" s="54" t="s">
        <v>549</v>
      </c>
      <c r="M458" s="58" t="s">
        <v>550</v>
      </c>
      <c r="N458" s="54" t="s">
        <v>551</v>
      </c>
      <c r="O458" s="59">
        <v>46139</v>
      </c>
      <c r="P458" s="74">
        <f t="shared" si="0"/>
        <v>46146</v>
      </c>
      <c r="Q458" s="57"/>
      <c r="R458" s="61" t="s">
        <v>757</v>
      </c>
      <c r="S458" s="61" t="s">
        <v>31</v>
      </c>
    </row>
    <row r="459" spans="2:19" s="62" customFormat="1" ht="30" customHeight="1" outlineLevel="1" x14ac:dyDescent="0.25">
      <c r="B459" s="53"/>
      <c r="C459" s="58">
        <v>506</v>
      </c>
      <c r="D459" s="54" t="s">
        <v>439</v>
      </c>
      <c r="E459" s="64" t="s">
        <v>758</v>
      </c>
      <c r="F459" s="64" t="s">
        <v>440</v>
      </c>
      <c r="G459" s="63">
        <v>1</v>
      </c>
      <c r="H459" s="57" t="s">
        <v>152</v>
      </c>
      <c r="I459" s="54" t="s">
        <v>441</v>
      </c>
      <c r="J459" s="54" t="s">
        <v>442</v>
      </c>
      <c r="K459" s="54" t="s">
        <v>443</v>
      </c>
      <c r="L459" s="54" t="s">
        <v>444</v>
      </c>
      <c r="M459" s="58" t="s">
        <v>570</v>
      </c>
      <c r="N459" s="54" t="s">
        <v>446</v>
      </c>
      <c r="O459" s="59">
        <v>46139</v>
      </c>
      <c r="P459" s="74">
        <f t="shared" si="0"/>
        <v>46146</v>
      </c>
      <c r="Q459" s="57"/>
      <c r="R459" s="61" t="s">
        <v>757</v>
      </c>
      <c r="S459" s="61" t="s">
        <v>31</v>
      </c>
    </row>
    <row r="460" spans="2:19" s="62" customFormat="1" outlineLevel="1" x14ac:dyDescent="0.25">
      <c r="B460" s="53"/>
      <c r="C460" s="58">
        <v>507</v>
      </c>
      <c r="D460" s="54" t="s">
        <v>455</v>
      </c>
      <c r="E460" s="64" t="s">
        <v>758</v>
      </c>
      <c r="F460" s="64" t="s">
        <v>456</v>
      </c>
      <c r="G460" s="63">
        <v>6</v>
      </c>
      <c r="H460" s="57" t="s">
        <v>111</v>
      </c>
      <c r="I460" s="54" t="s">
        <v>457</v>
      </c>
      <c r="J460" s="54" t="s">
        <v>458</v>
      </c>
      <c r="K460" s="54" t="s">
        <v>459</v>
      </c>
      <c r="L460" s="54" t="s">
        <v>460</v>
      </c>
      <c r="M460" s="58" t="s">
        <v>461</v>
      </c>
      <c r="N460" s="54" t="s">
        <v>462</v>
      </c>
      <c r="O460" s="59">
        <v>46139</v>
      </c>
      <c r="P460" s="74">
        <f t="shared" si="0"/>
        <v>46146</v>
      </c>
      <c r="Q460" s="57"/>
      <c r="R460" s="61" t="s">
        <v>757</v>
      </c>
      <c r="S460" s="61" t="s">
        <v>84</v>
      </c>
    </row>
    <row r="461" spans="2:19" s="62" customFormat="1" outlineLevel="1" x14ac:dyDescent="0.25">
      <c r="B461" s="53"/>
      <c r="C461" s="58">
        <v>508</v>
      </c>
      <c r="D461" s="54" t="s">
        <v>463</v>
      </c>
      <c r="E461" s="64" t="s">
        <v>758</v>
      </c>
      <c r="F461" s="64" t="s">
        <v>464</v>
      </c>
      <c r="G461" s="63">
        <v>1</v>
      </c>
      <c r="H461" s="57" t="s">
        <v>152</v>
      </c>
      <c r="I461" s="54" t="s">
        <v>465</v>
      </c>
      <c r="J461" s="54" t="s">
        <v>466</v>
      </c>
      <c r="K461" s="54" t="s">
        <v>467</v>
      </c>
      <c r="L461" s="54" t="s">
        <v>468</v>
      </c>
      <c r="M461" s="58" t="s">
        <v>1133</v>
      </c>
      <c r="N461" s="54" t="s">
        <v>470</v>
      </c>
      <c r="O461" s="59">
        <v>46139</v>
      </c>
      <c r="P461" s="74">
        <f t="shared" si="0"/>
        <v>46146</v>
      </c>
      <c r="Q461" s="57"/>
      <c r="R461" s="61" t="s">
        <v>757</v>
      </c>
      <c r="S461" s="61" t="s">
        <v>31</v>
      </c>
    </row>
    <row r="462" spans="2:19" s="62" customFormat="1" outlineLevel="1" x14ac:dyDescent="0.25">
      <c r="B462" s="53"/>
      <c r="C462" s="58">
        <v>509</v>
      </c>
      <c r="D462" s="54" t="s">
        <v>760</v>
      </c>
      <c r="E462" s="64" t="s">
        <v>758</v>
      </c>
      <c r="F462" s="64" t="s">
        <v>761</v>
      </c>
      <c r="G462" s="63">
        <v>1</v>
      </c>
      <c r="H462" s="57" t="s">
        <v>61</v>
      </c>
      <c r="I462" s="54" t="s">
        <v>762</v>
      </c>
      <c r="J462" s="54" t="s">
        <v>763</v>
      </c>
      <c r="K462" s="54" t="s">
        <v>764</v>
      </c>
      <c r="L462" s="54" t="s">
        <v>765</v>
      </c>
      <c r="M462" s="58" t="s">
        <v>765</v>
      </c>
      <c r="N462" s="54" t="s">
        <v>766</v>
      </c>
      <c r="O462" s="59">
        <v>46119</v>
      </c>
      <c r="P462" s="74">
        <f t="shared" si="0"/>
        <v>46126</v>
      </c>
      <c r="Q462" s="57"/>
      <c r="R462" s="61" t="s">
        <v>757</v>
      </c>
      <c r="S462" s="61" t="s">
        <v>84</v>
      </c>
    </row>
    <row r="463" spans="2:19" s="62" customFormat="1" outlineLevel="1" x14ac:dyDescent="0.25">
      <c r="B463" s="53"/>
      <c r="C463" s="58">
        <v>510</v>
      </c>
      <c r="D463" s="54" t="s">
        <v>471</v>
      </c>
      <c r="E463" s="64" t="s">
        <v>758</v>
      </c>
      <c r="F463" s="64" t="s">
        <v>472</v>
      </c>
      <c r="G463" s="63">
        <v>1</v>
      </c>
      <c r="H463" s="57" t="s">
        <v>111</v>
      </c>
      <c r="I463" s="54" t="s">
        <v>473</v>
      </c>
      <c r="J463" s="54" t="s">
        <v>474</v>
      </c>
      <c r="K463" s="54" t="s">
        <v>475</v>
      </c>
      <c r="L463" s="54" t="s">
        <v>476</v>
      </c>
      <c r="M463" s="58" t="s">
        <v>476</v>
      </c>
      <c r="N463" s="54" t="s">
        <v>477</v>
      </c>
      <c r="O463" s="59">
        <v>46139</v>
      </c>
      <c r="P463" s="74">
        <f t="shared" si="0"/>
        <v>46146</v>
      </c>
      <c r="Q463" s="57"/>
      <c r="R463" s="61" t="s">
        <v>757</v>
      </c>
      <c r="S463" s="61" t="s">
        <v>84</v>
      </c>
    </row>
    <row r="464" spans="2:19" s="62" customFormat="1" ht="45" customHeight="1" outlineLevel="1" x14ac:dyDescent="0.25">
      <c r="B464" s="53"/>
      <c r="C464" s="58" t="s">
        <v>1134</v>
      </c>
      <c r="D464" s="54" t="s">
        <v>478</v>
      </c>
      <c r="E464" s="64" t="s">
        <v>758</v>
      </c>
      <c r="F464" s="64" t="s">
        <v>479</v>
      </c>
      <c r="G464" s="63">
        <v>5</v>
      </c>
      <c r="H464" s="57" t="s">
        <v>111</v>
      </c>
      <c r="I464" s="54" t="s">
        <v>1135</v>
      </c>
      <c r="J464" s="54" t="s">
        <v>1136</v>
      </c>
      <c r="K464" s="54" t="s">
        <v>1137</v>
      </c>
      <c r="L464" s="54" t="s">
        <v>483</v>
      </c>
      <c r="M464" s="58" t="s">
        <v>1138</v>
      </c>
      <c r="N464" s="54" t="s">
        <v>485</v>
      </c>
      <c r="O464" s="59">
        <v>46139</v>
      </c>
      <c r="P464" s="74">
        <f t="shared" si="0"/>
        <v>46146</v>
      </c>
      <c r="Q464" s="57"/>
      <c r="R464" s="61" t="s">
        <v>757</v>
      </c>
      <c r="S464" s="61" t="s">
        <v>84</v>
      </c>
    </row>
    <row r="465" spans="2:19" s="62" customFormat="1" outlineLevel="1" x14ac:dyDescent="0.25">
      <c r="B465" s="53"/>
      <c r="C465" s="58">
        <v>512</v>
      </c>
      <c r="D465" s="54" t="s">
        <v>611</v>
      </c>
      <c r="E465" s="64" t="s">
        <v>758</v>
      </c>
      <c r="F465" s="64" t="s">
        <v>612</v>
      </c>
      <c r="G465" s="63">
        <v>1</v>
      </c>
      <c r="H465" s="57" t="s">
        <v>24</v>
      </c>
      <c r="I465" s="54" t="s">
        <v>613</v>
      </c>
      <c r="J465" s="54" t="s">
        <v>614</v>
      </c>
      <c r="K465" s="54" t="s">
        <v>615</v>
      </c>
      <c r="L465" s="54" t="s">
        <v>616</v>
      </c>
      <c r="M465" s="58" t="s">
        <v>616</v>
      </c>
      <c r="N465" s="54" t="s">
        <v>617</v>
      </c>
      <c r="O465" s="59">
        <v>46139</v>
      </c>
      <c r="P465" s="74">
        <f t="shared" si="0"/>
        <v>46146</v>
      </c>
      <c r="Q465" s="57"/>
      <c r="R465" s="61" t="s">
        <v>757</v>
      </c>
      <c r="S465" s="61" t="s">
        <v>31</v>
      </c>
    </row>
    <row r="466" spans="2:19" s="33" customFormat="1" ht="30" customHeight="1" x14ac:dyDescent="0.25">
      <c r="B466" s="42"/>
      <c r="C466" s="40"/>
      <c r="D466" s="43"/>
      <c r="E466" s="28" t="s">
        <v>755</v>
      </c>
      <c r="F466" s="52"/>
      <c r="G466" s="32">
        <f>SUM(G467:G498)</f>
        <v>48</v>
      </c>
      <c r="H466" s="42"/>
      <c r="I466" s="42"/>
      <c r="J466" s="42"/>
      <c r="K466" s="42"/>
      <c r="L466" s="42"/>
      <c r="M466" s="40"/>
      <c r="N466" s="42"/>
      <c r="O466" s="42"/>
      <c r="P466" s="42">
        <f t="shared" si="0"/>
        <v>7</v>
      </c>
      <c r="Q466" s="42"/>
      <c r="R466" s="32" t="s">
        <v>757</v>
      </c>
      <c r="S466" s="42"/>
    </row>
    <row r="467" spans="2:19" s="62" customFormat="1" ht="54" customHeight="1" outlineLevel="1" x14ac:dyDescent="0.25">
      <c r="B467" s="53"/>
      <c r="C467" s="58" t="s">
        <v>820</v>
      </c>
      <c r="D467" s="54" t="s">
        <v>811</v>
      </c>
      <c r="E467" s="64" t="s">
        <v>755</v>
      </c>
      <c r="F467" s="64" t="s">
        <v>812</v>
      </c>
      <c r="G467" s="63">
        <v>6</v>
      </c>
      <c r="H467" s="57" t="s">
        <v>813</v>
      </c>
      <c r="I467" s="54" t="s">
        <v>814</v>
      </c>
      <c r="J467" s="54" t="s">
        <v>815</v>
      </c>
      <c r="K467" s="54" t="s">
        <v>816</v>
      </c>
      <c r="L467" s="54" t="s">
        <v>817</v>
      </c>
      <c r="M467" s="58" t="s">
        <v>821</v>
      </c>
      <c r="N467" s="54" t="s">
        <v>819</v>
      </c>
      <c r="O467" s="59">
        <v>46119</v>
      </c>
      <c r="P467" s="74"/>
      <c r="Q467" s="57"/>
      <c r="R467" s="61" t="s">
        <v>757</v>
      </c>
      <c r="S467" s="61" t="s">
        <v>84</v>
      </c>
    </row>
    <row r="468" spans="2:19" s="62" customFormat="1" outlineLevel="1" x14ac:dyDescent="0.25">
      <c r="B468" s="53"/>
      <c r="C468" s="58">
        <v>514</v>
      </c>
      <c r="D468" s="54" t="s">
        <v>34</v>
      </c>
      <c r="E468" s="64" t="s">
        <v>755</v>
      </c>
      <c r="F468" s="64" t="s">
        <v>35</v>
      </c>
      <c r="G468" s="63">
        <v>1</v>
      </c>
      <c r="H468" s="57" t="s">
        <v>36</v>
      </c>
      <c r="I468" s="54" t="s">
        <v>37</v>
      </c>
      <c r="J468" s="54" t="s">
        <v>38</v>
      </c>
      <c r="K468" s="54" t="s">
        <v>39</v>
      </c>
      <c r="L468" s="54" t="s">
        <v>40</v>
      </c>
      <c r="M468" s="58" t="s">
        <v>858</v>
      </c>
      <c r="N468" s="54" t="s">
        <v>42</v>
      </c>
      <c r="O468" s="59">
        <v>46139</v>
      </c>
      <c r="P468" s="74">
        <f t="shared" ref="P468:P498" si="1">O468+7</f>
        <v>46146</v>
      </c>
      <c r="Q468" s="57"/>
      <c r="R468" s="61" t="s">
        <v>757</v>
      </c>
      <c r="S468" s="61" t="s">
        <v>31</v>
      </c>
    </row>
    <row r="469" spans="2:19" s="62" customFormat="1" outlineLevel="1" x14ac:dyDescent="0.25">
      <c r="B469" s="53"/>
      <c r="C469" s="58">
        <v>515</v>
      </c>
      <c r="D469" s="54" t="s">
        <v>51</v>
      </c>
      <c r="E469" s="64" t="s">
        <v>755</v>
      </c>
      <c r="F469" s="64" t="s">
        <v>52</v>
      </c>
      <c r="G469" s="63">
        <v>2</v>
      </c>
      <c r="H469" s="57" t="s">
        <v>24</v>
      </c>
      <c r="I469" s="54" t="s">
        <v>53</v>
      </c>
      <c r="J469" s="54" t="s">
        <v>54</v>
      </c>
      <c r="K469" s="54" t="s">
        <v>55</v>
      </c>
      <c r="L469" s="54" t="s">
        <v>56</v>
      </c>
      <c r="M469" s="58" t="s">
        <v>57</v>
      </c>
      <c r="N469" s="54" t="s">
        <v>58</v>
      </c>
      <c r="O469" s="59">
        <v>46119</v>
      </c>
      <c r="P469" s="74">
        <f t="shared" si="1"/>
        <v>46126</v>
      </c>
      <c r="Q469" s="57"/>
      <c r="R469" s="61" t="s">
        <v>757</v>
      </c>
      <c r="S469" s="61" t="s">
        <v>31</v>
      </c>
    </row>
    <row r="470" spans="2:19" s="62" customFormat="1" outlineLevel="1" x14ac:dyDescent="0.25">
      <c r="B470" s="53"/>
      <c r="C470" s="58">
        <v>516</v>
      </c>
      <c r="D470" s="54" t="s">
        <v>1079</v>
      </c>
      <c r="E470" s="64" t="s">
        <v>755</v>
      </c>
      <c r="F470" s="64" t="s">
        <v>918</v>
      </c>
      <c r="G470" s="63">
        <v>2</v>
      </c>
      <c r="H470" s="57" t="s">
        <v>152</v>
      </c>
      <c r="I470" s="54" t="s">
        <v>1080</v>
      </c>
      <c r="J470" s="54" t="s">
        <v>1081</v>
      </c>
      <c r="K470" s="54" t="s">
        <v>1082</v>
      </c>
      <c r="L470" s="54" t="s">
        <v>1083</v>
      </c>
      <c r="M470" s="58" t="s">
        <v>1084</v>
      </c>
      <c r="N470" s="54" t="s">
        <v>1085</v>
      </c>
      <c r="O470" s="59">
        <v>46139</v>
      </c>
      <c r="P470" s="74">
        <f t="shared" si="1"/>
        <v>46146</v>
      </c>
      <c r="Q470" s="57"/>
      <c r="R470" s="61" t="s">
        <v>757</v>
      </c>
      <c r="S470" s="61" t="s">
        <v>84</v>
      </c>
    </row>
    <row r="471" spans="2:19" s="62" customFormat="1" outlineLevel="1" x14ac:dyDescent="0.25">
      <c r="B471" s="53"/>
      <c r="C471" s="58">
        <v>517</v>
      </c>
      <c r="D471" s="54" t="s">
        <v>782</v>
      </c>
      <c r="E471" s="64" t="s">
        <v>755</v>
      </c>
      <c r="F471" s="64" t="s">
        <v>783</v>
      </c>
      <c r="G471" s="63">
        <v>1</v>
      </c>
      <c r="H471" s="57" t="s">
        <v>784</v>
      </c>
      <c r="I471" s="54" t="s">
        <v>785</v>
      </c>
      <c r="J471" s="54" t="s">
        <v>786</v>
      </c>
      <c r="K471" s="54" t="s">
        <v>787</v>
      </c>
      <c r="L471" s="54" t="s">
        <v>788</v>
      </c>
      <c r="M471" s="58" t="s">
        <v>789</v>
      </c>
      <c r="N471" s="54" t="s">
        <v>790</v>
      </c>
      <c r="O471" s="59">
        <v>46119</v>
      </c>
      <c r="P471" s="74">
        <f t="shared" si="1"/>
        <v>46126</v>
      </c>
      <c r="Q471" s="57"/>
      <c r="R471" s="61" t="s">
        <v>757</v>
      </c>
      <c r="S471" s="61" t="s">
        <v>31</v>
      </c>
    </row>
    <row r="472" spans="2:19" s="62" customFormat="1" outlineLevel="1" x14ac:dyDescent="0.25">
      <c r="B472" s="53"/>
      <c r="C472" s="58">
        <v>518</v>
      </c>
      <c r="D472" s="54" t="s">
        <v>59</v>
      </c>
      <c r="E472" s="64" t="s">
        <v>755</v>
      </c>
      <c r="F472" s="64" t="s">
        <v>60</v>
      </c>
      <c r="G472" s="63">
        <v>1</v>
      </c>
      <c r="H472" s="57" t="s">
        <v>61</v>
      </c>
      <c r="I472" s="54" t="s">
        <v>62</v>
      </c>
      <c r="J472" s="54" t="s">
        <v>63</v>
      </c>
      <c r="K472" s="54" t="s">
        <v>64</v>
      </c>
      <c r="L472" s="54" t="s">
        <v>65</v>
      </c>
      <c r="M472" s="58" t="s">
        <v>66</v>
      </c>
      <c r="N472" s="54" t="s">
        <v>67</v>
      </c>
      <c r="O472" s="59">
        <v>46119</v>
      </c>
      <c r="P472" s="74">
        <f t="shared" si="1"/>
        <v>46126</v>
      </c>
      <c r="Q472" s="57"/>
      <c r="R472" s="61" t="s">
        <v>757</v>
      </c>
      <c r="S472" s="61" t="s">
        <v>31</v>
      </c>
    </row>
    <row r="473" spans="2:19" s="62" customFormat="1" ht="30" customHeight="1" outlineLevel="1" x14ac:dyDescent="0.25">
      <c r="B473" s="53"/>
      <c r="C473" s="58">
        <v>519</v>
      </c>
      <c r="D473" s="54" t="s">
        <v>68</v>
      </c>
      <c r="E473" s="64" t="s">
        <v>755</v>
      </c>
      <c r="F473" s="64" t="s">
        <v>69</v>
      </c>
      <c r="G473" s="63">
        <v>2</v>
      </c>
      <c r="H473" s="57" t="s">
        <v>61</v>
      </c>
      <c r="I473" s="54" t="s">
        <v>839</v>
      </c>
      <c r="J473" s="54" t="s">
        <v>840</v>
      </c>
      <c r="K473" s="54" t="s">
        <v>841</v>
      </c>
      <c r="L473" s="54" t="s">
        <v>73</v>
      </c>
      <c r="M473" s="58" t="s">
        <v>842</v>
      </c>
      <c r="N473" s="54" t="s">
        <v>74</v>
      </c>
      <c r="O473" s="59">
        <v>46119</v>
      </c>
      <c r="P473" s="74">
        <f t="shared" si="1"/>
        <v>46126</v>
      </c>
      <c r="Q473" s="57"/>
      <c r="R473" s="61" t="s">
        <v>757</v>
      </c>
      <c r="S473" s="61" t="s">
        <v>31</v>
      </c>
    </row>
    <row r="474" spans="2:19" s="62" customFormat="1" ht="30" customHeight="1" outlineLevel="1" x14ac:dyDescent="0.25">
      <c r="B474" s="53"/>
      <c r="C474" s="58">
        <v>520</v>
      </c>
      <c r="D474" s="54" t="s">
        <v>75</v>
      </c>
      <c r="E474" s="64" t="s">
        <v>755</v>
      </c>
      <c r="F474" s="64" t="s">
        <v>76</v>
      </c>
      <c r="G474" s="63">
        <v>1</v>
      </c>
      <c r="H474" s="57" t="s">
        <v>77</v>
      </c>
      <c r="I474" s="54" t="s">
        <v>833</v>
      </c>
      <c r="J474" s="54" t="s">
        <v>834</v>
      </c>
      <c r="K474" s="54" t="s">
        <v>835</v>
      </c>
      <c r="L474" s="54" t="s">
        <v>81</v>
      </c>
      <c r="M474" s="58" t="s">
        <v>836</v>
      </c>
      <c r="N474" s="54" t="s">
        <v>83</v>
      </c>
      <c r="O474" s="59">
        <v>46119</v>
      </c>
      <c r="P474" s="74">
        <f t="shared" si="1"/>
        <v>46126</v>
      </c>
      <c r="Q474" s="57"/>
      <c r="R474" s="61" t="s">
        <v>757</v>
      </c>
      <c r="S474" s="61" t="s">
        <v>84</v>
      </c>
    </row>
    <row r="475" spans="2:19" s="62" customFormat="1" outlineLevel="1" x14ac:dyDescent="0.25">
      <c r="B475" s="53"/>
      <c r="C475" s="58">
        <v>521</v>
      </c>
      <c r="D475" s="54" t="s">
        <v>94</v>
      </c>
      <c r="E475" s="64" t="s">
        <v>755</v>
      </c>
      <c r="F475" s="64" t="s">
        <v>95</v>
      </c>
      <c r="G475" s="63">
        <v>1</v>
      </c>
      <c r="H475" s="57" t="s">
        <v>36</v>
      </c>
      <c r="I475" s="54" t="s">
        <v>96</v>
      </c>
      <c r="J475" s="54" t="s">
        <v>97</v>
      </c>
      <c r="K475" s="54" t="s">
        <v>98</v>
      </c>
      <c r="L475" s="54" t="s">
        <v>99</v>
      </c>
      <c r="M475" s="58" t="s">
        <v>100</v>
      </c>
      <c r="N475" s="54" t="s">
        <v>101</v>
      </c>
      <c r="O475" s="59">
        <v>46139</v>
      </c>
      <c r="P475" s="74">
        <f t="shared" si="1"/>
        <v>46146</v>
      </c>
      <c r="Q475" s="57"/>
      <c r="R475" s="61" t="s">
        <v>757</v>
      </c>
      <c r="S475" s="61" t="s">
        <v>31</v>
      </c>
    </row>
    <row r="476" spans="2:19" s="62" customFormat="1" outlineLevel="1" x14ac:dyDescent="0.25">
      <c r="B476" s="53"/>
      <c r="C476" s="58">
        <v>522</v>
      </c>
      <c r="D476" s="54" t="s">
        <v>618</v>
      </c>
      <c r="E476" s="64" t="s">
        <v>755</v>
      </c>
      <c r="F476" s="64" t="s">
        <v>619</v>
      </c>
      <c r="G476" s="63">
        <v>2</v>
      </c>
      <c r="H476" s="57" t="s">
        <v>61</v>
      </c>
      <c r="I476" s="54" t="s">
        <v>620</v>
      </c>
      <c r="J476" s="54" t="s">
        <v>621</v>
      </c>
      <c r="K476" s="54" t="s">
        <v>622</v>
      </c>
      <c r="L476" s="54" t="s">
        <v>623</v>
      </c>
      <c r="M476" s="58" t="s">
        <v>624</v>
      </c>
      <c r="N476" s="54" t="s">
        <v>625</v>
      </c>
      <c r="O476" s="59">
        <v>46119</v>
      </c>
      <c r="P476" s="74">
        <f t="shared" si="1"/>
        <v>46126</v>
      </c>
      <c r="Q476" s="57"/>
      <c r="R476" s="61" t="s">
        <v>757</v>
      </c>
      <c r="S476" s="61" t="s">
        <v>31</v>
      </c>
    </row>
    <row r="477" spans="2:19" s="62" customFormat="1" outlineLevel="1" x14ac:dyDescent="0.25">
      <c r="B477" s="53"/>
      <c r="C477" s="58">
        <v>523</v>
      </c>
      <c r="D477" s="54" t="s">
        <v>142</v>
      </c>
      <c r="E477" s="64" t="s">
        <v>755</v>
      </c>
      <c r="F477" s="64" t="s">
        <v>143</v>
      </c>
      <c r="G477" s="63">
        <v>1</v>
      </c>
      <c r="H477" s="57" t="s">
        <v>61</v>
      </c>
      <c r="I477" s="54" t="s">
        <v>144</v>
      </c>
      <c r="J477" s="54" t="s">
        <v>145</v>
      </c>
      <c r="K477" s="54" t="s">
        <v>146</v>
      </c>
      <c r="L477" s="54" t="s">
        <v>147</v>
      </c>
      <c r="M477" s="58" t="s">
        <v>148</v>
      </c>
      <c r="N477" s="54" t="s">
        <v>149</v>
      </c>
      <c r="O477" s="59">
        <v>46119</v>
      </c>
      <c r="P477" s="74">
        <f t="shared" si="1"/>
        <v>46126</v>
      </c>
      <c r="Q477" s="57"/>
      <c r="R477" s="61" t="s">
        <v>757</v>
      </c>
      <c r="S477" s="61" t="s">
        <v>84</v>
      </c>
    </row>
    <row r="478" spans="2:19" s="62" customFormat="1" outlineLevel="1" x14ac:dyDescent="0.25">
      <c r="B478" s="53"/>
      <c r="C478" s="58">
        <v>524</v>
      </c>
      <c r="D478" s="54" t="s">
        <v>536</v>
      </c>
      <c r="E478" s="64" t="s">
        <v>755</v>
      </c>
      <c r="F478" s="64" t="s">
        <v>537</v>
      </c>
      <c r="G478" s="63">
        <v>2</v>
      </c>
      <c r="H478" s="57" t="s">
        <v>111</v>
      </c>
      <c r="I478" s="54" t="s">
        <v>538</v>
      </c>
      <c r="J478" s="54" t="s">
        <v>539</v>
      </c>
      <c r="K478" s="54" t="s">
        <v>540</v>
      </c>
      <c r="L478" s="54" t="s">
        <v>541</v>
      </c>
      <c r="M478" s="58" t="s">
        <v>541</v>
      </c>
      <c r="N478" s="54" t="s">
        <v>542</v>
      </c>
      <c r="O478" s="59">
        <v>46139</v>
      </c>
      <c r="P478" s="74">
        <f t="shared" si="1"/>
        <v>46146</v>
      </c>
      <c r="Q478" s="57"/>
      <c r="R478" s="61" t="s">
        <v>757</v>
      </c>
      <c r="S478" s="61" t="s">
        <v>84</v>
      </c>
    </row>
    <row r="479" spans="2:19" s="62" customFormat="1" outlineLevel="1" x14ac:dyDescent="0.25">
      <c r="B479" s="53"/>
      <c r="C479" s="58">
        <v>525</v>
      </c>
      <c r="D479" s="54" t="s">
        <v>150</v>
      </c>
      <c r="E479" s="64" t="s">
        <v>755</v>
      </c>
      <c r="F479" s="64" t="s">
        <v>151</v>
      </c>
      <c r="G479" s="63">
        <v>1</v>
      </c>
      <c r="H479" s="57" t="s">
        <v>152</v>
      </c>
      <c r="I479" s="54" t="s">
        <v>153</v>
      </c>
      <c r="J479" s="54" t="s">
        <v>154</v>
      </c>
      <c r="K479" s="54" t="s">
        <v>155</v>
      </c>
      <c r="L479" s="54" t="s">
        <v>156</v>
      </c>
      <c r="M479" s="58" t="s">
        <v>1114</v>
      </c>
      <c r="N479" s="54" t="s">
        <v>158</v>
      </c>
      <c r="O479" s="59">
        <v>46139</v>
      </c>
      <c r="P479" s="74">
        <f t="shared" si="1"/>
        <v>46146</v>
      </c>
      <c r="Q479" s="57"/>
      <c r="R479" s="61" t="s">
        <v>757</v>
      </c>
      <c r="S479" s="61" t="s">
        <v>84</v>
      </c>
    </row>
    <row r="480" spans="2:19" s="62" customFormat="1" outlineLevel="1" x14ac:dyDescent="0.25">
      <c r="B480" s="53"/>
      <c r="C480" s="58">
        <v>526</v>
      </c>
      <c r="D480" s="54" t="s">
        <v>159</v>
      </c>
      <c r="E480" s="64" t="s">
        <v>755</v>
      </c>
      <c r="F480" s="64" t="s">
        <v>160</v>
      </c>
      <c r="G480" s="63">
        <v>1</v>
      </c>
      <c r="H480" s="57" t="s">
        <v>61</v>
      </c>
      <c r="I480" s="54" t="s">
        <v>161</v>
      </c>
      <c r="J480" s="54" t="s">
        <v>162</v>
      </c>
      <c r="K480" s="54" t="s">
        <v>163</v>
      </c>
      <c r="L480" s="54" t="s">
        <v>164</v>
      </c>
      <c r="M480" s="58" t="s">
        <v>164</v>
      </c>
      <c r="N480" s="54" t="s">
        <v>165</v>
      </c>
      <c r="O480" s="59">
        <v>46119</v>
      </c>
      <c r="P480" s="74">
        <f t="shared" si="1"/>
        <v>46126</v>
      </c>
      <c r="Q480" s="57"/>
      <c r="R480" s="61" t="s">
        <v>757</v>
      </c>
      <c r="S480" s="61" t="s">
        <v>31</v>
      </c>
    </row>
    <row r="481" spans="2:19" s="62" customFormat="1" outlineLevel="1" x14ac:dyDescent="0.25">
      <c r="B481" s="53"/>
      <c r="C481" s="58">
        <v>527</v>
      </c>
      <c r="D481" s="54" t="s">
        <v>768</v>
      </c>
      <c r="E481" s="64" t="s">
        <v>755</v>
      </c>
      <c r="F481" s="64" t="s">
        <v>769</v>
      </c>
      <c r="G481" s="63">
        <v>1</v>
      </c>
      <c r="H481" s="57" t="s">
        <v>61</v>
      </c>
      <c r="I481" s="54" t="s">
        <v>770</v>
      </c>
      <c r="J481" s="54" t="s">
        <v>771</v>
      </c>
      <c r="K481" s="54" t="s">
        <v>772</v>
      </c>
      <c r="L481" s="54" t="s">
        <v>773</v>
      </c>
      <c r="M481" s="58" t="s">
        <v>774</v>
      </c>
      <c r="N481" s="54" t="s">
        <v>775</v>
      </c>
      <c r="O481" s="59">
        <v>46119</v>
      </c>
      <c r="P481" s="74">
        <f t="shared" si="1"/>
        <v>46126</v>
      </c>
      <c r="Q481" s="57"/>
      <c r="R481" s="61" t="s">
        <v>757</v>
      </c>
      <c r="S481" s="61" t="s">
        <v>31</v>
      </c>
    </row>
    <row r="482" spans="2:19" s="62" customFormat="1" ht="30" customHeight="1" outlineLevel="1" x14ac:dyDescent="0.25">
      <c r="B482" s="53"/>
      <c r="C482" s="58" t="s">
        <v>1139</v>
      </c>
      <c r="D482" s="54" t="s">
        <v>190</v>
      </c>
      <c r="E482" s="64" t="s">
        <v>755</v>
      </c>
      <c r="F482" s="64" t="s">
        <v>191</v>
      </c>
      <c r="G482" s="63">
        <v>2</v>
      </c>
      <c r="H482" s="57" t="s">
        <v>24</v>
      </c>
      <c r="I482" s="65" t="s">
        <v>1140</v>
      </c>
      <c r="J482" s="65" t="s">
        <v>1141</v>
      </c>
      <c r="K482" s="65" t="s">
        <v>1142</v>
      </c>
      <c r="L482" s="54" t="s">
        <v>195</v>
      </c>
      <c r="M482" s="58" t="s">
        <v>1143</v>
      </c>
      <c r="N482" s="54" t="s">
        <v>197</v>
      </c>
      <c r="O482" s="59">
        <v>46139</v>
      </c>
      <c r="P482" s="74">
        <f t="shared" si="1"/>
        <v>46146</v>
      </c>
      <c r="Q482" s="57"/>
      <c r="R482" s="61" t="s">
        <v>757</v>
      </c>
      <c r="S482" s="61" t="s">
        <v>31</v>
      </c>
    </row>
    <row r="483" spans="2:19" s="62" customFormat="1" outlineLevel="1" x14ac:dyDescent="0.25">
      <c r="B483" s="53"/>
      <c r="C483" s="58">
        <v>529</v>
      </c>
      <c r="D483" s="54" t="s">
        <v>198</v>
      </c>
      <c r="E483" s="64" t="s">
        <v>755</v>
      </c>
      <c r="F483" s="64" t="s">
        <v>199</v>
      </c>
      <c r="G483" s="63">
        <v>1</v>
      </c>
      <c r="H483" s="57" t="s">
        <v>200</v>
      </c>
      <c r="I483" s="54" t="s">
        <v>201</v>
      </c>
      <c r="J483" s="54" t="s">
        <v>202</v>
      </c>
      <c r="K483" s="54" t="s">
        <v>203</v>
      </c>
      <c r="L483" s="54" t="s">
        <v>204</v>
      </c>
      <c r="M483" s="58" t="s">
        <v>1144</v>
      </c>
      <c r="N483" s="54" t="s">
        <v>206</v>
      </c>
      <c r="O483" s="59">
        <v>46139</v>
      </c>
      <c r="P483" s="74">
        <f t="shared" si="1"/>
        <v>46146</v>
      </c>
      <c r="Q483" s="57"/>
      <c r="R483" s="61" t="s">
        <v>757</v>
      </c>
      <c r="S483" s="61" t="s">
        <v>84</v>
      </c>
    </row>
    <row r="484" spans="2:19" s="62" customFormat="1" outlineLevel="1" x14ac:dyDescent="0.25">
      <c r="B484" s="53"/>
      <c r="C484" s="58">
        <v>530</v>
      </c>
      <c r="D484" s="54" t="s">
        <v>706</v>
      </c>
      <c r="E484" s="64" t="s">
        <v>755</v>
      </c>
      <c r="F484" s="64" t="s">
        <v>707</v>
      </c>
      <c r="G484" s="63">
        <v>2</v>
      </c>
      <c r="H484" s="57" t="s">
        <v>111</v>
      </c>
      <c r="I484" s="54" t="s">
        <v>708</v>
      </c>
      <c r="J484" s="54" t="s">
        <v>709</v>
      </c>
      <c r="K484" s="54" t="s">
        <v>710</v>
      </c>
      <c r="L484" s="54" t="s">
        <v>711</v>
      </c>
      <c r="M484" s="58" t="s">
        <v>712</v>
      </c>
      <c r="N484" s="54" t="s">
        <v>713</v>
      </c>
      <c r="O484" s="59">
        <v>46139</v>
      </c>
      <c r="P484" s="74">
        <f t="shared" si="1"/>
        <v>46146</v>
      </c>
      <c r="Q484" s="57"/>
      <c r="R484" s="61" t="s">
        <v>757</v>
      </c>
      <c r="S484" s="61" t="s">
        <v>84</v>
      </c>
    </row>
    <row r="485" spans="2:19" s="62" customFormat="1" ht="30" customHeight="1" outlineLevel="1" x14ac:dyDescent="0.25">
      <c r="B485" s="53"/>
      <c r="C485" s="58" t="s">
        <v>754</v>
      </c>
      <c r="D485" s="54" t="s">
        <v>302</v>
      </c>
      <c r="E485" s="64" t="s">
        <v>755</v>
      </c>
      <c r="F485" s="64" t="s">
        <v>303</v>
      </c>
      <c r="G485" s="63">
        <v>2</v>
      </c>
      <c r="H485" s="57" t="s">
        <v>61</v>
      </c>
      <c r="I485" s="54" t="s">
        <v>304</v>
      </c>
      <c r="J485" s="54" t="s">
        <v>305</v>
      </c>
      <c r="K485" s="54" t="s">
        <v>306</v>
      </c>
      <c r="L485" s="54" t="s">
        <v>307</v>
      </c>
      <c r="M485" s="58" t="s">
        <v>756</v>
      </c>
      <c r="N485" s="54" t="s">
        <v>309</v>
      </c>
      <c r="O485" s="59">
        <v>46119</v>
      </c>
      <c r="P485" s="74">
        <f t="shared" si="1"/>
        <v>46126</v>
      </c>
      <c r="Q485" s="57"/>
      <c r="R485" s="61" t="s">
        <v>757</v>
      </c>
      <c r="S485" s="61" t="s">
        <v>84</v>
      </c>
    </row>
    <row r="486" spans="2:19" s="62" customFormat="1" outlineLevel="1" x14ac:dyDescent="0.25">
      <c r="B486" s="53"/>
      <c r="C486" s="58">
        <v>532</v>
      </c>
      <c r="D486" s="54" t="s">
        <v>310</v>
      </c>
      <c r="E486" s="64" t="s">
        <v>755</v>
      </c>
      <c r="F486" s="64" t="s">
        <v>311</v>
      </c>
      <c r="G486" s="63">
        <v>2</v>
      </c>
      <c r="H486" s="57" t="s">
        <v>152</v>
      </c>
      <c r="I486" s="54" t="s">
        <v>312</v>
      </c>
      <c r="J486" s="54" t="s">
        <v>313</v>
      </c>
      <c r="K486" s="54" t="s">
        <v>314</v>
      </c>
      <c r="L486" s="54" t="s">
        <v>315</v>
      </c>
      <c r="M486" s="58" t="s">
        <v>316</v>
      </c>
      <c r="N486" s="54" t="s">
        <v>317</v>
      </c>
      <c r="O486" s="59">
        <v>46139</v>
      </c>
      <c r="P486" s="74">
        <f t="shared" si="1"/>
        <v>46146</v>
      </c>
      <c r="Q486" s="57"/>
      <c r="R486" s="61" t="s">
        <v>757</v>
      </c>
      <c r="S486" s="61" t="s">
        <v>31</v>
      </c>
    </row>
    <row r="487" spans="2:19" s="62" customFormat="1" outlineLevel="1" x14ac:dyDescent="0.25">
      <c r="B487" s="53"/>
      <c r="C487" s="58">
        <v>533</v>
      </c>
      <c r="D487" s="54" t="s">
        <v>318</v>
      </c>
      <c r="E487" s="64" t="s">
        <v>755</v>
      </c>
      <c r="F487" s="64" t="s">
        <v>319</v>
      </c>
      <c r="G487" s="63">
        <v>1</v>
      </c>
      <c r="H487" s="57" t="s">
        <v>111</v>
      </c>
      <c r="I487" s="54" t="s">
        <v>320</v>
      </c>
      <c r="J487" s="54" t="s">
        <v>321</v>
      </c>
      <c r="K487" s="54" t="s">
        <v>322</v>
      </c>
      <c r="L487" s="54" t="s">
        <v>323</v>
      </c>
      <c r="M487" s="58" t="s">
        <v>324</v>
      </c>
      <c r="N487" s="54" t="s">
        <v>325</v>
      </c>
      <c r="O487" s="59">
        <v>46139</v>
      </c>
      <c r="P487" s="74">
        <f t="shared" si="1"/>
        <v>46146</v>
      </c>
      <c r="Q487" s="57"/>
      <c r="R487" s="61" t="s">
        <v>757</v>
      </c>
      <c r="S487" s="61" t="s">
        <v>84</v>
      </c>
    </row>
    <row r="488" spans="2:19" s="62" customFormat="1" outlineLevel="1" x14ac:dyDescent="0.25">
      <c r="B488" s="53"/>
      <c r="C488" s="58">
        <v>534</v>
      </c>
      <c r="D488" s="54" t="s">
        <v>802</v>
      </c>
      <c r="E488" s="64" t="s">
        <v>755</v>
      </c>
      <c r="F488" s="64" t="s">
        <v>803</v>
      </c>
      <c r="G488" s="63">
        <v>1</v>
      </c>
      <c r="H488" s="57" t="s">
        <v>804</v>
      </c>
      <c r="I488" s="54" t="s">
        <v>805</v>
      </c>
      <c r="J488" s="54" t="s">
        <v>806</v>
      </c>
      <c r="K488" s="53" t="s">
        <v>807</v>
      </c>
      <c r="L488" s="54" t="s">
        <v>808</v>
      </c>
      <c r="M488" s="58" t="s">
        <v>809</v>
      </c>
      <c r="N488" s="54" t="s">
        <v>810</v>
      </c>
      <c r="O488" s="59">
        <v>46139</v>
      </c>
      <c r="P488" s="74">
        <f t="shared" si="1"/>
        <v>46146</v>
      </c>
      <c r="Q488" s="57"/>
      <c r="R488" s="61" t="s">
        <v>757</v>
      </c>
      <c r="S488" s="61" t="s">
        <v>84</v>
      </c>
    </row>
    <row r="489" spans="2:19" s="62" customFormat="1" outlineLevel="1" x14ac:dyDescent="0.25">
      <c r="B489" s="53"/>
      <c r="C489" s="58">
        <v>535</v>
      </c>
      <c r="D489" s="54" t="s">
        <v>366</v>
      </c>
      <c r="E489" s="64" t="s">
        <v>755</v>
      </c>
      <c r="F489" s="64" t="s">
        <v>367</v>
      </c>
      <c r="G489" s="63">
        <v>2</v>
      </c>
      <c r="H489" s="57" t="s">
        <v>368</v>
      </c>
      <c r="I489" s="54" t="s">
        <v>369</v>
      </c>
      <c r="J489" s="54" t="s">
        <v>370</v>
      </c>
      <c r="K489" s="54" t="s">
        <v>371</v>
      </c>
      <c r="L489" s="54" t="s">
        <v>372</v>
      </c>
      <c r="M489" s="58" t="s">
        <v>1145</v>
      </c>
      <c r="N489" s="54" t="s">
        <v>374</v>
      </c>
      <c r="O489" s="59">
        <v>46139</v>
      </c>
      <c r="P489" s="74">
        <f t="shared" si="1"/>
        <v>46146</v>
      </c>
      <c r="Q489" s="57"/>
      <c r="R489" s="61" t="s">
        <v>757</v>
      </c>
      <c r="S489" s="61" t="s">
        <v>84</v>
      </c>
    </row>
    <row r="490" spans="2:19" s="62" customFormat="1" outlineLevel="1" x14ac:dyDescent="0.25">
      <c r="B490" s="53"/>
      <c r="C490" s="58">
        <v>536</v>
      </c>
      <c r="D490" s="54" t="s">
        <v>734</v>
      </c>
      <c r="E490" s="64" t="s">
        <v>755</v>
      </c>
      <c r="F490" s="64" t="s">
        <v>735</v>
      </c>
      <c r="G490" s="63">
        <v>1</v>
      </c>
      <c r="H490" s="57" t="s">
        <v>736</v>
      </c>
      <c r="I490" s="54" t="s">
        <v>737</v>
      </c>
      <c r="J490" s="54" t="s">
        <v>738</v>
      </c>
      <c r="K490" s="54" t="s">
        <v>739</v>
      </c>
      <c r="L490" s="54" t="s">
        <v>740</v>
      </c>
      <c r="M490" s="58" t="s">
        <v>741</v>
      </c>
      <c r="N490" s="54" t="s">
        <v>742</v>
      </c>
      <c r="O490" s="59">
        <v>46119</v>
      </c>
      <c r="P490" s="74">
        <f t="shared" si="1"/>
        <v>46126</v>
      </c>
      <c r="Q490" s="57"/>
      <c r="R490" s="61" t="s">
        <v>757</v>
      </c>
      <c r="S490" s="61" t="s">
        <v>84</v>
      </c>
    </row>
    <row r="491" spans="2:19" s="62" customFormat="1" outlineLevel="1" x14ac:dyDescent="0.25">
      <c r="B491" s="53"/>
      <c r="C491" s="58">
        <v>537</v>
      </c>
      <c r="D491" s="54" t="s">
        <v>375</v>
      </c>
      <c r="E491" s="64" t="s">
        <v>755</v>
      </c>
      <c r="F491" s="64" t="s">
        <v>376</v>
      </c>
      <c r="G491" s="63">
        <v>1</v>
      </c>
      <c r="H491" s="57" t="s">
        <v>111</v>
      </c>
      <c r="I491" s="54" t="s">
        <v>473</v>
      </c>
      <c r="J491" s="54" t="s">
        <v>878</v>
      </c>
      <c r="K491" s="54" t="s">
        <v>475</v>
      </c>
      <c r="L491" s="54" t="s">
        <v>380</v>
      </c>
      <c r="M491" s="58" t="s">
        <v>381</v>
      </c>
      <c r="N491" s="54" t="s">
        <v>382</v>
      </c>
      <c r="O491" s="59">
        <v>46139</v>
      </c>
      <c r="P491" s="74">
        <f t="shared" si="1"/>
        <v>46146</v>
      </c>
      <c r="Q491" s="57"/>
      <c r="R491" s="61" t="s">
        <v>757</v>
      </c>
      <c r="S491" s="61" t="s">
        <v>31</v>
      </c>
    </row>
    <row r="492" spans="2:19" s="62" customFormat="1" outlineLevel="1" x14ac:dyDescent="0.25">
      <c r="B492" s="53"/>
      <c r="C492" s="58">
        <v>538</v>
      </c>
      <c r="D492" s="54" t="s">
        <v>391</v>
      </c>
      <c r="E492" s="64" t="s">
        <v>755</v>
      </c>
      <c r="F492" s="64" t="s">
        <v>392</v>
      </c>
      <c r="G492" s="63">
        <v>1</v>
      </c>
      <c r="H492" s="57" t="s">
        <v>111</v>
      </c>
      <c r="I492" s="54" t="s">
        <v>393</v>
      </c>
      <c r="J492" s="54" t="s">
        <v>394</v>
      </c>
      <c r="K492" s="54" t="s">
        <v>395</v>
      </c>
      <c r="L492" s="54" t="s">
        <v>396</v>
      </c>
      <c r="M492" s="58" t="s">
        <v>397</v>
      </c>
      <c r="N492" s="54" t="s">
        <v>398</v>
      </c>
      <c r="O492" s="59">
        <v>46139</v>
      </c>
      <c r="P492" s="74">
        <f t="shared" si="1"/>
        <v>46146</v>
      </c>
      <c r="Q492" s="57"/>
      <c r="R492" s="61" t="s">
        <v>757</v>
      </c>
      <c r="S492" s="61" t="s">
        <v>84</v>
      </c>
    </row>
    <row r="493" spans="2:19" s="62" customFormat="1" outlineLevel="1" x14ac:dyDescent="0.25">
      <c r="B493" s="53"/>
      <c r="C493" s="58">
        <v>539</v>
      </c>
      <c r="D493" s="54" t="s">
        <v>424</v>
      </c>
      <c r="E493" s="64" t="s">
        <v>755</v>
      </c>
      <c r="F493" s="64" t="s">
        <v>425</v>
      </c>
      <c r="G493" s="63">
        <v>1</v>
      </c>
      <c r="H493" s="57" t="s">
        <v>111</v>
      </c>
      <c r="I493" s="54" t="s">
        <v>426</v>
      </c>
      <c r="J493" s="54" t="s">
        <v>427</v>
      </c>
      <c r="K493" s="54" t="s">
        <v>428</v>
      </c>
      <c r="L493" s="54" t="s">
        <v>429</v>
      </c>
      <c r="M493" s="58" t="s">
        <v>429</v>
      </c>
      <c r="N493" s="54" t="s">
        <v>430</v>
      </c>
      <c r="O493" s="59">
        <v>46139</v>
      </c>
      <c r="P493" s="74">
        <f t="shared" si="1"/>
        <v>46146</v>
      </c>
      <c r="Q493" s="57"/>
      <c r="R493" s="61" t="s">
        <v>757</v>
      </c>
      <c r="S493" s="61" t="s">
        <v>84</v>
      </c>
    </row>
    <row r="494" spans="2:19" s="62" customFormat="1" ht="30" customHeight="1" outlineLevel="1" x14ac:dyDescent="0.25">
      <c r="B494" s="53"/>
      <c r="C494" s="58">
        <v>540</v>
      </c>
      <c r="D494" s="54" t="s">
        <v>431</v>
      </c>
      <c r="E494" s="54" t="s">
        <v>755</v>
      </c>
      <c r="F494" s="64" t="s">
        <v>432</v>
      </c>
      <c r="G494" s="63">
        <v>1</v>
      </c>
      <c r="H494" s="57" t="s">
        <v>152</v>
      </c>
      <c r="I494" s="54" t="s">
        <v>868</v>
      </c>
      <c r="J494" s="54" t="s">
        <v>869</v>
      </c>
      <c r="K494" s="54" t="s">
        <v>870</v>
      </c>
      <c r="L494" s="54" t="s">
        <v>436</v>
      </c>
      <c r="M494" s="58" t="s">
        <v>1146</v>
      </c>
      <c r="N494" s="54" t="s">
        <v>438</v>
      </c>
      <c r="O494" s="59">
        <v>46139</v>
      </c>
      <c r="P494" s="74">
        <f t="shared" si="1"/>
        <v>46146</v>
      </c>
      <c r="Q494" s="57"/>
      <c r="R494" s="61" t="s">
        <v>757</v>
      </c>
      <c r="S494" s="61" t="s">
        <v>31</v>
      </c>
    </row>
    <row r="495" spans="2:19" s="62" customFormat="1" outlineLevel="1" x14ac:dyDescent="0.25">
      <c r="B495" s="53"/>
      <c r="C495" s="58">
        <v>541</v>
      </c>
      <c r="D495" s="54" t="s">
        <v>544</v>
      </c>
      <c r="E495" s="64" t="s">
        <v>755</v>
      </c>
      <c r="F495" s="64" t="s">
        <v>545</v>
      </c>
      <c r="G495" s="63">
        <v>1</v>
      </c>
      <c r="H495" s="57" t="s">
        <v>24</v>
      </c>
      <c r="I495" s="54" t="s">
        <v>546</v>
      </c>
      <c r="J495" s="54" t="s">
        <v>547</v>
      </c>
      <c r="K495" s="54" t="s">
        <v>548</v>
      </c>
      <c r="L495" s="54" t="s">
        <v>549</v>
      </c>
      <c r="M495" s="58" t="s">
        <v>550</v>
      </c>
      <c r="N495" s="54" t="s">
        <v>551</v>
      </c>
      <c r="O495" s="59">
        <v>46139</v>
      </c>
      <c r="P495" s="74">
        <f t="shared" si="1"/>
        <v>46146</v>
      </c>
      <c r="Q495" s="57"/>
      <c r="R495" s="61" t="s">
        <v>757</v>
      </c>
      <c r="S495" s="61" t="s">
        <v>31</v>
      </c>
    </row>
    <row r="496" spans="2:19" s="62" customFormat="1" ht="36" customHeight="1" outlineLevel="1" x14ac:dyDescent="0.25">
      <c r="B496" s="53"/>
      <c r="C496" s="58">
        <v>542</v>
      </c>
      <c r="D496" s="54" t="s">
        <v>596</v>
      </c>
      <c r="E496" s="64" t="s">
        <v>755</v>
      </c>
      <c r="F496" s="64" t="s">
        <v>597</v>
      </c>
      <c r="G496" s="63">
        <v>1</v>
      </c>
      <c r="H496" s="57" t="s">
        <v>61</v>
      </c>
      <c r="I496" s="54" t="s">
        <v>598</v>
      </c>
      <c r="J496" s="54" t="s">
        <v>599</v>
      </c>
      <c r="K496" s="54" t="s">
        <v>600</v>
      </c>
      <c r="L496" s="54" t="s">
        <v>601</v>
      </c>
      <c r="M496" s="58" t="s">
        <v>781</v>
      </c>
      <c r="N496" s="54" t="s">
        <v>603</v>
      </c>
      <c r="O496" s="59">
        <v>46119</v>
      </c>
      <c r="P496" s="74">
        <f t="shared" si="1"/>
        <v>46126</v>
      </c>
      <c r="Q496" s="57"/>
      <c r="R496" s="61" t="s">
        <v>757</v>
      </c>
      <c r="S496" s="61" t="s">
        <v>84</v>
      </c>
    </row>
    <row r="497" spans="2:19" s="62" customFormat="1" outlineLevel="1" x14ac:dyDescent="0.25">
      <c r="B497" s="53"/>
      <c r="C497" s="58">
        <v>543</v>
      </c>
      <c r="D497" s="54" t="s">
        <v>508</v>
      </c>
      <c r="E497" s="64" t="s">
        <v>755</v>
      </c>
      <c r="F497" s="64" t="s">
        <v>509</v>
      </c>
      <c r="G497" s="63">
        <v>2</v>
      </c>
      <c r="H497" s="57" t="s">
        <v>61</v>
      </c>
      <c r="I497" s="54" t="s">
        <v>510</v>
      </c>
      <c r="J497" s="54" t="s">
        <v>511</v>
      </c>
      <c r="K497" s="54" t="s">
        <v>512</v>
      </c>
      <c r="L497" s="54" t="s">
        <v>513</v>
      </c>
      <c r="M497" s="58" t="s">
        <v>514</v>
      </c>
      <c r="N497" s="54" t="s">
        <v>515</v>
      </c>
      <c r="O497" s="59">
        <v>46119</v>
      </c>
      <c r="P497" s="74">
        <f t="shared" si="1"/>
        <v>46126</v>
      </c>
      <c r="Q497" s="57"/>
      <c r="R497" s="61" t="s">
        <v>757</v>
      </c>
      <c r="S497" s="61" t="s">
        <v>31</v>
      </c>
    </row>
    <row r="498" spans="2:19" s="62" customFormat="1" outlineLevel="1" x14ac:dyDescent="0.25">
      <c r="B498" s="53"/>
      <c r="C498" s="58">
        <v>544</v>
      </c>
      <c r="D498" s="54" t="s">
        <v>644</v>
      </c>
      <c r="E498" s="64" t="s">
        <v>755</v>
      </c>
      <c r="F498" s="64" t="s">
        <v>645</v>
      </c>
      <c r="G498" s="63">
        <v>1</v>
      </c>
      <c r="H498" s="57" t="s">
        <v>61</v>
      </c>
      <c r="I498" s="54" t="s">
        <v>646</v>
      </c>
      <c r="J498" s="54" t="s">
        <v>647</v>
      </c>
      <c r="K498" s="54" t="s">
        <v>648</v>
      </c>
      <c r="L498" s="54" t="s">
        <v>649</v>
      </c>
      <c r="M498" s="58" t="s">
        <v>650</v>
      </c>
      <c r="N498" s="54"/>
      <c r="O498" s="59">
        <v>46119</v>
      </c>
      <c r="P498" s="74">
        <f t="shared" si="1"/>
        <v>46126</v>
      </c>
      <c r="Q498" s="57"/>
      <c r="R498" s="61" t="s">
        <v>757</v>
      </c>
      <c r="S498" s="61" t="s">
        <v>793</v>
      </c>
    </row>
    <row r="499" spans="2:19" s="33" customFormat="1" x14ac:dyDescent="0.25">
      <c r="B499" s="42"/>
      <c r="C499" s="40"/>
      <c r="D499" s="43"/>
      <c r="E499" s="28" t="s">
        <v>856</v>
      </c>
      <c r="F499" s="52"/>
      <c r="G499" s="32">
        <f>SUM(G500:G514)</f>
        <v>34</v>
      </c>
      <c r="H499" s="42"/>
      <c r="I499" s="42"/>
      <c r="J499" s="42"/>
      <c r="K499" s="42"/>
      <c r="L499" s="42"/>
      <c r="M499" s="40"/>
      <c r="N499" s="42"/>
      <c r="O499" s="42"/>
      <c r="P499" s="42"/>
      <c r="Q499" s="42"/>
      <c r="R499" s="42"/>
      <c r="S499" s="42"/>
    </row>
    <row r="500" spans="2:19" s="62" customFormat="1" outlineLevel="1" x14ac:dyDescent="0.25">
      <c r="B500" s="53"/>
      <c r="C500" s="58">
        <v>545</v>
      </c>
      <c r="D500" s="54" t="s">
        <v>75</v>
      </c>
      <c r="E500" s="64" t="s">
        <v>856</v>
      </c>
      <c r="F500" s="64" t="s">
        <v>76</v>
      </c>
      <c r="G500" s="63">
        <v>5</v>
      </c>
      <c r="H500" s="57" t="s">
        <v>77</v>
      </c>
      <c r="I500" s="54" t="s">
        <v>78</v>
      </c>
      <c r="J500" s="54" t="s">
        <v>79</v>
      </c>
      <c r="K500" s="54" t="s">
        <v>80</v>
      </c>
      <c r="L500" s="54" t="s">
        <v>81</v>
      </c>
      <c r="M500" s="58" t="s">
        <v>82</v>
      </c>
      <c r="N500" s="54" t="s">
        <v>83</v>
      </c>
      <c r="O500" s="59">
        <v>46125</v>
      </c>
      <c r="P500" s="74"/>
      <c r="Q500" s="57"/>
      <c r="R500" s="61"/>
      <c r="S500" s="61"/>
    </row>
    <row r="501" spans="2:19" s="62" customFormat="1" outlineLevel="1" x14ac:dyDescent="0.25">
      <c r="B501" s="53"/>
      <c r="C501" s="58">
        <v>546</v>
      </c>
      <c r="D501" s="54" t="s">
        <v>102</v>
      </c>
      <c r="E501" s="64" t="s">
        <v>856</v>
      </c>
      <c r="F501" s="64" t="s">
        <v>103</v>
      </c>
      <c r="G501" s="63">
        <v>1</v>
      </c>
      <c r="H501" s="57" t="s">
        <v>61</v>
      </c>
      <c r="I501" s="54" t="s">
        <v>104</v>
      </c>
      <c r="J501" s="54" t="s">
        <v>105</v>
      </c>
      <c r="K501" s="54" t="s">
        <v>106</v>
      </c>
      <c r="L501" s="54" t="s">
        <v>107</v>
      </c>
      <c r="M501" s="58" t="s">
        <v>107</v>
      </c>
      <c r="N501" s="54" t="s">
        <v>108</v>
      </c>
      <c r="O501" s="59">
        <v>46125</v>
      </c>
      <c r="P501" s="74"/>
      <c r="Q501" s="57"/>
      <c r="R501" s="61"/>
      <c r="S501" s="61"/>
    </row>
    <row r="502" spans="2:19" s="62" customFormat="1" outlineLevel="1" x14ac:dyDescent="0.25">
      <c r="B502" s="53"/>
      <c r="C502" s="58">
        <v>547</v>
      </c>
      <c r="D502" s="54" t="s">
        <v>166</v>
      </c>
      <c r="E502" s="64" t="s">
        <v>856</v>
      </c>
      <c r="F502" s="64" t="s">
        <v>167</v>
      </c>
      <c r="G502" s="63">
        <v>7</v>
      </c>
      <c r="H502" s="57" t="s">
        <v>61</v>
      </c>
      <c r="I502" s="54" t="s">
        <v>168</v>
      </c>
      <c r="J502" s="54" t="s">
        <v>169</v>
      </c>
      <c r="K502" s="54" t="s">
        <v>170</v>
      </c>
      <c r="L502" s="54" t="s">
        <v>171</v>
      </c>
      <c r="M502" s="58" t="s">
        <v>172</v>
      </c>
      <c r="N502" s="54" t="s">
        <v>173</v>
      </c>
      <c r="O502" s="59">
        <v>46125</v>
      </c>
      <c r="P502" s="74"/>
      <c r="Q502" s="57"/>
      <c r="R502" s="61"/>
      <c r="S502" s="61"/>
    </row>
    <row r="503" spans="2:19" s="62" customFormat="1" outlineLevel="1" x14ac:dyDescent="0.25">
      <c r="B503" s="53"/>
      <c r="C503" s="58">
        <v>548</v>
      </c>
      <c r="D503" s="54" t="s">
        <v>667</v>
      </c>
      <c r="E503" s="64" t="s">
        <v>856</v>
      </c>
      <c r="F503" s="64" t="s">
        <v>668</v>
      </c>
      <c r="G503" s="63">
        <v>1</v>
      </c>
      <c r="H503" s="57" t="s">
        <v>61</v>
      </c>
      <c r="I503" s="54" t="s">
        <v>674</v>
      </c>
      <c r="J503" s="54" t="s">
        <v>675</v>
      </c>
      <c r="K503" s="53" t="s">
        <v>676</v>
      </c>
      <c r="L503" s="54" t="s">
        <v>672</v>
      </c>
      <c r="M503" s="58" t="s">
        <v>677</v>
      </c>
      <c r="N503" s="54" t="s">
        <v>673</v>
      </c>
      <c r="O503" s="59">
        <v>46125</v>
      </c>
      <c r="P503" s="74"/>
      <c r="Q503" s="57"/>
      <c r="R503" s="61"/>
      <c r="S503" s="61"/>
    </row>
    <row r="504" spans="2:19" s="62" customFormat="1" outlineLevel="1" x14ac:dyDescent="0.25">
      <c r="B504" s="53"/>
      <c r="C504" s="58">
        <v>549</v>
      </c>
      <c r="D504" s="54" t="s">
        <v>198</v>
      </c>
      <c r="E504" s="64" t="s">
        <v>856</v>
      </c>
      <c r="F504" s="64" t="s">
        <v>199</v>
      </c>
      <c r="G504" s="63">
        <v>3</v>
      </c>
      <c r="H504" s="57" t="s">
        <v>200</v>
      </c>
      <c r="I504" s="54" t="s">
        <v>201</v>
      </c>
      <c r="J504" s="54" t="s">
        <v>202</v>
      </c>
      <c r="K504" s="54" t="s">
        <v>203</v>
      </c>
      <c r="L504" s="54" t="s">
        <v>204</v>
      </c>
      <c r="M504" s="58" t="s">
        <v>205</v>
      </c>
      <c r="N504" s="54" t="s">
        <v>206</v>
      </c>
      <c r="O504" s="59">
        <v>46125</v>
      </c>
      <c r="P504" s="74"/>
      <c r="Q504" s="57"/>
      <c r="R504" s="61"/>
      <c r="S504" s="61"/>
    </row>
    <row r="505" spans="2:19" s="62" customFormat="1" outlineLevel="1" x14ac:dyDescent="0.25">
      <c r="B505" s="53"/>
      <c r="C505" s="58">
        <v>550</v>
      </c>
      <c r="D505" s="54" t="s">
        <v>223</v>
      </c>
      <c r="E505" s="64" t="s">
        <v>856</v>
      </c>
      <c r="F505" s="64" t="s">
        <v>224</v>
      </c>
      <c r="G505" s="63">
        <v>1</v>
      </c>
      <c r="H505" s="57" t="s">
        <v>61</v>
      </c>
      <c r="I505" s="54" t="s">
        <v>225</v>
      </c>
      <c r="J505" s="54" t="s">
        <v>226</v>
      </c>
      <c r="K505" s="54" t="s">
        <v>227</v>
      </c>
      <c r="L505" s="54" t="s">
        <v>228</v>
      </c>
      <c r="M505" s="58" t="s">
        <v>229</v>
      </c>
      <c r="N505" s="54" t="s">
        <v>230</v>
      </c>
      <c r="O505" s="59">
        <v>46125</v>
      </c>
      <c r="P505" s="74"/>
      <c r="Q505" s="57"/>
      <c r="R505" s="61"/>
      <c r="S505" s="61"/>
    </row>
    <row r="506" spans="2:19" s="62" customFormat="1" outlineLevel="1" x14ac:dyDescent="0.25">
      <c r="B506" s="53"/>
      <c r="C506" s="58">
        <v>551</v>
      </c>
      <c r="D506" s="54" t="s">
        <v>651</v>
      </c>
      <c r="E506" s="64" t="s">
        <v>856</v>
      </c>
      <c r="F506" s="64" t="s">
        <v>652</v>
      </c>
      <c r="G506" s="63">
        <v>1</v>
      </c>
      <c r="H506" s="57" t="s">
        <v>111</v>
      </c>
      <c r="I506" s="54" t="s">
        <v>653</v>
      </c>
      <c r="J506" s="54" t="s">
        <v>654</v>
      </c>
      <c r="K506" s="54" t="s">
        <v>655</v>
      </c>
      <c r="L506" s="54" t="s">
        <v>656</v>
      </c>
      <c r="M506" s="58" t="s">
        <v>657</v>
      </c>
      <c r="N506" s="54" t="s">
        <v>658</v>
      </c>
      <c r="O506" s="59">
        <v>46125</v>
      </c>
      <c r="P506" s="74"/>
      <c r="Q506" s="57"/>
      <c r="R506" s="61"/>
      <c r="S506" s="61"/>
    </row>
    <row r="507" spans="2:19" s="62" customFormat="1" outlineLevel="1" x14ac:dyDescent="0.25">
      <c r="B507" s="53"/>
      <c r="C507" s="58">
        <v>552</v>
      </c>
      <c r="D507" s="54" t="s">
        <v>270</v>
      </c>
      <c r="E507" s="64" t="s">
        <v>856</v>
      </c>
      <c r="F507" s="64" t="s">
        <v>271</v>
      </c>
      <c r="G507" s="63">
        <v>2</v>
      </c>
      <c r="H507" s="57" t="s">
        <v>61</v>
      </c>
      <c r="I507" s="54" t="s">
        <v>272</v>
      </c>
      <c r="J507" s="54" t="s">
        <v>273</v>
      </c>
      <c r="K507" s="54" t="s">
        <v>274</v>
      </c>
      <c r="L507" s="54" t="s">
        <v>275</v>
      </c>
      <c r="M507" s="58" t="s">
        <v>792</v>
      </c>
      <c r="N507" s="54" t="s">
        <v>277</v>
      </c>
      <c r="O507" s="59">
        <v>46125</v>
      </c>
      <c r="P507" s="74"/>
      <c r="Q507" s="57"/>
      <c r="R507" s="61"/>
      <c r="S507" s="61"/>
    </row>
    <row r="508" spans="2:19" s="62" customFormat="1" outlineLevel="1" x14ac:dyDescent="0.25">
      <c r="B508" s="53"/>
      <c r="C508" s="58">
        <v>553</v>
      </c>
      <c r="D508" s="54" t="s">
        <v>743</v>
      </c>
      <c r="E508" s="64" t="s">
        <v>856</v>
      </c>
      <c r="F508" s="64" t="s">
        <v>744</v>
      </c>
      <c r="G508" s="63">
        <v>1</v>
      </c>
      <c r="H508" s="57" t="s">
        <v>745</v>
      </c>
      <c r="I508" s="54" t="s">
        <v>746</v>
      </c>
      <c r="J508" s="54" t="s">
        <v>747</v>
      </c>
      <c r="K508" s="54" t="s">
        <v>748</v>
      </c>
      <c r="L508" s="54" t="s">
        <v>749</v>
      </c>
      <c r="M508" s="58" t="s">
        <v>750</v>
      </c>
      <c r="N508" s="54" t="s">
        <v>751</v>
      </c>
      <c r="O508" s="59">
        <v>46125</v>
      </c>
      <c r="P508" s="74"/>
      <c r="Q508" s="57"/>
      <c r="R508" s="61"/>
      <c r="S508" s="61"/>
    </row>
    <row r="509" spans="2:19" s="62" customFormat="1" outlineLevel="1" x14ac:dyDescent="0.25">
      <c r="B509" s="53"/>
      <c r="C509" s="58">
        <v>554</v>
      </c>
      <c r="D509" s="54" t="s">
        <v>286</v>
      </c>
      <c r="E509" s="64" t="s">
        <v>856</v>
      </c>
      <c r="F509" s="64" t="s">
        <v>287</v>
      </c>
      <c r="G509" s="63">
        <v>1</v>
      </c>
      <c r="H509" s="57" t="s">
        <v>61</v>
      </c>
      <c r="I509" s="54" t="s">
        <v>288</v>
      </c>
      <c r="J509" s="54" t="s">
        <v>289</v>
      </c>
      <c r="K509" s="54" t="s">
        <v>290</v>
      </c>
      <c r="L509" s="54" t="s">
        <v>291</v>
      </c>
      <c r="M509" s="58" t="s">
        <v>292</v>
      </c>
      <c r="N509" s="54" t="s">
        <v>293</v>
      </c>
      <c r="O509" s="59">
        <v>46125</v>
      </c>
      <c r="P509" s="74"/>
      <c r="Q509" s="57"/>
      <c r="R509" s="61"/>
      <c r="S509" s="61"/>
    </row>
    <row r="510" spans="2:19" s="62" customFormat="1" outlineLevel="1" x14ac:dyDescent="0.25">
      <c r="B510" s="53"/>
      <c r="C510" s="58">
        <v>555</v>
      </c>
      <c r="D510" s="54" t="s">
        <v>310</v>
      </c>
      <c r="E510" s="64" t="s">
        <v>856</v>
      </c>
      <c r="F510" s="64" t="s">
        <v>311</v>
      </c>
      <c r="G510" s="63">
        <v>1</v>
      </c>
      <c r="H510" s="57" t="s">
        <v>152</v>
      </c>
      <c r="I510" s="54" t="s">
        <v>312</v>
      </c>
      <c r="J510" s="54" t="s">
        <v>313</v>
      </c>
      <c r="K510" s="54" t="s">
        <v>314</v>
      </c>
      <c r="L510" s="54" t="s">
        <v>315</v>
      </c>
      <c r="M510" s="58" t="s">
        <v>316</v>
      </c>
      <c r="N510" s="54" t="s">
        <v>317</v>
      </c>
      <c r="O510" s="59">
        <v>46125</v>
      </c>
      <c r="P510" s="74"/>
      <c r="Q510" s="57"/>
      <c r="R510" s="61"/>
      <c r="S510" s="61"/>
    </row>
    <row r="511" spans="2:19" s="62" customFormat="1" outlineLevel="1" x14ac:dyDescent="0.25">
      <c r="B511" s="53"/>
      <c r="C511" s="58">
        <v>556</v>
      </c>
      <c r="D511" s="54" t="s">
        <v>802</v>
      </c>
      <c r="E511" s="64" t="s">
        <v>856</v>
      </c>
      <c r="F511" s="64" t="s">
        <v>803</v>
      </c>
      <c r="G511" s="63">
        <v>3</v>
      </c>
      <c r="H511" s="57" t="s">
        <v>804</v>
      </c>
      <c r="I511" s="54" t="s">
        <v>805</v>
      </c>
      <c r="J511" s="54" t="s">
        <v>806</v>
      </c>
      <c r="K511" s="53" t="s">
        <v>807</v>
      </c>
      <c r="L511" s="54" t="s">
        <v>808</v>
      </c>
      <c r="M511" s="58" t="s">
        <v>809</v>
      </c>
      <c r="N511" s="54" t="s">
        <v>810</v>
      </c>
      <c r="O511" s="59">
        <v>46125</v>
      </c>
      <c r="P511" s="74"/>
      <c r="Q511" s="57"/>
      <c r="R511" s="61"/>
      <c r="S511" s="61"/>
    </row>
    <row r="512" spans="2:19" s="62" customFormat="1" outlineLevel="1" x14ac:dyDescent="0.25">
      <c r="B512" s="53"/>
      <c r="C512" s="58">
        <v>557</v>
      </c>
      <c r="D512" s="54" t="s">
        <v>366</v>
      </c>
      <c r="E512" s="64" t="s">
        <v>856</v>
      </c>
      <c r="F512" s="64" t="s">
        <v>367</v>
      </c>
      <c r="G512" s="63">
        <v>4</v>
      </c>
      <c r="H512" s="57" t="s">
        <v>368</v>
      </c>
      <c r="I512" s="54" t="s">
        <v>369</v>
      </c>
      <c r="J512" s="54" t="s">
        <v>370</v>
      </c>
      <c r="K512" s="54" t="s">
        <v>371</v>
      </c>
      <c r="L512" s="54" t="s">
        <v>372</v>
      </c>
      <c r="M512" s="58" t="s">
        <v>682</v>
      </c>
      <c r="N512" s="54" t="s">
        <v>374</v>
      </c>
      <c r="O512" s="59">
        <v>46125</v>
      </c>
      <c r="P512" s="74"/>
      <c r="Q512" s="57"/>
      <c r="R512" s="61"/>
      <c r="S512" s="61"/>
    </row>
    <row r="513" spans="2:19" s="62" customFormat="1" outlineLevel="1" x14ac:dyDescent="0.25">
      <c r="B513" s="53"/>
      <c r="C513" s="58">
        <v>558</v>
      </c>
      <c r="D513" s="54" t="s">
        <v>375</v>
      </c>
      <c r="E513" s="64" t="s">
        <v>856</v>
      </c>
      <c r="F513" s="64" t="s">
        <v>376</v>
      </c>
      <c r="G513" s="63">
        <v>2</v>
      </c>
      <c r="H513" s="57" t="s">
        <v>111</v>
      </c>
      <c r="I513" s="54" t="s">
        <v>377</v>
      </c>
      <c r="J513" s="54" t="s">
        <v>378</v>
      </c>
      <c r="K513" s="54" t="s">
        <v>379</v>
      </c>
      <c r="L513" s="54" t="s">
        <v>380</v>
      </c>
      <c r="M513" s="58" t="s">
        <v>381</v>
      </c>
      <c r="N513" s="54" t="s">
        <v>382</v>
      </c>
      <c r="O513" s="59">
        <v>46125</v>
      </c>
      <c r="P513" s="74"/>
      <c r="Q513" s="57"/>
      <c r="R513" s="61"/>
      <c r="S513" s="61"/>
    </row>
    <row r="514" spans="2:19" s="62" customFormat="1" outlineLevel="1" x14ac:dyDescent="0.25">
      <c r="B514" s="53"/>
      <c r="C514" s="58">
        <v>559</v>
      </c>
      <c r="D514" s="54" t="s">
        <v>399</v>
      </c>
      <c r="E514" s="64" t="s">
        <v>856</v>
      </c>
      <c r="F514" s="64" t="s">
        <v>400</v>
      </c>
      <c r="G514" s="63">
        <v>1</v>
      </c>
      <c r="H514" s="57" t="s">
        <v>152</v>
      </c>
      <c r="I514" s="54" t="s">
        <v>401</v>
      </c>
      <c r="J514" s="54" t="s">
        <v>402</v>
      </c>
      <c r="K514" s="54" t="s">
        <v>403</v>
      </c>
      <c r="L514" s="54" t="s">
        <v>404</v>
      </c>
      <c r="M514" s="58" t="s">
        <v>791</v>
      </c>
      <c r="N514" s="54" t="s">
        <v>406</v>
      </c>
      <c r="O514" s="59">
        <v>46125</v>
      </c>
      <c r="P514" s="74"/>
      <c r="Q514" s="57"/>
      <c r="R514" s="61"/>
      <c r="S514" s="61"/>
    </row>
    <row r="515" spans="2:19" s="33" customFormat="1" ht="30" customHeight="1" x14ac:dyDescent="0.25">
      <c r="B515" s="42"/>
      <c r="C515" s="40"/>
      <c r="D515" s="43"/>
      <c r="E515" s="28" t="s">
        <v>1147</v>
      </c>
      <c r="F515" s="52"/>
      <c r="G515" s="32">
        <f>SUM(G516:G545)</f>
        <v>78</v>
      </c>
      <c r="H515" s="42"/>
      <c r="I515" s="42"/>
      <c r="J515" s="42"/>
      <c r="K515" s="42"/>
      <c r="L515" s="42"/>
      <c r="M515" s="40"/>
      <c r="N515" s="42"/>
      <c r="O515" s="42"/>
      <c r="P515" s="42"/>
      <c r="Q515" s="42"/>
      <c r="R515" s="42"/>
      <c r="S515" s="42"/>
    </row>
    <row r="516" spans="2:19" s="62" customFormat="1" outlineLevel="2" x14ac:dyDescent="0.25">
      <c r="B516" s="53"/>
      <c r="C516" s="58">
        <v>560</v>
      </c>
      <c r="D516" s="54" t="s">
        <v>21</v>
      </c>
      <c r="E516" s="64" t="s">
        <v>1147</v>
      </c>
      <c r="F516" s="64" t="s">
        <v>22</v>
      </c>
      <c r="G516" s="63">
        <v>1</v>
      </c>
      <c r="H516" s="57" t="s">
        <v>24</v>
      </c>
      <c r="I516" s="54" t="s">
        <v>25</v>
      </c>
      <c r="J516" s="54" t="s">
        <v>26</v>
      </c>
      <c r="K516" s="54" t="s">
        <v>27</v>
      </c>
      <c r="L516" s="54" t="s">
        <v>28</v>
      </c>
      <c r="M516" s="58" t="s">
        <v>29</v>
      </c>
      <c r="N516" s="54" t="s">
        <v>30</v>
      </c>
      <c r="O516" s="59">
        <v>46139</v>
      </c>
      <c r="P516" s="74"/>
      <c r="Q516" s="57"/>
      <c r="R516" s="61"/>
      <c r="S516" s="61"/>
    </row>
    <row r="517" spans="2:19" s="62" customFormat="1" outlineLevel="2" x14ac:dyDescent="0.25">
      <c r="B517" s="53"/>
      <c r="C517" s="58">
        <v>561</v>
      </c>
      <c r="D517" s="54" t="s">
        <v>811</v>
      </c>
      <c r="E517" s="64" t="s">
        <v>1147</v>
      </c>
      <c r="F517" s="64" t="s">
        <v>812</v>
      </c>
      <c r="G517" s="63">
        <v>10</v>
      </c>
      <c r="H517" s="57" t="s">
        <v>813</v>
      </c>
      <c r="I517" s="54" t="s">
        <v>814</v>
      </c>
      <c r="J517" s="54" t="s">
        <v>815</v>
      </c>
      <c r="K517" s="54" t="s">
        <v>816</v>
      </c>
      <c r="L517" s="54" t="s">
        <v>817</v>
      </c>
      <c r="M517" s="58" t="s">
        <v>1148</v>
      </c>
      <c r="N517" s="54" t="s">
        <v>819</v>
      </c>
      <c r="O517" s="59">
        <v>46153</v>
      </c>
      <c r="P517" s="74"/>
      <c r="Q517" s="57"/>
      <c r="R517" s="61"/>
      <c r="S517" s="61"/>
    </row>
    <row r="518" spans="2:19" s="62" customFormat="1" outlineLevel="2" x14ac:dyDescent="0.25">
      <c r="B518" s="53"/>
      <c r="C518" s="58">
        <v>562</v>
      </c>
      <c r="D518" s="54" t="s">
        <v>59</v>
      </c>
      <c r="E518" s="64" t="s">
        <v>1147</v>
      </c>
      <c r="F518" s="64" t="s">
        <v>60</v>
      </c>
      <c r="G518" s="63">
        <v>15</v>
      </c>
      <c r="H518" s="57" t="s">
        <v>61</v>
      </c>
      <c r="I518" s="54" t="s">
        <v>62</v>
      </c>
      <c r="J518" s="54" t="s">
        <v>63</v>
      </c>
      <c r="K518" s="54" t="s">
        <v>64</v>
      </c>
      <c r="L518" s="54" t="s">
        <v>65</v>
      </c>
      <c r="M518" s="58" t="s">
        <v>66</v>
      </c>
      <c r="N518" s="54" t="s">
        <v>67</v>
      </c>
      <c r="O518" s="59">
        <v>46139</v>
      </c>
      <c r="P518" s="74"/>
      <c r="Q518" s="57"/>
      <c r="R518" s="61"/>
      <c r="S518" s="61"/>
    </row>
    <row r="519" spans="2:19" s="62" customFormat="1" outlineLevel="2" x14ac:dyDescent="0.25">
      <c r="B519" s="53"/>
      <c r="C519" s="58">
        <v>563</v>
      </c>
      <c r="D519" s="54" t="s">
        <v>75</v>
      </c>
      <c r="E519" s="64" t="s">
        <v>1147</v>
      </c>
      <c r="F519" s="64" t="s">
        <v>76</v>
      </c>
      <c r="G519" s="63">
        <v>8</v>
      </c>
      <c r="H519" s="57" t="s">
        <v>77</v>
      </c>
      <c r="I519" s="54" t="s">
        <v>78</v>
      </c>
      <c r="J519" s="54" t="s">
        <v>79</v>
      </c>
      <c r="K519" s="54" t="s">
        <v>80</v>
      </c>
      <c r="L519" s="54" t="s">
        <v>81</v>
      </c>
      <c r="M519" s="58" t="s">
        <v>82</v>
      </c>
      <c r="N519" s="54" t="s">
        <v>83</v>
      </c>
      <c r="O519" s="59">
        <v>46139</v>
      </c>
      <c r="P519" s="74"/>
      <c r="Q519" s="57"/>
      <c r="R519" s="61"/>
      <c r="S519" s="61"/>
    </row>
    <row r="520" spans="2:19" s="62" customFormat="1" outlineLevel="2" x14ac:dyDescent="0.25">
      <c r="B520" s="53"/>
      <c r="C520" s="58">
        <v>564</v>
      </c>
      <c r="D520" s="54" t="s">
        <v>102</v>
      </c>
      <c r="E520" s="64" t="s">
        <v>1147</v>
      </c>
      <c r="F520" s="64" t="s">
        <v>103</v>
      </c>
      <c r="G520" s="63">
        <v>1</v>
      </c>
      <c r="H520" s="57" t="s">
        <v>61</v>
      </c>
      <c r="I520" s="54" t="s">
        <v>104</v>
      </c>
      <c r="J520" s="54" t="s">
        <v>105</v>
      </c>
      <c r="K520" s="54" t="s">
        <v>106</v>
      </c>
      <c r="L520" s="54" t="s">
        <v>107</v>
      </c>
      <c r="M520" s="58" t="s">
        <v>107</v>
      </c>
      <c r="N520" s="54" t="s">
        <v>108</v>
      </c>
      <c r="O520" s="59">
        <v>46139</v>
      </c>
      <c r="P520" s="74"/>
      <c r="Q520" s="57"/>
      <c r="R520" s="61"/>
      <c r="S520" s="61"/>
    </row>
    <row r="521" spans="2:19" s="62" customFormat="1" outlineLevel="2" x14ac:dyDescent="0.25">
      <c r="B521" s="53"/>
      <c r="C521" s="58">
        <v>565</v>
      </c>
      <c r="D521" s="54" t="s">
        <v>117</v>
      </c>
      <c r="E521" s="64" t="s">
        <v>1147</v>
      </c>
      <c r="F521" s="64" t="s">
        <v>118</v>
      </c>
      <c r="G521" s="63">
        <v>1</v>
      </c>
      <c r="H521" s="57" t="s">
        <v>24</v>
      </c>
      <c r="I521" s="54" t="s">
        <v>119</v>
      </c>
      <c r="J521" s="54" t="s">
        <v>120</v>
      </c>
      <c r="K521" s="54" t="s">
        <v>121</v>
      </c>
      <c r="L521" s="54" t="s">
        <v>122</v>
      </c>
      <c r="M521" s="58" t="s">
        <v>123</v>
      </c>
      <c r="N521" s="54" t="s">
        <v>124</v>
      </c>
      <c r="O521" s="59">
        <v>46139</v>
      </c>
      <c r="P521" s="74"/>
      <c r="Q521" s="57"/>
      <c r="R521" s="61"/>
      <c r="S521" s="61"/>
    </row>
    <row r="522" spans="2:19" s="62" customFormat="1" outlineLevel="2" x14ac:dyDescent="0.25">
      <c r="B522" s="53"/>
      <c r="C522" s="58">
        <v>566</v>
      </c>
      <c r="D522" s="54" t="s">
        <v>150</v>
      </c>
      <c r="E522" s="64" t="s">
        <v>1147</v>
      </c>
      <c r="F522" s="64" t="s">
        <v>151</v>
      </c>
      <c r="G522" s="63">
        <v>1</v>
      </c>
      <c r="H522" s="57" t="s">
        <v>152</v>
      </c>
      <c r="I522" s="54" t="s">
        <v>153</v>
      </c>
      <c r="J522" s="54" t="s">
        <v>154</v>
      </c>
      <c r="K522" s="54" t="s">
        <v>155</v>
      </c>
      <c r="L522" s="54" t="s">
        <v>156</v>
      </c>
      <c r="M522" s="58" t="s">
        <v>1114</v>
      </c>
      <c r="N522" s="54" t="s">
        <v>158</v>
      </c>
      <c r="O522" s="59">
        <v>46139</v>
      </c>
      <c r="P522" s="74"/>
      <c r="Q522" s="57"/>
      <c r="R522" s="61"/>
      <c r="S522" s="61"/>
    </row>
    <row r="523" spans="2:19" s="62" customFormat="1" outlineLevel="2" x14ac:dyDescent="0.25">
      <c r="B523" s="53"/>
      <c r="C523" s="58">
        <v>567</v>
      </c>
      <c r="D523" s="54" t="s">
        <v>159</v>
      </c>
      <c r="E523" s="64" t="s">
        <v>1147</v>
      </c>
      <c r="F523" s="64" t="s">
        <v>160</v>
      </c>
      <c r="G523" s="63">
        <v>1</v>
      </c>
      <c r="H523" s="57" t="s">
        <v>61</v>
      </c>
      <c r="I523" s="54" t="s">
        <v>161</v>
      </c>
      <c r="J523" s="54" t="s">
        <v>162</v>
      </c>
      <c r="K523" s="54" t="s">
        <v>163</v>
      </c>
      <c r="L523" s="54" t="s">
        <v>164</v>
      </c>
      <c r="M523" s="58" t="s">
        <v>164</v>
      </c>
      <c r="N523" s="54" t="s">
        <v>165</v>
      </c>
      <c r="O523" s="59">
        <v>46139</v>
      </c>
      <c r="P523" s="74"/>
      <c r="Q523" s="57"/>
      <c r="R523" s="61"/>
      <c r="S523" s="61"/>
    </row>
    <row r="524" spans="2:19" s="62" customFormat="1" outlineLevel="2" x14ac:dyDescent="0.25">
      <c r="B524" s="53"/>
      <c r="C524" s="58">
        <v>568</v>
      </c>
      <c r="D524" s="54" t="s">
        <v>174</v>
      </c>
      <c r="E524" s="64" t="s">
        <v>1147</v>
      </c>
      <c r="F524" s="64" t="s">
        <v>175</v>
      </c>
      <c r="G524" s="63">
        <v>1</v>
      </c>
      <c r="H524" s="57" t="s">
        <v>152</v>
      </c>
      <c r="I524" s="54" t="s">
        <v>176</v>
      </c>
      <c r="J524" s="54" t="s">
        <v>177</v>
      </c>
      <c r="K524" s="54" t="s">
        <v>178</v>
      </c>
      <c r="L524" s="54" t="s">
        <v>179</v>
      </c>
      <c r="M524" s="58" t="s">
        <v>180</v>
      </c>
      <c r="N524" s="54" t="s">
        <v>181</v>
      </c>
      <c r="O524" s="59">
        <v>46139</v>
      </c>
      <c r="P524" s="74"/>
      <c r="Q524" s="57"/>
      <c r="R524" s="61"/>
      <c r="S524" s="61"/>
    </row>
    <row r="525" spans="2:19" s="62" customFormat="1" outlineLevel="2" x14ac:dyDescent="0.25">
      <c r="B525" s="53"/>
      <c r="C525" s="58">
        <v>569</v>
      </c>
      <c r="D525" s="54" t="s">
        <v>667</v>
      </c>
      <c r="E525" s="64" t="s">
        <v>1147</v>
      </c>
      <c r="F525" s="64" t="s">
        <v>668</v>
      </c>
      <c r="G525" s="63">
        <v>1</v>
      </c>
      <c r="H525" s="57" t="s">
        <v>61</v>
      </c>
      <c r="I525" s="54" t="s">
        <v>674</v>
      </c>
      <c r="J525" s="54" t="s">
        <v>675</v>
      </c>
      <c r="K525" s="53" t="s">
        <v>676</v>
      </c>
      <c r="L525" s="54" t="s">
        <v>672</v>
      </c>
      <c r="M525" s="58" t="s">
        <v>677</v>
      </c>
      <c r="N525" s="54" t="s">
        <v>673</v>
      </c>
      <c r="O525" s="59">
        <v>46139</v>
      </c>
      <c r="P525" s="74"/>
      <c r="Q525" s="57"/>
      <c r="R525" s="61"/>
      <c r="S525" s="61"/>
    </row>
    <row r="526" spans="2:19" s="62" customFormat="1" ht="54" customHeight="1" outlineLevel="2" x14ac:dyDescent="0.25">
      <c r="B526" s="53"/>
      <c r="C526" s="58" t="s">
        <v>1149</v>
      </c>
      <c r="D526" s="54" t="s">
        <v>190</v>
      </c>
      <c r="E526" s="64" t="s">
        <v>1147</v>
      </c>
      <c r="F526" s="64" t="s">
        <v>191</v>
      </c>
      <c r="G526" s="63">
        <v>3</v>
      </c>
      <c r="H526" s="57" t="s">
        <v>24</v>
      </c>
      <c r="I526" s="65" t="s">
        <v>1150</v>
      </c>
      <c r="J526" s="65" t="s">
        <v>1151</v>
      </c>
      <c r="K526" s="65" t="s">
        <v>1152</v>
      </c>
      <c r="L526" s="54" t="s">
        <v>195</v>
      </c>
      <c r="M526" s="58" t="s">
        <v>1153</v>
      </c>
      <c r="N526" s="54" t="s">
        <v>197</v>
      </c>
      <c r="O526" s="59">
        <v>46139</v>
      </c>
      <c r="P526" s="74"/>
      <c r="Q526" s="57"/>
      <c r="R526" s="61"/>
      <c r="S526" s="61"/>
    </row>
    <row r="527" spans="2:19" s="62" customFormat="1" outlineLevel="2" x14ac:dyDescent="0.25">
      <c r="B527" s="53"/>
      <c r="C527" s="58">
        <v>571</v>
      </c>
      <c r="D527" s="54" t="s">
        <v>198</v>
      </c>
      <c r="E527" s="64" t="s">
        <v>1147</v>
      </c>
      <c r="F527" s="64" t="s">
        <v>199</v>
      </c>
      <c r="G527" s="63">
        <v>3</v>
      </c>
      <c r="H527" s="57" t="s">
        <v>200</v>
      </c>
      <c r="I527" s="54" t="s">
        <v>201</v>
      </c>
      <c r="J527" s="54" t="s">
        <v>202</v>
      </c>
      <c r="K527" s="54" t="s">
        <v>203</v>
      </c>
      <c r="L527" s="54" t="s">
        <v>204</v>
      </c>
      <c r="M527" s="58" t="s">
        <v>205</v>
      </c>
      <c r="N527" s="54" t="s">
        <v>206</v>
      </c>
      <c r="O527" s="59">
        <v>46139</v>
      </c>
      <c r="P527" s="74"/>
      <c r="Q527" s="57"/>
      <c r="R527" s="61"/>
      <c r="S527" s="61"/>
    </row>
    <row r="528" spans="2:19" s="62" customFormat="1" outlineLevel="2" x14ac:dyDescent="0.25">
      <c r="B528" s="53"/>
      <c r="C528" s="58">
        <v>572</v>
      </c>
      <c r="D528" s="54" t="s">
        <v>223</v>
      </c>
      <c r="E528" s="64" t="s">
        <v>1147</v>
      </c>
      <c r="F528" s="64" t="s">
        <v>224</v>
      </c>
      <c r="G528" s="63">
        <v>1</v>
      </c>
      <c r="H528" s="57" t="s">
        <v>61</v>
      </c>
      <c r="I528" s="54" t="s">
        <v>225</v>
      </c>
      <c r="J528" s="54" t="s">
        <v>226</v>
      </c>
      <c r="K528" s="54" t="s">
        <v>227</v>
      </c>
      <c r="L528" s="54" t="s">
        <v>228</v>
      </c>
      <c r="M528" s="58" t="s">
        <v>229</v>
      </c>
      <c r="N528" s="54" t="s">
        <v>230</v>
      </c>
      <c r="O528" s="59">
        <v>46139</v>
      </c>
      <c r="P528" s="74"/>
      <c r="Q528" s="57"/>
      <c r="R528" s="61"/>
      <c r="S528" s="61"/>
    </row>
    <row r="529" spans="2:19" s="62" customFormat="1" outlineLevel="2" x14ac:dyDescent="0.25">
      <c r="B529" s="53"/>
      <c r="C529" s="58">
        <v>573</v>
      </c>
      <c r="D529" s="54" t="s">
        <v>231</v>
      </c>
      <c r="E529" s="64" t="s">
        <v>1147</v>
      </c>
      <c r="F529" s="64" t="s">
        <v>232</v>
      </c>
      <c r="G529" s="63">
        <v>2</v>
      </c>
      <c r="H529" s="57" t="s">
        <v>61</v>
      </c>
      <c r="I529" s="54" t="s">
        <v>697</v>
      </c>
      <c r="J529" s="54" t="s">
        <v>698</v>
      </c>
      <c r="K529" s="54" t="s">
        <v>699</v>
      </c>
      <c r="L529" s="54" t="s">
        <v>236</v>
      </c>
      <c r="M529" s="58" t="s">
        <v>700</v>
      </c>
      <c r="N529" s="54" t="s">
        <v>238</v>
      </c>
      <c r="O529" s="59">
        <v>46139</v>
      </c>
      <c r="P529" s="74"/>
      <c r="Q529" s="57"/>
      <c r="R529" s="61"/>
      <c r="S529" s="61"/>
    </row>
    <row r="530" spans="2:19" s="62" customFormat="1" outlineLevel="2" x14ac:dyDescent="0.25">
      <c r="B530" s="53"/>
      <c r="C530" s="58">
        <v>574</v>
      </c>
      <c r="D530" s="54" t="s">
        <v>239</v>
      </c>
      <c r="E530" s="64" t="s">
        <v>1147</v>
      </c>
      <c r="F530" s="64" t="s">
        <v>240</v>
      </c>
      <c r="G530" s="63">
        <v>1</v>
      </c>
      <c r="H530" s="57" t="s">
        <v>24</v>
      </c>
      <c r="I530" s="54" t="s">
        <v>241</v>
      </c>
      <c r="J530" s="54" t="s">
        <v>242</v>
      </c>
      <c r="K530" s="54" t="s">
        <v>243</v>
      </c>
      <c r="L530" s="54" t="s">
        <v>244</v>
      </c>
      <c r="M530" s="58" t="s">
        <v>714</v>
      </c>
      <c r="N530" s="54" t="s">
        <v>246</v>
      </c>
      <c r="O530" s="59">
        <v>46139</v>
      </c>
      <c r="P530" s="74"/>
      <c r="Q530" s="57"/>
      <c r="R530" s="61"/>
      <c r="S530" s="61"/>
    </row>
    <row r="531" spans="2:19" s="62" customFormat="1" outlineLevel="2" x14ac:dyDescent="0.25">
      <c r="B531" s="53"/>
      <c r="C531" s="58">
        <v>575</v>
      </c>
      <c r="D531" s="54" t="s">
        <v>651</v>
      </c>
      <c r="E531" s="64" t="s">
        <v>1147</v>
      </c>
      <c r="F531" s="64" t="s">
        <v>652</v>
      </c>
      <c r="G531" s="63">
        <v>1</v>
      </c>
      <c r="H531" s="57" t="s">
        <v>111</v>
      </c>
      <c r="I531" s="54" t="s">
        <v>653</v>
      </c>
      <c r="J531" s="54" t="s">
        <v>654</v>
      </c>
      <c r="K531" s="54" t="s">
        <v>655</v>
      </c>
      <c r="L531" s="54" t="s">
        <v>656</v>
      </c>
      <c r="M531" s="58" t="s">
        <v>657</v>
      </c>
      <c r="N531" s="54" t="s">
        <v>658</v>
      </c>
      <c r="O531" s="59">
        <v>46139</v>
      </c>
      <c r="P531" s="74"/>
      <c r="Q531" s="57"/>
      <c r="R531" s="61"/>
      <c r="S531" s="61"/>
    </row>
    <row r="532" spans="2:19" s="62" customFormat="1" outlineLevel="2" x14ac:dyDescent="0.25">
      <c r="B532" s="53"/>
      <c r="C532" s="58">
        <v>576</v>
      </c>
      <c r="D532" s="54" t="s">
        <v>270</v>
      </c>
      <c r="E532" s="64" t="s">
        <v>1147</v>
      </c>
      <c r="F532" s="64" t="s">
        <v>271</v>
      </c>
      <c r="G532" s="63">
        <v>2</v>
      </c>
      <c r="H532" s="57" t="s">
        <v>61</v>
      </c>
      <c r="I532" s="54" t="s">
        <v>272</v>
      </c>
      <c r="J532" s="54" t="s">
        <v>273</v>
      </c>
      <c r="K532" s="54" t="s">
        <v>274</v>
      </c>
      <c r="L532" s="54" t="s">
        <v>275</v>
      </c>
      <c r="M532" s="58" t="s">
        <v>792</v>
      </c>
      <c r="N532" s="54" t="s">
        <v>277</v>
      </c>
      <c r="O532" s="59">
        <v>46139</v>
      </c>
      <c r="P532" s="74"/>
      <c r="Q532" s="57"/>
      <c r="R532" s="61"/>
      <c r="S532" s="61"/>
    </row>
    <row r="533" spans="2:19" s="62" customFormat="1" outlineLevel="2" x14ac:dyDescent="0.25">
      <c r="B533" s="53"/>
      <c r="C533" s="58">
        <v>577</v>
      </c>
      <c r="D533" s="54" t="s">
        <v>294</v>
      </c>
      <c r="E533" s="64" t="s">
        <v>1147</v>
      </c>
      <c r="F533" s="64" t="s">
        <v>295</v>
      </c>
      <c r="G533" s="63">
        <v>1</v>
      </c>
      <c r="H533" s="57" t="s">
        <v>61</v>
      </c>
      <c r="I533" s="54" t="s">
        <v>908</v>
      </c>
      <c r="J533" s="54" t="s">
        <v>909</v>
      </c>
      <c r="K533" s="54" t="s">
        <v>910</v>
      </c>
      <c r="L533" s="54" t="s">
        <v>299</v>
      </c>
      <c r="M533" s="58" t="s">
        <v>300</v>
      </c>
      <c r="N533" s="54" t="s">
        <v>301</v>
      </c>
      <c r="O533" s="59">
        <v>46139</v>
      </c>
      <c r="P533" s="74"/>
      <c r="Q533" s="57"/>
      <c r="R533" s="61"/>
      <c r="S533" s="61"/>
    </row>
    <row r="534" spans="2:19" s="62" customFormat="1" outlineLevel="2" x14ac:dyDescent="0.25">
      <c r="B534" s="53"/>
      <c r="C534" s="58">
        <v>578</v>
      </c>
      <c r="D534" s="54" t="s">
        <v>342</v>
      </c>
      <c r="E534" s="64" t="s">
        <v>1147</v>
      </c>
      <c r="F534" s="64" t="s">
        <v>343</v>
      </c>
      <c r="G534" s="63">
        <v>1</v>
      </c>
      <c r="H534" s="57" t="s">
        <v>24</v>
      </c>
      <c r="I534" s="54" t="s">
        <v>344</v>
      </c>
      <c r="J534" s="54" t="s">
        <v>345</v>
      </c>
      <c r="K534" s="54" t="s">
        <v>346</v>
      </c>
      <c r="L534" s="54" t="s">
        <v>347</v>
      </c>
      <c r="M534" s="58" t="s">
        <v>348</v>
      </c>
      <c r="N534" s="54" t="s">
        <v>349</v>
      </c>
      <c r="O534" s="59">
        <v>46139</v>
      </c>
      <c r="P534" s="74"/>
      <c r="Q534" s="57"/>
      <c r="R534" s="61"/>
      <c r="S534" s="61"/>
    </row>
    <row r="535" spans="2:19" s="62" customFormat="1" outlineLevel="2" x14ac:dyDescent="0.25">
      <c r="B535" s="53"/>
      <c r="C535" s="58">
        <v>579</v>
      </c>
      <c r="D535" s="54" t="s">
        <v>350</v>
      </c>
      <c r="E535" s="64" t="s">
        <v>1147</v>
      </c>
      <c r="F535" s="64" t="s">
        <v>351</v>
      </c>
      <c r="G535" s="63">
        <v>2</v>
      </c>
      <c r="H535" s="57" t="s">
        <v>152</v>
      </c>
      <c r="I535" s="54" t="s">
        <v>352</v>
      </c>
      <c r="J535" s="54" t="s">
        <v>353</v>
      </c>
      <c r="K535" s="54" t="s">
        <v>354</v>
      </c>
      <c r="L535" s="54" t="s">
        <v>355</v>
      </c>
      <c r="M535" s="58" t="s">
        <v>355</v>
      </c>
      <c r="N535" s="54" t="s">
        <v>356</v>
      </c>
      <c r="O535" s="59">
        <v>46139</v>
      </c>
      <c r="P535" s="74"/>
      <c r="Q535" s="57"/>
      <c r="R535" s="61"/>
      <c r="S535" s="61"/>
    </row>
    <row r="536" spans="2:19" s="62" customFormat="1" outlineLevel="2" x14ac:dyDescent="0.25">
      <c r="B536" s="53"/>
      <c r="C536" s="58">
        <v>580</v>
      </c>
      <c r="D536" s="54" t="s">
        <v>802</v>
      </c>
      <c r="E536" s="64" t="s">
        <v>1147</v>
      </c>
      <c r="F536" s="64" t="s">
        <v>803</v>
      </c>
      <c r="G536" s="63">
        <v>4</v>
      </c>
      <c r="H536" s="57" t="s">
        <v>804</v>
      </c>
      <c r="I536" s="54" t="s">
        <v>805</v>
      </c>
      <c r="J536" s="54" t="s">
        <v>806</v>
      </c>
      <c r="K536" s="53" t="s">
        <v>807</v>
      </c>
      <c r="L536" s="54" t="s">
        <v>808</v>
      </c>
      <c r="M536" s="58" t="s">
        <v>809</v>
      </c>
      <c r="N536" s="54" t="s">
        <v>810</v>
      </c>
      <c r="O536" s="59">
        <v>46139</v>
      </c>
      <c r="P536" s="74"/>
      <c r="Q536" s="57"/>
      <c r="R536" s="61"/>
      <c r="S536" s="61"/>
    </row>
    <row r="537" spans="2:19" s="62" customFormat="1" outlineLevel="2" x14ac:dyDescent="0.25">
      <c r="B537" s="53"/>
      <c r="C537" s="58">
        <v>581</v>
      </c>
      <c r="D537" s="54" t="s">
        <v>366</v>
      </c>
      <c r="E537" s="64" t="s">
        <v>1147</v>
      </c>
      <c r="F537" s="64" t="s">
        <v>367</v>
      </c>
      <c r="G537" s="63">
        <v>4</v>
      </c>
      <c r="H537" s="57" t="s">
        <v>368</v>
      </c>
      <c r="I537" s="54" t="s">
        <v>369</v>
      </c>
      <c r="J537" s="54" t="s">
        <v>370</v>
      </c>
      <c r="K537" s="54" t="s">
        <v>371</v>
      </c>
      <c r="L537" s="54" t="s">
        <v>372</v>
      </c>
      <c r="M537" s="58" t="s">
        <v>682</v>
      </c>
      <c r="N537" s="54" t="s">
        <v>374</v>
      </c>
      <c r="O537" s="59">
        <v>46139</v>
      </c>
      <c r="P537" s="74"/>
      <c r="Q537" s="57"/>
      <c r="R537" s="61"/>
      <c r="S537" s="61"/>
    </row>
    <row r="538" spans="2:19" s="62" customFormat="1" outlineLevel="2" x14ac:dyDescent="0.25">
      <c r="B538" s="53"/>
      <c r="C538" s="58">
        <v>582</v>
      </c>
      <c r="D538" s="54" t="s">
        <v>375</v>
      </c>
      <c r="E538" s="64" t="s">
        <v>1147</v>
      </c>
      <c r="F538" s="64" t="s">
        <v>376</v>
      </c>
      <c r="G538" s="63">
        <v>3</v>
      </c>
      <c r="H538" s="57" t="s">
        <v>111</v>
      </c>
      <c r="I538" s="54" t="s">
        <v>377</v>
      </c>
      <c r="J538" s="54" t="s">
        <v>378</v>
      </c>
      <c r="K538" s="54" t="s">
        <v>379</v>
      </c>
      <c r="L538" s="54" t="s">
        <v>380</v>
      </c>
      <c r="M538" s="58" t="s">
        <v>381</v>
      </c>
      <c r="N538" s="54" t="s">
        <v>382</v>
      </c>
      <c r="O538" s="59">
        <v>46139</v>
      </c>
      <c r="P538" s="74"/>
      <c r="Q538" s="57"/>
      <c r="R538" s="61"/>
      <c r="S538" s="61"/>
    </row>
    <row r="539" spans="2:19" s="62" customFormat="1" outlineLevel="2" x14ac:dyDescent="0.25">
      <c r="B539" s="53"/>
      <c r="C539" s="58">
        <v>583</v>
      </c>
      <c r="D539" s="54" t="s">
        <v>383</v>
      </c>
      <c r="E539" s="64" t="s">
        <v>1147</v>
      </c>
      <c r="F539" s="64" t="s">
        <v>384</v>
      </c>
      <c r="G539" s="63">
        <v>2</v>
      </c>
      <c r="H539" s="57" t="s">
        <v>61</v>
      </c>
      <c r="I539" s="54" t="s">
        <v>385</v>
      </c>
      <c r="J539" s="54" t="s">
        <v>386</v>
      </c>
      <c r="K539" s="54" t="s">
        <v>387</v>
      </c>
      <c r="L539" s="54" t="s">
        <v>388</v>
      </c>
      <c r="M539" s="58" t="s">
        <v>389</v>
      </c>
      <c r="N539" s="54" t="s">
        <v>390</v>
      </c>
      <c r="O539" s="59">
        <v>46139</v>
      </c>
      <c r="P539" s="74"/>
      <c r="Q539" s="57"/>
      <c r="R539" s="61"/>
      <c r="S539" s="61"/>
    </row>
    <row r="540" spans="2:19" s="62" customFormat="1" outlineLevel="2" x14ac:dyDescent="0.25">
      <c r="B540" s="53"/>
      <c r="C540" s="58">
        <v>584</v>
      </c>
      <c r="D540" s="54" t="s">
        <v>399</v>
      </c>
      <c r="E540" s="64" t="s">
        <v>1147</v>
      </c>
      <c r="F540" s="64" t="s">
        <v>400</v>
      </c>
      <c r="G540" s="63">
        <v>1</v>
      </c>
      <c r="H540" s="57" t="s">
        <v>152</v>
      </c>
      <c r="I540" s="54" t="s">
        <v>401</v>
      </c>
      <c r="J540" s="54" t="s">
        <v>402</v>
      </c>
      <c r="K540" s="54" t="s">
        <v>403</v>
      </c>
      <c r="L540" s="54" t="s">
        <v>404</v>
      </c>
      <c r="M540" s="58" t="s">
        <v>791</v>
      </c>
      <c r="N540" s="54" t="s">
        <v>406</v>
      </c>
      <c r="O540" s="59">
        <v>46139</v>
      </c>
      <c r="P540" s="74"/>
      <c r="Q540" s="57"/>
      <c r="R540" s="61"/>
      <c r="S540" s="61"/>
    </row>
    <row r="541" spans="2:19" s="62" customFormat="1" ht="30" outlineLevel="2" x14ac:dyDescent="0.25">
      <c r="B541" s="53"/>
      <c r="C541" s="58">
        <v>585</v>
      </c>
      <c r="D541" s="54" t="s">
        <v>431</v>
      </c>
      <c r="E541" s="54" t="s">
        <v>1147</v>
      </c>
      <c r="F541" s="64" t="s">
        <v>432</v>
      </c>
      <c r="G541" s="63">
        <v>1</v>
      </c>
      <c r="H541" s="57" t="s">
        <v>152</v>
      </c>
      <c r="I541" s="54" t="s">
        <v>868</v>
      </c>
      <c r="J541" s="54" t="s">
        <v>869</v>
      </c>
      <c r="K541" s="54" t="s">
        <v>870</v>
      </c>
      <c r="L541" s="54" t="s">
        <v>436</v>
      </c>
      <c r="M541" s="58" t="s">
        <v>1146</v>
      </c>
      <c r="N541" s="54" t="s">
        <v>438</v>
      </c>
      <c r="O541" s="59">
        <v>46139</v>
      </c>
      <c r="P541" s="74"/>
      <c r="Q541" s="57"/>
      <c r="R541" s="61"/>
      <c r="S541" s="61"/>
    </row>
    <row r="542" spans="2:19" s="62" customFormat="1" outlineLevel="2" x14ac:dyDescent="0.25">
      <c r="B542" s="53"/>
      <c r="C542" s="58">
        <v>586</v>
      </c>
      <c r="D542" s="54" t="s">
        <v>571</v>
      </c>
      <c r="E542" s="64" t="s">
        <v>1147</v>
      </c>
      <c r="F542" s="64" t="s">
        <v>572</v>
      </c>
      <c r="G542" s="63">
        <v>2</v>
      </c>
      <c r="H542" s="57" t="s">
        <v>573</v>
      </c>
      <c r="I542" s="54" t="s">
        <v>574</v>
      </c>
      <c r="J542" s="54" t="s">
        <v>575</v>
      </c>
      <c r="K542" s="54" t="s">
        <v>576</v>
      </c>
      <c r="L542" s="54" t="s">
        <v>577</v>
      </c>
      <c r="M542" s="58" t="s">
        <v>578</v>
      </c>
      <c r="N542" s="54" t="s">
        <v>579</v>
      </c>
      <c r="O542" s="59">
        <v>46139</v>
      </c>
      <c r="P542" s="74"/>
      <c r="Q542" s="57"/>
      <c r="R542" s="61"/>
      <c r="S542" s="61"/>
    </row>
    <row r="543" spans="2:19" s="62" customFormat="1" outlineLevel="2" x14ac:dyDescent="0.25">
      <c r="B543" s="53"/>
      <c r="C543" s="58">
        <v>587</v>
      </c>
      <c r="D543" s="54" t="s">
        <v>463</v>
      </c>
      <c r="E543" s="64" t="s">
        <v>1147</v>
      </c>
      <c r="F543" s="64" t="s">
        <v>464</v>
      </c>
      <c r="G543" s="63">
        <v>2</v>
      </c>
      <c r="H543" s="57" t="s">
        <v>152</v>
      </c>
      <c r="I543" s="54" t="s">
        <v>465</v>
      </c>
      <c r="J543" s="54" t="s">
        <v>466</v>
      </c>
      <c r="K543" s="54" t="s">
        <v>467</v>
      </c>
      <c r="L543" s="54" t="s">
        <v>468</v>
      </c>
      <c r="M543" s="58" t="s">
        <v>469</v>
      </c>
      <c r="N543" s="54" t="s">
        <v>470</v>
      </c>
      <c r="O543" s="59">
        <v>46139</v>
      </c>
      <c r="P543" s="74"/>
      <c r="Q543" s="57"/>
      <c r="R543" s="61"/>
      <c r="S543" s="61"/>
    </row>
    <row r="544" spans="2:19" s="62" customFormat="1" outlineLevel="2" x14ac:dyDescent="0.25">
      <c r="B544" s="53"/>
      <c r="C544" s="58">
        <v>588</v>
      </c>
      <c r="D544" s="54" t="s">
        <v>471</v>
      </c>
      <c r="E544" s="64" t="s">
        <v>1147</v>
      </c>
      <c r="F544" s="64" t="s">
        <v>472</v>
      </c>
      <c r="G544" s="63">
        <v>1</v>
      </c>
      <c r="H544" s="57" t="s">
        <v>111</v>
      </c>
      <c r="I544" s="54" t="s">
        <v>473</v>
      </c>
      <c r="J544" s="54" t="s">
        <v>474</v>
      </c>
      <c r="K544" s="54" t="s">
        <v>475</v>
      </c>
      <c r="L544" s="54" t="s">
        <v>476</v>
      </c>
      <c r="M544" s="58" t="s">
        <v>476</v>
      </c>
      <c r="N544" s="54" t="s">
        <v>477</v>
      </c>
      <c r="O544" s="59">
        <v>46139</v>
      </c>
      <c r="P544" s="74"/>
      <c r="Q544" s="57"/>
      <c r="R544" s="61"/>
      <c r="S544" s="61"/>
    </row>
    <row r="545" spans="2:19" s="62" customFormat="1" outlineLevel="2" x14ac:dyDescent="0.25">
      <c r="B545" s="53"/>
      <c r="C545" s="58">
        <v>589</v>
      </c>
      <c r="D545" s="54" t="s">
        <v>588</v>
      </c>
      <c r="E545" s="64" t="s">
        <v>1147</v>
      </c>
      <c r="F545" s="64" t="s">
        <v>589</v>
      </c>
      <c r="G545" s="63">
        <v>1</v>
      </c>
      <c r="H545" s="57" t="s">
        <v>24</v>
      </c>
      <c r="I545" s="54" t="s">
        <v>590</v>
      </c>
      <c r="J545" s="54" t="s">
        <v>591</v>
      </c>
      <c r="K545" s="54" t="s">
        <v>592</v>
      </c>
      <c r="L545" s="54" t="s">
        <v>593</v>
      </c>
      <c r="M545" s="58" t="s">
        <v>594</v>
      </c>
      <c r="N545" s="54" t="s">
        <v>595</v>
      </c>
      <c r="O545" s="59">
        <v>46139</v>
      </c>
      <c r="P545" s="74"/>
      <c r="Q545" s="57"/>
      <c r="R545" s="61"/>
      <c r="S545" s="61"/>
    </row>
    <row r="546" spans="2:19" s="33" customFormat="1" x14ac:dyDescent="0.25">
      <c r="B546" s="42"/>
      <c r="C546" s="40"/>
      <c r="D546" s="43"/>
      <c r="E546" s="28" t="s">
        <v>527</v>
      </c>
      <c r="F546" s="52"/>
      <c r="G546" s="32">
        <f>SUM(G547:G603)</f>
        <v>131</v>
      </c>
      <c r="H546" s="42"/>
      <c r="I546" s="42"/>
      <c r="J546" s="42"/>
      <c r="K546" s="42"/>
      <c r="L546" s="42"/>
      <c r="M546" s="40"/>
      <c r="N546" s="42"/>
      <c r="O546" s="42"/>
      <c r="P546" s="42"/>
      <c r="Q546" s="42"/>
      <c r="R546" s="42"/>
      <c r="S546" s="42"/>
    </row>
    <row r="547" spans="2:19" s="62" customFormat="1" outlineLevel="1" x14ac:dyDescent="0.25">
      <c r="B547" s="53"/>
      <c r="C547" s="58">
        <v>590</v>
      </c>
      <c r="D547" s="54" t="s">
        <v>21</v>
      </c>
      <c r="E547" s="64" t="s">
        <v>527</v>
      </c>
      <c r="F547" s="64" t="s">
        <v>22</v>
      </c>
      <c r="G547" s="63">
        <v>1</v>
      </c>
      <c r="H547" s="57" t="s">
        <v>24</v>
      </c>
      <c r="I547" s="54" t="s">
        <v>25</v>
      </c>
      <c r="J547" s="54" t="s">
        <v>26</v>
      </c>
      <c r="K547" s="54" t="s">
        <v>27</v>
      </c>
      <c r="L547" s="54" t="s">
        <v>28</v>
      </c>
      <c r="M547" s="58" t="s">
        <v>29</v>
      </c>
      <c r="N547" s="54" t="s">
        <v>30</v>
      </c>
      <c r="O547" s="59">
        <v>46111</v>
      </c>
      <c r="P547" s="74"/>
      <c r="Q547" s="57"/>
      <c r="R547" s="78"/>
      <c r="S547" s="78"/>
    </row>
    <row r="548" spans="2:19" s="62" customFormat="1" outlineLevel="1" x14ac:dyDescent="0.25">
      <c r="B548" s="53"/>
      <c r="C548" s="58">
        <v>591</v>
      </c>
      <c r="D548" s="54" t="s">
        <v>811</v>
      </c>
      <c r="E548" s="64" t="s">
        <v>527</v>
      </c>
      <c r="F548" s="64" t="s">
        <v>812</v>
      </c>
      <c r="G548" s="63">
        <v>23</v>
      </c>
      <c r="H548" s="57" t="s">
        <v>813</v>
      </c>
      <c r="I548" s="54" t="s">
        <v>814</v>
      </c>
      <c r="J548" s="54" t="s">
        <v>815</v>
      </c>
      <c r="K548" s="54" t="s">
        <v>816</v>
      </c>
      <c r="L548" s="54" t="s">
        <v>817</v>
      </c>
      <c r="M548" s="58" t="s">
        <v>1148</v>
      </c>
      <c r="N548" s="54" t="s">
        <v>819</v>
      </c>
      <c r="O548" s="59">
        <v>46153</v>
      </c>
      <c r="P548" s="74"/>
      <c r="Q548" s="57"/>
      <c r="R548" s="78"/>
      <c r="S548" s="78"/>
    </row>
    <row r="549" spans="2:19" s="62" customFormat="1" outlineLevel="1" x14ac:dyDescent="0.25">
      <c r="B549" s="53"/>
      <c r="C549" s="58">
        <v>592</v>
      </c>
      <c r="D549" s="54" t="s">
        <v>34</v>
      </c>
      <c r="E549" s="64" t="s">
        <v>527</v>
      </c>
      <c r="F549" s="64" t="s">
        <v>35</v>
      </c>
      <c r="G549" s="63">
        <v>8</v>
      </c>
      <c r="H549" s="57" t="s">
        <v>36</v>
      </c>
      <c r="I549" s="54" t="s">
        <v>37</v>
      </c>
      <c r="J549" s="54" t="s">
        <v>38</v>
      </c>
      <c r="K549" s="54" t="s">
        <v>39</v>
      </c>
      <c r="L549" s="54" t="s">
        <v>40</v>
      </c>
      <c r="M549" s="58" t="s">
        <v>553</v>
      </c>
      <c r="N549" s="54" t="s">
        <v>42</v>
      </c>
      <c r="O549" s="59">
        <v>46111</v>
      </c>
      <c r="P549" s="74"/>
      <c r="Q549" s="57"/>
      <c r="R549" s="78"/>
      <c r="S549" s="78"/>
    </row>
    <row r="550" spans="2:19" s="62" customFormat="1" outlineLevel="1" x14ac:dyDescent="0.25">
      <c r="B550" s="53"/>
      <c r="C550" s="58">
        <v>593</v>
      </c>
      <c r="D550" s="54" t="s">
        <v>43</v>
      </c>
      <c r="E550" s="64" t="s">
        <v>527</v>
      </c>
      <c r="F550" s="64" t="s">
        <v>44</v>
      </c>
      <c r="G550" s="63">
        <v>1</v>
      </c>
      <c r="H550" s="57" t="s">
        <v>24</v>
      </c>
      <c r="I550" s="54" t="s">
        <v>45</v>
      </c>
      <c r="J550" s="54" t="s">
        <v>46</v>
      </c>
      <c r="K550" s="54" t="s">
        <v>47</v>
      </c>
      <c r="L550" s="54" t="s">
        <v>48</v>
      </c>
      <c r="M550" s="58" t="s">
        <v>49</v>
      </c>
      <c r="N550" s="54" t="s">
        <v>50</v>
      </c>
      <c r="O550" s="59">
        <v>46111</v>
      </c>
      <c r="P550" s="74"/>
      <c r="Q550" s="57"/>
      <c r="R550" s="78"/>
      <c r="S550" s="78"/>
    </row>
    <row r="551" spans="2:19" s="62" customFormat="1" outlineLevel="1" x14ac:dyDescent="0.25">
      <c r="B551" s="53"/>
      <c r="C551" s="58">
        <v>594</v>
      </c>
      <c r="D551" s="54" t="s">
        <v>51</v>
      </c>
      <c r="E551" s="64" t="s">
        <v>527</v>
      </c>
      <c r="F551" s="64" t="s">
        <v>52</v>
      </c>
      <c r="G551" s="63">
        <v>2</v>
      </c>
      <c r="H551" s="57" t="s">
        <v>24</v>
      </c>
      <c r="I551" s="54" t="s">
        <v>53</v>
      </c>
      <c r="J551" s="54" t="s">
        <v>54</v>
      </c>
      <c r="K551" s="54" t="s">
        <v>55</v>
      </c>
      <c r="L551" s="54" t="s">
        <v>56</v>
      </c>
      <c r="M551" s="58" t="s">
        <v>57</v>
      </c>
      <c r="N551" s="54" t="s">
        <v>58</v>
      </c>
      <c r="O551" s="59">
        <v>46111</v>
      </c>
      <c r="P551" s="74"/>
      <c r="Q551" s="57"/>
      <c r="R551" s="78"/>
      <c r="S551" s="78"/>
    </row>
    <row r="552" spans="2:19" s="62" customFormat="1" outlineLevel="1" x14ac:dyDescent="0.25">
      <c r="B552" s="53"/>
      <c r="C552" s="58">
        <v>595</v>
      </c>
      <c r="D552" s="54" t="s">
        <v>562</v>
      </c>
      <c r="E552" s="64" t="s">
        <v>527</v>
      </c>
      <c r="F552" s="64" t="s">
        <v>563</v>
      </c>
      <c r="G552" s="63">
        <v>1</v>
      </c>
      <c r="H552" s="57" t="s">
        <v>61</v>
      </c>
      <c r="I552" s="54" t="s">
        <v>564</v>
      </c>
      <c r="J552" s="54" t="s">
        <v>565</v>
      </c>
      <c r="K552" s="54" t="s">
        <v>566</v>
      </c>
      <c r="L552" s="54" t="s">
        <v>567</v>
      </c>
      <c r="M552" s="58" t="s">
        <v>568</v>
      </c>
      <c r="N552" s="54" t="s">
        <v>569</v>
      </c>
      <c r="O552" s="59">
        <v>46111</v>
      </c>
      <c r="P552" s="74"/>
      <c r="Q552" s="57"/>
      <c r="R552" s="78"/>
      <c r="S552" s="78"/>
    </row>
    <row r="553" spans="2:19" s="62" customFormat="1" outlineLevel="1" x14ac:dyDescent="0.25">
      <c r="B553" s="53"/>
      <c r="C553" s="58">
        <v>596</v>
      </c>
      <c r="D553" s="54" t="s">
        <v>59</v>
      </c>
      <c r="E553" s="64" t="s">
        <v>527</v>
      </c>
      <c r="F553" s="64" t="s">
        <v>60</v>
      </c>
      <c r="G553" s="63">
        <v>2</v>
      </c>
      <c r="H553" s="57" t="s">
        <v>61</v>
      </c>
      <c r="I553" s="54" t="s">
        <v>62</v>
      </c>
      <c r="J553" s="54" t="s">
        <v>63</v>
      </c>
      <c r="K553" s="54" t="s">
        <v>64</v>
      </c>
      <c r="L553" s="54" t="s">
        <v>65</v>
      </c>
      <c r="M553" s="58" t="s">
        <v>66</v>
      </c>
      <c r="N553" s="54" t="s">
        <v>67</v>
      </c>
      <c r="O553" s="59">
        <v>46111</v>
      </c>
      <c r="P553" s="74"/>
      <c r="Q553" s="57"/>
      <c r="R553" s="78"/>
      <c r="S553" s="78"/>
    </row>
    <row r="554" spans="2:19" s="62" customFormat="1" outlineLevel="1" x14ac:dyDescent="0.25">
      <c r="B554" s="53"/>
      <c r="C554" s="58">
        <v>597</v>
      </c>
      <c r="D554" s="54" t="s">
        <v>68</v>
      </c>
      <c r="E554" s="64" t="s">
        <v>527</v>
      </c>
      <c r="F554" s="64" t="s">
        <v>69</v>
      </c>
      <c r="G554" s="63">
        <v>1</v>
      </c>
      <c r="H554" s="57" t="s">
        <v>61</v>
      </c>
      <c r="I554" s="54" t="s">
        <v>70</v>
      </c>
      <c r="J554" s="54" t="s">
        <v>71</v>
      </c>
      <c r="K554" s="53" t="s">
        <v>72</v>
      </c>
      <c r="L554" s="54" t="s">
        <v>73</v>
      </c>
      <c r="M554" s="58" t="s">
        <v>73</v>
      </c>
      <c r="N554" s="54" t="s">
        <v>74</v>
      </c>
      <c r="O554" s="59">
        <v>46111</v>
      </c>
      <c r="P554" s="74"/>
      <c r="Q554" s="57"/>
      <c r="R554" s="78"/>
      <c r="S554" s="78"/>
    </row>
    <row r="555" spans="2:19" s="62" customFormat="1" outlineLevel="1" x14ac:dyDescent="0.25">
      <c r="B555" s="53"/>
      <c r="C555" s="58">
        <v>598</v>
      </c>
      <c r="D555" s="54" t="s">
        <v>75</v>
      </c>
      <c r="E555" s="64" t="s">
        <v>527</v>
      </c>
      <c r="F555" s="64" t="s">
        <v>76</v>
      </c>
      <c r="G555" s="63">
        <v>1</v>
      </c>
      <c r="H555" s="57" t="s">
        <v>77</v>
      </c>
      <c r="I555" s="54" t="s">
        <v>78</v>
      </c>
      <c r="J555" s="54" t="s">
        <v>79</v>
      </c>
      <c r="K555" s="54" t="s">
        <v>80</v>
      </c>
      <c r="L555" s="54" t="s">
        <v>81</v>
      </c>
      <c r="M555" s="58" t="s">
        <v>82</v>
      </c>
      <c r="N555" s="54" t="s">
        <v>83</v>
      </c>
      <c r="O555" s="59">
        <v>46111</v>
      </c>
      <c r="P555" s="74"/>
      <c r="Q555" s="57"/>
      <c r="R555" s="78"/>
      <c r="S555" s="78"/>
    </row>
    <row r="556" spans="2:19" s="62" customFormat="1" outlineLevel="1" x14ac:dyDescent="0.25">
      <c r="B556" s="53"/>
      <c r="C556" s="58">
        <v>599</v>
      </c>
      <c r="D556" s="54" t="s">
        <v>85</v>
      </c>
      <c r="E556" s="64" t="s">
        <v>527</v>
      </c>
      <c r="F556" s="64" t="s">
        <v>86</v>
      </c>
      <c r="G556" s="63">
        <v>2</v>
      </c>
      <c r="H556" s="57" t="s">
        <v>87</v>
      </c>
      <c r="I556" s="54" t="s">
        <v>88</v>
      </c>
      <c r="J556" s="54" t="s">
        <v>89</v>
      </c>
      <c r="K556" s="54" t="s">
        <v>90</v>
      </c>
      <c r="L556" s="54" t="s">
        <v>91</v>
      </c>
      <c r="M556" s="58" t="s">
        <v>92</v>
      </c>
      <c r="N556" s="54" t="s">
        <v>93</v>
      </c>
      <c r="O556" s="59">
        <v>46111</v>
      </c>
      <c r="P556" s="74"/>
      <c r="Q556" s="57"/>
      <c r="R556" s="78"/>
      <c r="S556" s="78"/>
    </row>
    <row r="557" spans="2:19" s="62" customFormat="1" outlineLevel="1" x14ac:dyDescent="0.25">
      <c r="B557" s="53"/>
      <c r="C557" s="58">
        <v>600</v>
      </c>
      <c r="D557" s="54" t="s">
        <v>580</v>
      </c>
      <c r="E557" s="64" t="s">
        <v>527</v>
      </c>
      <c r="F557" s="64" t="s">
        <v>581</v>
      </c>
      <c r="G557" s="63">
        <v>1</v>
      </c>
      <c r="H557" s="57" t="s">
        <v>61</v>
      </c>
      <c r="I557" s="54" t="s">
        <v>582</v>
      </c>
      <c r="J557" s="54" t="s">
        <v>583</v>
      </c>
      <c r="K557" s="54" t="s">
        <v>584</v>
      </c>
      <c r="L557" s="54" t="s">
        <v>585</v>
      </c>
      <c r="M557" s="58" t="s">
        <v>586</v>
      </c>
      <c r="N557" s="54" t="s">
        <v>587</v>
      </c>
      <c r="O557" s="59">
        <v>46111</v>
      </c>
      <c r="P557" s="74"/>
      <c r="Q557" s="57"/>
      <c r="R557" s="78"/>
      <c r="S557" s="78"/>
    </row>
    <row r="558" spans="2:19" s="62" customFormat="1" ht="30" customHeight="1" outlineLevel="1" x14ac:dyDescent="0.25">
      <c r="B558" s="53"/>
      <c r="C558" s="58" t="s">
        <v>724</v>
      </c>
      <c r="D558" s="54" t="s">
        <v>725</v>
      </c>
      <c r="E558" s="64" t="s">
        <v>527</v>
      </c>
      <c r="F558" s="64" t="s">
        <v>726</v>
      </c>
      <c r="G558" s="63">
        <v>2</v>
      </c>
      <c r="H558" s="57" t="s">
        <v>727</v>
      </c>
      <c r="I558" s="54" t="s">
        <v>728</v>
      </c>
      <c r="J558" s="54" t="s">
        <v>729</v>
      </c>
      <c r="K558" s="54" t="s">
        <v>730</v>
      </c>
      <c r="L558" s="54" t="s">
        <v>731</v>
      </c>
      <c r="M558" s="58" t="s">
        <v>732</v>
      </c>
      <c r="N558" s="54" t="s">
        <v>733</v>
      </c>
      <c r="O558" s="59">
        <v>46111</v>
      </c>
      <c r="P558" s="74"/>
      <c r="Q558" s="57"/>
      <c r="R558" s="78"/>
      <c r="S558" s="78"/>
    </row>
    <row r="559" spans="2:19" s="62" customFormat="1" outlineLevel="1" x14ac:dyDescent="0.25">
      <c r="B559" s="53"/>
      <c r="C559" s="58">
        <v>602</v>
      </c>
      <c r="D559" s="54" t="s">
        <v>102</v>
      </c>
      <c r="E559" s="64" t="s">
        <v>527</v>
      </c>
      <c r="F559" s="64" t="s">
        <v>103</v>
      </c>
      <c r="G559" s="63">
        <v>1</v>
      </c>
      <c r="H559" s="57" t="s">
        <v>61</v>
      </c>
      <c r="I559" s="54" t="s">
        <v>104</v>
      </c>
      <c r="J559" s="54" t="s">
        <v>105</v>
      </c>
      <c r="K559" s="54" t="s">
        <v>106</v>
      </c>
      <c r="L559" s="54" t="s">
        <v>107</v>
      </c>
      <c r="M559" s="58" t="s">
        <v>107</v>
      </c>
      <c r="N559" s="54" t="s">
        <v>108</v>
      </c>
      <c r="O559" s="59">
        <v>46111</v>
      </c>
      <c r="P559" s="74"/>
      <c r="Q559" s="57"/>
      <c r="R559" s="78"/>
      <c r="S559" s="78"/>
    </row>
    <row r="560" spans="2:19" s="62" customFormat="1" outlineLevel="1" x14ac:dyDescent="0.25">
      <c r="B560" s="53"/>
      <c r="C560" s="58">
        <v>603</v>
      </c>
      <c r="D560" s="54" t="s">
        <v>109</v>
      </c>
      <c r="E560" s="64" t="s">
        <v>527</v>
      </c>
      <c r="F560" s="64" t="s">
        <v>110</v>
      </c>
      <c r="G560" s="63">
        <v>1</v>
      </c>
      <c r="H560" s="57" t="s">
        <v>111</v>
      </c>
      <c r="I560" s="54" t="s">
        <v>112</v>
      </c>
      <c r="J560" s="54" t="s">
        <v>113</v>
      </c>
      <c r="K560" s="54" t="s">
        <v>114</v>
      </c>
      <c r="L560" s="54" t="s">
        <v>115</v>
      </c>
      <c r="M560" s="58" t="s">
        <v>115</v>
      </c>
      <c r="N560" s="54" t="s">
        <v>116</v>
      </c>
      <c r="O560" s="59">
        <v>46111</v>
      </c>
      <c r="P560" s="74"/>
      <c r="Q560" s="57"/>
      <c r="R560" s="78"/>
      <c r="S560" s="78"/>
    </row>
    <row r="561" spans="2:19" s="62" customFormat="1" outlineLevel="1" x14ac:dyDescent="0.25">
      <c r="B561" s="53"/>
      <c r="C561" s="58">
        <v>604</v>
      </c>
      <c r="D561" s="54" t="s">
        <v>125</v>
      </c>
      <c r="E561" s="64" t="s">
        <v>527</v>
      </c>
      <c r="F561" s="64" t="s">
        <v>126</v>
      </c>
      <c r="G561" s="63">
        <v>1</v>
      </c>
      <c r="H561" s="57" t="s">
        <v>127</v>
      </c>
      <c r="I561" s="54" t="s">
        <v>128</v>
      </c>
      <c r="J561" s="54" t="s">
        <v>129</v>
      </c>
      <c r="K561" s="54" t="s">
        <v>130</v>
      </c>
      <c r="L561" s="54" t="s">
        <v>131</v>
      </c>
      <c r="M561" s="58" t="s">
        <v>132</v>
      </c>
      <c r="N561" s="54" t="s">
        <v>133</v>
      </c>
      <c r="O561" s="59">
        <v>46111</v>
      </c>
      <c r="P561" s="74"/>
      <c r="Q561" s="57"/>
      <c r="R561" s="78"/>
      <c r="S561" s="78"/>
    </row>
    <row r="562" spans="2:19" s="62" customFormat="1" outlineLevel="1" x14ac:dyDescent="0.25">
      <c r="B562" s="53"/>
      <c r="C562" s="58">
        <v>605</v>
      </c>
      <c r="D562" s="54" t="s">
        <v>618</v>
      </c>
      <c r="E562" s="64" t="s">
        <v>527</v>
      </c>
      <c r="F562" s="64" t="s">
        <v>619</v>
      </c>
      <c r="G562" s="63">
        <v>3</v>
      </c>
      <c r="H562" s="57" t="s">
        <v>61</v>
      </c>
      <c r="I562" s="54" t="s">
        <v>620</v>
      </c>
      <c r="J562" s="54" t="s">
        <v>621</v>
      </c>
      <c r="K562" s="54" t="s">
        <v>622</v>
      </c>
      <c r="L562" s="54" t="s">
        <v>623</v>
      </c>
      <c r="M562" s="58" t="s">
        <v>624</v>
      </c>
      <c r="N562" s="54" t="s">
        <v>625</v>
      </c>
      <c r="O562" s="59">
        <v>46111</v>
      </c>
      <c r="P562" s="74"/>
      <c r="Q562" s="57"/>
      <c r="R562" s="78"/>
      <c r="S562" s="78"/>
    </row>
    <row r="563" spans="2:19" s="62" customFormat="1" outlineLevel="1" x14ac:dyDescent="0.25">
      <c r="B563" s="53"/>
      <c r="C563" s="58">
        <v>606</v>
      </c>
      <c r="D563" s="54" t="s">
        <v>554</v>
      </c>
      <c r="E563" s="64" t="s">
        <v>527</v>
      </c>
      <c r="F563" s="64" t="s">
        <v>555</v>
      </c>
      <c r="G563" s="63">
        <v>2</v>
      </c>
      <c r="H563" s="57" t="s">
        <v>61</v>
      </c>
      <c r="I563" s="54" t="s">
        <v>556</v>
      </c>
      <c r="J563" s="54" t="s">
        <v>557</v>
      </c>
      <c r="K563" s="54" t="s">
        <v>558</v>
      </c>
      <c r="L563" s="54" t="s">
        <v>559</v>
      </c>
      <c r="M563" s="58" t="s">
        <v>560</v>
      </c>
      <c r="N563" s="54" t="s">
        <v>561</v>
      </c>
      <c r="O563" s="59">
        <v>46111</v>
      </c>
      <c r="P563" s="74"/>
      <c r="Q563" s="57"/>
      <c r="R563" s="78"/>
      <c r="S563" s="78"/>
    </row>
    <row r="564" spans="2:19" s="62" customFormat="1" outlineLevel="1" x14ac:dyDescent="0.25">
      <c r="B564" s="53"/>
      <c r="C564" s="58">
        <v>607</v>
      </c>
      <c r="D564" s="54" t="s">
        <v>166</v>
      </c>
      <c r="E564" s="64" t="s">
        <v>527</v>
      </c>
      <c r="F564" s="64" t="s">
        <v>167</v>
      </c>
      <c r="G564" s="63">
        <v>1</v>
      </c>
      <c r="H564" s="57" t="s">
        <v>61</v>
      </c>
      <c r="I564" s="54" t="s">
        <v>168</v>
      </c>
      <c r="J564" s="54" t="s">
        <v>169</v>
      </c>
      <c r="K564" s="54" t="s">
        <v>170</v>
      </c>
      <c r="L564" s="54" t="s">
        <v>171</v>
      </c>
      <c r="M564" s="58" t="s">
        <v>172</v>
      </c>
      <c r="N564" s="54" t="s">
        <v>173</v>
      </c>
      <c r="O564" s="59">
        <v>46111</v>
      </c>
      <c r="P564" s="74"/>
      <c r="Q564" s="57"/>
      <c r="R564" s="78"/>
      <c r="S564" s="78"/>
    </row>
    <row r="565" spans="2:19" s="62" customFormat="1" outlineLevel="1" x14ac:dyDescent="0.25">
      <c r="B565" s="53"/>
      <c r="C565" s="58">
        <v>608</v>
      </c>
      <c r="D565" s="54" t="s">
        <v>667</v>
      </c>
      <c r="E565" s="64" t="s">
        <v>527</v>
      </c>
      <c r="F565" s="64" t="s">
        <v>668</v>
      </c>
      <c r="G565" s="63">
        <v>2</v>
      </c>
      <c r="H565" s="57" t="s">
        <v>61</v>
      </c>
      <c r="I565" s="54" t="s">
        <v>674</v>
      </c>
      <c r="J565" s="54" t="s">
        <v>675</v>
      </c>
      <c r="K565" s="53" t="s">
        <v>676</v>
      </c>
      <c r="L565" s="54" t="s">
        <v>672</v>
      </c>
      <c r="M565" s="58" t="s">
        <v>677</v>
      </c>
      <c r="N565" s="54" t="s">
        <v>673</v>
      </c>
      <c r="O565" s="59">
        <v>46111</v>
      </c>
      <c r="P565" s="74"/>
      <c r="Q565" s="57"/>
      <c r="R565" s="78"/>
      <c r="S565" s="78"/>
    </row>
    <row r="566" spans="2:19" s="62" customFormat="1" outlineLevel="1" x14ac:dyDescent="0.25">
      <c r="B566" s="53"/>
      <c r="C566" s="58">
        <v>609</v>
      </c>
      <c r="D566" s="54" t="s">
        <v>182</v>
      </c>
      <c r="E566" s="64" t="s">
        <v>527</v>
      </c>
      <c r="F566" s="64" t="s">
        <v>183</v>
      </c>
      <c r="G566" s="63">
        <v>7</v>
      </c>
      <c r="H566" s="57" t="s">
        <v>111</v>
      </c>
      <c r="I566" s="54" t="s">
        <v>184</v>
      </c>
      <c r="J566" s="54" t="s">
        <v>185</v>
      </c>
      <c r="K566" s="54" t="s">
        <v>186</v>
      </c>
      <c r="L566" s="54" t="s">
        <v>187</v>
      </c>
      <c r="M566" s="58" t="s">
        <v>188</v>
      </c>
      <c r="N566" s="54" t="s">
        <v>189</v>
      </c>
      <c r="O566" s="59">
        <v>46111</v>
      </c>
      <c r="P566" s="74"/>
      <c r="Q566" s="57"/>
      <c r="R566" s="78"/>
      <c r="S566" s="78"/>
    </row>
    <row r="567" spans="2:19" s="62" customFormat="1" ht="30" customHeight="1" outlineLevel="1" x14ac:dyDescent="0.25">
      <c r="B567" s="53"/>
      <c r="C567" s="58">
        <v>610</v>
      </c>
      <c r="D567" s="54" t="s">
        <v>190</v>
      </c>
      <c r="E567" s="64" t="s">
        <v>527</v>
      </c>
      <c r="F567" s="64" t="s">
        <v>191</v>
      </c>
      <c r="G567" s="63">
        <v>1</v>
      </c>
      <c r="H567" s="57" t="s">
        <v>24</v>
      </c>
      <c r="I567" s="65" t="s">
        <v>693</v>
      </c>
      <c r="J567" s="65" t="s">
        <v>694</v>
      </c>
      <c r="K567" s="53" t="s">
        <v>695</v>
      </c>
      <c r="L567" s="54" t="s">
        <v>195</v>
      </c>
      <c r="M567" s="58" t="s">
        <v>696</v>
      </c>
      <c r="N567" s="54" t="s">
        <v>197</v>
      </c>
      <c r="O567" s="59">
        <v>46111</v>
      </c>
      <c r="P567" s="74"/>
      <c r="Q567" s="57"/>
      <c r="R567" s="78"/>
      <c r="S567" s="78"/>
    </row>
    <row r="568" spans="2:19" s="62" customFormat="1" outlineLevel="1" x14ac:dyDescent="0.25">
      <c r="B568" s="53"/>
      <c r="C568" s="58">
        <v>611</v>
      </c>
      <c r="D568" s="54" t="s">
        <v>635</v>
      </c>
      <c r="E568" s="64" t="s">
        <v>527</v>
      </c>
      <c r="F568" s="64" t="s">
        <v>636</v>
      </c>
      <c r="G568" s="63">
        <v>1</v>
      </c>
      <c r="H568" s="57" t="s">
        <v>637</v>
      </c>
      <c r="I568" s="54" t="s">
        <v>638</v>
      </c>
      <c r="J568" s="54" t="s">
        <v>639</v>
      </c>
      <c r="K568" s="54" t="s">
        <v>640</v>
      </c>
      <c r="L568" s="54" t="s">
        <v>641</v>
      </c>
      <c r="M568" s="58" t="s">
        <v>642</v>
      </c>
      <c r="N568" s="54" t="s">
        <v>643</v>
      </c>
      <c r="O568" s="59">
        <v>46111</v>
      </c>
      <c r="P568" s="74"/>
      <c r="Q568" s="57"/>
      <c r="R568" s="78"/>
      <c r="S568" s="78"/>
    </row>
    <row r="569" spans="2:19" s="62" customFormat="1" outlineLevel="1" x14ac:dyDescent="0.25">
      <c r="B569" s="53"/>
      <c r="C569" s="58">
        <v>612</v>
      </c>
      <c r="D569" s="54" t="s">
        <v>198</v>
      </c>
      <c r="E569" s="64" t="s">
        <v>527</v>
      </c>
      <c r="F569" s="64" t="s">
        <v>199</v>
      </c>
      <c r="G569" s="63">
        <v>4</v>
      </c>
      <c r="H569" s="57" t="s">
        <v>200</v>
      </c>
      <c r="I569" s="54" t="s">
        <v>201</v>
      </c>
      <c r="J569" s="54" t="s">
        <v>202</v>
      </c>
      <c r="K569" s="54" t="s">
        <v>203</v>
      </c>
      <c r="L569" s="54" t="s">
        <v>204</v>
      </c>
      <c r="M569" s="58" t="s">
        <v>205</v>
      </c>
      <c r="N569" s="54" t="s">
        <v>206</v>
      </c>
      <c r="O569" s="59">
        <v>46111</v>
      </c>
      <c r="P569" s="74"/>
      <c r="Q569" s="57"/>
      <c r="R569" s="78"/>
      <c r="S569" s="78"/>
    </row>
    <row r="570" spans="2:19" s="62" customFormat="1" outlineLevel="1" x14ac:dyDescent="0.25">
      <c r="B570" s="53"/>
      <c r="C570" s="58">
        <v>613</v>
      </c>
      <c r="D570" s="54" t="s">
        <v>215</v>
      </c>
      <c r="E570" s="64" t="s">
        <v>527</v>
      </c>
      <c r="F570" s="64" t="s">
        <v>216</v>
      </c>
      <c r="G570" s="63">
        <v>1</v>
      </c>
      <c r="H570" s="57" t="s">
        <v>24</v>
      </c>
      <c r="I570" s="54" t="s">
        <v>217</v>
      </c>
      <c r="J570" s="54" t="s">
        <v>218</v>
      </c>
      <c r="K570" s="54" t="s">
        <v>219</v>
      </c>
      <c r="L570" s="54" t="s">
        <v>220</v>
      </c>
      <c r="M570" s="58" t="s">
        <v>221</v>
      </c>
      <c r="N570" s="54" t="s">
        <v>222</v>
      </c>
      <c r="O570" s="59">
        <v>46111</v>
      </c>
      <c r="P570" s="74"/>
      <c r="Q570" s="57"/>
      <c r="R570" s="78"/>
      <c r="S570" s="78"/>
    </row>
    <row r="571" spans="2:19" s="62" customFormat="1" outlineLevel="1" x14ac:dyDescent="0.25">
      <c r="B571" s="53"/>
      <c r="C571" s="58">
        <v>614</v>
      </c>
      <c r="D571" s="54" t="s">
        <v>223</v>
      </c>
      <c r="E571" s="64" t="s">
        <v>527</v>
      </c>
      <c r="F571" s="64" t="s">
        <v>224</v>
      </c>
      <c r="G571" s="63">
        <v>1</v>
      </c>
      <c r="H571" s="57" t="s">
        <v>61</v>
      </c>
      <c r="I571" s="54" t="s">
        <v>225</v>
      </c>
      <c r="J571" s="54" t="s">
        <v>226</v>
      </c>
      <c r="K571" s="54" t="s">
        <v>227</v>
      </c>
      <c r="L571" s="54" t="s">
        <v>228</v>
      </c>
      <c r="M571" s="58" t="s">
        <v>229</v>
      </c>
      <c r="N571" s="54" t="s">
        <v>230</v>
      </c>
      <c r="O571" s="59">
        <v>46111</v>
      </c>
      <c r="P571" s="74"/>
      <c r="Q571" s="57"/>
      <c r="R571" s="78"/>
      <c r="S571" s="78"/>
    </row>
    <row r="572" spans="2:19" s="62" customFormat="1" ht="30" customHeight="1" outlineLevel="1" x14ac:dyDescent="0.25">
      <c r="B572" s="53"/>
      <c r="C572" s="58" t="s">
        <v>701</v>
      </c>
      <c r="D572" s="54" t="s">
        <v>231</v>
      </c>
      <c r="E572" s="64" t="s">
        <v>527</v>
      </c>
      <c r="F572" s="64" t="s">
        <v>232</v>
      </c>
      <c r="G572" s="63">
        <v>3</v>
      </c>
      <c r="H572" s="57" t="s">
        <v>61</v>
      </c>
      <c r="I572" s="54" t="s">
        <v>702</v>
      </c>
      <c r="J572" s="54" t="s">
        <v>703</v>
      </c>
      <c r="K572" s="54" t="s">
        <v>704</v>
      </c>
      <c r="L572" s="54" t="s">
        <v>236</v>
      </c>
      <c r="M572" s="58" t="s">
        <v>705</v>
      </c>
      <c r="N572" s="54" t="s">
        <v>238</v>
      </c>
      <c r="O572" s="59">
        <v>46111</v>
      </c>
      <c r="P572" s="74"/>
      <c r="Q572" s="57"/>
      <c r="R572" s="78"/>
      <c r="S572" s="78"/>
    </row>
    <row r="573" spans="2:19" s="62" customFormat="1" outlineLevel="1" x14ac:dyDescent="0.25">
      <c r="B573" s="53"/>
      <c r="C573" s="58">
        <v>616</v>
      </c>
      <c r="D573" s="54" t="s">
        <v>247</v>
      </c>
      <c r="E573" s="64" t="s">
        <v>527</v>
      </c>
      <c r="F573" s="64" t="s">
        <v>248</v>
      </c>
      <c r="G573" s="63">
        <v>2</v>
      </c>
      <c r="H573" s="57" t="s">
        <v>61</v>
      </c>
      <c r="I573" s="54" t="s">
        <v>532</v>
      </c>
      <c r="J573" s="54" t="s">
        <v>533</v>
      </c>
      <c r="K573" s="53" t="s">
        <v>534</v>
      </c>
      <c r="L573" s="54" t="s">
        <v>252</v>
      </c>
      <c r="M573" s="58" t="s">
        <v>535</v>
      </c>
      <c r="N573" s="54" t="s">
        <v>254</v>
      </c>
      <c r="O573" s="59">
        <v>46111</v>
      </c>
      <c r="P573" s="74"/>
      <c r="Q573" s="57"/>
      <c r="R573" s="78"/>
      <c r="S573" s="78"/>
    </row>
    <row r="574" spans="2:19" s="62" customFormat="1" outlineLevel="1" x14ac:dyDescent="0.25">
      <c r="B574" s="53"/>
      <c r="C574" s="58">
        <v>617</v>
      </c>
      <c r="D574" s="54" t="s">
        <v>715</v>
      </c>
      <c r="E574" s="64" t="s">
        <v>527</v>
      </c>
      <c r="F574" s="64" t="s">
        <v>716</v>
      </c>
      <c r="G574" s="63">
        <v>3</v>
      </c>
      <c r="H574" s="57" t="s">
        <v>717</v>
      </c>
      <c r="I574" s="54" t="s">
        <v>718</v>
      </c>
      <c r="J574" s="54" t="s">
        <v>719</v>
      </c>
      <c r="K574" s="54" t="s">
        <v>720</v>
      </c>
      <c r="L574" s="54" t="s">
        <v>721</v>
      </c>
      <c r="M574" s="58" t="s">
        <v>722</v>
      </c>
      <c r="N574" s="54" t="s">
        <v>723</v>
      </c>
      <c r="O574" s="59">
        <v>46111</v>
      </c>
      <c r="P574" s="74"/>
      <c r="Q574" s="57"/>
      <c r="R574" s="78"/>
      <c r="S574" s="78"/>
    </row>
    <row r="575" spans="2:19" s="62" customFormat="1" outlineLevel="1" x14ac:dyDescent="0.25">
      <c r="B575" s="53"/>
      <c r="C575" s="58">
        <v>618</v>
      </c>
      <c r="D575" s="54" t="s">
        <v>263</v>
      </c>
      <c r="E575" s="64" t="s">
        <v>527</v>
      </c>
      <c r="F575" s="64" t="s">
        <v>264</v>
      </c>
      <c r="G575" s="63">
        <v>1</v>
      </c>
      <c r="H575" s="57" t="s">
        <v>61</v>
      </c>
      <c r="I575" s="54" t="s">
        <v>265</v>
      </c>
      <c r="J575" s="54" t="s">
        <v>266</v>
      </c>
      <c r="K575" s="54" t="s">
        <v>267</v>
      </c>
      <c r="L575" s="54" t="s">
        <v>252</v>
      </c>
      <c r="M575" s="58" t="s">
        <v>268</v>
      </c>
      <c r="N575" s="54" t="s">
        <v>269</v>
      </c>
      <c r="O575" s="59">
        <v>46111</v>
      </c>
      <c r="P575" s="74"/>
      <c r="Q575" s="57"/>
      <c r="R575" s="78"/>
      <c r="S575" s="78"/>
    </row>
    <row r="576" spans="2:19" s="62" customFormat="1" outlineLevel="1" x14ac:dyDescent="0.25">
      <c r="B576" s="53"/>
      <c r="C576" s="58">
        <v>619</v>
      </c>
      <c r="D576" s="54" t="s">
        <v>706</v>
      </c>
      <c r="E576" s="64" t="s">
        <v>527</v>
      </c>
      <c r="F576" s="64" t="s">
        <v>707</v>
      </c>
      <c r="G576" s="63">
        <v>1</v>
      </c>
      <c r="H576" s="57" t="s">
        <v>111</v>
      </c>
      <c r="I576" s="54" t="s">
        <v>708</v>
      </c>
      <c r="J576" s="54" t="s">
        <v>709</v>
      </c>
      <c r="K576" s="54" t="s">
        <v>710</v>
      </c>
      <c r="L576" s="54" t="s">
        <v>711</v>
      </c>
      <c r="M576" s="58" t="s">
        <v>712</v>
      </c>
      <c r="N576" s="54" t="s">
        <v>713</v>
      </c>
      <c r="O576" s="59">
        <v>46111</v>
      </c>
      <c r="P576" s="74"/>
      <c r="Q576" s="57"/>
      <c r="R576" s="78"/>
      <c r="S576" s="78"/>
    </row>
    <row r="577" spans="2:19" s="62" customFormat="1" outlineLevel="1" x14ac:dyDescent="0.25">
      <c r="B577" s="53"/>
      <c r="C577" s="58">
        <v>620</v>
      </c>
      <c r="D577" s="54" t="s">
        <v>743</v>
      </c>
      <c r="E577" s="64" t="s">
        <v>527</v>
      </c>
      <c r="F577" s="64" t="s">
        <v>744</v>
      </c>
      <c r="G577" s="63">
        <v>6</v>
      </c>
      <c r="H577" s="57" t="s">
        <v>745</v>
      </c>
      <c r="I577" s="54" t="s">
        <v>746</v>
      </c>
      <c r="J577" s="54" t="s">
        <v>747</v>
      </c>
      <c r="K577" s="54" t="s">
        <v>748</v>
      </c>
      <c r="L577" s="54" t="s">
        <v>749</v>
      </c>
      <c r="M577" s="58" t="s">
        <v>750</v>
      </c>
      <c r="N577" s="54" t="s">
        <v>751</v>
      </c>
      <c r="O577" s="59">
        <v>46111</v>
      </c>
      <c r="P577" s="74"/>
      <c r="Q577" s="57"/>
      <c r="R577" s="78"/>
      <c r="S577" s="78"/>
    </row>
    <row r="578" spans="2:19" s="62" customFormat="1" outlineLevel="1" x14ac:dyDescent="0.25">
      <c r="B578" s="53"/>
      <c r="C578" s="58">
        <v>621</v>
      </c>
      <c r="D578" s="54" t="s">
        <v>278</v>
      </c>
      <c r="E578" s="64" t="s">
        <v>527</v>
      </c>
      <c r="F578" s="64" t="s">
        <v>279</v>
      </c>
      <c r="G578" s="63">
        <v>2</v>
      </c>
      <c r="H578" s="57" t="s">
        <v>61</v>
      </c>
      <c r="I578" s="54" t="s">
        <v>280</v>
      </c>
      <c r="J578" s="54" t="s">
        <v>281</v>
      </c>
      <c r="K578" s="54" t="s">
        <v>282</v>
      </c>
      <c r="L578" s="54" t="s">
        <v>283</v>
      </c>
      <c r="M578" s="58" t="s">
        <v>284</v>
      </c>
      <c r="N578" s="54" t="s">
        <v>285</v>
      </c>
      <c r="O578" s="59">
        <v>46111</v>
      </c>
      <c r="P578" s="74"/>
      <c r="Q578" s="57"/>
      <c r="R578" s="78"/>
      <c r="S578" s="78"/>
    </row>
    <row r="579" spans="2:19" s="62" customFormat="1" outlineLevel="1" x14ac:dyDescent="0.25">
      <c r="B579" s="53"/>
      <c r="C579" s="58">
        <v>622</v>
      </c>
      <c r="D579" s="54" t="s">
        <v>286</v>
      </c>
      <c r="E579" s="64" t="s">
        <v>527</v>
      </c>
      <c r="F579" s="64" t="s">
        <v>287</v>
      </c>
      <c r="G579" s="63">
        <v>1</v>
      </c>
      <c r="H579" s="57" t="s">
        <v>61</v>
      </c>
      <c r="I579" s="54" t="s">
        <v>288</v>
      </c>
      <c r="J579" s="54" t="s">
        <v>289</v>
      </c>
      <c r="K579" s="54" t="s">
        <v>290</v>
      </c>
      <c r="L579" s="54" t="s">
        <v>291</v>
      </c>
      <c r="M579" s="58" t="s">
        <v>292</v>
      </c>
      <c r="N579" s="54" t="s">
        <v>293</v>
      </c>
      <c r="O579" s="59">
        <v>46111</v>
      </c>
      <c r="P579" s="74"/>
      <c r="Q579" s="57"/>
      <c r="R579" s="78"/>
      <c r="S579" s="78"/>
    </row>
    <row r="580" spans="2:19" s="62" customFormat="1" outlineLevel="1" x14ac:dyDescent="0.25">
      <c r="B580" s="53"/>
      <c r="C580" s="58">
        <v>623</v>
      </c>
      <c r="D580" s="54" t="s">
        <v>302</v>
      </c>
      <c r="E580" s="64" t="s">
        <v>527</v>
      </c>
      <c r="F580" s="64" t="s">
        <v>303</v>
      </c>
      <c r="G580" s="63">
        <v>1</v>
      </c>
      <c r="H580" s="57" t="s">
        <v>61</v>
      </c>
      <c r="I580" s="54" t="s">
        <v>304</v>
      </c>
      <c r="J580" s="54" t="s">
        <v>305</v>
      </c>
      <c r="K580" s="54" t="s">
        <v>306</v>
      </c>
      <c r="L580" s="54" t="s">
        <v>307</v>
      </c>
      <c r="M580" s="58" t="s">
        <v>526</v>
      </c>
      <c r="N580" s="54" t="s">
        <v>309</v>
      </c>
      <c r="O580" s="59">
        <v>46111</v>
      </c>
      <c r="P580" s="74"/>
      <c r="Q580" s="57"/>
      <c r="R580" s="78"/>
      <c r="S580" s="78"/>
    </row>
    <row r="581" spans="2:19" s="62" customFormat="1" outlineLevel="1" x14ac:dyDescent="0.25">
      <c r="B581" s="53"/>
      <c r="C581" s="58">
        <v>624</v>
      </c>
      <c r="D581" s="54" t="s">
        <v>310</v>
      </c>
      <c r="E581" s="64" t="s">
        <v>527</v>
      </c>
      <c r="F581" s="64" t="s">
        <v>311</v>
      </c>
      <c r="G581" s="63">
        <v>2</v>
      </c>
      <c r="H581" s="57" t="s">
        <v>152</v>
      </c>
      <c r="I581" s="54" t="s">
        <v>312</v>
      </c>
      <c r="J581" s="54" t="s">
        <v>313</v>
      </c>
      <c r="K581" s="54" t="s">
        <v>314</v>
      </c>
      <c r="L581" s="54" t="s">
        <v>315</v>
      </c>
      <c r="M581" s="58" t="s">
        <v>316</v>
      </c>
      <c r="N581" s="54" t="s">
        <v>317</v>
      </c>
      <c r="O581" s="59">
        <v>46111</v>
      </c>
      <c r="P581" s="74"/>
      <c r="Q581" s="57"/>
      <c r="R581" s="78"/>
      <c r="S581" s="78"/>
    </row>
    <row r="582" spans="2:19" s="62" customFormat="1" outlineLevel="1" x14ac:dyDescent="0.25">
      <c r="B582" s="53"/>
      <c r="C582" s="58">
        <v>625</v>
      </c>
      <c r="D582" s="54" t="s">
        <v>318</v>
      </c>
      <c r="E582" s="64" t="s">
        <v>527</v>
      </c>
      <c r="F582" s="64" t="s">
        <v>319</v>
      </c>
      <c r="G582" s="63">
        <v>1</v>
      </c>
      <c r="H582" s="57" t="s">
        <v>111</v>
      </c>
      <c r="I582" s="54" t="s">
        <v>320</v>
      </c>
      <c r="J582" s="54" t="s">
        <v>321</v>
      </c>
      <c r="K582" s="54" t="s">
        <v>322</v>
      </c>
      <c r="L582" s="54" t="s">
        <v>323</v>
      </c>
      <c r="M582" s="58" t="s">
        <v>324</v>
      </c>
      <c r="N582" s="54" t="s">
        <v>325</v>
      </c>
      <c r="O582" s="59">
        <v>46111</v>
      </c>
      <c r="P582" s="74"/>
      <c r="Q582" s="57"/>
      <c r="R582" s="78"/>
      <c r="S582" s="78"/>
    </row>
    <row r="583" spans="2:19" s="62" customFormat="1" outlineLevel="1" x14ac:dyDescent="0.25">
      <c r="B583" s="53"/>
      <c r="C583" s="58">
        <v>626</v>
      </c>
      <c r="D583" s="54" t="s">
        <v>326</v>
      </c>
      <c r="E583" s="64" t="s">
        <v>527</v>
      </c>
      <c r="F583" s="64" t="s">
        <v>327</v>
      </c>
      <c r="G583" s="63">
        <v>1</v>
      </c>
      <c r="H583" s="57" t="s">
        <v>152</v>
      </c>
      <c r="I583" s="54" t="s">
        <v>328</v>
      </c>
      <c r="J583" s="54" t="s">
        <v>329</v>
      </c>
      <c r="K583" s="54" t="s">
        <v>330</v>
      </c>
      <c r="L583" s="54" t="s">
        <v>331</v>
      </c>
      <c r="M583" s="58" t="s">
        <v>332</v>
      </c>
      <c r="N583" s="54" t="s">
        <v>333</v>
      </c>
      <c r="O583" s="59">
        <v>46111</v>
      </c>
      <c r="P583" s="74"/>
      <c r="Q583" s="57"/>
      <c r="R583" s="78"/>
      <c r="S583" s="78"/>
    </row>
    <row r="584" spans="2:19" s="62" customFormat="1" outlineLevel="1" x14ac:dyDescent="0.25">
      <c r="B584" s="53"/>
      <c r="C584" s="58">
        <v>627</v>
      </c>
      <c r="D584" s="54" t="s">
        <v>334</v>
      </c>
      <c r="E584" s="64" t="s">
        <v>527</v>
      </c>
      <c r="F584" s="64" t="s">
        <v>335</v>
      </c>
      <c r="G584" s="63">
        <v>1</v>
      </c>
      <c r="H584" s="57" t="s">
        <v>61</v>
      </c>
      <c r="I584" s="54" t="s">
        <v>336</v>
      </c>
      <c r="J584" s="54" t="s">
        <v>337</v>
      </c>
      <c r="K584" s="54" t="s">
        <v>338</v>
      </c>
      <c r="L584" s="54" t="s">
        <v>339</v>
      </c>
      <c r="M584" s="58" t="s">
        <v>543</v>
      </c>
      <c r="N584" s="54" t="s">
        <v>341</v>
      </c>
      <c r="O584" s="59">
        <v>46111</v>
      </c>
      <c r="P584" s="74"/>
      <c r="Q584" s="57"/>
      <c r="R584" s="78"/>
      <c r="S584" s="78"/>
    </row>
    <row r="585" spans="2:19" s="62" customFormat="1" outlineLevel="1" x14ac:dyDescent="0.25">
      <c r="B585" s="53"/>
      <c r="C585" s="58">
        <v>628</v>
      </c>
      <c r="D585" s="54" t="s">
        <v>350</v>
      </c>
      <c r="E585" s="64" t="s">
        <v>527</v>
      </c>
      <c r="F585" s="64" t="s">
        <v>351</v>
      </c>
      <c r="G585" s="63">
        <v>2</v>
      </c>
      <c r="H585" s="57" t="s">
        <v>152</v>
      </c>
      <c r="I585" s="54" t="s">
        <v>352</v>
      </c>
      <c r="J585" s="54" t="s">
        <v>353</v>
      </c>
      <c r="K585" s="54" t="s">
        <v>354</v>
      </c>
      <c r="L585" s="54" t="s">
        <v>355</v>
      </c>
      <c r="M585" s="58" t="s">
        <v>355</v>
      </c>
      <c r="N585" s="54" t="s">
        <v>356</v>
      </c>
      <c r="O585" s="59">
        <v>46111</v>
      </c>
      <c r="P585" s="74"/>
      <c r="Q585" s="57"/>
      <c r="R585" s="78"/>
      <c r="S585" s="78"/>
    </row>
    <row r="586" spans="2:19" s="62" customFormat="1" outlineLevel="1" x14ac:dyDescent="0.25">
      <c r="B586" s="53"/>
      <c r="C586" s="58">
        <v>629</v>
      </c>
      <c r="D586" s="54" t="s">
        <v>366</v>
      </c>
      <c r="E586" s="64" t="s">
        <v>527</v>
      </c>
      <c r="F586" s="64" t="s">
        <v>367</v>
      </c>
      <c r="G586" s="63">
        <v>2</v>
      </c>
      <c r="H586" s="57" t="s">
        <v>368</v>
      </c>
      <c r="I586" s="54" t="s">
        <v>369</v>
      </c>
      <c r="J586" s="54" t="s">
        <v>370</v>
      </c>
      <c r="K586" s="54" t="s">
        <v>371</v>
      </c>
      <c r="L586" s="54" t="s">
        <v>372</v>
      </c>
      <c r="M586" s="58" t="s">
        <v>682</v>
      </c>
      <c r="N586" s="54" t="s">
        <v>374</v>
      </c>
      <c r="O586" s="59">
        <v>46111</v>
      </c>
      <c r="P586" s="74"/>
      <c r="Q586" s="57"/>
      <c r="R586" s="78"/>
      <c r="S586" s="78"/>
    </row>
    <row r="587" spans="2:19" s="62" customFormat="1" outlineLevel="1" x14ac:dyDescent="0.25">
      <c r="B587" s="53"/>
      <c r="C587" s="58">
        <v>630</v>
      </c>
      <c r="D587" s="54" t="s">
        <v>734</v>
      </c>
      <c r="E587" s="64" t="s">
        <v>527</v>
      </c>
      <c r="F587" s="64" t="s">
        <v>735</v>
      </c>
      <c r="G587" s="63">
        <v>1</v>
      </c>
      <c r="H587" s="57" t="s">
        <v>736</v>
      </c>
      <c r="I587" s="54" t="s">
        <v>737</v>
      </c>
      <c r="J587" s="54" t="s">
        <v>738</v>
      </c>
      <c r="K587" s="54" t="s">
        <v>739</v>
      </c>
      <c r="L587" s="54" t="s">
        <v>740</v>
      </c>
      <c r="M587" s="58" t="s">
        <v>741</v>
      </c>
      <c r="N587" s="54" t="s">
        <v>742</v>
      </c>
      <c r="O587" s="59">
        <v>46111</v>
      </c>
      <c r="P587" s="74"/>
      <c r="Q587" s="57"/>
      <c r="R587" s="78"/>
      <c r="S587" s="78"/>
    </row>
    <row r="588" spans="2:19" s="62" customFormat="1" outlineLevel="1" x14ac:dyDescent="0.25">
      <c r="B588" s="53"/>
      <c r="C588" s="58">
        <v>631</v>
      </c>
      <c r="D588" s="54" t="s">
        <v>604</v>
      </c>
      <c r="E588" s="64" t="s">
        <v>527</v>
      </c>
      <c r="F588" s="64" t="s">
        <v>605</v>
      </c>
      <c r="G588" s="63">
        <v>1</v>
      </c>
      <c r="H588" s="57" t="s">
        <v>61</v>
      </c>
      <c r="I588" s="54" t="s">
        <v>606</v>
      </c>
      <c r="J588" s="54" t="s">
        <v>607</v>
      </c>
      <c r="K588" s="54" t="s">
        <v>608</v>
      </c>
      <c r="L588" s="54" t="s">
        <v>252</v>
      </c>
      <c r="M588" s="58" t="s">
        <v>609</v>
      </c>
      <c r="N588" s="54" t="s">
        <v>610</v>
      </c>
      <c r="O588" s="59">
        <v>46111</v>
      </c>
      <c r="P588" s="74"/>
      <c r="Q588" s="57"/>
      <c r="R588" s="78"/>
      <c r="S588" s="78"/>
    </row>
    <row r="589" spans="2:19" s="62" customFormat="1" ht="45" customHeight="1" outlineLevel="1" x14ac:dyDescent="0.25">
      <c r="B589" s="53"/>
      <c r="C589" s="58" t="s">
        <v>683</v>
      </c>
      <c r="D589" s="54" t="s">
        <v>375</v>
      </c>
      <c r="E589" s="64" t="s">
        <v>527</v>
      </c>
      <c r="F589" s="64" t="s">
        <v>376</v>
      </c>
      <c r="G589" s="63">
        <v>10</v>
      </c>
      <c r="H589" s="57" t="s">
        <v>111</v>
      </c>
      <c r="I589" s="54" t="s">
        <v>684</v>
      </c>
      <c r="J589" s="54" t="s">
        <v>685</v>
      </c>
      <c r="K589" s="54" t="s">
        <v>686</v>
      </c>
      <c r="L589" s="54" t="s">
        <v>380</v>
      </c>
      <c r="M589" s="58" t="s">
        <v>687</v>
      </c>
      <c r="N589" s="54" t="s">
        <v>382</v>
      </c>
      <c r="O589" s="59">
        <v>46111</v>
      </c>
      <c r="P589" s="74"/>
      <c r="Q589" s="57"/>
      <c r="R589" s="78"/>
      <c r="S589" s="78"/>
    </row>
    <row r="590" spans="2:19" s="62" customFormat="1" outlineLevel="1" x14ac:dyDescent="0.25">
      <c r="B590" s="53"/>
      <c r="C590" s="58">
        <v>633</v>
      </c>
      <c r="D590" s="54" t="s">
        <v>383</v>
      </c>
      <c r="E590" s="64" t="s">
        <v>527</v>
      </c>
      <c r="F590" s="64" t="s">
        <v>384</v>
      </c>
      <c r="G590" s="63">
        <v>2</v>
      </c>
      <c r="H590" s="57" t="s">
        <v>61</v>
      </c>
      <c r="I590" s="54" t="s">
        <v>385</v>
      </c>
      <c r="J590" s="54" t="s">
        <v>386</v>
      </c>
      <c r="K590" s="54" t="s">
        <v>387</v>
      </c>
      <c r="L590" s="54" t="s">
        <v>388</v>
      </c>
      <c r="M590" s="58" t="s">
        <v>389</v>
      </c>
      <c r="N590" s="54" t="s">
        <v>390</v>
      </c>
      <c r="O590" s="59">
        <v>46111</v>
      </c>
      <c r="P590" s="74"/>
      <c r="Q590" s="57"/>
      <c r="R590" s="78"/>
      <c r="S590" s="78"/>
    </row>
    <row r="591" spans="2:19" s="62" customFormat="1" outlineLevel="1" x14ac:dyDescent="0.25">
      <c r="B591" s="53"/>
      <c r="C591" s="58">
        <v>634</v>
      </c>
      <c r="D591" s="54" t="s">
        <v>407</v>
      </c>
      <c r="E591" s="64" t="s">
        <v>527</v>
      </c>
      <c r="F591" s="64" t="s">
        <v>408</v>
      </c>
      <c r="G591" s="63">
        <v>1</v>
      </c>
      <c r="H591" s="57" t="s">
        <v>61</v>
      </c>
      <c r="I591" s="54" t="s">
        <v>409</v>
      </c>
      <c r="J591" s="54" t="s">
        <v>410</v>
      </c>
      <c r="K591" s="54" t="s">
        <v>411</v>
      </c>
      <c r="L591" s="54" t="s">
        <v>412</v>
      </c>
      <c r="M591" s="58" t="s">
        <v>552</v>
      </c>
      <c r="N591" s="54" t="s">
        <v>414</v>
      </c>
      <c r="O591" s="59">
        <v>46111</v>
      </c>
      <c r="P591" s="74"/>
      <c r="Q591" s="57"/>
      <c r="R591" s="78"/>
      <c r="S591" s="78"/>
    </row>
    <row r="592" spans="2:19" s="62" customFormat="1" outlineLevel="1" x14ac:dyDescent="0.25">
      <c r="B592" s="53"/>
      <c r="C592" s="58">
        <v>635</v>
      </c>
      <c r="D592" s="54" t="s">
        <v>415</v>
      </c>
      <c r="E592" s="64" t="s">
        <v>527</v>
      </c>
      <c r="F592" s="64" t="s">
        <v>416</v>
      </c>
      <c r="G592" s="63">
        <v>1</v>
      </c>
      <c r="H592" s="57" t="s">
        <v>417</v>
      </c>
      <c r="I592" s="54" t="s">
        <v>418</v>
      </c>
      <c r="J592" s="54" t="s">
        <v>419</v>
      </c>
      <c r="K592" s="54" t="s">
        <v>420</v>
      </c>
      <c r="L592" s="54" t="s">
        <v>421</v>
      </c>
      <c r="M592" s="58" t="s">
        <v>422</v>
      </c>
      <c r="N592" s="54" t="s">
        <v>423</v>
      </c>
      <c r="O592" s="59">
        <v>46111</v>
      </c>
      <c r="P592" s="74"/>
      <c r="Q592" s="57"/>
      <c r="R592" s="78"/>
      <c r="S592" s="78"/>
    </row>
    <row r="593" spans="2:19" s="62" customFormat="1" outlineLevel="1" x14ac:dyDescent="0.25">
      <c r="B593" s="53"/>
      <c r="C593" s="58">
        <v>636</v>
      </c>
      <c r="D593" s="54" t="s">
        <v>431</v>
      </c>
      <c r="E593" s="54" t="s">
        <v>527</v>
      </c>
      <c r="F593" s="64" t="s">
        <v>432</v>
      </c>
      <c r="G593" s="63">
        <v>1</v>
      </c>
      <c r="H593" s="57" t="s">
        <v>152</v>
      </c>
      <c r="I593" s="54" t="s">
        <v>678</v>
      </c>
      <c r="J593" s="54" t="s">
        <v>679</v>
      </c>
      <c r="K593" s="54" t="s">
        <v>680</v>
      </c>
      <c r="L593" s="54" t="s">
        <v>436</v>
      </c>
      <c r="M593" s="58" t="s">
        <v>681</v>
      </c>
      <c r="N593" s="54" t="s">
        <v>438</v>
      </c>
      <c r="O593" s="59">
        <v>46111</v>
      </c>
      <c r="P593" s="74"/>
      <c r="Q593" s="57"/>
      <c r="R593" s="78"/>
      <c r="S593" s="78"/>
    </row>
    <row r="594" spans="2:19" s="62" customFormat="1" outlineLevel="1" x14ac:dyDescent="0.25">
      <c r="B594" s="53"/>
      <c r="C594" s="58">
        <v>637</v>
      </c>
      <c r="D594" s="54" t="s">
        <v>544</v>
      </c>
      <c r="E594" s="64" t="s">
        <v>527</v>
      </c>
      <c r="F594" s="64" t="s">
        <v>545</v>
      </c>
      <c r="G594" s="63">
        <v>2</v>
      </c>
      <c r="H594" s="57" t="s">
        <v>24</v>
      </c>
      <c r="I594" s="54" t="s">
        <v>546</v>
      </c>
      <c r="J594" s="54" t="s">
        <v>547</v>
      </c>
      <c r="K594" s="54" t="s">
        <v>548</v>
      </c>
      <c r="L594" s="54" t="s">
        <v>549</v>
      </c>
      <c r="M594" s="58" t="s">
        <v>550</v>
      </c>
      <c r="N594" s="54" t="s">
        <v>551</v>
      </c>
      <c r="O594" s="59">
        <v>46111</v>
      </c>
      <c r="P594" s="74"/>
      <c r="Q594" s="57"/>
      <c r="R594" s="78"/>
      <c r="S594" s="78"/>
    </row>
    <row r="595" spans="2:19" s="62" customFormat="1" ht="30" customHeight="1" outlineLevel="1" x14ac:dyDescent="0.25">
      <c r="B595" s="53"/>
      <c r="C595" s="58">
        <v>638</v>
      </c>
      <c r="D595" s="54" t="s">
        <v>439</v>
      </c>
      <c r="E595" s="64" t="s">
        <v>527</v>
      </c>
      <c r="F595" s="64" t="s">
        <v>440</v>
      </c>
      <c r="G595" s="63">
        <v>1</v>
      </c>
      <c r="H595" s="57" t="s">
        <v>152</v>
      </c>
      <c r="I595" s="54" t="s">
        <v>441</v>
      </c>
      <c r="J595" s="54" t="s">
        <v>442</v>
      </c>
      <c r="K595" s="54" t="s">
        <v>443</v>
      </c>
      <c r="L595" s="54" t="s">
        <v>444</v>
      </c>
      <c r="M595" s="58" t="s">
        <v>570</v>
      </c>
      <c r="N595" s="54" t="s">
        <v>446</v>
      </c>
      <c r="O595" s="59">
        <v>46111</v>
      </c>
      <c r="P595" s="74"/>
      <c r="Q595" s="57"/>
      <c r="R595" s="78"/>
      <c r="S595" s="78"/>
    </row>
    <row r="596" spans="2:19" s="62" customFormat="1" outlineLevel="1" x14ac:dyDescent="0.25">
      <c r="B596" s="53"/>
      <c r="C596" s="58">
        <v>639</v>
      </c>
      <c r="D596" s="54" t="s">
        <v>447</v>
      </c>
      <c r="E596" s="64" t="s">
        <v>527</v>
      </c>
      <c r="F596" s="64" t="s">
        <v>448</v>
      </c>
      <c r="G596" s="63">
        <v>1</v>
      </c>
      <c r="H596" s="57" t="s">
        <v>24</v>
      </c>
      <c r="I596" s="54" t="s">
        <v>449</v>
      </c>
      <c r="J596" s="54" t="s">
        <v>450</v>
      </c>
      <c r="K596" s="54" t="s">
        <v>451</v>
      </c>
      <c r="L596" s="54" t="s">
        <v>452</v>
      </c>
      <c r="M596" s="58" t="s">
        <v>453</v>
      </c>
      <c r="N596" s="54" t="s">
        <v>454</v>
      </c>
      <c r="O596" s="59">
        <v>46111</v>
      </c>
      <c r="P596" s="74"/>
      <c r="Q596" s="57"/>
      <c r="R596" s="78"/>
      <c r="S596" s="78"/>
    </row>
    <row r="597" spans="2:19" s="62" customFormat="1" outlineLevel="1" x14ac:dyDescent="0.25">
      <c r="B597" s="53"/>
      <c r="C597" s="58">
        <v>640</v>
      </c>
      <c r="D597" s="54" t="s">
        <v>571</v>
      </c>
      <c r="E597" s="64" t="s">
        <v>527</v>
      </c>
      <c r="F597" s="64" t="s">
        <v>572</v>
      </c>
      <c r="G597" s="63">
        <v>2</v>
      </c>
      <c r="H597" s="57" t="s">
        <v>573</v>
      </c>
      <c r="I597" s="54" t="s">
        <v>574</v>
      </c>
      <c r="J597" s="54" t="s">
        <v>575</v>
      </c>
      <c r="K597" s="54" t="s">
        <v>576</v>
      </c>
      <c r="L597" s="54" t="s">
        <v>577</v>
      </c>
      <c r="M597" s="58" t="s">
        <v>578</v>
      </c>
      <c r="N597" s="54" t="s">
        <v>579</v>
      </c>
      <c r="O597" s="59">
        <v>46111</v>
      </c>
      <c r="P597" s="74"/>
      <c r="Q597" s="57"/>
      <c r="R597" s="78"/>
      <c r="S597" s="78"/>
    </row>
    <row r="598" spans="2:19" s="62" customFormat="1" outlineLevel="1" x14ac:dyDescent="0.25">
      <c r="B598" s="53"/>
      <c r="C598" s="58">
        <v>641</v>
      </c>
      <c r="D598" s="54" t="s">
        <v>596</v>
      </c>
      <c r="E598" s="64" t="s">
        <v>527</v>
      </c>
      <c r="F598" s="64" t="s">
        <v>597</v>
      </c>
      <c r="G598" s="63">
        <v>1</v>
      </c>
      <c r="H598" s="57" t="s">
        <v>61</v>
      </c>
      <c r="I598" s="54" t="s">
        <v>598</v>
      </c>
      <c r="J598" s="54" t="s">
        <v>599</v>
      </c>
      <c r="K598" s="54" t="s">
        <v>600</v>
      </c>
      <c r="L598" s="54" t="s">
        <v>601</v>
      </c>
      <c r="M598" s="58" t="s">
        <v>602</v>
      </c>
      <c r="N598" s="54" t="s">
        <v>603</v>
      </c>
      <c r="O598" s="59">
        <v>46111</v>
      </c>
      <c r="P598" s="74"/>
      <c r="Q598" s="57"/>
      <c r="R598" s="78"/>
      <c r="S598" s="78"/>
    </row>
    <row r="599" spans="2:19" s="62" customFormat="1" outlineLevel="1" x14ac:dyDescent="0.25">
      <c r="B599" s="53"/>
      <c r="C599" s="58">
        <v>642</v>
      </c>
      <c r="D599" s="54" t="s">
        <v>455</v>
      </c>
      <c r="E599" s="64" t="s">
        <v>527</v>
      </c>
      <c r="F599" s="64" t="s">
        <v>456</v>
      </c>
      <c r="G599" s="63">
        <v>2</v>
      </c>
      <c r="H599" s="57" t="s">
        <v>111</v>
      </c>
      <c r="I599" s="54" t="s">
        <v>457</v>
      </c>
      <c r="J599" s="54" t="s">
        <v>458</v>
      </c>
      <c r="K599" s="54" t="s">
        <v>459</v>
      </c>
      <c r="L599" s="54" t="s">
        <v>460</v>
      </c>
      <c r="M599" s="58" t="s">
        <v>461</v>
      </c>
      <c r="N599" s="54" t="s">
        <v>462</v>
      </c>
      <c r="O599" s="59">
        <v>46111</v>
      </c>
      <c r="P599" s="74"/>
      <c r="Q599" s="57"/>
      <c r="R599" s="78"/>
      <c r="S599" s="78"/>
    </row>
    <row r="600" spans="2:19" s="62" customFormat="1" outlineLevel="1" x14ac:dyDescent="0.25">
      <c r="B600" s="53"/>
      <c r="C600" s="58">
        <v>643</v>
      </c>
      <c r="D600" s="54" t="s">
        <v>471</v>
      </c>
      <c r="E600" s="64" t="s">
        <v>527</v>
      </c>
      <c r="F600" s="64" t="s">
        <v>472</v>
      </c>
      <c r="G600" s="63">
        <v>1</v>
      </c>
      <c r="H600" s="57" t="s">
        <v>111</v>
      </c>
      <c r="I600" s="54" t="s">
        <v>473</v>
      </c>
      <c r="J600" s="54" t="s">
        <v>474</v>
      </c>
      <c r="K600" s="54" t="s">
        <v>475</v>
      </c>
      <c r="L600" s="54" t="s">
        <v>476</v>
      </c>
      <c r="M600" s="58" t="s">
        <v>476</v>
      </c>
      <c r="N600" s="54" t="s">
        <v>477</v>
      </c>
      <c r="O600" s="59">
        <v>46111</v>
      </c>
      <c r="P600" s="74"/>
      <c r="Q600" s="57"/>
      <c r="R600" s="78"/>
      <c r="S600" s="78"/>
    </row>
    <row r="601" spans="2:19" s="62" customFormat="1" ht="30" customHeight="1" outlineLevel="1" x14ac:dyDescent="0.25">
      <c r="B601" s="53"/>
      <c r="C601" s="58">
        <v>644</v>
      </c>
      <c r="D601" s="54" t="s">
        <v>478</v>
      </c>
      <c r="E601" s="64" t="s">
        <v>527</v>
      </c>
      <c r="F601" s="64" t="s">
        <v>479</v>
      </c>
      <c r="G601" s="63">
        <v>2</v>
      </c>
      <c r="H601" s="57" t="s">
        <v>111</v>
      </c>
      <c r="I601" s="54" t="s">
        <v>480</v>
      </c>
      <c r="J601" s="54" t="s">
        <v>481</v>
      </c>
      <c r="K601" s="54" t="s">
        <v>482</v>
      </c>
      <c r="L601" s="54" t="s">
        <v>483</v>
      </c>
      <c r="M601" s="58" t="s">
        <v>634</v>
      </c>
      <c r="N601" s="54" t="s">
        <v>485</v>
      </c>
      <c r="O601" s="59">
        <v>46111</v>
      </c>
      <c r="P601" s="74"/>
      <c r="Q601" s="57"/>
      <c r="R601" s="78"/>
      <c r="S601" s="78"/>
    </row>
    <row r="602" spans="2:19" s="62" customFormat="1" outlineLevel="1" x14ac:dyDescent="0.25">
      <c r="B602" s="53"/>
      <c r="C602" s="58">
        <v>645</v>
      </c>
      <c r="D602" s="54" t="s">
        <v>486</v>
      </c>
      <c r="E602" s="64" t="s">
        <v>527</v>
      </c>
      <c r="F602" s="64" t="s">
        <v>487</v>
      </c>
      <c r="G602" s="63">
        <v>1</v>
      </c>
      <c r="H602" s="57" t="s">
        <v>152</v>
      </c>
      <c r="I602" s="54" t="s">
        <v>488</v>
      </c>
      <c r="J602" s="54" t="s">
        <v>489</v>
      </c>
      <c r="K602" s="54" t="s">
        <v>490</v>
      </c>
      <c r="L602" s="54" t="s">
        <v>491</v>
      </c>
      <c r="M602" s="58" t="s">
        <v>492</v>
      </c>
      <c r="N602" s="54" t="s">
        <v>493</v>
      </c>
      <c r="O602" s="59">
        <v>46111</v>
      </c>
      <c r="P602" s="74"/>
      <c r="Q602" s="57"/>
      <c r="R602" s="78"/>
      <c r="S602" s="78"/>
    </row>
    <row r="603" spans="2:19" s="62" customFormat="1" outlineLevel="1" x14ac:dyDescent="0.25">
      <c r="B603" s="53"/>
      <c r="C603" s="58">
        <v>646</v>
      </c>
      <c r="D603" s="54" t="s">
        <v>502</v>
      </c>
      <c r="E603" s="64" t="s">
        <v>527</v>
      </c>
      <c r="F603" s="64" t="s">
        <v>503</v>
      </c>
      <c r="G603" s="63">
        <v>1</v>
      </c>
      <c r="H603" s="57" t="s">
        <v>61</v>
      </c>
      <c r="I603" s="54" t="s">
        <v>504</v>
      </c>
      <c r="J603" s="54" t="s">
        <v>505</v>
      </c>
      <c r="K603" s="54" t="s">
        <v>506</v>
      </c>
      <c r="L603" s="54" t="s">
        <v>283</v>
      </c>
      <c r="M603" s="58" t="s">
        <v>284</v>
      </c>
      <c r="N603" s="54" t="s">
        <v>507</v>
      </c>
      <c r="O603" s="59">
        <v>46111</v>
      </c>
      <c r="P603" s="74"/>
      <c r="Q603" s="57"/>
      <c r="R603" s="78"/>
      <c r="S603" s="78"/>
    </row>
    <row r="604" spans="2:19" s="33" customFormat="1" ht="30" x14ac:dyDescent="0.25">
      <c r="B604" s="42"/>
      <c r="C604" s="40"/>
      <c r="D604" s="43"/>
      <c r="E604" s="28" t="s">
        <v>854</v>
      </c>
      <c r="F604" s="52"/>
      <c r="G604" s="32">
        <f>SUM(G605:G654)</f>
        <v>88</v>
      </c>
      <c r="H604" s="42"/>
      <c r="I604" s="42"/>
      <c r="J604" s="42"/>
      <c r="K604" s="42"/>
      <c r="L604" s="42"/>
      <c r="M604" s="40"/>
      <c r="N604" s="42"/>
      <c r="O604" s="42"/>
      <c r="P604" s="42"/>
      <c r="Q604" s="42"/>
      <c r="R604" s="42"/>
      <c r="S604" s="42"/>
    </row>
    <row r="605" spans="2:19" s="62" customFormat="1" outlineLevel="1" x14ac:dyDescent="0.25">
      <c r="B605" s="53"/>
      <c r="C605" s="58">
        <v>647</v>
      </c>
      <c r="D605" s="54" t="s">
        <v>21</v>
      </c>
      <c r="E605" s="64" t="s">
        <v>854</v>
      </c>
      <c r="F605" s="64" t="s">
        <v>22</v>
      </c>
      <c r="G605" s="63">
        <v>1</v>
      </c>
      <c r="H605" s="57" t="s">
        <v>24</v>
      </c>
      <c r="I605" s="54" t="s">
        <v>25</v>
      </c>
      <c r="J605" s="54" t="s">
        <v>26</v>
      </c>
      <c r="K605" s="54" t="s">
        <v>27</v>
      </c>
      <c r="L605" s="54" t="s">
        <v>28</v>
      </c>
      <c r="M605" s="58" t="s">
        <v>29</v>
      </c>
      <c r="N605" s="54" t="s">
        <v>30</v>
      </c>
      <c r="O605" s="59">
        <v>46125</v>
      </c>
      <c r="P605" s="74"/>
      <c r="Q605" s="57"/>
      <c r="R605" s="78"/>
      <c r="S605" s="78"/>
    </row>
    <row r="606" spans="2:19" s="62" customFormat="1" outlineLevel="1" x14ac:dyDescent="0.25">
      <c r="B606" s="53"/>
      <c r="C606" s="58">
        <v>648</v>
      </c>
      <c r="D606" s="54" t="s">
        <v>811</v>
      </c>
      <c r="E606" s="64" t="s">
        <v>854</v>
      </c>
      <c r="F606" s="64" t="s">
        <v>812</v>
      </c>
      <c r="G606" s="63">
        <v>11</v>
      </c>
      <c r="H606" s="57" t="s">
        <v>813</v>
      </c>
      <c r="I606" s="54" t="s">
        <v>814</v>
      </c>
      <c r="J606" s="54" t="s">
        <v>815</v>
      </c>
      <c r="K606" s="54" t="s">
        <v>816</v>
      </c>
      <c r="L606" s="54" t="s">
        <v>817</v>
      </c>
      <c r="M606" s="58" t="s">
        <v>818</v>
      </c>
      <c r="N606" s="54" t="s">
        <v>819</v>
      </c>
      <c r="O606" s="59">
        <v>46125</v>
      </c>
      <c r="P606" s="74"/>
      <c r="Q606" s="57"/>
      <c r="R606" s="78"/>
      <c r="S606" s="78"/>
    </row>
    <row r="607" spans="2:19" s="62" customFormat="1" outlineLevel="1" x14ac:dyDescent="0.25">
      <c r="B607" s="53"/>
      <c r="C607" s="58">
        <v>649</v>
      </c>
      <c r="D607" s="54" t="s">
        <v>34</v>
      </c>
      <c r="E607" s="64" t="s">
        <v>854</v>
      </c>
      <c r="F607" s="64" t="s">
        <v>35</v>
      </c>
      <c r="G607" s="63">
        <v>1</v>
      </c>
      <c r="H607" s="57" t="s">
        <v>36</v>
      </c>
      <c r="I607" s="54" t="s">
        <v>37</v>
      </c>
      <c r="J607" s="54" t="s">
        <v>38</v>
      </c>
      <c r="K607" s="54" t="s">
        <v>39</v>
      </c>
      <c r="L607" s="54" t="s">
        <v>40</v>
      </c>
      <c r="M607" s="58" t="s">
        <v>858</v>
      </c>
      <c r="N607" s="54" t="s">
        <v>42</v>
      </c>
      <c r="O607" s="59">
        <v>46125</v>
      </c>
      <c r="P607" s="74"/>
      <c r="Q607" s="57"/>
      <c r="R607" s="78"/>
      <c r="S607" s="78"/>
    </row>
    <row r="608" spans="2:19" s="62" customFormat="1" outlineLevel="1" x14ac:dyDescent="0.25">
      <c r="B608" s="53"/>
      <c r="C608" s="58">
        <v>650</v>
      </c>
      <c r="D608" s="54" t="s">
        <v>43</v>
      </c>
      <c r="E608" s="64" t="s">
        <v>854</v>
      </c>
      <c r="F608" s="64" t="s">
        <v>44</v>
      </c>
      <c r="G608" s="63">
        <v>2</v>
      </c>
      <c r="H608" s="57" t="s">
        <v>24</v>
      </c>
      <c r="I608" s="54" t="s">
        <v>45</v>
      </c>
      <c r="J608" s="54" t="s">
        <v>46</v>
      </c>
      <c r="K608" s="54" t="s">
        <v>47</v>
      </c>
      <c r="L608" s="54" t="s">
        <v>48</v>
      </c>
      <c r="M608" s="58" t="s">
        <v>49</v>
      </c>
      <c r="N608" s="54" t="s">
        <v>50</v>
      </c>
      <c r="O608" s="59">
        <v>46125</v>
      </c>
      <c r="P608" s="74"/>
      <c r="Q608" s="57"/>
      <c r="R608" s="78"/>
      <c r="S608" s="78"/>
    </row>
    <row r="609" spans="2:19" s="62" customFormat="1" outlineLevel="1" x14ac:dyDescent="0.25">
      <c r="B609" s="53"/>
      <c r="C609" s="58">
        <v>651</v>
      </c>
      <c r="D609" s="54" t="s">
        <v>51</v>
      </c>
      <c r="E609" s="64" t="s">
        <v>854</v>
      </c>
      <c r="F609" s="64" t="s">
        <v>52</v>
      </c>
      <c r="G609" s="63">
        <v>4</v>
      </c>
      <c r="H609" s="57" t="s">
        <v>24</v>
      </c>
      <c r="I609" s="54" t="s">
        <v>53</v>
      </c>
      <c r="J609" s="54" t="s">
        <v>54</v>
      </c>
      <c r="K609" s="54" t="s">
        <v>55</v>
      </c>
      <c r="L609" s="54" t="s">
        <v>56</v>
      </c>
      <c r="M609" s="58" t="s">
        <v>57</v>
      </c>
      <c r="N609" s="54" t="s">
        <v>58</v>
      </c>
      <c r="O609" s="59">
        <v>46125</v>
      </c>
      <c r="P609" s="74"/>
      <c r="Q609" s="57"/>
      <c r="R609" s="78"/>
      <c r="S609" s="78"/>
    </row>
    <row r="610" spans="2:19" s="62" customFormat="1" outlineLevel="1" x14ac:dyDescent="0.25">
      <c r="B610" s="53"/>
      <c r="C610" s="58">
        <v>652</v>
      </c>
      <c r="D610" s="54" t="s">
        <v>59</v>
      </c>
      <c r="E610" s="64" t="s">
        <v>854</v>
      </c>
      <c r="F610" s="64" t="s">
        <v>60</v>
      </c>
      <c r="G610" s="63">
        <v>8</v>
      </c>
      <c r="H610" s="57" t="s">
        <v>61</v>
      </c>
      <c r="I610" s="54" t="s">
        <v>62</v>
      </c>
      <c r="J610" s="54" t="s">
        <v>63</v>
      </c>
      <c r="K610" s="54" t="s">
        <v>64</v>
      </c>
      <c r="L610" s="54" t="s">
        <v>65</v>
      </c>
      <c r="M610" s="58" t="s">
        <v>66</v>
      </c>
      <c r="N610" s="54" t="s">
        <v>67</v>
      </c>
      <c r="O610" s="59">
        <v>46125</v>
      </c>
      <c r="P610" s="74"/>
      <c r="Q610" s="57"/>
      <c r="R610" s="78"/>
      <c r="S610" s="78"/>
    </row>
    <row r="611" spans="2:19" s="62" customFormat="1" outlineLevel="1" x14ac:dyDescent="0.25">
      <c r="B611" s="53"/>
      <c r="C611" s="58">
        <v>653</v>
      </c>
      <c r="D611" s="54" t="s">
        <v>75</v>
      </c>
      <c r="E611" s="64" t="s">
        <v>854</v>
      </c>
      <c r="F611" s="64" t="s">
        <v>76</v>
      </c>
      <c r="G611" s="63">
        <v>5</v>
      </c>
      <c r="H611" s="57" t="s">
        <v>77</v>
      </c>
      <c r="I611" s="54" t="s">
        <v>78</v>
      </c>
      <c r="J611" s="54" t="s">
        <v>79</v>
      </c>
      <c r="K611" s="54" t="s">
        <v>80</v>
      </c>
      <c r="L611" s="54" t="s">
        <v>81</v>
      </c>
      <c r="M611" s="58" t="s">
        <v>82</v>
      </c>
      <c r="N611" s="54" t="s">
        <v>83</v>
      </c>
      <c r="O611" s="59">
        <v>46125</v>
      </c>
      <c r="P611" s="74"/>
      <c r="Q611" s="57"/>
      <c r="R611" s="78"/>
      <c r="S611" s="78"/>
    </row>
    <row r="612" spans="2:19" s="62" customFormat="1" outlineLevel="1" x14ac:dyDescent="0.25">
      <c r="B612" s="53"/>
      <c r="C612" s="58">
        <v>654</v>
      </c>
      <c r="D612" s="54" t="s">
        <v>899</v>
      </c>
      <c r="E612" s="64" t="s">
        <v>854</v>
      </c>
      <c r="F612" s="64" t="s">
        <v>900</v>
      </c>
      <c r="G612" s="63">
        <v>2</v>
      </c>
      <c r="H612" s="57" t="s">
        <v>901</v>
      </c>
      <c r="I612" s="54" t="s">
        <v>902</v>
      </c>
      <c r="J612" s="54" t="s">
        <v>903</v>
      </c>
      <c r="K612" s="54" t="s">
        <v>904</v>
      </c>
      <c r="L612" s="54" t="s">
        <v>905</v>
      </c>
      <c r="M612" s="58" t="s">
        <v>906</v>
      </c>
      <c r="N612" s="54" t="s">
        <v>907</v>
      </c>
      <c r="O612" s="59">
        <v>46125</v>
      </c>
      <c r="P612" s="74"/>
      <c r="Q612" s="57"/>
      <c r="R612" s="78"/>
      <c r="S612" s="78"/>
    </row>
    <row r="613" spans="2:19" s="62" customFormat="1" outlineLevel="1" x14ac:dyDescent="0.25">
      <c r="B613" s="53"/>
      <c r="C613" s="58">
        <v>655</v>
      </c>
      <c r="D613" s="54" t="s">
        <v>626</v>
      </c>
      <c r="E613" s="64" t="s">
        <v>854</v>
      </c>
      <c r="F613" s="64" t="s">
        <v>627</v>
      </c>
      <c r="G613" s="63">
        <v>1</v>
      </c>
      <c r="H613" s="57" t="s">
        <v>152</v>
      </c>
      <c r="I613" s="54" t="s">
        <v>628</v>
      </c>
      <c r="J613" s="54" t="s">
        <v>629</v>
      </c>
      <c r="K613" s="54" t="s">
        <v>630</v>
      </c>
      <c r="L613" s="54" t="s">
        <v>631</v>
      </c>
      <c r="M613" s="58" t="s">
        <v>632</v>
      </c>
      <c r="N613" s="54" t="s">
        <v>633</v>
      </c>
      <c r="O613" s="59">
        <v>46125</v>
      </c>
      <c r="P613" s="74"/>
      <c r="Q613" s="57"/>
      <c r="R613" s="78"/>
      <c r="S613" s="78"/>
    </row>
    <row r="614" spans="2:19" s="62" customFormat="1" outlineLevel="1" x14ac:dyDescent="0.25">
      <c r="B614" s="53"/>
      <c r="C614" s="58">
        <v>656</v>
      </c>
      <c r="D614" s="54" t="s">
        <v>117</v>
      </c>
      <c r="E614" s="64" t="s">
        <v>854</v>
      </c>
      <c r="F614" s="64" t="s">
        <v>118</v>
      </c>
      <c r="G614" s="63">
        <v>1</v>
      </c>
      <c r="H614" s="57" t="s">
        <v>24</v>
      </c>
      <c r="I614" s="54" t="s">
        <v>119</v>
      </c>
      <c r="J614" s="54" t="s">
        <v>120</v>
      </c>
      <c r="K614" s="54" t="s">
        <v>121</v>
      </c>
      <c r="L614" s="54" t="s">
        <v>122</v>
      </c>
      <c r="M614" s="58" t="s">
        <v>123</v>
      </c>
      <c r="N614" s="54" t="s">
        <v>124</v>
      </c>
      <c r="O614" s="59">
        <v>46125</v>
      </c>
      <c r="P614" s="74"/>
      <c r="Q614" s="57"/>
      <c r="R614" s="78"/>
      <c r="S614" s="78"/>
    </row>
    <row r="615" spans="2:19" s="62" customFormat="1" outlineLevel="1" x14ac:dyDescent="0.25">
      <c r="B615" s="53"/>
      <c r="C615" s="58">
        <v>657</v>
      </c>
      <c r="D615" s="54" t="s">
        <v>134</v>
      </c>
      <c r="E615" s="64" t="s">
        <v>854</v>
      </c>
      <c r="F615" s="64" t="s">
        <v>135</v>
      </c>
      <c r="G615" s="63">
        <v>2</v>
      </c>
      <c r="H615" s="57" t="s">
        <v>24</v>
      </c>
      <c r="I615" s="54" t="s">
        <v>136</v>
      </c>
      <c r="J615" s="54" t="s">
        <v>137</v>
      </c>
      <c r="K615" s="54" t="s">
        <v>138</v>
      </c>
      <c r="L615" s="54" t="s">
        <v>139</v>
      </c>
      <c r="M615" s="58" t="s">
        <v>140</v>
      </c>
      <c r="N615" s="54" t="s">
        <v>141</v>
      </c>
      <c r="O615" s="59">
        <v>46125</v>
      </c>
      <c r="P615" s="74"/>
      <c r="Q615" s="57"/>
      <c r="R615" s="78"/>
      <c r="S615" s="78"/>
    </row>
    <row r="616" spans="2:19" s="62" customFormat="1" outlineLevel="1" x14ac:dyDescent="0.25">
      <c r="B616" s="53"/>
      <c r="C616" s="58">
        <v>658</v>
      </c>
      <c r="D616" s="54" t="s">
        <v>554</v>
      </c>
      <c r="E616" s="64" t="s">
        <v>854</v>
      </c>
      <c r="F616" s="64" t="s">
        <v>555</v>
      </c>
      <c r="G616" s="63">
        <v>1</v>
      </c>
      <c r="H616" s="57" t="s">
        <v>61</v>
      </c>
      <c r="I616" s="54" t="s">
        <v>556</v>
      </c>
      <c r="J616" s="54" t="s">
        <v>557</v>
      </c>
      <c r="K616" s="54" t="s">
        <v>558</v>
      </c>
      <c r="L616" s="54" t="s">
        <v>559</v>
      </c>
      <c r="M616" s="58" t="s">
        <v>560</v>
      </c>
      <c r="N616" s="54" t="s">
        <v>561</v>
      </c>
      <c r="O616" s="59">
        <v>46125</v>
      </c>
      <c r="P616" s="74"/>
      <c r="Q616" s="57"/>
      <c r="R616" s="78"/>
      <c r="S616" s="78"/>
    </row>
    <row r="617" spans="2:19" s="62" customFormat="1" outlineLevel="1" x14ac:dyDescent="0.25">
      <c r="B617" s="53"/>
      <c r="C617" s="58">
        <v>659</v>
      </c>
      <c r="D617" s="54" t="s">
        <v>142</v>
      </c>
      <c r="E617" s="64" t="s">
        <v>854</v>
      </c>
      <c r="F617" s="64" t="s">
        <v>143</v>
      </c>
      <c r="G617" s="63">
        <v>1</v>
      </c>
      <c r="H617" s="57" t="s">
        <v>61</v>
      </c>
      <c r="I617" s="54" t="s">
        <v>144</v>
      </c>
      <c r="J617" s="54" t="s">
        <v>145</v>
      </c>
      <c r="K617" s="54" t="s">
        <v>146</v>
      </c>
      <c r="L617" s="54" t="s">
        <v>147</v>
      </c>
      <c r="M617" s="58" t="s">
        <v>148</v>
      </c>
      <c r="N617" s="54" t="s">
        <v>149</v>
      </c>
      <c r="O617" s="59">
        <v>46125</v>
      </c>
      <c r="P617" s="74"/>
      <c r="Q617" s="57"/>
      <c r="R617" s="78"/>
      <c r="S617" s="78"/>
    </row>
    <row r="618" spans="2:19" s="62" customFormat="1" outlineLevel="1" x14ac:dyDescent="0.25">
      <c r="B618" s="53"/>
      <c r="C618" s="58">
        <v>660</v>
      </c>
      <c r="D618" s="54" t="s">
        <v>159</v>
      </c>
      <c r="E618" s="64" t="s">
        <v>854</v>
      </c>
      <c r="F618" s="64" t="s">
        <v>160</v>
      </c>
      <c r="G618" s="63">
        <v>1</v>
      </c>
      <c r="H618" s="57" t="s">
        <v>61</v>
      </c>
      <c r="I618" s="54" t="s">
        <v>161</v>
      </c>
      <c r="J618" s="54" t="s">
        <v>162</v>
      </c>
      <c r="K618" s="54" t="s">
        <v>163</v>
      </c>
      <c r="L618" s="54" t="s">
        <v>164</v>
      </c>
      <c r="M618" s="58" t="s">
        <v>164</v>
      </c>
      <c r="N618" s="54" t="s">
        <v>165</v>
      </c>
      <c r="O618" s="59">
        <v>46125</v>
      </c>
      <c r="P618" s="74"/>
      <c r="Q618" s="57"/>
      <c r="R618" s="78"/>
      <c r="S618" s="78"/>
    </row>
    <row r="619" spans="2:19" s="62" customFormat="1" outlineLevel="1" x14ac:dyDescent="0.25">
      <c r="B619" s="53"/>
      <c r="C619" s="58">
        <v>661</v>
      </c>
      <c r="D619" s="54" t="s">
        <v>174</v>
      </c>
      <c r="E619" s="64" t="s">
        <v>854</v>
      </c>
      <c r="F619" s="64" t="s">
        <v>175</v>
      </c>
      <c r="G619" s="63">
        <v>2</v>
      </c>
      <c r="H619" s="57" t="s">
        <v>152</v>
      </c>
      <c r="I619" s="54" t="s">
        <v>176</v>
      </c>
      <c r="J619" s="54" t="s">
        <v>177</v>
      </c>
      <c r="K619" s="54" t="s">
        <v>178</v>
      </c>
      <c r="L619" s="54" t="s">
        <v>179</v>
      </c>
      <c r="M619" s="58" t="s">
        <v>180</v>
      </c>
      <c r="N619" s="54" t="s">
        <v>181</v>
      </c>
      <c r="O619" s="59">
        <v>46125</v>
      </c>
      <c r="P619" s="74"/>
      <c r="Q619" s="57"/>
      <c r="R619" s="78"/>
      <c r="S619" s="78"/>
    </row>
    <row r="620" spans="2:19" s="62" customFormat="1" ht="90" customHeight="1" outlineLevel="1" x14ac:dyDescent="0.25">
      <c r="B620" s="53"/>
      <c r="C620" s="58" t="s">
        <v>880</v>
      </c>
      <c r="D620" s="54" t="s">
        <v>190</v>
      </c>
      <c r="E620" s="64" t="s">
        <v>854</v>
      </c>
      <c r="F620" s="64" t="s">
        <v>191</v>
      </c>
      <c r="G620" s="63">
        <v>6</v>
      </c>
      <c r="H620" s="57" t="s">
        <v>24</v>
      </c>
      <c r="I620" s="65" t="s">
        <v>881</v>
      </c>
      <c r="J620" s="65" t="s">
        <v>882</v>
      </c>
      <c r="K620" s="65" t="s">
        <v>883</v>
      </c>
      <c r="L620" s="54" t="s">
        <v>195</v>
      </c>
      <c r="M620" s="58" t="s">
        <v>884</v>
      </c>
      <c r="N620" s="54" t="s">
        <v>197</v>
      </c>
      <c r="O620" s="59">
        <v>46125</v>
      </c>
      <c r="P620" s="74"/>
      <c r="Q620" s="57"/>
      <c r="R620" s="78"/>
      <c r="S620" s="78"/>
    </row>
    <row r="621" spans="2:19" s="62" customFormat="1" outlineLevel="1" x14ac:dyDescent="0.25">
      <c r="B621" s="53"/>
      <c r="C621" s="58">
        <v>663</v>
      </c>
      <c r="D621" s="54" t="s">
        <v>198</v>
      </c>
      <c r="E621" s="64" t="s">
        <v>854</v>
      </c>
      <c r="F621" s="64" t="s">
        <v>199</v>
      </c>
      <c r="G621" s="63">
        <v>2</v>
      </c>
      <c r="H621" s="57" t="s">
        <v>200</v>
      </c>
      <c r="I621" s="54" t="s">
        <v>201</v>
      </c>
      <c r="J621" s="54" t="s">
        <v>202</v>
      </c>
      <c r="K621" s="54" t="s">
        <v>203</v>
      </c>
      <c r="L621" s="54" t="s">
        <v>204</v>
      </c>
      <c r="M621" s="58" t="s">
        <v>205</v>
      </c>
      <c r="N621" s="54" t="s">
        <v>206</v>
      </c>
      <c r="O621" s="59">
        <v>46125</v>
      </c>
      <c r="P621" s="74"/>
      <c r="Q621" s="57"/>
      <c r="R621" s="78"/>
      <c r="S621" s="78"/>
    </row>
    <row r="622" spans="2:19" s="62" customFormat="1" outlineLevel="1" x14ac:dyDescent="0.25">
      <c r="B622" s="53"/>
      <c r="C622" s="58">
        <v>664</v>
      </c>
      <c r="D622" s="54" t="s">
        <v>215</v>
      </c>
      <c r="E622" s="64" t="s">
        <v>854</v>
      </c>
      <c r="F622" s="64" t="s">
        <v>216</v>
      </c>
      <c r="G622" s="63">
        <v>1</v>
      </c>
      <c r="H622" s="57" t="s">
        <v>24</v>
      </c>
      <c r="I622" s="54" t="s">
        <v>217</v>
      </c>
      <c r="J622" s="54" t="s">
        <v>218</v>
      </c>
      <c r="K622" s="54" t="s">
        <v>219</v>
      </c>
      <c r="L622" s="54" t="s">
        <v>220</v>
      </c>
      <c r="M622" s="58" t="s">
        <v>221</v>
      </c>
      <c r="N622" s="54" t="s">
        <v>222</v>
      </c>
      <c r="O622" s="59">
        <v>46125</v>
      </c>
      <c r="P622" s="74"/>
      <c r="Q622" s="57"/>
      <c r="R622" s="78"/>
      <c r="S622" s="78"/>
    </row>
    <row r="623" spans="2:19" s="62" customFormat="1" ht="36" customHeight="1" outlineLevel="1" x14ac:dyDescent="0.25">
      <c r="B623" s="53"/>
      <c r="C623" s="58" t="s">
        <v>890</v>
      </c>
      <c r="D623" s="54" t="s">
        <v>231</v>
      </c>
      <c r="E623" s="64" t="s">
        <v>854</v>
      </c>
      <c r="F623" s="64" t="s">
        <v>232</v>
      </c>
      <c r="G623" s="63">
        <v>2</v>
      </c>
      <c r="H623" s="57" t="s">
        <v>61</v>
      </c>
      <c r="I623" s="54" t="s">
        <v>702</v>
      </c>
      <c r="J623" s="54" t="s">
        <v>703</v>
      </c>
      <c r="K623" s="54" t="s">
        <v>704</v>
      </c>
      <c r="L623" s="54" t="s">
        <v>236</v>
      </c>
      <c r="M623" s="58" t="s">
        <v>838</v>
      </c>
      <c r="N623" s="54" t="s">
        <v>238</v>
      </c>
      <c r="O623" s="59">
        <v>46125</v>
      </c>
      <c r="P623" s="74"/>
      <c r="Q623" s="57"/>
      <c r="R623" s="78"/>
      <c r="S623" s="78"/>
    </row>
    <row r="624" spans="2:19" s="62" customFormat="1" ht="30" customHeight="1" outlineLevel="1" x14ac:dyDescent="0.25">
      <c r="B624" s="53"/>
      <c r="C624" s="58">
        <v>666</v>
      </c>
      <c r="D624" s="54" t="s">
        <v>247</v>
      </c>
      <c r="E624" s="64" t="s">
        <v>854</v>
      </c>
      <c r="F624" s="64" t="s">
        <v>248</v>
      </c>
      <c r="G624" s="63">
        <v>1</v>
      </c>
      <c r="H624" s="57" t="s">
        <v>61</v>
      </c>
      <c r="I624" s="54" t="s">
        <v>528</v>
      </c>
      <c r="J624" s="54" t="s">
        <v>529</v>
      </c>
      <c r="K624" s="54" t="s">
        <v>530</v>
      </c>
      <c r="L624" s="54" t="s">
        <v>252</v>
      </c>
      <c r="M624" s="58" t="s">
        <v>531</v>
      </c>
      <c r="N624" s="54" t="s">
        <v>254</v>
      </c>
      <c r="O624" s="59">
        <v>46125</v>
      </c>
      <c r="P624" s="74"/>
      <c r="Q624" s="57"/>
      <c r="R624" s="78"/>
      <c r="S624" s="78"/>
    </row>
    <row r="625" spans="2:19" s="62" customFormat="1" ht="30" customHeight="1" outlineLevel="1" x14ac:dyDescent="0.25">
      <c r="B625" s="53"/>
      <c r="C625" s="58">
        <v>667</v>
      </c>
      <c r="D625" s="54" t="s">
        <v>255</v>
      </c>
      <c r="E625" s="64" t="s">
        <v>854</v>
      </c>
      <c r="F625" s="64" t="s">
        <v>256</v>
      </c>
      <c r="G625" s="63">
        <v>1</v>
      </c>
      <c r="H625" s="57" t="s">
        <v>61</v>
      </c>
      <c r="I625" s="54" t="s">
        <v>257</v>
      </c>
      <c r="J625" s="54" t="s">
        <v>258</v>
      </c>
      <c r="K625" s="54" t="s">
        <v>259</v>
      </c>
      <c r="L625" s="54" t="s">
        <v>260</v>
      </c>
      <c r="M625" s="58" t="s">
        <v>847</v>
      </c>
      <c r="N625" s="54" t="s">
        <v>262</v>
      </c>
      <c r="O625" s="59">
        <v>46125</v>
      </c>
      <c r="P625" s="74"/>
      <c r="Q625" s="57"/>
      <c r="R625" s="78"/>
      <c r="S625" s="78"/>
    </row>
    <row r="626" spans="2:19" s="62" customFormat="1" outlineLevel="1" x14ac:dyDescent="0.25">
      <c r="B626" s="53"/>
      <c r="C626" s="58">
        <v>668</v>
      </c>
      <c r="D626" s="54" t="s">
        <v>263</v>
      </c>
      <c r="E626" s="64" t="s">
        <v>854</v>
      </c>
      <c r="F626" s="64" t="s">
        <v>264</v>
      </c>
      <c r="G626" s="63">
        <v>2</v>
      </c>
      <c r="H626" s="57" t="s">
        <v>61</v>
      </c>
      <c r="I626" s="54" t="s">
        <v>265</v>
      </c>
      <c r="J626" s="54" t="s">
        <v>266</v>
      </c>
      <c r="K626" s="54" t="s">
        <v>267</v>
      </c>
      <c r="L626" s="54" t="s">
        <v>252</v>
      </c>
      <c r="M626" s="58" t="s">
        <v>268</v>
      </c>
      <c r="N626" s="54" t="s">
        <v>269</v>
      </c>
      <c r="O626" s="59">
        <v>46125</v>
      </c>
      <c r="P626" s="74"/>
      <c r="Q626" s="57"/>
      <c r="R626" s="78"/>
      <c r="S626" s="78"/>
    </row>
    <row r="627" spans="2:19" s="62" customFormat="1" outlineLevel="1" x14ac:dyDescent="0.25">
      <c r="B627" s="53"/>
      <c r="C627" s="58">
        <v>669</v>
      </c>
      <c r="D627" s="54" t="s">
        <v>651</v>
      </c>
      <c r="E627" s="64" t="s">
        <v>854</v>
      </c>
      <c r="F627" s="64" t="s">
        <v>652</v>
      </c>
      <c r="G627" s="63">
        <v>1</v>
      </c>
      <c r="H627" s="57" t="s">
        <v>111</v>
      </c>
      <c r="I627" s="54" t="s">
        <v>653</v>
      </c>
      <c r="J627" s="54" t="s">
        <v>654</v>
      </c>
      <c r="K627" s="54" t="s">
        <v>655</v>
      </c>
      <c r="L627" s="54" t="s">
        <v>656</v>
      </c>
      <c r="M627" s="58" t="s">
        <v>657</v>
      </c>
      <c r="N627" s="54" t="s">
        <v>658</v>
      </c>
      <c r="O627" s="59">
        <v>46125</v>
      </c>
      <c r="P627" s="74"/>
      <c r="Q627" s="57"/>
      <c r="R627" s="78"/>
      <c r="S627" s="78"/>
    </row>
    <row r="628" spans="2:19" s="62" customFormat="1" outlineLevel="1" x14ac:dyDescent="0.25">
      <c r="B628" s="53"/>
      <c r="C628" s="58">
        <v>670</v>
      </c>
      <c r="D628" s="54" t="s">
        <v>706</v>
      </c>
      <c r="E628" s="64" t="s">
        <v>854</v>
      </c>
      <c r="F628" s="64" t="s">
        <v>707</v>
      </c>
      <c r="G628" s="63">
        <v>1</v>
      </c>
      <c r="H628" s="57" t="s">
        <v>111</v>
      </c>
      <c r="I628" s="54" t="s">
        <v>708</v>
      </c>
      <c r="J628" s="54" t="s">
        <v>709</v>
      </c>
      <c r="K628" s="54" t="s">
        <v>710</v>
      </c>
      <c r="L628" s="54" t="s">
        <v>711</v>
      </c>
      <c r="M628" s="58" t="s">
        <v>712</v>
      </c>
      <c r="N628" s="54" t="s">
        <v>713</v>
      </c>
      <c r="O628" s="59">
        <v>46125</v>
      </c>
      <c r="P628" s="74"/>
      <c r="Q628" s="57"/>
      <c r="R628" s="78"/>
      <c r="S628" s="78"/>
    </row>
    <row r="629" spans="2:19" s="62" customFormat="1" outlineLevel="1" x14ac:dyDescent="0.25">
      <c r="B629" s="53"/>
      <c r="C629" s="58">
        <v>671</v>
      </c>
      <c r="D629" s="54" t="s">
        <v>310</v>
      </c>
      <c r="E629" s="64" t="s">
        <v>854</v>
      </c>
      <c r="F629" s="64" t="s">
        <v>311</v>
      </c>
      <c r="G629" s="63">
        <v>1</v>
      </c>
      <c r="H629" s="57" t="s">
        <v>152</v>
      </c>
      <c r="I629" s="54" t="s">
        <v>312</v>
      </c>
      <c r="J629" s="54" t="s">
        <v>313</v>
      </c>
      <c r="K629" s="54" t="s">
        <v>314</v>
      </c>
      <c r="L629" s="54" t="s">
        <v>315</v>
      </c>
      <c r="M629" s="58" t="s">
        <v>316</v>
      </c>
      <c r="N629" s="54" t="s">
        <v>317</v>
      </c>
      <c r="O629" s="59">
        <v>46125</v>
      </c>
      <c r="P629" s="74"/>
      <c r="Q629" s="57"/>
      <c r="R629" s="78"/>
      <c r="S629" s="78"/>
    </row>
    <row r="630" spans="2:19" s="62" customFormat="1" outlineLevel="1" x14ac:dyDescent="0.25">
      <c r="B630" s="53"/>
      <c r="C630" s="58">
        <v>672</v>
      </c>
      <c r="D630" s="54" t="s">
        <v>318</v>
      </c>
      <c r="E630" s="64" t="s">
        <v>854</v>
      </c>
      <c r="F630" s="64" t="s">
        <v>319</v>
      </c>
      <c r="G630" s="63">
        <v>1</v>
      </c>
      <c r="H630" s="57" t="s">
        <v>111</v>
      </c>
      <c r="I630" s="54" t="s">
        <v>320</v>
      </c>
      <c r="J630" s="54" t="s">
        <v>321</v>
      </c>
      <c r="K630" s="54" t="s">
        <v>322</v>
      </c>
      <c r="L630" s="54" t="s">
        <v>323</v>
      </c>
      <c r="M630" s="58" t="s">
        <v>324</v>
      </c>
      <c r="N630" s="54" t="s">
        <v>325</v>
      </c>
      <c r="O630" s="59">
        <v>46125</v>
      </c>
      <c r="P630" s="74"/>
      <c r="Q630" s="57"/>
      <c r="R630" s="78"/>
      <c r="S630" s="78"/>
    </row>
    <row r="631" spans="2:19" s="62" customFormat="1" outlineLevel="1" x14ac:dyDescent="0.25">
      <c r="B631" s="53"/>
      <c r="C631" s="58">
        <v>673</v>
      </c>
      <c r="D631" s="54" t="s">
        <v>326</v>
      </c>
      <c r="E631" s="64" t="s">
        <v>854</v>
      </c>
      <c r="F631" s="64" t="s">
        <v>327</v>
      </c>
      <c r="G631" s="63">
        <v>1</v>
      </c>
      <c r="H631" s="57" t="s">
        <v>152</v>
      </c>
      <c r="I631" s="54" t="s">
        <v>328</v>
      </c>
      <c r="J631" s="54" t="s">
        <v>329</v>
      </c>
      <c r="K631" s="54" t="s">
        <v>330</v>
      </c>
      <c r="L631" s="54" t="s">
        <v>331</v>
      </c>
      <c r="M631" s="58" t="s">
        <v>332</v>
      </c>
      <c r="N631" s="54" t="s">
        <v>333</v>
      </c>
      <c r="O631" s="59">
        <v>46125</v>
      </c>
      <c r="P631" s="74"/>
      <c r="Q631" s="57"/>
      <c r="R631" s="78"/>
      <c r="S631" s="78"/>
    </row>
    <row r="632" spans="2:19" s="62" customFormat="1" outlineLevel="1" x14ac:dyDescent="0.25">
      <c r="B632" s="53"/>
      <c r="C632" s="58">
        <v>674</v>
      </c>
      <c r="D632" s="54" t="s">
        <v>334</v>
      </c>
      <c r="E632" s="64" t="s">
        <v>854</v>
      </c>
      <c r="F632" s="64" t="s">
        <v>335</v>
      </c>
      <c r="G632" s="63">
        <v>1</v>
      </c>
      <c r="H632" s="57" t="s">
        <v>61</v>
      </c>
      <c r="I632" s="54" t="s">
        <v>336</v>
      </c>
      <c r="J632" s="54" t="s">
        <v>337</v>
      </c>
      <c r="K632" s="54" t="s">
        <v>338</v>
      </c>
      <c r="L632" s="54" t="s">
        <v>339</v>
      </c>
      <c r="M632" s="58" t="s">
        <v>543</v>
      </c>
      <c r="N632" s="54" t="s">
        <v>341</v>
      </c>
      <c r="O632" s="59">
        <v>46125</v>
      </c>
      <c r="P632" s="74"/>
      <c r="Q632" s="57"/>
      <c r="R632" s="78"/>
      <c r="S632" s="78"/>
    </row>
    <row r="633" spans="2:19" s="62" customFormat="1" outlineLevel="1" x14ac:dyDescent="0.25">
      <c r="B633" s="53"/>
      <c r="C633" s="58">
        <v>675</v>
      </c>
      <c r="D633" s="54" t="s">
        <v>342</v>
      </c>
      <c r="E633" s="64" t="s">
        <v>854</v>
      </c>
      <c r="F633" s="64" t="s">
        <v>343</v>
      </c>
      <c r="G633" s="63">
        <v>1</v>
      </c>
      <c r="H633" s="57" t="s">
        <v>24</v>
      </c>
      <c r="I633" s="54" t="s">
        <v>344</v>
      </c>
      <c r="J633" s="54" t="s">
        <v>345</v>
      </c>
      <c r="K633" s="54" t="s">
        <v>346</v>
      </c>
      <c r="L633" s="54" t="s">
        <v>347</v>
      </c>
      <c r="M633" s="58" t="s">
        <v>348</v>
      </c>
      <c r="N633" s="54" t="s">
        <v>349</v>
      </c>
      <c r="O633" s="59">
        <v>46125</v>
      </c>
      <c r="P633" s="74"/>
      <c r="Q633" s="57"/>
      <c r="R633" s="78"/>
      <c r="S633" s="78"/>
    </row>
    <row r="634" spans="2:19" s="62" customFormat="1" outlineLevel="1" x14ac:dyDescent="0.25">
      <c r="B634" s="53"/>
      <c r="C634" s="58">
        <v>676</v>
      </c>
      <c r="D634" s="54" t="s">
        <v>350</v>
      </c>
      <c r="E634" s="64" t="s">
        <v>854</v>
      </c>
      <c r="F634" s="64" t="s">
        <v>351</v>
      </c>
      <c r="G634" s="63">
        <v>1</v>
      </c>
      <c r="H634" s="57" t="s">
        <v>152</v>
      </c>
      <c r="I634" s="54" t="s">
        <v>352</v>
      </c>
      <c r="J634" s="54" t="s">
        <v>353</v>
      </c>
      <c r="K634" s="54" t="s">
        <v>354</v>
      </c>
      <c r="L634" s="54" t="s">
        <v>355</v>
      </c>
      <c r="M634" s="58" t="s">
        <v>355</v>
      </c>
      <c r="N634" s="54" t="s">
        <v>356</v>
      </c>
      <c r="O634" s="59">
        <v>46125</v>
      </c>
      <c r="P634" s="74"/>
      <c r="Q634" s="57"/>
      <c r="R634" s="78"/>
      <c r="S634" s="78"/>
    </row>
    <row r="635" spans="2:19" s="62" customFormat="1" outlineLevel="1" x14ac:dyDescent="0.25">
      <c r="B635" s="53"/>
      <c r="C635" s="58">
        <v>677</v>
      </c>
      <c r="D635" s="54" t="s">
        <v>802</v>
      </c>
      <c r="E635" s="64" t="s">
        <v>854</v>
      </c>
      <c r="F635" s="64" t="s">
        <v>803</v>
      </c>
      <c r="G635" s="63">
        <v>1</v>
      </c>
      <c r="H635" s="57" t="s">
        <v>804</v>
      </c>
      <c r="I635" s="54" t="s">
        <v>805</v>
      </c>
      <c r="J635" s="54" t="s">
        <v>806</v>
      </c>
      <c r="K635" s="53" t="s">
        <v>807</v>
      </c>
      <c r="L635" s="54" t="s">
        <v>808</v>
      </c>
      <c r="M635" s="58" t="s">
        <v>809</v>
      </c>
      <c r="N635" s="54" t="s">
        <v>810</v>
      </c>
      <c r="O635" s="59">
        <v>46125</v>
      </c>
      <c r="P635" s="74"/>
      <c r="Q635" s="57"/>
      <c r="R635" s="78"/>
      <c r="S635" s="78"/>
    </row>
    <row r="636" spans="2:19" s="62" customFormat="1" outlineLevel="1" x14ac:dyDescent="0.25">
      <c r="B636" s="53"/>
      <c r="C636" s="58">
        <v>678</v>
      </c>
      <c r="D636" s="54" t="s">
        <v>604</v>
      </c>
      <c r="E636" s="64" t="s">
        <v>854</v>
      </c>
      <c r="F636" s="64" t="s">
        <v>605</v>
      </c>
      <c r="G636" s="63">
        <v>1</v>
      </c>
      <c r="H636" s="57" t="s">
        <v>61</v>
      </c>
      <c r="I636" s="54" t="s">
        <v>606</v>
      </c>
      <c r="J636" s="54" t="s">
        <v>607</v>
      </c>
      <c r="K636" s="54" t="s">
        <v>608</v>
      </c>
      <c r="L636" s="54" t="s">
        <v>252</v>
      </c>
      <c r="M636" s="58" t="s">
        <v>609</v>
      </c>
      <c r="N636" s="54" t="s">
        <v>610</v>
      </c>
      <c r="O636" s="59">
        <v>46125</v>
      </c>
      <c r="P636" s="74"/>
      <c r="Q636" s="57"/>
      <c r="R636" s="78"/>
      <c r="S636" s="78"/>
    </row>
    <row r="637" spans="2:19" s="62" customFormat="1" outlineLevel="1" x14ac:dyDescent="0.25">
      <c r="B637" s="53"/>
      <c r="C637" s="58">
        <v>679</v>
      </c>
      <c r="D637" s="54" t="s">
        <v>375</v>
      </c>
      <c r="E637" s="64" t="s">
        <v>854</v>
      </c>
      <c r="F637" s="64" t="s">
        <v>376</v>
      </c>
      <c r="G637" s="63">
        <v>1</v>
      </c>
      <c r="H637" s="57" t="s">
        <v>111</v>
      </c>
      <c r="I637" s="54" t="s">
        <v>473</v>
      </c>
      <c r="J637" s="54" t="s">
        <v>878</v>
      </c>
      <c r="K637" s="54" t="s">
        <v>475</v>
      </c>
      <c r="L637" s="54" t="s">
        <v>380</v>
      </c>
      <c r="M637" s="58" t="s">
        <v>879</v>
      </c>
      <c r="N637" s="54" t="s">
        <v>382</v>
      </c>
      <c r="O637" s="59">
        <v>46125</v>
      </c>
      <c r="P637" s="74"/>
      <c r="Q637" s="57"/>
      <c r="R637" s="78"/>
      <c r="S637" s="78"/>
    </row>
    <row r="638" spans="2:19" s="62" customFormat="1" outlineLevel="1" x14ac:dyDescent="0.25">
      <c r="B638" s="53"/>
      <c r="C638" s="58">
        <v>680</v>
      </c>
      <c r="D638" s="54" t="s">
        <v>383</v>
      </c>
      <c r="E638" s="64" t="s">
        <v>854</v>
      </c>
      <c r="F638" s="64" t="s">
        <v>384</v>
      </c>
      <c r="G638" s="63">
        <v>1</v>
      </c>
      <c r="H638" s="57" t="s">
        <v>61</v>
      </c>
      <c r="I638" s="54" t="s">
        <v>385</v>
      </c>
      <c r="J638" s="54" t="s">
        <v>386</v>
      </c>
      <c r="K638" s="54" t="s">
        <v>387</v>
      </c>
      <c r="L638" s="54" t="s">
        <v>388</v>
      </c>
      <c r="M638" s="58" t="s">
        <v>389</v>
      </c>
      <c r="N638" s="54" t="s">
        <v>390</v>
      </c>
      <c r="O638" s="59">
        <v>46125</v>
      </c>
      <c r="P638" s="74"/>
      <c r="Q638" s="57"/>
      <c r="R638" s="78"/>
      <c r="S638" s="78"/>
    </row>
    <row r="639" spans="2:19" s="62" customFormat="1" outlineLevel="1" x14ac:dyDescent="0.25">
      <c r="B639" s="53"/>
      <c r="C639" s="58">
        <v>681</v>
      </c>
      <c r="D639" s="54" t="s">
        <v>399</v>
      </c>
      <c r="E639" s="64" t="s">
        <v>854</v>
      </c>
      <c r="F639" s="64" t="s">
        <v>400</v>
      </c>
      <c r="G639" s="63">
        <v>1</v>
      </c>
      <c r="H639" s="57" t="s">
        <v>152</v>
      </c>
      <c r="I639" s="54" t="s">
        <v>401</v>
      </c>
      <c r="J639" s="54" t="s">
        <v>402</v>
      </c>
      <c r="K639" s="54" t="s">
        <v>403</v>
      </c>
      <c r="L639" s="54" t="s">
        <v>404</v>
      </c>
      <c r="M639" s="58" t="s">
        <v>791</v>
      </c>
      <c r="N639" s="54" t="s">
        <v>406</v>
      </c>
      <c r="O639" s="59">
        <v>46125</v>
      </c>
      <c r="P639" s="74"/>
      <c r="Q639" s="57"/>
      <c r="R639" s="78"/>
      <c r="S639" s="78"/>
    </row>
    <row r="640" spans="2:19" s="62" customFormat="1" outlineLevel="1" x14ac:dyDescent="0.25">
      <c r="B640" s="53"/>
      <c r="C640" s="58">
        <v>662</v>
      </c>
      <c r="D640" s="54" t="s">
        <v>892</v>
      </c>
      <c r="E640" s="64" t="s">
        <v>854</v>
      </c>
      <c r="F640" s="64" t="s">
        <v>893</v>
      </c>
      <c r="G640" s="63">
        <v>1</v>
      </c>
      <c r="H640" s="57" t="s">
        <v>61</v>
      </c>
      <c r="I640" s="54" t="s">
        <v>894</v>
      </c>
      <c r="J640" s="54" t="s">
        <v>895</v>
      </c>
      <c r="K640" s="54" t="s">
        <v>896</v>
      </c>
      <c r="L640" s="58" t="s">
        <v>897</v>
      </c>
      <c r="M640" s="58" t="s">
        <v>897</v>
      </c>
      <c r="N640" s="54" t="s">
        <v>898</v>
      </c>
      <c r="O640" s="59">
        <v>46125</v>
      </c>
      <c r="P640" s="74"/>
      <c r="Q640" s="57"/>
      <c r="R640" s="78"/>
      <c r="S640" s="78"/>
    </row>
    <row r="641" spans="2:19" s="62" customFormat="1" outlineLevel="1" x14ac:dyDescent="0.25">
      <c r="B641" s="53"/>
      <c r="C641" s="58">
        <v>683</v>
      </c>
      <c r="D641" s="54" t="s">
        <v>424</v>
      </c>
      <c r="E641" s="64" t="s">
        <v>854</v>
      </c>
      <c r="F641" s="64" t="s">
        <v>425</v>
      </c>
      <c r="G641" s="63">
        <v>1</v>
      </c>
      <c r="H641" s="57" t="s">
        <v>111</v>
      </c>
      <c r="I641" s="54" t="s">
        <v>426</v>
      </c>
      <c r="J641" s="54" t="s">
        <v>427</v>
      </c>
      <c r="K641" s="54" t="s">
        <v>428</v>
      </c>
      <c r="L641" s="54" t="s">
        <v>429</v>
      </c>
      <c r="M641" s="58" t="s">
        <v>429</v>
      </c>
      <c r="N641" s="54" t="s">
        <v>430</v>
      </c>
      <c r="O641" s="59">
        <v>46125</v>
      </c>
      <c r="P641" s="74"/>
      <c r="Q641" s="57"/>
      <c r="R641" s="78"/>
      <c r="S641" s="78"/>
    </row>
    <row r="642" spans="2:19" s="62" customFormat="1" outlineLevel="1" x14ac:dyDescent="0.25">
      <c r="B642" s="53"/>
      <c r="C642" s="58">
        <v>684</v>
      </c>
      <c r="D642" s="54" t="s">
        <v>431</v>
      </c>
      <c r="E642" s="54" t="s">
        <v>854</v>
      </c>
      <c r="F642" s="64" t="s">
        <v>432</v>
      </c>
      <c r="G642" s="63">
        <v>1</v>
      </c>
      <c r="H642" s="57" t="s">
        <v>152</v>
      </c>
      <c r="I642" s="54" t="s">
        <v>678</v>
      </c>
      <c r="J642" s="54" t="s">
        <v>679</v>
      </c>
      <c r="K642" s="54" t="s">
        <v>680</v>
      </c>
      <c r="L642" s="54" t="s">
        <v>436</v>
      </c>
      <c r="M642" s="58" t="s">
        <v>681</v>
      </c>
      <c r="N642" s="54" t="s">
        <v>438</v>
      </c>
      <c r="O642" s="59">
        <v>46125</v>
      </c>
      <c r="P642" s="74"/>
      <c r="Q642" s="57"/>
      <c r="R642" s="78"/>
      <c r="S642" s="78"/>
    </row>
    <row r="643" spans="2:19" s="62" customFormat="1" outlineLevel="1" x14ac:dyDescent="0.25">
      <c r="B643" s="53"/>
      <c r="C643" s="58">
        <v>685</v>
      </c>
      <c r="D643" s="54" t="s">
        <v>447</v>
      </c>
      <c r="E643" s="64" t="s">
        <v>854</v>
      </c>
      <c r="F643" s="64" t="s">
        <v>448</v>
      </c>
      <c r="G643" s="63">
        <v>1</v>
      </c>
      <c r="H643" s="57" t="s">
        <v>24</v>
      </c>
      <c r="I643" s="54" t="s">
        <v>449</v>
      </c>
      <c r="J643" s="54" t="s">
        <v>450</v>
      </c>
      <c r="K643" s="54" t="s">
        <v>451</v>
      </c>
      <c r="L643" s="54" t="s">
        <v>452</v>
      </c>
      <c r="M643" s="58" t="s">
        <v>453</v>
      </c>
      <c r="N643" s="54" t="s">
        <v>454</v>
      </c>
      <c r="O643" s="59">
        <v>46125</v>
      </c>
      <c r="P643" s="74"/>
      <c r="Q643" s="57"/>
      <c r="R643" s="78"/>
      <c r="S643" s="78"/>
    </row>
    <row r="644" spans="2:19" s="62" customFormat="1" outlineLevel="1" x14ac:dyDescent="0.25">
      <c r="B644" s="53"/>
      <c r="C644" s="58">
        <v>686</v>
      </c>
      <c r="D644" s="54" t="s">
        <v>571</v>
      </c>
      <c r="E644" s="64" t="s">
        <v>854</v>
      </c>
      <c r="F644" s="64" t="s">
        <v>572</v>
      </c>
      <c r="G644" s="63">
        <v>1</v>
      </c>
      <c r="H644" s="57" t="s">
        <v>573</v>
      </c>
      <c r="I644" s="54" t="s">
        <v>574</v>
      </c>
      <c r="J644" s="54" t="s">
        <v>575</v>
      </c>
      <c r="K644" s="54" t="s">
        <v>576</v>
      </c>
      <c r="L644" s="54" t="s">
        <v>577</v>
      </c>
      <c r="M644" s="58" t="s">
        <v>578</v>
      </c>
      <c r="N644" s="54" t="s">
        <v>579</v>
      </c>
      <c r="O644" s="59">
        <v>46125</v>
      </c>
      <c r="P644" s="74"/>
      <c r="Q644" s="57"/>
      <c r="R644" s="78"/>
      <c r="S644" s="78"/>
    </row>
    <row r="645" spans="2:19" s="62" customFormat="1" outlineLevel="1" x14ac:dyDescent="0.25">
      <c r="B645" s="53"/>
      <c r="C645" s="58">
        <v>687</v>
      </c>
      <c r="D645" s="54" t="s">
        <v>463</v>
      </c>
      <c r="E645" s="64" t="s">
        <v>854</v>
      </c>
      <c r="F645" s="64" t="s">
        <v>464</v>
      </c>
      <c r="G645" s="63">
        <v>1</v>
      </c>
      <c r="H645" s="57" t="s">
        <v>152</v>
      </c>
      <c r="I645" s="54" t="s">
        <v>465</v>
      </c>
      <c r="J645" s="54" t="s">
        <v>466</v>
      </c>
      <c r="K645" s="54" t="s">
        <v>467</v>
      </c>
      <c r="L645" s="54" t="s">
        <v>468</v>
      </c>
      <c r="M645" s="58" t="s">
        <v>469</v>
      </c>
      <c r="N645" s="54" t="s">
        <v>470</v>
      </c>
      <c r="O645" s="59">
        <v>46125</v>
      </c>
      <c r="P645" s="74"/>
      <c r="Q645" s="57"/>
      <c r="R645" s="78"/>
      <c r="S645" s="78"/>
    </row>
    <row r="646" spans="2:19" s="62" customFormat="1" outlineLevel="1" x14ac:dyDescent="0.25">
      <c r="B646" s="53"/>
      <c r="C646" s="58">
        <v>688</v>
      </c>
      <c r="D646" s="54" t="s">
        <v>760</v>
      </c>
      <c r="E646" s="64" t="s">
        <v>854</v>
      </c>
      <c r="F646" s="64" t="s">
        <v>761</v>
      </c>
      <c r="G646" s="63">
        <v>1</v>
      </c>
      <c r="H646" s="57" t="s">
        <v>61</v>
      </c>
      <c r="I646" s="54" t="s">
        <v>762</v>
      </c>
      <c r="J646" s="54" t="s">
        <v>763</v>
      </c>
      <c r="K646" s="54" t="s">
        <v>764</v>
      </c>
      <c r="L646" s="54" t="s">
        <v>765</v>
      </c>
      <c r="M646" s="58" t="s">
        <v>765</v>
      </c>
      <c r="N646" s="54" t="s">
        <v>766</v>
      </c>
      <c r="O646" s="59">
        <v>46125</v>
      </c>
      <c r="P646" s="74"/>
      <c r="Q646" s="57"/>
      <c r="R646" s="78"/>
      <c r="S646" s="78"/>
    </row>
    <row r="647" spans="2:19" s="62" customFormat="1" outlineLevel="1" x14ac:dyDescent="0.25">
      <c r="B647" s="53"/>
      <c r="C647" s="58">
        <v>689</v>
      </c>
      <c r="D647" s="54" t="s">
        <v>471</v>
      </c>
      <c r="E647" s="64" t="s">
        <v>854</v>
      </c>
      <c r="F647" s="64" t="s">
        <v>472</v>
      </c>
      <c r="G647" s="63">
        <v>1</v>
      </c>
      <c r="H647" s="57" t="s">
        <v>111</v>
      </c>
      <c r="I647" s="54" t="s">
        <v>473</v>
      </c>
      <c r="J647" s="54" t="s">
        <v>474</v>
      </c>
      <c r="K647" s="54" t="s">
        <v>475</v>
      </c>
      <c r="L647" s="54" t="s">
        <v>476</v>
      </c>
      <c r="M647" s="58" t="s">
        <v>476</v>
      </c>
      <c r="N647" s="54" t="s">
        <v>477</v>
      </c>
      <c r="O647" s="59">
        <v>46125</v>
      </c>
      <c r="P647" s="74"/>
      <c r="Q647" s="57"/>
      <c r="R647" s="78"/>
      <c r="S647" s="78"/>
    </row>
    <row r="648" spans="2:19" s="62" customFormat="1" ht="30" customHeight="1" outlineLevel="1" x14ac:dyDescent="0.25">
      <c r="B648" s="53"/>
      <c r="C648" s="58">
        <v>690</v>
      </c>
      <c r="D648" s="54" t="s">
        <v>478</v>
      </c>
      <c r="E648" s="64" t="s">
        <v>854</v>
      </c>
      <c r="F648" s="64" t="s">
        <v>479</v>
      </c>
      <c r="G648" s="63">
        <v>1</v>
      </c>
      <c r="H648" s="57" t="s">
        <v>111</v>
      </c>
      <c r="I648" s="54" t="s">
        <v>480</v>
      </c>
      <c r="J648" s="54" t="s">
        <v>481</v>
      </c>
      <c r="K648" s="54" t="s">
        <v>482</v>
      </c>
      <c r="L648" s="54" t="s">
        <v>483</v>
      </c>
      <c r="M648" s="58" t="s">
        <v>634</v>
      </c>
      <c r="N648" s="54" t="s">
        <v>485</v>
      </c>
      <c r="O648" s="59">
        <v>46125</v>
      </c>
      <c r="P648" s="74"/>
      <c r="Q648" s="57"/>
      <c r="R648" s="78"/>
      <c r="S648" s="78"/>
    </row>
    <row r="649" spans="2:19" s="62" customFormat="1" outlineLevel="1" x14ac:dyDescent="0.25">
      <c r="B649" s="53"/>
      <c r="C649" s="58">
        <v>691</v>
      </c>
      <c r="D649" s="54" t="s">
        <v>611</v>
      </c>
      <c r="E649" s="64" t="s">
        <v>854</v>
      </c>
      <c r="F649" s="64" t="s">
        <v>612</v>
      </c>
      <c r="G649" s="63">
        <v>1</v>
      </c>
      <c r="H649" s="57" t="s">
        <v>24</v>
      </c>
      <c r="I649" s="54" t="s">
        <v>613</v>
      </c>
      <c r="J649" s="54" t="s">
        <v>614</v>
      </c>
      <c r="K649" s="54" t="s">
        <v>615</v>
      </c>
      <c r="L649" s="54" t="s">
        <v>616</v>
      </c>
      <c r="M649" s="58" t="s">
        <v>616</v>
      </c>
      <c r="N649" s="54" t="s">
        <v>617</v>
      </c>
      <c r="O649" s="59">
        <v>46125</v>
      </c>
      <c r="P649" s="74"/>
      <c r="Q649" s="57"/>
      <c r="R649" s="78"/>
      <c r="S649" s="78"/>
    </row>
    <row r="650" spans="2:19" s="62" customFormat="1" outlineLevel="1" x14ac:dyDescent="0.25">
      <c r="B650" s="53"/>
      <c r="C650" s="58">
        <v>692</v>
      </c>
      <c r="D650" s="54" t="s">
        <v>494</v>
      </c>
      <c r="E650" s="64" t="s">
        <v>854</v>
      </c>
      <c r="F650" s="64" t="s">
        <v>495</v>
      </c>
      <c r="G650" s="63">
        <v>1</v>
      </c>
      <c r="H650" s="57" t="s">
        <v>61</v>
      </c>
      <c r="I650" s="54" t="s">
        <v>496</v>
      </c>
      <c r="J650" s="54" t="s">
        <v>497</v>
      </c>
      <c r="K650" s="54" t="s">
        <v>498</v>
      </c>
      <c r="L650" s="54" t="s">
        <v>499</v>
      </c>
      <c r="M650" s="58" t="s">
        <v>500</v>
      </c>
      <c r="N650" s="54" t="s">
        <v>501</v>
      </c>
      <c r="O650" s="59">
        <v>46125</v>
      </c>
      <c r="P650" s="74"/>
      <c r="Q650" s="57"/>
      <c r="R650" s="78"/>
      <c r="S650" s="78"/>
    </row>
    <row r="651" spans="2:19" s="62" customFormat="1" outlineLevel="1" x14ac:dyDescent="0.25">
      <c r="B651" s="53"/>
      <c r="C651" s="58">
        <v>693</v>
      </c>
      <c r="D651" s="54" t="s">
        <v>502</v>
      </c>
      <c r="E651" s="64" t="s">
        <v>854</v>
      </c>
      <c r="F651" s="64" t="s">
        <v>503</v>
      </c>
      <c r="G651" s="63">
        <v>1</v>
      </c>
      <c r="H651" s="57" t="s">
        <v>61</v>
      </c>
      <c r="I651" s="54" t="s">
        <v>504</v>
      </c>
      <c r="J651" s="54" t="s">
        <v>505</v>
      </c>
      <c r="K651" s="54" t="s">
        <v>506</v>
      </c>
      <c r="L651" s="54" t="s">
        <v>283</v>
      </c>
      <c r="M651" s="58" t="s">
        <v>284</v>
      </c>
      <c r="N651" s="54" t="s">
        <v>507</v>
      </c>
      <c r="O651" s="59">
        <v>46125</v>
      </c>
      <c r="P651" s="74"/>
      <c r="Q651" s="57"/>
      <c r="R651" s="78"/>
      <c r="S651" s="78"/>
    </row>
    <row r="652" spans="2:19" s="62" customFormat="1" outlineLevel="1" x14ac:dyDescent="0.25">
      <c r="B652" s="53"/>
      <c r="C652" s="58">
        <v>694</v>
      </c>
      <c r="D652" s="54" t="s">
        <v>508</v>
      </c>
      <c r="E652" s="64" t="s">
        <v>854</v>
      </c>
      <c r="F652" s="64" t="s">
        <v>509</v>
      </c>
      <c r="G652" s="63">
        <v>1</v>
      </c>
      <c r="H652" s="57" t="s">
        <v>61</v>
      </c>
      <c r="I652" s="54" t="s">
        <v>510</v>
      </c>
      <c r="J652" s="54" t="s">
        <v>511</v>
      </c>
      <c r="K652" s="54" t="s">
        <v>512</v>
      </c>
      <c r="L652" s="54" t="s">
        <v>513</v>
      </c>
      <c r="M652" s="58" t="s">
        <v>514</v>
      </c>
      <c r="N652" s="54" t="s">
        <v>515</v>
      </c>
      <c r="O652" s="59">
        <v>46125</v>
      </c>
      <c r="P652" s="74"/>
      <c r="Q652" s="57"/>
      <c r="R652" s="61"/>
      <c r="S652" s="61"/>
    </row>
    <row r="653" spans="2:19" s="62" customFormat="1" outlineLevel="1" x14ac:dyDescent="0.25">
      <c r="B653" s="53"/>
      <c r="C653" s="58">
        <v>695</v>
      </c>
      <c r="D653" s="54" t="s">
        <v>516</v>
      </c>
      <c r="E653" s="64" t="s">
        <v>854</v>
      </c>
      <c r="F653" s="67" t="s">
        <v>517</v>
      </c>
      <c r="G653" s="63">
        <v>1</v>
      </c>
      <c r="H653" s="57" t="s">
        <v>61</v>
      </c>
      <c r="I653" s="54" t="s">
        <v>518</v>
      </c>
      <c r="J653" s="54" t="s">
        <v>519</v>
      </c>
      <c r="K653" s="54" t="s">
        <v>520</v>
      </c>
      <c r="L653" s="54" t="s">
        <v>521</v>
      </c>
      <c r="M653" s="58" t="s">
        <v>522</v>
      </c>
      <c r="N653" s="54" t="s">
        <v>523</v>
      </c>
      <c r="O653" s="59">
        <v>46125</v>
      </c>
      <c r="P653" s="74"/>
      <c r="Q653" s="57"/>
      <c r="R653" s="61"/>
      <c r="S653" s="61"/>
    </row>
    <row r="654" spans="2:19" s="62" customFormat="1" outlineLevel="1" x14ac:dyDescent="0.25">
      <c r="B654" s="53"/>
      <c r="C654" s="58">
        <v>696</v>
      </c>
      <c r="D654" s="54" t="s">
        <v>644</v>
      </c>
      <c r="E654" s="64" t="s">
        <v>854</v>
      </c>
      <c r="F654" s="64" t="s">
        <v>645</v>
      </c>
      <c r="G654" s="63">
        <v>3</v>
      </c>
      <c r="H654" s="57" t="s">
        <v>61</v>
      </c>
      <c r="I654" s="54" t="s">
        <v>646</v>
      </c>
      <c r="J654" s="54" t="s">
        <v>647</v>
      </c>
      <c r="K654" s="54" t="s">
        <v>648</v>
      </c>
      <c r="L654" s="54" t="s">
        <v>649</v>
      </c>
      <c r="M654" s="58" t="s">
        <v>650</v>
      </c>
      <c r="N654" s="54"/>
      <c r="O654" s="59">
        <v>46125</v>
      </c>
      <c r="P654" s="74"/>
      <c r="Q654" s="57"/>
      <c r="R654" s="61"/>
      <c r="S654" s="61"/>
    </row>
    <row r="655" spans="2:19" s="33" customFormat="1" ht="30" customHeight="1" x14ac:dyDescent="0.25">
      <c r="B655" s="42"/>
      <c r="C655" s="40"/>
      <c r="D655" s="43"/>
      <c r="E655" s="28" t="s">
        <v>525</v>
      </c>
      <c r="F655" s="52"/>
      <c r="G655" s="32">
        <f>SUM(G656:G710)</f>
        <v>94</v>
      </c>
      <c r="H655" s="42"/>
      <c r="I655" s="42"/>
      <c r="J655" s="42"/>
      <c r="K655" s="42"/>
      <c r="L655" s="42"/>
      <c r="M655" s="40"/>
      <c r="N655" s="42"/>
      <c r="O655" s="42"/>
      <c r="P655" s="42"/>
      <c r="Q655" s="42"/>
      <c r="R655" s="42"/>
      <c r="S655" s="42"/>
    </row>
    <row r="656" spans="2:19" s="62" customFormat="1" outlineLevel="1" x14ac:dyDescent="0.25">
      <c r="B656" s="53"/>
      <c r="C656" s="58">
        <v>697</v>
      </c>
      <c r="D656" s="54" t="s">
        <v>811</v>
      </c>
      <c r="E656" s="64" t="s">
        <v>525</v>
      </c>
      <c r="F656" s="64" t="s">
        <v>812</v>
      </c>
      <c r="G656" s="63">
        <v>4</v>
      </c>
      <c r="H656" s="57" t="s">
        <v>813</v>
      </c>
      <c r="I656" s="54" t="s">
        <v>814</v>
      </c>
      <c r="J656" s="54" t="s">
        <v>815</v>
      </c>
      <c r="K656" s="54" t="s">
        <v>816</v>
      </c>
      <c r="L656" s="54" t="s">
        <v>817</v>
      </c>
      <c r="M656" s="58" t="s">
        <v>1148</v>
      </c>
      <c r="N656" s="54" t="s">
        <v>819</v>
      </c>
      <c r="O656" s="59">
        <v>46153</v>
      </c>
      <c r="P656" s="74"/>
      <c r="Q656" s="57"/>
      <c r="R656" s="61"/>
      <c r="S656" s="78"/>
    </row>
    <row r="657" spans="2:19" s="62" customFormat="1" outlineLevel="1" x14ac:dyDescent="0.25">
      <c r="B657" s="53"/>
      <c r="C657" s="58">
        <v>698</v>
      </c>
      <c r="D657" s="54" t="s">
        <v>34</v>
      </c>
      <c r="E657" s="64" t="s">
        <v>525</v>
      </c>
      <c r="F657" s="64" t="s">
        <v>35</v>
      </c>
      <c r="G657" s="63">
        <v>3</v>
      </c>
      <c r="H657" s="57" t="s">
        <v>36</v>
      </c>
      <c r="I657" s="54" t="s">
        <v>37</v>
      </c>
      <c r="J657" s="54" t="s">
        <v>38</v>
      </c>
      <c r="K657" s="54" t="s">
        <v>39</v>
      </c>
      <c r="L657" s="54" t="s">
        <v>40</v>
      </c>
      <c r="M657" s="58" t="s">
        <v>553</v>
      </c>
      <c r="N657" s="54" t="s">
        <v>42</v>
      </c>
      <c r="O657" s="59">
        <v>46111</v>
      </c>
      <c r="P657" s="74"/>
      <c r="Q657" s="57"/>
      <c r="R657" s="78" t="s">
        <v>84</v>
      </c>
      <c r="S657" s="78"/>
    </row>
    <row r="658" spans="2:19" s="62" customFormat="1" outlineLevel="1" x14ac:dyDescent="0.25">
      <c r="B658" s="53"/>
      <c r="C658" s="58">
        <v>699</v>
      </c>
      <c r="D658" s="54" t="s">
        <v>43</v>
      </c>
      <c r="E658" s="64" t="s">
        <v>525</v>
      </c>
      <c r="F658" s="64" t="s">
        <v>44</v>
      </c>
      <c r="G658" s="63">
        <v>7</v>
      </c>
      <c r="H658" s="57" t="s">
        <v>24</v>
      </c>
      <c r="I658" s="54" t="s">
        <v>45</v>
      </c>
      <c r="J658" s="54" t="s">
        <v>46</v>
      </c>
      <c r="K658" s="54" t="s">
        <v>47</v>
      </c>
      <c r="L658" s="54" t="s">
        <v>48</v>
      </c>
      <c r="M658" s="58" t="s">
        <v>49</v>
      </c>
      <c r="N658" s="54" t="s">
        <v>50</v>
      </c>
      <c r="O658" s="59">
        <v>46111</v>
      </c>
      <c r="P658" s="74"/>
      <c r="Q658" s="57"/>
      <c r="R658" s="78" t="s">
        <v>84</v>
      </c>
      <c r="S658" s="78"/>
    </row>
    <row r="659" spans="2:19" s="62" customFormat="1" outlineLevel="1" x14ac:dyDescent="0.25">
      <c r="B659" s="53"/>
      <c r="C659" s="58">
        <v>700</v>
      </c>
      <c r="D659" s="54" t="s">
        <v>59</v>
      </c>
      <c r="E659" s="64" t="s">
        <v>525</v>
      </c>
      <c r="F659" s="64" t="s">
        <v>60</v>
      </c>
      <c r="G659" s="63">
        <v>1</v>
      </c>
      <c r="H659" s="57" t="s">
        <v>61</v>
      </c>
      <c r="I659" s="54" t="s">
        <v>62</v>
      </c>
      <c r="J659" s="54" t="s">
        <v>63</v>
      </c>
      <c r="K659" s="54" t="s">
        <v>64</v>
      </c>
      <c r="L659" s="54" t="s">
        <v>65</v>
      </c>
      <c r="M659" s="58" t="s">
        <v>66</v>
      </c>
      <c r="N659" s="54" t="s">
        <v>67</v>
      </c>
      <c r="O659" s="59">
        <v>46111</v>
      </c>
      <c r="P659" s="74"/>
      <c r="Q659" s="57"/>
      <c r="R659" s="78" t="s">
        <v>84</v>
      </c>
      <c r="S659" s="78"/>
    </row>
    <row r="660" spans="2:19" s="62" customFormat="1" outlineLevel="1" x14ac:dyDescent="0.25">
      <c r="B660" s="53"/>
      <c r="C660" s="58">
        <v>701</v>
      </c>
      <c r="D660" s="54" t="s">
        <v>75</v>
      </c>
      <c r="E660" s="64" t="s">
        <v>525</v>
      </c>
      <c r="F660" s="64" t="s">
        <v>76</v>
      </c>
      <c r="G660" s="63">
        <v>2</v>
      </c>
      <c r="H660" s="57" t="s">
        <v>77</v>
      </c>
      <c r="I660" s="54" t="s">
        <v>78</v>
      </c>
      <c r="J660" s="54" t="s">
        <v>79</v>
      </c>
      <c r="K660" s="54" t="s">
        <v>80</v>
      </c>
      <c r="L660" s="54" t="s">
        <v>81</v>
      </c>
      <c r="M660" s="58" t="s">
        <v>82</v>
      </c>
      <c r="N660" s="54" t="s">
        <v>83</v>
      </c>
      <c r="O660" s="59">
        <v>46111</v>
      </c>
      <c r="P660" s="74"/>
      <c r="Q660" s="57"/>
      <c r="R660" s="78" t="s">
        <v>84</v>
      </c>
      <c r="S660" s="78"/>
    </row>
    <row r="661" spans="2:19" s="62" customFormat="1" outlineLevel="1" x14ac:dyDescent="0.25">
      <c r="B661" s="53"/>
      <c r="C661" s="58">
        <v>702</v>
      </c>
      <c r="D661" s="54" t="s">
        <v>580</v>
      </c>
      <c r="E661" s="64" t="s">
        <v>525</v>
      </c>
      <c r="F661" s="64" t="s">
        <v>581</v>
      </c>
      <c r="G661" s="63">
        <v>2</v>
      </c>
      <c r="H661" s="57" t="s">
        <v>61</v>
      </c>
      <c r="I661" s="54" t="s">
        <v>582</v>
      </c>
      <c r="J661" s="54" t="s">
        <v>583</v>
      </c>
      <c r="K661" s="54" t="s">
        <v>584</v>
      </c>
      <c r="L661" s="54" t="s">
        <v>585</v>
      </c>
      <c r="M661" s="58" t="s">
        <v>586</v>
      </c>
      <c r="N661" s="54" t="s">
        <v>587</v>
      </c>
      <c r="O661" s="59">
        <v>46111</v>
      </c>
      <c r="P661" s="74"/>
      <c r="Q661" s="57"/>
      <c r="R661" s="78" t="s">
        <v>84</v>
      </c>
      <c r="S661" s="78"/>
    </row>
    <row r="662" spans="2:19" s="62" customFormat="1" outlineLevel="1" x14ac:dyDescent="0.25">
      <c r="B662" s="53"/>
      <c r="C662" s="58">
        <v>703</v>
      </c>
      <c r="D662" s="54" t="s">
        <v>94</v>
      </c>
      <c r="E662" s="64" t="s">
        <v>525</v>
      </c>
      <c r="F662" s="64" t="s">
        <v>95</v>
      </c>
      <c r="G662" s="63">
        <v>1</v>
      </c>
      <c r="H662" s="57" t="s">
        <v>36</v>
      </c>
      <c r="I662" s="54" t="s">
        <v>96</v>
      </c>
      <c r="J662" s="54" t="s">
        <v>97</v>
      </c>
      <c r="K662" s="54" t="s">
        <v>98</v>
      </c>
      <c r="L662" s="54" t="s">
        <v>99</v>
      </c>
      <c r="M662" s="58" t="s">
        <v>100</v>
      </c>
      <c r="N662" s="54" t="s">
        <v>101</v>
      </c>
      <c r="O662" s="59">
        <v>46111</v>
      </c>
      <c r="P662" s="74"/>
      <c r="Q662" s="57"/>
      <c r="R662" s="78" t="s">
        <v>84</v>
      </c>
      <c r="S662" s="78"/>
    </row>
    <row r="663" spans="2:19" s="62" customFormat="1" outlineLevel="1" x14ac:dyDescent="0.25">
      <c r="B663" s="53"/>
      <c r="C663" s="58">
        <v>704</v>
      </c>
      <c r="D663" s="54" t="s">
        <v>626</v>
      </c>
      <c r="E663" s="64" t="s">
        <v>525</v>
      </c>
      <c r="F663" s="64" t="s">
        <v>627</v>
      </c>
      <c r="G663" s="63">
        <v>1</v>
      </c>
      <c r="H663" s="57" t="s">
        <v>152</v>
      </c>
      <c r="I663" s="54" t="s">
        <v>628</v>
      </c>
      <c r="J663" s="54" t="s">
        <v>629</v>
      </c>
      <c r="K663" s="54" t="s">
        <v>630</v>
      </c>
      <c r="L663" s="54" t="s">
        <v>631</v>
      </c>
      <c r="M663" s="58" t="s">
        <v>632</v>
      </c>
      <c r="N663" s="54" t="s">
        <v>633</v>
      </c>
      <c r="O663" s="59">
        <v>46111</v>
      </c>
      <c r="P663" s="74"/>
      <c r="Q663" s="57"/>
      <c r="R663" s="78"/>
      <c r="S663" s="78"/>
    </row>
    <row r="664" spans="2:19" s="62" customFormat="1" outlineLevel="1" x14ac:dyDescent="0.25">
      <c r="B664" s="53"/>
      <c r="C664" s="58">
        <v>705</v>
      </c>
      <c r="D664" s="54" t="s">
        <v>102</v>
      </c>
      <c r="E664" s="64" t="s">
        <v>525</v>
      </c>
      <c r="F664" s="64" t="s">
        <v>103</v>
      </c>
      <c r="G664" s="63">
        <v>1</v>
      </c>
      <c r="H664" s="57" t="s">
        <v>61</v>
      </c>
      <c r="I664" s="54" t="s">
        <v>104</v>
      </c>
      <c r="J664" s="54" t="s">
        <v>105</v>
      </c>
      <c r="K664" s="54" t="s">
        <v>106</v>
      </c>
      <c r="L664" s="54" t="s">
        <v>107</v>
      </c>
      <c r="M664" s="58" t="s">
        <v>107</v>
      </c>
      <c r="N664" s="54" t="s">
        <v>108</v>
      </c>
      <c r="O664" s="59">
        <v>46111</v>
      </c>
      <c r="P664" s="74"/>
      <c r="Q664" s="57"/>
      <c r="R664" s="78" t="s">
        <v>84</v>
      </c>
      <c r="S664" s="78"/>
    </row>
    <row r="665" spans="2:19" s="62" customFormat="1" outlineLevel="1" x14ac:dyDescent="0.25">
      <c r="B665" s="53"/>
      <c r="C665" s="58">
        <v>706</v>
      </c>
      <c r="D665" s="54" t="s">
        <v>109</v>
      </c>
      <c r="E665" s="64" t="s">
        <v>525</v>
      </c>
      <c r="F665" s="64" t="s">
        <v>110</v>
      </c>
      <c r="G665" s="63">
        <v>1</v>
      </c>
      <c r="H665" s="57" t="s">
        <v>111</v>
      </c>
      <c r="I665" s="54" t="s">
        <v>112</v>
      </c>
      <c r="J665" s="54" t="s">
        <v>113</v>
      </c>
      <c r="K665" s="54" t="s">
        <v>114</v>
      </c>
      <c r="L665" s="54" t="s">
        <v>115</v>
      </c>
      <c r="M665" s="58" t="s">
        <v>115</v>
      </c>
      <c r="N665" s="54" t="s">
        <v>116</v>
      </c>
      <c r="O665" s="59">
        <v>46111</v>
      </c>
      <c r="P665" s="74"/>
      <c r="Q665" s="57"/>
      <c r="R665" s="78" t="s">
        <v>84</v>
      </c>
      <c r="S665" s="78"/>
    </row>
    <row r="666" spans="2:19" s="62" customFormat="1" outlineLevel="1" x14ac:dyDescent="0.25">
      <c r="B666" s="53"/>
      <c r="C666" s="58">
        <v>707</v>
      </c>
      <c r="D666" s="54" t="s">
        <v>117</v>
      </c>
      <c r="E666" s="64" t="s">
        <v>525</v>
      </c>
      <c r="F666" s="64" t="s">
        <v>118</v>
      </c>
      <c r="G666" s="63">
        <v>1</v>
      </c>
      <c r="H666" s="57" t="s">
        <v>24</v>
      </c>
      <c r="I666" s="54" t="s">
        <v>119</v>
      </c>
      <c r="J666" s="54" t="s">
        <v>120</v>
      </c>
      <c r="K666" s="54" t="s">
        <v>121</v>
      </c>
      <c r="L666" s="54" t="s">
        <v>122</v>
      </c>
      <c r="M666" s="58" t="s">
        <v>123</v>
      </c>
      <c r="N666" s="54" t="s">
        <v>124</v>
      </c>
      <c r="O666" s="59">
        <v>46111</v>
      </c>
      <c r="P666" s="74"/>
      <c r="Q666" s="57"/>
      <c r="R666" s="78" t="s">
        <v>84</v>
      </c>
      <c r="S666" s="78"/>
    </row>
    <row r="667" spans="2:19" s="62" customFormat="1" outlineLevel="1" x14ac:dyDescent="0.25">
      <c r="B667" s="53"/>
      <c r="C667" s="58">
        <v>708</v>
      </c>
      <c r="D667" s="54" t="s">
        <v>125</v>
      </c>
      <c r="E667" s="64" t="s">
        <v>525</v>
      </c>
      <c r="F667" s="64" t="s">
        <v>126</v>
      </c>
      <c r="G667" s="63">
        <v>1</v>
      </c>
      <c r="H667" s="57" t="s">
        <v>127</v>
      </c>
      <c r="I667" s="54" t="s">
        <v>128</v>
      </c>
      <c r="J667" s="54" t="s">
        <v>129</v>
      </c>
      <c r="K667" s="54" t="s">
        <v>130</v>
      </c>
      <c r="L667" s="54" t="s">
        <v>131</v>
      </c>
      <c r="M667" s="58" t="s">
        <v>132</v>
      </c>
      <c r="N667" s="54" t="s">
        <v>133</v>
      </c>
      <c r="O667" s="59">
        <v>46111</v>
      </c>
      <c r="P667" s="74"/>
      <c r="Q667" s="57"/>
      <c r="R667" s="78" t="s">
        <v>84</v>
      </c>
      <c r="S667" s="78"/>
    </row>
    <row r="668" spans="2:19" s="62" customFormat="1" outlineLevel="1" x14ac:dyDescent="0.25">
      <c r="B668" s="53"/>
      <c r="C668" s="58">
        <v>709</v>
      </c>
      <c r="D668" s="54" t="s">
        <v>618</v>
      </c>
      <c r="E668" s="64" t="s">
        <v>525</v>
      </c>
      <c r="F668" s="64" t="s">
        <v>619</v>
      </c>
      <c r="G668" s="63">
        <v>1</v>
      </c>
      <c r="H668" s="57" t="s">
        <v>61</v>
      </c>
      <c r="I668" s="54" t="s">
        <v>620</v>
      </c>
      <c r="J668" s="54" t="s">
        <v>621</v>
      </c>
      <c r="K668" s="54" t="s">
        <v>622</v>
      </c>
      <c r="L668" s="54" t="s">
        <v>623</v>
      </c>
      <c r="M668" s="58" t="s">
        <v>624</v>
      </c>
      <c r="N668" s="54" t="s">
        <v>625</v>
      </c>
      <c r="O668" s="59">
        <v>46111</v>
      </c>
      <c r="P668" s="74"/>
      <c r="Q668" s="57"/>
      <c r="R668" s="78" t="s">
        <v>84</v>
      </c>
      <c r="S668" s="78"/>
    </row>
    <row r="669" spans="2:19" s="62" customFormat="1" outlineLevel="1" x14ac:dyDescent="0.25">
      <c r="B669" s="53"/>
      <c r="C669" s="58">
        <v>710</v>
      </c>
      <c r="D669" s="54" t="s">
        <v>554</v>
      </c>
      <c r="E669" s="64" t="s">
        <v>525</v>
      </c>
      <c r="F669" s="64" t="s">
        <v>555</v>
      </c>
      <c r="G669" s="63">
        <v>1</v>
      </c>
      <c r="H669" s="57" t="s">
        <v>61</v>
      </c>
      <c r="I669" s="54" t="s">
        <v>556</v>
      </c>
      <c r="J669" s="54" t="s">
        <v>557</v>
      </c>
      <c r="K669" s="54" t="s">
        <v>558</v>
      </c>
      <c r="L669" s="54" t="s">
        <v>559</v>
      </c>
      <c r="M669" s="58" t="s">
        <v>560</v>
      </c>
      <c r="N669" s="54" t="s">
        <v>561</v>
      </c>
      <c r="O669" s="59">
        <v>46111</v>
      </c>
      <c r="P669" s="74"/>
      <c r="Q669" s="57"/>
      <c r="R669" s="78" t="s">
        <v>84</v>
      </c>
      <c r="S669" s="78"/>
    </row>
    <row r="670" spans="2:19" s="62" customFormat="1" outlineLevel="1" x14ac:dyDescent="0.25">
      <c r="B670" s="53"/>
      <c r="C670" s="58">
        <v>711</v>
      </c>
      <c r="D670" s="54" t="s">
        <v>536</v>
      </c>
      <c r="E670" s="64" t="s">
        <v>525</v>
      </c>
      <c r="F670" s="64" t="s">
        <v>537</v>
      </c>
      <c r="G670" s="63">
        <v>1</v>
      </c>
      <c r="H670" s="57" t="s">
        <v>111</v>
      </c>
      <c r="I670" s="54" t="s">
        <v>538</v>
      </c>
      <c r="J670" s="54" t="s">
        <v>539</v>
      </c>
      <c r="K670" s="54" t="s">
        <v>540</v>
      </c>
      <c r="L670" s="54" t="s">
        <v>541</v>
      </c>
      <c r="M670" s="58" t="s">
        <v>541</v>
      </c>
      <c r="N670" s="54" t="s">
        <v>542</v>
      </c>
      <c r="O670" s="59">
        <v>46111</v>
      </c>
      <c r="P670" s="74"/>
      <c r="Q670" s="57"/>
      <c r="R670" s="78" t="s">
        <v>84</v>
      </c>
      <c r="S670" s="78"/>
    </row>
    <row r="671" spans="2:19" s="62" customFormat="1" outlineLevel="1" x14ac:dyDescent="0.25">
      <c r="B671" s="53"/>
      <c r="C671" s="58">
        <v>712</v>
      </c>
      <c r="D671" s="54" t="s">
        <v>166</v>
      </c>
      <c r="E671" s="64" t="s">
        <v>525</v>
      </c>
      <c r="F671" s="64" t="s">
        <v>167</v>
      </c>
      <c r="G671" s="63">
        <v>2</v>
      </c>
      <c r="H671" s="57" t="s">
        <v>61</v>
      </c>
      <c r="I671" s="54" t="s">
        <v>168</v>
      </c>
      <c r="J671" s="54" t="s">
        <v>169</v>
      </c>
      <c r="K671" s="54" t="s">
        <v>170</v>
      </c>
      <c r="L671" s="54" t="s">
        <v>171</v>
      </c>
      <c r="M671" s="58" t="s">
        <v>172</v>
      </c>
      <c r="N671" s="54" t="s">
        <v>173</v>
      </c>
      <c r="O671" s="59">
        <v>46111</v>
      </c>
      <c r="P671" s="74"/>
      <c r="Q671" s="57"/>
      <c r="R671" s="78" t="s">
        <v>84</v>
      </c>
      <c r="S671" s="78"/>
    </row>
    <row r="672" spans="2:19" s="62" customFormat="1" outlineLevel="1" x14ac:dyDescent="0.25">
      <c r="B672" s="53"/>
      <c r="C672" s="58">
        <v>713</v>
      </c>
      <c r="D672" s="54" t="s">
        <v>174</v>
      </c>
      <c r="E672" s="64" t="s">
        <v>525</v>
      </c>
      <c r="F672" s="64" t="s">
        <v>175</v>
      </c>
      <c r="G672" s="63">
        <v>11</v>
      </c>
      <c r="H672" s="57" t="s">
        <v>152</v>
      </c>
      <c r="I672" s="54" t="s">
        <v>176</v>
      </c>
      <c r="J672" s="54" t="s">
        <v>177</v>
      </c>
      <c r="K672" s="54" t="s">
        <v>178</v>
      </c>
      <c r="L672" s="54" t="s">
        <v>179</v>
      </c>
      <c r="M672" s="58" t="s">
        <v>180</v>
      </c>
      <c r="N672" s="54" t="s">
        <v>181</v>
      </c>
      <c r="O672" s="59">
        <v>46111</v>
      </c>
      <c r="P672" s="74"/>
      <c r="Q672" s="57"/>
      <c r="R672" s="78" t="s">
        <v>84</v>
      </c>
      <c r="S672" s="78"/>
    </row>
    <row r="673" spans="2:19" s="62" customFormat="1" outlineLevel="1" x14ac:dyDescent="0.25">
      <c r="B673" s="53"/>
      <c r="C673" s="58">
        <v>714</v>
      </c>
      <c r="D673" s="54" t="s">
        <v>667</v>
      </c>
      <c r="E673" s="64" t="s">
        <v>525</v>
      </c>
      <c r="F673" s="64" t="s">
        <v>668</v>
      </c>
      <c r="G673" s="63">
        <v>1</v>
      </c>
      <c r="H673" s="57" t="s">
        <v>61</v>
      </c>
      <c r="I673" s="54" t="s">
        <v>669</v>
      </c>
      <c r="J673" s="54" t="s">
        <v>670</v>
      </c>
      <c r="K673" s="53" t="s">
        <v>671</v>
      </c>
      <c r="L673" s="54" t="s">
        <v>672</v>
      </c>
      <c r="M673" s="58" t="s">
        <v>672</v>
      </c>
      <c r="N673" s="54" t="s">
        <v>673</v>
      </c>
      <c r="O673" s="59">
        <v>46111</v>
      </c>
      <c r="P673" s="74"/>
      <c r="Q673" s="57"/>
      <c r="R673" s="78" t="s">
        <v>84</v>
      </c>
      <c r="S673" s="78"/>
    </row>
    <row r="674" spans="2:19" s="62" customFormat="1" outlineLevel="1" x14ac:dyDescent="0.25">
      <c r="B674" s="53"/>
      <c r="C674" s="58">
        <v>715</v>
      </c>
      <c r="D674" s="54" t="s">
        <v>182</v>
      </c>
      <c r="E674" s="64" t="s">
        <v>525</v>
      </c>
      <c r="F674" s="64" t="s">
        <v>183</v>
      </c>
      <c r="G674" s="63">
        <v>1</v>
      </c>
      <c r="H674" s="57" t="s">
        <v>111</v>
      </c>
      <c r="I674" s="54" t="s">
        <v>184</v>
      </c>
      <c r="J674" s="54" t="s">
        <v>185</v>
      </c>
      <c r="K674" s="54" t="s">
        <v>186</v>
      </c>
      <c r="L674" s="54" t="s">
        <v>187</v>
      </c>
      <c r="M674" s="58" t="s">
        <v>188</v>
      </c>
      <c r="N674" s="54" t="s">
        <v>189</v>
      </c>
      <c r="O674" s="59">
        <v>46111</v>
      </c>
      <c r="P674" s="74"/>
      <c r="Q674" s="57"/>
      <c r="R674" s="78" t="s">
        <v>84</v>
      </c>
      <c r="S674" s="78"/>
    </row>
    <row r="675" spans="2:19" s="62" customFormat="1" ht="144" customHeight="1" outlineLevel="1" x14ac:dyDescent="0.25">
      <c r="B675" s="53"/>
      <c r="C675" s="73" t="s">
        <v>688</v>
      </c>
      <c r="D675" s="54" t="s">
        <v>190</v>
      </c>
      <c r="E675" s="64" t="s">
        <v>525</v>
      </c>
      <c r="F675" s="64" t="s">
        <v>191</v>
      </c>
      <c r="G675" s="63">
        <v>10</v>
      </c>
      <c r="H675" s="57" t="s">
        <v>24</v>
      </c>
      <c r="I675" s="65" t="s">
        <v>689</v>
      </c>
      <c r="J675" s="65" t="s">
        <v>690</v>
      </c>
      <c r="K675" s="65" t="s">
        <v>691</v>
      </c>
      <c r="L675" s="54" t="s">
        <v>195</v>
      </c>
      <c r="M675" s="73" t="s">
        <v>692</v>
      </c>
      <c r="N675" s="54" t="s">
        <v>197</v>
      </c>
      <c r="O675" s="59">
        <v>46111</v>
      </c>
      <c r="P675" s="74"/>
      <c r="Q675" s="57"/>
      <c r="R675" s="78" t="s">
        <v>84</v>
      </c>
      <c r="S675" s="78"/>
    </row>
    <row r="676" spans="2:19" s="62" customFormat="1" outlineLevel="1" x14ac:dyDescent="0.25">
      <c r="B676" s="53"/>
      <c r="C676" s="58">
        <v>717</v>
      </c>
      <c r="D676" s="54" t="s">
        <v>198</v>
      </c>
      <c r="E676" s="64" t="s">
        <v>525</v>
      </c>
      <c r="F676" s="64" t="s">
        <v>199</v>
      </c>
      <c r="G676" s="63">
        <v>5</v>
      </c>
      <c r="H676" s="57" t="s">
        <v>200</v>
      </c>
      <c r="I676" s="54" t="s">
        <v>201</v>
      </c>
      <c r="J676" s="54" t="s">
        <v>202</v>
      </c>
      <c r="K676" s="54" t="s">
        <v>203</v>
      </c>
      <c r="L676" s="54" t="s">
        <v>204</v>
      </c>
      <c r="M676" s="58" t="s">
        <v>205</v>
      </c>
      <c r="N676" s="54" t="s">
        <v>206</v>
      </c>
      <c r="O676" s="59">
        <v>46111</v>
      </c>
      <c r="P676" s="74"/>
      <c r="Q676" s="57"/>
      <c r="R676" s="78" t="s">
        <v>84</v>
      </c>
      <c r="S676" s="78"/>
    </row>
    <row r="677" spans="2:19" s="62" customFormat="1" outlineLevel="1" x14ac:dyDescent="0.25">
      <c r="B677" s="53"/>
      <c r="C677" s="58">
        <v>718</v>
      </c>
      <c r="D677" s="54" t="s">
        <v>215</v>
      </c>
      <c r="E677" s="64" t="s">
        <v>525</v>
      </c>
      <c r="F677" s="64" t="s">
        <v>216</v>
      </c>
      <c r="G677" s="63">
        <v>1</v>
      </c>
      <c r="H677" s="57" t="s">
        <v>24</v>
      </c>
      <c r="I677" s="54" t="s">
        <v>217</v>
      </c>
      <c r="J677" s="54" t="s">
        <v>218</v>
      </c>
      <c r="K677" s="54" t="s">
        <v>219</v>
      </c>
      <c r="L677" s="54" t="s">
        <v>220</v>
      </c>
      <c r="M677" s="58" t="s">
        <v>221</v>
      </c>
      <c r="N677" s="54" t="s">
        <v>222</v>
      </c>
      <c r="O677" s="59">
        <v>46111</v>
      </c>
      <c r="P677" s="74"/>
      <c r="Q677" s="57"/>
      <c r="R677" s="78" t="s">
        <v>84</v>
      </c>
      <c r="S677" s="78"/>
    </row>
    <row r="678" spans="2:19" s="62" customFormat="1" outlineLevel="1" x14ac:dyDescent="0.25">
      <c r="B678" s="53"/>
      <c r="C678" s="58">
        <v>719</v>
      </c>
      <c r="D678" s="54" t="s">
        <v>223</v>
      </c>
      <c r="E678" s="64" t="s">
        <v>525</v>
      </c>
      <c r="F678" s="64" t="s">
        <v>224</v>
      </c>
      <c r="G678" s="63">
        <v>1</v>
      </c>
      <c r="H678" s="57" t="s">
        <v>61</v>
      </c>
      <c r="I678" s="54" t="s">
        <v>225</v>
      </c>
      <c r="J678" s="54" t="s">
        <v>226</v>
      </c>
      <c r="K678" s="54" t="s">
        <v>227</v>
      </c>
      <c r="L678" s="54" t="s">
        <v>228</v>
      </c>
      <c r="M678" s="58" t="s">
        <v>229</v>
      </c>
      <c r="N678" s="54" t="s">
        <v>230</v>
      </c>
      <c r="O678" s="59">
        <v>46111</v>
      </c>
      <c r="P678" s="74"/>
      <c r="Q678" s="57"/>
      <c r="R678" s="78" t="s">
        <v>84</v>
      </c>
      <c r="S678" s="78"/>
    </row>
    <row r="679" spans="2:19" s="62" customFormat="1" outlineLevel="1" x14ac:dyDescent="0.25">
      <c r="B679" s="53"/>
      <c r="C679" s="58">
        <v>720</v>
      </c>
      <c r="D679" s="54" t="s">
        <v>231</v>
      </c>
      <c r="E679" s="64" t="s">
        <v>525</v>
      </c>
      <c r="F679" s="64" t="s">
        <v>232</v>
      </c>
      <c r="G679" s="63">
        <v>1</v>
      </c>
      <c r="H679" s="57" t="s">
        <v>61</v>
      </c>
      <c r="I679" s="54" t="s">
        <v>697</v>
      </c>
      <c r="J679" s="54" t="s">
        <v>698</v>
      </c>
      <c r="K679" s="54" t="s">
        <v>699</v>
      </c>
      <c r="L679" s="54" t="s">
        <v>236</v>
      </c>
      <c r="M679" s="58" t="s">
        <v>700</v>
      </c>
      <c r="N679" s="54" t="s">
        <v>238</v>
      </c>
      <c r="O679" s="59">
        <v>46111</v>
      </c>
      <c r="P679" s="74"/>
      <c r="Q679" s="57"/>
      <c r="R679" s="78" t="s">
        <v>84</v>
      </c>
      <c r="S679" s="78"/>
    </row>
    <row r="680" spans="2:19" s="62" customFormat="1" outlineLevel="1" x14ac:dyDescent="0.25">
      <c r="B680" s="53"/>
      <c r="C680" s="58">
        <v>721</v>
      </c>
      <c r="D680" s="54" t="s">
        <v>239</v>
      </c>
      <c r="E680" s="64" t="s">
        <v>525</v>
      </c>
      <c r="F680" s="64" t="s">
        <v>240</v>
      </c>
      <c r="G680" s="63">
        <v>1</v>
      </c>
      <c r="H680" s="57" t="s">
        <v>24</v>
      </c>
      <c r="I680" s="54" t="s">
        <v>241</v>
      </c>
      <c r="J680" s="54" t="s">
        <v>242</v>
      </c>
      <c r="K680" s="54" t="s">
        <v>243</v>
      </c>
      <c r="L680" s="54" t="s">
        <v>244</v>
      </c>
      <c r="M680" s="58" t="s">
        <v>714</v>
      </c>
      <c r="N680" s="54" t="s">
        <v>246</v>
      </c>
      <c r="O680" s="59">
        <v>46111</v>
      </c>
      <c r="P680" s="74"/>
      <c r="Q680" s="57"/>
      <c r="R680" s="78" t="s">
        <v>84</v>
      </c>
      <c r="S680" s="78"/>
    </row>
    <row r="681" spans="2:19" s="62" customFormat="1" ht="30" customHeight="1" outlineLevel="1" x14ac:dyDescent="0.25">
      <c r="B681" s="53"/>
      <c r="C681" s="58">
        <v>722</v>
      </c>
      <c r="D681" s="54" t="s">
        <v>247</v>
      </c>
      <c r="E681" s="64" t="s">
        <v>525</v>
      </c>
      <c r="F681" s="64" t="s">
        <v>248</v>
      </c>
      <c r="G681" s="63">
        <v>1</v>
      </c>
      <c r="H681" s="57" t="s">
        <v>61</v>
      </c>
      <c r="I681" s="54" t="s">
        <v>528</v>
      </c>
      <c r="J681" s="54" t="s">
        <v>529</v>
      </c>
      <c r="K681" s="54" t="s">
        <v>530</v>
      </c>
      <c r="L681" s="54" t="s">
        <v>252</v>
      </c>
      <c r="M681" s="58" t="s">
        <v>531</v>
      </c>
      <c r="N681" s="54" t="s">
        <v>254</v>
      </c>
      <c r="O681" s="59">
        <v>46111</v>
      </c>
      <c r="P681" s="74"/>
      <c r="Q681" s="57"/>
      <c r="R681" s="78" t="s">
        <v>84</v>
      </c>
      <c r="S681" s="78"/>
    </row>
    <row r="682" spans="2:19" s="62" customFormat="1" outlineLevel="1" x14ac:dyDescent="0.25">
      <c r="B682" s="53"/>
      <c r="C682" s="58">
        <v>723</v>
      </c>
      <c r="D682" s="54" t="s">
        <v>651</v>
      </c>
      <c r="E682" s="64" t="s">
        <v>525</v>
      </c>
      <c r="F682" s="64" t="s">
        <v>652</v>
      </c>
      <c r="G682" s="63">
        <v>1</v>
      </c>
      <c r="H682" s="57" t="s">
        <v>111</v>
      </c>
      <c r="I682" s="54" t="s">
        <v>653</v>
      </c>
      <c r="J682" s="54" t="s">
        <v>654</v>
      </c>
      <c r="K682" s="54" t="s">
        <v>655</v>
      </c>
      <c r="L682" s="54" t="s">
        <v>656</v>
      </c>
      <c r="M682" s="58" t="s">
        <v>657</v>
      </c>
      <c r="N682" s="54" t="s">
        <v>658</v>
      </c>
      <c r="O682" s="59">
        <v>46111</v>
      </c>
      <c r="P682" s="74"/>
      <c r="Q682" s="57"/>
      <c r="R682" s="78" t="s">
        <v>84</v>
      </c>
      <c r="S682" s="78"/>
    </row>
    <row r="683" spans="2:19" s="62" customFormat="1" outlineLevel="1" x14ac:dyDescent="0.25">
      <c r="B683" s="53"/>
      <c r="C683" s="58">
        <v>724</v>
      </c>
      <c r="D683" s="54" t="s">
        <v>706</v>
      </c>
      <c r="E683" s="64" t="s">
        <v>525</v>
      </c>
      <c r="F683" s="64" t="s">
        <v>707</v>
      </c>
      <c r="G683" s="63">
        <v>1</v>
      </c>
      <c r="H683" s="57" t="s">
        <v>111</v>
      </c>
      <c r="I683" s="54" t="s">
        <v>708</v>
      </c>
      <c r="J683" s="54" t="s">
        <v>709</v>
      </c>
      <c r="K683" s="54" t="s">
        <v>710</v>
      </c>
      <c r="L683" s="54" t="s">
        <v>711</v>
      </c>
      <c r="M683" s="58" t="s">
        <v>712</v>
      </c>
      <c r="N683" s="54" t="s">
        <v>713</v>
      </c>
      <c r="O683" s="59">
        <v>46111</v>
      </c>
      <c r="P683" s="74"/>
      <c r="Q683" s="57"/>
      <c r="R683" s="78" t="s">
        <v>84</v>
      </c>
      <c r="S683" s="78"/>
    </row>
    <row r="684" spans="2:19" s="62" customFormat="1" outlineLevel="1" x14ac:dyDescent="0.25">
      <c r="B684" s="53"/>
      <c r="C684" s="58">
        <v>725</v>
      </c>
      <c r="D684" s="54" t="s">
        <v>278</v>
      </c>
      <c r="E684" s="64" t="s">
        <v>525</v>
      </c>
      <c r="F684" s="64" t="s">
        <v>279</v>
      </c>
      <c r="G684" s="63">
        <v>1</v>
      </c>
      <c r="H684" s="57" t="s">
        <v>61</v>
      </c>
      <c r="I684" s="54" t="s">
        <v>280</v>
      </c>
      <c r="J684" s="54" t="s">
        <v>281</v>
      </c>
      <c r="K684" s="54" t="s">
        <v>282</v>
      </c>
      <c r="L684" s="54" t="s">
        <v>283</v>
      </c>
      <c r="M684" s="58" t="s">
        <v>284</v>
      </c>
      <c r="N684" s="54" t="s">
        <v>285</v>
      </c>
      <c r="O684" s="59">
        <v>46111</v>
      </c>
      <c r="P684" s="74"/>
      <c r="Q684" s="57"/>
      <c r="R684" s="78" t="s">
        <v>84</v>
      </c>
      <c r="S684" s="78"/>
    </row>
    <row r="685" spans="2:19" s="62" customFormat="1" outlineLevel="1" x14ac:dyDescent="0.25">
      <c r="B685" s="53"/>
      <c r="C685" s="58">
        <v>726</v>
      </c>
      <c r="D685" s="54" t="s">
        <v>286</v>
      </c>
      <c r="E685" s="64" t="s">
        <v>525</v>
      </c>
      <c r="F685" s="64" t="s">
        <v>287</v>
      </c>
      <c r="G685" s="63">
        <v>1</v>
      </c>
      <c r="H685" s="57" t="s">
        <v>61</v>
      </c>
      <c r="I685" s="54" t="s">
        <v>288</v>
      </c>
      <c r="J685" s="54" t="s">
        <v>289</v>
      </c>
      <c r="K685" s="54" t="s">
        <v>290</v>
      </c>
      <c r="L685" s="54" t="s">
        <v>291</v>
      </c>
      <c r="M685" s="58" t="s">
        <v>292</v>
      </c>
      <c r="N685" s="54" t="s">
        <v>293</v>
      </c>
      <c r="O685" s="59">
        <v>46111</v>
      </c>
      <c r="P685" s="74"/>
      <c r="Q685" s="57"/>
      <c r="R685" s="78" t="s">
        <v>84</v>
      </c>
      <c r="S685" s="78"/>
    </row>
    <row r="686" spans="2:19" s="62" customFormat="1" outlineLevel="1" x14ac:dyDescent="0.25">
      <c r="B686" s="53"/>
      <c r="C686" s="58">
        <v>727</v>
      </c>
      <c r="D686" s="54" t="s">
        <v>302</v>
      </c>
      <c r="E686" s="64" t="s">
        <v>525</v>
      </c>
      <c r="F686" s="64" t="s">
        <v>303</v>
      </c>
      <c r="G686" s="63">
        <v>1</v>
      </c>
      <c r="H686" s="57" t="s">
        <v>61</v>
      </c>
      <c r="I686" s="54" t="s">
        <v>304</v>
      </c>
      <c r="J686" s="54" t="s">
        <v>305</v>
      </c>
      <c r="K686" s="54" t="s">
        <v>306</v>
      </c>
      <c r="L686" s="54" t="s">
        <v>307</v>
      </c>
      <c r="M686" s="58" t="s">
        <v>526</v>
      </c>
      <c r="N686" s="54" t="s">
        <v>309</v>
      </c>
      <c r="O686" s="59">
        <v>46111</v>
      </c>
      <c r="P686" s="74"/>
      <c r="Q686" s="57"/>
      <c r="R686" s="78" t="s">
        <v>84</v>
      </c>
      <c r="S686" s="78"/>
    </row>
    <row r="687" spans="2:19" s="62" customFormat="1" outlineLevel="1" x14ac:dyDescent="0.25">
      <c r="B687" s="53"/>
      <c r="C687" s="58">
        <v>728</v>
      </c>
      <c r="D687" s="54" t="s">
        <v>310</v>
      </c>
      <c r="E687" s="64" t="s">
        <v>525</v>
      </c>
      <c r="F687" s="64" t="s">
        <v>311</v>
      </c>
      <c r="G687" s="63">
        <v>1</v>
      </c>
      <c r="H687" s="57" t="s">
        <v>152</v>
      </c>
      <c r="I687" s="54" t="s">
        <v>312</v>
      </c>
      <c r="J687" s="54" t="s">
        <v>313</v>
      </c>
      <c r="K687" s="54" t="s">
        <v>314</v>
      </c>
      <c r="L687" s="54" t="s">
        <v>315</v>
      </c>
      <c r="M687" s="58" t="s">
        <v>316</v>
      </c>
      <c r="N687" s="54" t="s">
        <v>317</v>
      </c>
      <c r="O687" s="59">
        <v>46111</v>
      </c>
      <c r="P687" s="74"/>
      <c r="Q687" s="57"/>
      <c r="R687" s="78" t="s">
        <v>84</v>
      </c>
      <c r="S687" s="78"/>
    </row>
    <row r="688" spans="2:19" s="62" customFormat="1" outlineLevel="1" x14ac:dyDescent="0.25">
      <c r="B688" s="53"/>
      <c r="C688" s="58">
        <v>729</v>
      </c>
      <c r="D688" s="54" t="s">
        <v>334</v>
      </c>
      <c r="E688" s="64" t="s">
        <v>525</v>
      </c>
      <c r="F688" s="64" t="s">
        <v>335</v>
      </c>
      <c r="G688" s="63">
        <v>1</v>
      </c>
      <c r="H688" s="57" t="s">
        <v>61</v>
      </c>
      <c r="I688" s="54" t="s">
        <v>336</v>
      </c>
      <c r="J688" s="54" t="s">
        <v>337</v>
      </c>
      <c r="K688" s="54" t="s">
        <v>338</v>
      </c>
      <c r="L688" s="54" t="s">
        <v>339</v>
      </c>
      <c r="M688" s="58" t="s">
        <v>543</v>
      </c>
      <c r="N688" s="54" t="s">
        <v>341</v>
      </c>
      <c r="O688" s="59">
        <v>46111</v>
      </c>
      <c r="P688" s="74"/>
      <c r="Q688" s="57"/>
      <c r="R688" s="78" t="s">
        <v>84</v>
      </c>
      <c r="S688" s="78"/>
    </row>
    <row r="689" spans="2:19" s="62" customFormat="1" outlineLevel="1" x14ac:dyDescent="0.25">
      <c r="B689" s="53"/>
      <c r="C689" s="58">
        <v>730</v>
      </c>
      <c r="D689" s="54" t="s">
        <v>342</v>
      </c>
      <c r="E689" s="64" t="s">
        <v>525</v>
      </c>
      <c r="F689" s="64" t="s">
        <v>343</v>
      </c>
      <c r="G689" s="63">
        <v>1</v>
      </c>
      <c r="H689" s="57" t="s">
        <v>24</v>
      </c>
      <c r="I689" s="54" t="s">
        <v>344</v>
      </c>
      <c r="J689" s="54" t="s">
        <v>345</v>
      </c>
      <c r="K689" s="54" t="s">
        <v>346</v>
      </c>
      <c r="L689" s="54" t="s">
        <v>347</v>
      </c>
      <c r="M689" s="58" t="s">
        <v>348</v>
      </c>
      <c r="N689" s="54" t="s">
        <v>349</v>
      </c>
      <c r="O689" s="59">
        <v>46111</v>
      </c>
      <c r="P689" s="74"/>
      <c r="Q689" s="57"/>
      <c r="R689" s="78" t="s">
        <v>84</v>
      </c>
      <c r="S689" s="78"/>
    </row>
    <row r="690" spans="2:19" s="62" customFormat="1" outlineLevel="1" x14ac:dyDescent="0.25">
      <c r="B690" s="53"/>
      <c r="C690" s="58">
        <v>731</v>
      </c>
      <c r="D690" s="54" t="s">
        <v>350</v>
      </c>
      <c r="E690" s="64" t="s">
        <v>525</v>
      </c>
      <c r="F690" s="64" t="s">
        <v>351</v>
      </c>
      <c r="G690" s="63">
        <v>1</v>
      </c>
      <c r="H690" s="57" t="s">
        <v>152</v>
      </c>
      <c r="I690" s="54" t="s">
        <v>352</v>
      </c>
      <c r="J690" s="54" t="s">
        <v>353</v>
      </c>
      <c r="K690" s="54" t="s">
        <v>354</v>
      </c>
      <c r="L690" s="54" t="s">
        <v>355</v>
      </c>
      <c r="M690" s="58" t="s">
        <v>355</v>
      </c>
      <c r="N690" s="54" t="s">
        <v>356</v>
      </c>
      <c r="O690" s="59">
        <v>46111</v>
      </c>
      <c r="P690" s="74"/>
      <c r="Q690" s="57"/>
      <c r="R690" s="78" t="s">
        <v>84</v>
      </c>
      <c r="S690" s="78"/>
    </row>
    <row r="691" spans="2:19" s="62" customFormat="1" outlineLevel="1" x14ac:dyDescent="0.25">
      <c r="B691" s="53"/>
      <c r="C691" s="58">
        <v>732</v>
      </c>
      <c r="D691" s="54" t="s">
        <v>604</v>
      </c>
      <c r="E691" s="64" t="s">
        <v>525</v>
      </c>
      <c r="F691" s="64" t="s">
        <v>605</v>
      </c>
      <c r="G691" s="63">
        <v>1</v>
      </c>
      <c r="H691" s="57" t="s">
        <v>61</v>
      </c>
      <c r="I691" s="54" t="s">
        <v>606</v>
      </c>
      <c r="J691" s="54" t="s">
        <v>607</v>
      </c>
      <c r="K691" s="54" t="s">
        <v>608</v>
      </c>
      <c r="L691" s="54" t="s">
        <v>252</v>
      </c>
      <c r="M691" s="58" t="s">
        <v>609</v>
      </c>
      <c r="N691" s="54" t="s">
        <v>610</v>
      </c>
      <c r="O691" s="59">
        <v>46111</v>
      </c>
      <c r="P691" s="74"/>
      <c r="Q691" s="57"/>
      <c r="R691" s="78" t="s">
        <v>84</v>
      </c>
      <c r="S691" s="78"/>
    </row>
    <row r="692" spans="2:19" s="62" customFormat="1" outlineLevel="1" x14ac:dyDescent="0.25">
      <c r="B692" s="53"/>
      <c r="C692" s="58">
        <v>733</v>
      </c>
      <c r="D692" s="54" t="s">
        <v>375</v>
      </c>
      <c r="E692" s="64" t="s">
        <v>525</v>
      </c>
      <c r="F692" s="64" t="s">
        <v>376</v>
      </c>
      <c r="G692" s="63">
        <v>2</v>
      </c>
      <c r="H692" s="57" t="s">
        <v>111</v>
      </c>
      <c r="I692" s="54" t="s">
        <v>377</v>
      </c>
      <c r="J692" s="54" t="s">
        <v>378</v>
      </c>
      <c r="K692" s="54" t="s">
        <v>379</v>
      </c>
      <c r="L692" s="54" t="s">
        <v>380</v>
      </c>
      <c r="M692" s="58" t="s">
        <v>381</v>
      </c>
      <c r="N692" s="54" t="s">
        <v>382</v>
      </c>
      <c r="O692" s="59">
        <v>46111</v>
      </c>
      <c r="P692" s="74"/>
      <c r="Q692" s="57"/>
      <c r="R692" s="78" t="s">
        <v>84</v>
      </c>
      <c r="S692" s="78"/>
    </row>
    <row r="693" spans="2:19" s="62" customFormat="1" outlineLevel="1" x14ac:dyDescent="0.25">
      <c r="B693" s="53"/>
      <c r="C693" s="58">
        <v>734</v>
      </c>
      <c r="D693" s="54" t="s">
        <v>391</v>
      </c>
      <c r="E693" s="64" t="s">
        <v>525</v>
      </c>
      <c r="F693" s="64" t="s">
        <v>392</v>
      </c>
      <c r="G693" s="63">
        <v>1</v>
      </c>
      <c r="H693" s="57" t="s">
        <v>111</v>
      </c>
      <c r="I693" s="54" t="s">
        <v>393</v>
      </c>
      <c r="J693" s="54" t="s">
        <v>394</v>
      </c>
      <c r="K693" s="53" t="s">
        <v>395</v>
      </c>
      <c r="L693" s="54" t="s">
        <v>396</v>
      </c>
      <c r="M693" s="58" t="s">
        <v>397</v>
      </c>
      <c r="N693" s="54" t="s">
        <v>398</v>
      </c>
      <c r="O693" s="59">
        <v>46111</v>
      </c>
      <c r="P693" s="74"/>
      <c r="Q693" s="57"/>
      <c r="R693" s="78" t="s">
        <v>84</v>
      </c>
      <c r="S693" s="78"/>
    </row>
    <row r="694" spans="2:19" s="62" customFormat="1" outlineLevel="1" x14ac:dyDescent="0.25">
      <c r="B694" s="53"/>
      <c r="C694" s="58">
        <v>735</v>
      </c>
      <c r="D694" s="54" t="s">
        <v>415</v>
      </c>
      <c r="E694" s="64" t="s">
        <v>525</v>
      </c>
      <c r="F694" s="64" t="s">
        <v>416</v>
      </c>
      <c r="G694" s="63">
        <v>1</v>
      </c>
      <c r="H694" s="57" t="s">
        <v>417</v>
      </c>
      <c r="I694" s="54" t="s">
        <v>418</v>
      </c>
      <c r="J694" s="54" t="s">
        <v>419</v>
      </c>
      <c r="K694" s="54" t="s">
        <v>420</v>
      </c>
      <c r="L694" s="54" t="s">
        <v>421</v>
      </c>
      <c r="M694" s="58" t="s">
        <v>422</v>
      </c>
      <c r="N694" s="54" t="s">
        <v>423</v>
      </c>
      <c r="O694" s="59">
        <v>46111</v>
      </c>
      <c r="P694" s="74"/>
      <c r="Q694" s="57"/>
      <c r="R694" s="78" t="s">
        <v>84</v>
      </c>
      <c r="S694" s="78"/>
    </row>
    <row r="695" spans="2:19" s="62" customFormat="1" outlineLevel="1" x14ac:dyDescent="0.25">
      <c r="B695" s="53"/>
      <c r="C695" s="58">
        <v>736</v>
      </c>
      <c r="D695" s="54" t="s">
        <v>424</v>
      </c>
      <c r="E695" s="64" t="s">
        <v>525</v>
      </c>
      <c r="F695" s="64" t="s">
        <v>425</v>
      </c>
      <c r="G695" s="63">
        <v>1</v>
      </c>
      <c r="H695" s="57" t="s">
        <v>111</v>
      </c>
      <c r="I695" s="54" t="s">
        <v>426</v>
      </c>
      <c r="J695" s="54" t="s">
        <v>427</v>
      </c>
      <c r="K695" s="54" t="s">
        <v>428</v>
      </c>
      <c r="L695" s="54" t="s">
        <v>429</v>
      </c>
      <c r="M695" s="58" t="s">
        <v>429</v>
      </c>
      <c r="N695" s="54" t="s">
        <v>430</v>
      </c>
      <c r="O695" s="59">
        <v>46111</v>
      </c>
      <c r="P695" s="74"/>
      <c r="Q695" s="57"/>
      <c r="R695" s="78" t="s">
        <v>84</v>
      </c>
      <c r="S695" s="78"/>
    </row>
    <row r="696" spans="2:19" s="62" customFormat="1" ht="30" customHeight="1" outlineLevel="1" x14ac:dyDescent="0.25">
      <c r="B696" s="53"/>
      <c r="C696" s="58">
        <v>737</v>
      </c>
      <c r="D696" s="54" t="s">
        <v>431</v>
      </c>
      <c r="E696" s="54" t="s">
        <v>525</v>
      </c>
      <c r="F696" s="64" t="s">
        <v>432</v>
      </c>
      <c r="G696" s="63">
        <v>1</v>
      </c>
      <c r="H696" s="57" t="s">
        <v>152</v>
      </c>
      <c r="I696" s="54" t="s">
        <v>433</v>
      </c>
      <c r="J696" s="54" t="s">
        <v>434</v>
      </c>
      <c r="K696" s="54" t="s">
        <v>435</v>
      </c>
      <c r="L696" s="54" t="s">
        <v>436</v>
      </c>
      <c r="M696" s="58" t="s">
        <v>437</v>
      </c>
      <c r="N696" s="54" t="s">
        <v>438</v>
      </c>
      <c r="O696" s="59">
        <v>46111</v>
      </c>
      <c r="P696" s="74"/>
      <c r="Q696" s="57"/>
      <c r="R696" s="78" t="s">
        <v>84</v>
      </c>
      <c r="S696" s="78"/>
    </row>
    <row r="697" spans="2:19" s="62" customFormat="1" outlineLevel="1" x14ac:dyDescent="0.25">
      <c r="B697" s="53"/>
      <c r="C697" s="58">
        <v>738</v>
      </c>
      <c r="D697" s="54" t="s">
        <v>544</v>
      </c>
      <c r="E697" s="64" t="s">
        <v>525</v>
      </c>
      <c r="F697" s="64" t="s">
        <v>545</v>
      </c>
      <c r="G697" s="63">
        <v>2</v>
      </c>
      <c r="H697" s="57" t="s">
        <v>24</v>
      </c>
      <c r="I697" s="54" t="s">
        <v>546</v>
      </c>
      <c r="J697" s="54" t="s">
        <v>547</v>
      </c>
      <c r="K697" s="54" t="s">
        <v>548</v>
      </c>
      <c r="L697" s="54" t="s">
        <v>549</v>
      </c>
      <c r="M697" s="58" t="s">
        <v>550</v>
      </c>
      <c r="N697" s="54" t="s">
        <v>551</v>
      </c>
      <c r="O697" s="59">
        <v>46111</v>
      </c>
      <c r="P697" s="74"/>
      <c r="Q697" s="57"/>
      <c r="R697" s="78" t="s">
        <v>84</v>
      </c>
      <c r="S697" s="78"/>
    </row>
    <row r="698" spans="2:19" s="62" customFormat="1" outlineLevel="1" x14ac:dyDescent="0.25">
      <c r="B698" s="53"/>
      <c r="C698" s="58">
        <v>739</v>
      </c>
      <c r="D698" s="54" t="s">
        <v>447</v>
      </c>
      <c r="E698" s="64" t="s">
        <v>525</v>
      </c>
      <c r="F698" s="64" t="s">
        <v>448</v>
      </c>
      <c r="G698" s="63">
        <v>1</v>
      </c>
      <c r="H698" s="57" t="s">
        <v>24</v>
      </c>
      <c r="I698" s="54" t="s">
        <v>449</v>
      </c>
      <c r="J698" s="54" t="s">
        <v>450</v>
      </c>
      <c r="K698" s="54" t="s">
        <v>451</v>
      </c>
      <c r="L698" s="54" t="s">
        <v>452</v>
      </c>
      <c r="M698" s="58" t="s">
        <v>453</v>
      </c>
      <c r="N698" s="54" t="s">
        <v>454</v>
      </c>
      <c r="O698" s="59">
        <v>46111</v>
      </c>
      <c r="P698" s="74"/>
      <c r="Q698" s="57"/>
      <c r="R698" s="78" t="s">
        <v>84</v>
      </c>
      <c r="S698" s="78"/>
    </row>
    <row r="699" spans="2:19" s="62" customFormat="1" outlineLevel="1" x14ac:dyDescent="0.25">
      <c r="B699" s="53"/>
      <c r="C699" s="58">
        <v>740</v>
      </c>
      <c r="D699" s="54" t="s">
        <v>571</v>
      </c>
      <c r="E699" s="64" t="s">
        <v>525</v>
      </c>
      <c r="F699" s="64" t="s">
        <v>572</v>
      </c>
      <c r="G699" s="63">
        <v>1</v>
      </c>
      <c r="H699" s="57" t="s">
        <v>573</v>
      </c>
      <c r="I699" s="54" t="s">
        <v>574</v>
      </c>
      <c r="J699" s="54" t="s">
        <v>575</v>
      </c>
      <c r="K699" s="54" t="s">
        <v>576</v>
      </c>
      <c r="L699" s="54" t="s">
        <v>577</v>
      </c>
      <c r="M699" s="58" t="s">
        <v>578</v>
      </c>
      <c r="N699" s="54" t="s">
        <v>579</v>
      </c>
      <c r="O699" s="59">
        <v>46111</v>
      </c>
      <c r="P699" s="74"/>
      <c r="Q699" s="57"/>
      <c r="R699" s="78" t="s">
        <v>84</v>
      </c>
      <c r="S699" s="78"/>
    </row>
    <row r="700" spans="2:19" s="62" customFormat="1" outlineLevel="1" x14ac:dyDescent="0.25">
      <c r="B700" s="53"/>
      <c r="C700" s="58">
        <v>741</v>
      </c>
      <c r="D700" s="54" t="s">
        <v>455</v>
      </c>
      <c r="E700" s="64" t="s">
        <v>525</v>
      </c>
      <c r="F700" s="64" t="s">
        <v>456</v>
      </c>
      <c r="G700" s="63">
        <v>1</v>
      </c>
      <c r="H700" s="57" t="s">
        <v>111</v>
      </c>
      <c r="I700" s="54" t="s">
        <v>457</v>
      </c>
      <c r="J700" s="54" t="s">
        <v>458</v>
      </c>
      <c r="K700" s="54" t="s">
        <v>459</v>
      </c>
      <c r="L700" s="54" t="s">
        <v>460</v>
      </c>
      <c r="M700" s="58" t="s">
        <v>461</v>
      </c>
      <c r="N700" s="54" t="s">
        <v>462</v>
      </c>
      <c r="O700" s="59">
        <v>46111</v>
      </c>
      <c r="P700" s="74"/>
      <c r="Q700" s="57"/>
      <c r="R700" s="78" t="s">
        <v>84</v>
      </c>
      <c r="S700" s="78"/>
    </row>
    <row r="701" spans="2:19" s="62" customFormat="1" outlineLevel="1" x14ac:dyDescent="0.25">
      <c r="B701" s="53"/>
      <c r="C701" s="58">
        <v>742</v>
      </c>
      <c r="D701" s="54" t="s">
        <v>659</v>
      </c>
      <c r="E701" s="64" t="s">
        <v>525</v>
      </c>
      <c r="F701" s="64" t="s">
        <v>660</v>
      </c>
      <c r="G701" s="63">
        <v>1</v>
      </c>
      <c r="H701" s="57" t="s">
        <v>152</v>
      </c>
      <c r="I701" s="54" t="s">
        <v>661</v>
      </c>
      <c r="J701" s="54" t="s">
        <v>662</v>
      </c>
      <c r="K701" s="54" t="s">
        <v>663</v>
      </c>
      <c r="L701" s="54" t="s">
        <v>664</v>
      </c>
      <c r="M701" s="58" t="s">
        <v>665</v>
      </c>
      <c r="N701" s="54" t="s">
        <v>666</v>
      </c>
      <c r="O701" s="59">
        <v>46111</v>
      </c>
      <c r="P701" s="74"/>
      <c r="Q701" s="57"/>
      <c r="R701" s="78" t="s">
        <v>84</v>
      </c>
      <c r="S701" s="78"/>
    </row>
    <row r="702" spans="2:19" s="62" customFormat="1" outlineLevel="1" x14ac:dyDescent="0.25">
      <c r="B702" s="53"/>
      <c r="C702" s="58">
        <v>743</v>
      </c>
      <c r="D702" s="54" t="s">
        <v>471</v>
      </c>
      <c r="E702" s="64" t="s">
        <v>525</v>
      </c>
      <c r="F702" s="64" t="s">
        <v>472</v>
      </c>
      <c r="G702" s="63">
        <v>1</v>
      </c>
      <c r="H702" s="57" t="s">
        <v>111</v>
      </c>
      <c r="I702" s="54" t="s">
        <v>473</v>
      </c>
      <c r="J702" s="54" t="s">
        <v>474</v>
      </c>
      <c r="K702" s="54" t="s">
        <v>475</v>
      </c>
      <c r="L702" s="54" t="s">
        <v>476</v>
      </c>
      <c r="M702" s="58" t="s">
        <v>476</v>
      </c>
      <c r="N702" s="54" t="s">
        <v>477</v>
      </c>
      <c r="O702" s="59">
        <v>46111</v>
      </c>
      <c r="P702" s="74"/>
      <c r="Q702" s="57"/>
      <c r="R702" s="78" t="s">
        <v>84</v>
      </c>
      <c r="S702" s="78"/>
    </row>
    <row r="703" spans="2:19" s="62" customFormat="1" outlineLevel="1" x14ac:dyDescent="0.25">
      <c r="B703" s="53"/>
      <c r="C703" s="58">
        <v>744</v>
      </c>
      <c r="D703" s="54" t="s">
        <v>588</v>
      </c>
      <c r="E703" s="64" t="s">
        <v>525</v>
      </c>
      <c r="F703" s="64" t="s">
        <v>589</v>
      </c>
      <c r="G703" s="63">
        <v>1</v>
      </c>
      <c r="H703" s="57" t="s">
        <v>24</v>
      </c>
      <c r="I703" s="54" t="s">
        <v>590</v>
      </c>
      <c r="J703" s="54" t="s">
        <v>591</v>
      </c>
      <c r="K703" s="54" t="s">
        <v>592</v>
      </c>
      <c r="L703" s="54" t="s">
        <v>593</v>
      </c>
      <c r="M703" s="58" t="s">
        <v>594</v>
      </c>
      <c r="N703" s="54" t="s">
        <v>595</v>
      </c>
      <c r="O703" s="59">
        <v>46111</v>
      </c>
      <c r="P703" s="74"/>
      <c r="Q703" s="57"/>
      <c r="R703" s="78" t="s">
        <v>84</v>
      </c>
      <c r="S703" s="78"/>
    </row>
    <row r="704" spans="2:19" s="62" customFormat="1" ht="30" customHeight="1" outlineLevel="1" x14ac:dyDescent="0.25">
      <c r="B704" s="53"/>
      <c r="C704" s="58">
        <v>745</v>
      </c>
      <c r="D704" s="54" t="s">
        <v>478</v>
      </c>
      <c r="E704" s="64" t="s">
        <v>525</v>
      </c>
      <c r="F704" s="64" t="s">
        <v>479</v>
      </c>
      <c r="G704" s="63">
        <v>1</v>
      </c>
      <c r="H704" s="57" t="s">
        <v>111</v>
      </c>
      <c r="I704" s="54" t="s">
        <v>480</v>
      </c>
      <c r="J704" s="54" t="s">
        <v>481</v>
      </c>
      <c r="K704" s="54" t="s">
        <v>482</v>
      </c>
      <c r="L704" s="54" t="s">
        <v>483</v>
      </c>
      <c r="M704" s="58" t="s">
        <v>634</v>
      </c>
      <c r="N704" s="54" t="s">
        <v>485</v>
      </c>
      <c r="O704" s="59">
        <v>46111</v>
      </c>
      <c r="P704" s="74"/>
      <c r="Q704" s="57"/>
      <c r="R704" s="78" t="s">
        <v>84</v>
      </c>
      <c r="S704" s="78"/>
    </row>
    <row r="705" spans="2:19" s="62" customFormat="1" outlineLevel="1" x14ac:dyDescent="0.25">
      <c r="B705" s="53"/>
      <c r="C705" s="58">
        <v>746</v>
      </c>
      <c r="D705" s="54" t="s">
        <v>486</v>
      </c>
      <c r="E705" s="64" t="s">
        <v>525</v>
      </c>
      <c r="F705" s="64" t="s">
        <v>487</v>
      </c>
      <c r="G705" s="63">
        <v>1</v>
      </c>
      <c r="H705" s="57" t="s">
        <v>152</v>
      </c>
      <c r="I705" s="54" t="s">
        <v>488</v>
      </c>
      <c r="J705" s="54" t="s">
        <v>489</v>
      </c>
      <c r="K705" s="54" t="s">
        <v>490</v>
      </c>
      <c r="L705" s="54" t="s">
        <v>491</v>
      </c>
      <c r="M705" s="58" t="s">
        <v>492</v>
      </c>
      <c r="N705" s="54" t="s">
        <v>493</v>
      </c>
      <c r="O705" s="59">
        <v>46111</v>
      </c>
      <c r="P705" s="74"/>
      <c r="Q705" s="57"/>
      <c r="R705" s="78" t="s">
        <v>84</v>
      </c>
      <c r="S705" s="78"/>
    </row>
    <row r="706" spans="2:19" s="62" customFormat="1" outlineLevel="1" x14ac:dyDescent="0.25">
      <c r="B706" s="53"/>
      <c r="C706" s="58">
        <v>747</v>
      </c>
      <c r="D706" s="54" t="s">
        <v>611</v>
      </c>
      <c r="E706" s="64" t="s">
        <v>525</v>
      </c>
      <c r="F706" s="64" t="s">
        <v>612</v>
      </c>
      <c r="G706" s="63">
        <v>1</v>
      </c>
      <c r="H706" s="57" t="s">
        <v>24</v>
      </c>
      <c r="I706" s="54" t="s">
        <v>613</v>
      </c>
      <c r="J706" s="54" t="s">
        <v>614</v>
      </c>
      <c r="K706" s="54" t="s">
        <v>615</v>
      </c>
      <c r="L706" s="54" t="s">
        <v>616</v>
      </c>
      <c r="M706" s="58" t="s">
        <v>616</v>
      </c>
      <c r="N706" s="54" t="s">
        <v>617</v>
      </c>
      <c r="O706" s="59">
        <v>46111</v>
      </c>
      <c r="P706" s="74"/>
      <c r="Q706" s="57"/>
      <c r="R706" s="78" t="s">
        <v>84</v>
      </c>
      <c r="S706" s="78"/>
    </row>
    <row r="707" spans="2:19" s="62" customFormat="1" outlineLevel="1" x14ac:dyDescent="0.25">
      <c r="B707" s="53"/>
      <c r="C707" s="58">
        <v>748</v>
      </c>
      <c r="D707" s="54" t="s">
        <v>494</v>
      </c>
      <c r="E707" s="64" t="s">
        <v>525</v>
      </c>
      <c r="F707" s="64" t="s">
        <v>495</v>
      </c>
      <c r="G707" s="63">
        <v>1</v>
      </c>
      <c r="H707" s="57" t="s">
        <v>61</v>
      </c>
      <c r="I707" s="54" t="s">
        <v>496</v>
      </c>
      <c r="J707" s="54" t="s">
        <v>497</v>
      </c>
      <c r="K707" s="54" t="s">
        <v>498</v>
      </c>
      <c r="L707" s="54" t="s">
        <v>499</v>
      </c>
      <c r="M707" s="58" t="s">
        <v>500</v>
      </c>
      <c r="N707" s="54" t="s">
        <v>501</v>
      </c>
      <c r="O707" s="59">
        <v>46111</v>
      </c>
      <c r="P707" s="74"/>
      <c r="Q707" s="57"/>
      <c r="R707" s="78" t="s">
        <v>84</v>
      </c>
      <c r="S707" s="78"/>
    </row>
    <row r="708" spans="2:19" s="62" customFormat="1" outlineLevel="1" x14ac:dyDescent="0.25">
      <c r="B708" s="53"/>
      <c r="C708" s="58">
        <v>749</v>
      </c>
      <c r="D708" s="54" t="s">
        <v>502</v>
      </c>
      <c r="E708" s="64" t="s">
        <v>525</v>
      </c>
      <c r="F708" s="64" t="s">
        <v>503</v>
      </c>
      <c r="G708" s="63">
        <v>1</v>
      </c>
      <c r="H708" s="57" t="s">
        <v>61</v>
      </c>
      <c r="I708" s="54" t="s">
        <v>504</v>
      </c>
      <c r="J708" s="54" t="s">
        <v>505</v>
      </c>
      <c r="K708" s="54" t="s">
        <v>506</v>
      </c>
      <c r="L708" s="54" t="s">
        <v>283</v>
      </c>
      <c r="M708" s="58" t="s">
        <v>284</v>
      </c>
      <c r="N708" s="54" t="s">
        <v>507</v>
      </c>
      <c r="O708" s="59">
        <v>46111</v>
      </c>
      <c r="P708" s="74"/>
      <c r="Q708" s="57"/>
      <c r="R708" s="78" t="s">
        <v>84</v>
      </c>
      <c r="S708" s="78"/>
    </row>
    <row r="709" spans="2:19" s="62" customFormat="1" outlineLevel="1" x14ac:dyDescent="0.25">
      <c r="B709" s="53"/>
      <c r="C709" s="58">
        <v>750</v>
      </c>
      <c r="D709" s="54" t="s">
        <v>508</v>
      </c>
      <c r="E709" s="64" t="s">
        <v>525</v>
      </c>
      <c r="F709" s="64" t="s">
        <v>509</v>
      </c>
      <c r="G709" s="63">
        <v>1</v>
      </c>
      <c r="H709" s="57" t="s">
        <v>61</v>
      </c>
      <c r="I709" s="54" t="s">
        <v>510</v>
      </c>
      <c r="J709" s="54" t="s">
        <v>511</v>
      </c>
      <c r="K709" s="54" t="s">
        <v>512</v>
      </c>
      <c r="L709" s="54" t="s">
        <v>513</v>
      </c>
      <c r="M709" s="58" t="s">
        <v>514</v>
      </c>
      <c r="N709" s="54" t="s">
        <v>515</v>
      </c>
      <c r="O709" s="59">
        <v>46111</v>
      </c>
      <c r="P709" s="74"/>
      <c r="Q709" s="57"/>
      <c r="R709" s="78" t="s">
        <v>84</v>
      </c>
      <c r="S709" s="78"/>
    </row>
    <row r="710" spans="2:19" s="62" customFormat="1" outlineLevel="1" x14ac:dyDescent="0.25">
      <c r="B710" s="53"/>
      <c r="C710" s="58">
        <v>751</v>
      </c>
      <c r="D710" s="54" t="s">
        <v>644</v>
      </c>
      <c r="E710" s="64" t="s">
        <v>525</v>
      </c>
      <c r="F710" s="64" t="s">
        <v>645</v>
      </c>
      <c r="G710" s="63">
        <v>1</v>
      </c>
      <c r="H710" s="57" t="s">
        <v>61</v>
      </c>
      <c r="I710" s="54" t="s">
        <v>646</v>
      </c>
      <c r="J710" s="54" t="s">
        <v>647</v>
      </c>
      <c r="K710" s="80" t="s">
        <v>648</v>
      </c>
      <c r="L710" s="54" t="s">
        <v>649</v>
      </c>
      <c r="M710" s="58" t="s">
        <v>650</v>
      </c>
      <c r="N710" s="54"/>
      <c r="O710" s="59">
        <v>46111</v>
      </c>
      <c r="P710" s="74"/>
      <c r="Q710" s="57"/>
      <c r="R710" s="78" t="s">
        <v>84</v>
      </c>
      <c r="S710" s="78"/>
    </row>
    <row r="711" spans="2:19" s="33" customFormat="1" x14ac:dyDescent="0.25">
      <c r="B711" s="42"/>
      <c r="C711" s="40"/>
      <c r="D711" s="43"/>
      <c r="E711" s="28" t="s">
        <v>767</v>
      </c>
      <c r="F711" s="52"/>
      <c r="G711" s="32">
        <f>SUM(G712:G750)</f>
        <v>47</v>
      </c>
      <c r="H711" s="42"/>
      <c r="I711" s="42"/>
      <c r="J711" s="42"/>
      <c r="K711" s="42"/>
      <c r="L711" s="42"/>
      <c r="M711" s="40"/>
      <c r="N711" s="42"/>
      <c r="O711" s="42"/>
      <c r="P711" s="42"/>
      <c r="Q711" s="42"/>
      <c r="R711" s="42"/>
      <c r="S711" s="42"/>
    </row>
    <row r="712" spans="2:19" s="62" customFormat="1" outlineLevel="1" x14ac:dyDescent="0.25">
      <c r="B712" s="53"/>
      <c r="C712" s="58">
        <v>752</v>
      </c>
      <c r="D712" s="54" t="s">
        <v>21</v>
      </c>
      <c r="E712" s="64" t="s">
        <v>767</v>
      </c>
      <c r="F712" s="64" t="s">
        <v>22</v>
      </c>
      <c r="G712" s="63">
        <v>1</v>
      </c>
      <c r="H712" s="57" t="s">
        <v>24</v>
      </c>
      <c r="I712" s="54" t="s">
        <v>25</v>
      </c>
      <c r="J712" s="54" t="s">
        <v>26</v>
      </c>
      <c r="K712" s="54" t="s">
        <v>27</v>
      </c>
      <c r="L712" s="54" t="s">
        <v>28</v>
      </c>
      <c r="M712" s="58" t="s">
        <v>29</v>
      </c>
      <c r="N712" s="54" t="s">
        <v>30</v>
      </c>
      <c r="O712" s="59">
        <v>46119</v>
      </c>
      <c r="P712" s="74"/>
      <c r="Q712" s="57"/>
      <c r="R712" s="61"/>
      <c r="S712" s="61"/>
    </row>
    <row r="713" spans="2:19" s="62" customFormat="1" outlineLevel="1" x14ac:dyDescent="0.25">
      <c r="B713" s="53"/>
      <c r="C713" s="58">
        <v>753</v>
      </c>
      <c r="D713" s="54" t="s">
        <v>811</v>
      </c>
      <c r="E713" s="64" t="s">
        <v>767</v>
      </c>
      <c r="F713" s="64" t="s">
        <v>812</v>
      </c>
      <c r="G713" s="63">
        <v>3</v>
      </c>
      <c r="H713" s="57" t="s">
        <v>813</v>
      </c>
      <c r="I713" s="54" t="s">
        <v>814</v>
      </c>
      <c r="J713" s="54" t="s">
        <v>815</v>
      </c>
      <c r="K713" s="54" t="s">
        <v>816</v>
      </c>
      <c r="L713" s="54" t="s">
        <v>817</v>
      </c>
      <c r="M713" s="58" t="s">
        <v>818</v>
      </c>
      <c r="N713" s="54" t="s">
        <v>819</v>
      </c>
      <c r="O713" s="59">
        <v>46119</v>
      </c>
      <c r="P713" s="74"/>
      <c r="Q713" s="57"/>
      <c r="R713" s="61"/>
      <c r="S713" s="61"/>
    </row>
    <row r="714" spans="2:19" s="62" customFormat="1" outlineLevel="1" x14ac:dyDescent="0.25">
      <c r="B714" s="53"/>
      <c r="C714" s="58">
        <v>754</v>
      </c>
      <c r="D714" s="54" t="s">
        <v>59</v>
      </c>
      <c r="E714" s="64" t="s">
        <v>767</v>
      </c>
      <c r="F714" s="64" t="s">
        <v>60</v>
      </c>
      <c r="G714" s="63">
        <v>1</v>
      </c>
      <c r="H714" s="57" t="s">
        <v>61</v>
      </c>
      <c r="I714" s="54" t="s">
        <v>62</v>
      </c>
      <c r="J714" s="54" t="s">
        <v>63</v>
      </c>
      <c r="K714" s="54" t="s">
        <v>64</v>
      </c>
      <c r="L714" s="54" t="s">
        <v>65</v>
      </c>
      <c r="M714" s="58" t="s">
        <v>66</v>
      </c>
      <c r="N714" s="54" t="s">
        <v>67</v>
      </c>
      <c r="O714" s="59">
        <v>46119</v>
      </c>
      <c r="P714" s="74"/>
      <c r="Q714" s="57"/>
      <c r="R714" s="61"/>
      <c r="S714" s="61"/>
    </row>
    <row r="715" spans="2:19" s="62" customFormat="1" outlineLevel="1" x14ac:dyDescent="0.25">
      <c r="B715" s="53"/>
      <c r="C715" s="58">
        <v>755</v>
      </c>
      <c r="D715" s="54" t="s">
        <v>68</v>
      </c>
      <c r="E715" s="64" t="s">
        <v>767</v>
      </c>
      <c r="F715" s="64" t="s">
        <v>69</v>
      </c>
      <c r="G715" s="63">
        <v>1</v>
      </c>
      <c r="H715" s="57" t="s">
        <v>61</v>
      </c>
      <c r="I715" s="54" t="s">
        <v>70</v>
      </c>
      <c r="J715" s="54" t="s">
        <v>71</v>
      </c>
      <c r="K715" s="53" t="s">
        <v>72</v>
      </c>
      <c r="L715" s="54" t="s">
        <v>73</v>
      </c>
      <c r="M715" s="58" t="s">
        <v>73</v>
      </c>
      <c r="N715" s="54" t="s">
        <v>74</v>
      </c>
      <c r="O715" s="59">
        <v>46119</v>
      </c>
      <c r="P715" s="74"/>
      <c r="Q715" s="57"/>
      <c r="R715" s="61"/>
      <c r="S715" s="61"/>
    </row>
    <row r="716" spans="2:19" s="62" customFormat="1" outlineLevel="1" x14ac:dyDescent="0.25">
      <c r="B716" s="53"/>
      <c r="C716" s="58">
        <v>756</v>
      </c>
      <c r="D716" s="54" t="s">
        <v>85</v>
      </c>
      <c r="E716" s="64" t="s">
        <v>767</v>
      </c>
      <c r="F716" s="64" t="s">
        <v>86</v>
      </c>
      <c r="G716" s="63">
        <v>1</v>
      </c>
      <c r="H716" s="57" t="s">
        <v>87</v>
      </c>
      <c r="I716" s="54" t="s">
        <v>88</v>
      </c>
      <c r="J716" s="54" t="s">
        <v>89</v>
      </c>
      <c r="K716" s="54" t="s">
        <v>90</v>
      </c>
      <c r="L716" s="54" t="s">
        <v>91</v>
      </c>
      <c r="M716" s="58" t="s">
        <v>92</v>
      </c>
      <c r="N716" s="54" t="s">
        <v>93</v>
      </c>
      <c r="O716" s="59">
        <v>46119</v>
      </c>
      <c r="P716" s="74"/>
      <c r="Q716" s="57"/>
      <c r="R716" s="61"/>
      <c r="S716" s="61"/>
    </row>
    <row r="717" spans="2:19" s="62" customFormat="1" outlineLevel="1" x14ac:dyDescent="0.25">
      <c r="B717" s="53"/>
      <c r="C717" s="58">
        <v>757</v>
      </c>
      <c r="D717" s="54" t="s">
        <v>725</v>
      </c>
      <c r="E717" s="64" t="s">
        <v>767</v>
      </c>
      <c r="F717" s="64" t="s">
        <v>726</v>
      </c>
      <c r="G717" s="63">
        <v>1</v>
      </c>
      <c r="H717" s="57" t="s">
        <v>727</v>
      </c>
      <c r="I717" s="54" t="s">
        <v>728</v>
      </c>
      <c r="J717" s="54" t="s">
        <v>729</v>
      </c>
      <c r="K717" s="54" t="s">
        <v>730</v>
      </c>
      <c r="L717" s="54" t="s">
        <v>731</v>
      </c>
      <c r="M717" s="58" t="s">
        <v>732</v>
      </c>
      <c r="N717" s="54" t="s">
        <v>733</v>
      </c>
      <c r="O717" s="59">
        <v>46119</v>
      </c>
      <c r="P717" s="74"/>
      <c r="Q717" s="57"/>
      <c r="R717" s="61"/>
      <c r="S717" s="61"/>
    </row>
    <row r="718" spans="2:19" s="62" customFormat="1" outlineLevel="1" x14ac:dyDescent="0.25">
      <c r="B718" s="53"/>
      <c r="C718" s="58">
        <v>758</v>
      </c>
      <c r="D718" s="54" t="s">
        <v>125</v>
      </c>
      <c r="E718" s="64" t="s">
        <v>767</v>
      </c>
      <c r="F718" s="64" t="s">
        <v>126</v>
      </c>
      <c r="G718" s="63">
        <v>1</v>
      </c>
      <c r="H718" s="57" t="s">
        <v>127</v>
      </c>
      <c r="I718" s="54" t="s">
        <v>128</v>
      </c>
      <c r="J718" s="54" t="s">
        <v>129</v>
      </c>
      <c r="K718" s="54" t="s">
        <v>130</v>
      </c>
      <c r="L718" s="54" t="s">
        <v>131</v>
      </c>
      <c r="M718" s="58" t="s">
        <v>132</v>
      </c>
      <c r="N718" s="54" t="s">
        <v>133</v>
      </c>
      <c r="O718" s="59">
        <v>46119</v>
      </c>
      <c r="P718" s="74"/>
      <c r="Q718" s="57"/>
      <c r="R718" s="61"/>
      <c r="S718" s="61"/>
    </row>
    <row r="719" spans="2:19" s="62" customFormat="1" outlineLevel="1" x14ac:dyDescent="0.25">
      <c r="B719" s="53"/>
      <c r="C719" s="58">
        <v>759</v>
      </c>
      <c r="D719" s="54" t="s">
        <v>166</v>
      </c>
      <c r="E719" s="64" t="s">
        <v>767</v>
      </c>
      <c r="F719" s="64" t="s">
        <v>167</v>
      </c>
      <c r="G719" s="63">
        <v>2</v>
      </c>
      <c r="H719" s="57" t="s">
        <v>61</v>
      </c>
      <c r="I719" s="54" t="s">
        <v>168</v>
      </c>
      <c r="J719" s="54" t="s">
        <v>169</v>
      </c>
      <c r="K719" s="54" t="s">
        <v>170</v>
      </c>
      <c r="L719" s="54" t="s">
        <v>171</v>
      </c>
      <c r="M719" s="58" t="s">
        <v>172</v>
      </c>
      <c r="N719" s="54" t="s">
        <v>173</v>
      </c>
      <c r="O719" s="59">
        <v>46119</v>
      </c>
      <c r="P719" s="74"/>
      <c r="Q719" s="57"/>
      <c r="R719" s="61"/>
      <c r="S719" s="61"/>
    </row>
    <row r="720" spans="2:19" s="62" customFormat="1" outlineLevel="1" x14ac:dyDescent="0.25">
      <c r="B720" s="53"/>
      <c r="C720" s="58">
        <v>760</v>
      </c>
      <c r="D720" s="54" t="s">
        <v>174</v>
      </c>
      <c r="E720" s="64" t="s">
        <v>767</v>
      </c>
      <c r="F720" s="64" t="s">
        <v>175</v>
      </c>
      <c r="G720" s="63">
        <v>1</v>
      </c>
      <c r="H720" s="57" t="s">
        <v>152</v>
      </c>
      <c r="I720" s="54" t="s">
        <v>176</v>
      </c>
      <c r="J720" s="54" t="s">
        <v>177</v>
      </c>
      <c r="K720" s="54" t="s">
        <v>178</v>
      </c>
      <c r="L720" s="54" t="s">
        <v>179</v>
      </c>
      <c r="M720" s="58" t="s">
        <v>180</v>
      </c>
      <c r="N720" s="54" t="s">
        <v>181</v>
      </c>
      <c r="O720" s="59">
        <v>46119</v>
      </c>
      <c r="P720" s="74"/>
      <c r="Q720" s="57"/>
      <c r="R720" s="61"/>
      <c r="S720" s="61"/>
    </row>
    <row r="721" spans="2:19" s="62" customFormat="1" ht="36" customHeight="1" outlineLevel="1" x14ac:dyDescent="0.25">
      <c r="B721" s="53"/>
      <c r="C721" s="58" t="s">
        <v>827</v>
      </c>
      <c r="D721" s="54" t="s">
        <v>190</v>
      </c>
      <c r="E721" s="64" t="s">
        <v>767</v>
      </c>
      <c r="F721" s="64" t="s">
        <v>191</v>
      </c>
      <c r="G721" s="63">
        <v>2</v>
      </c>
      <c r="H721" s="57" t="s">
        <v>24</v>
      </c>
      <c r="I721" s="54" t="s">
        <v>828</v>
      </c>
      <c r="J721" s="54" t="s">
        <v>829</v>
      </c>
      <c r="K721" s="54" t="s">
        <v>830</v>
      </c>
      <c r="L721" s="54" t="s">
        <v>831</v>
      </c>
      <c r="M721" s="58" t="s">
        <v>832</v>
      </c>
      <c r="N721" s="54" t="s">
        <v>197</v>
      </c>
      <c r="O721" s="59">
        <v>46119</v>
      </c>
      <c r="P721" s="74"/>
      <c r="Q721" s="57"/>
      <c r="R721" s="61"/>
      <c r="S721" s="61"/>
    </row>
    <row r="722" spans="2:19" s="62" customFormat="1" outlineLevel="1" x14ac:dyDescent="0.25">
      <c r="B722" s="53"/>
      <c r="C722" s="58">
        <v>762</v>
      </c>
      <c r="D722" s="54" t="s">
        <v>198</v>
      </c>
      <c r="E722" s="64" t="s">
        <v>767</v>
      </c>
      <c r="F722" s="64" t="s">
        <v>199</v>
      </c>
      <c r="G722" s="63">
        <v>2</v>
      </c>
      <c r="H722" s="57" t="s">
        <v>200</v>
      </c>
      <c r="I722" s="54" t="s">
        <v>201</v>
      </c>
      <c r="J722" s="54" t="s">
        <v>202</v>
      </c>
      <c r="K722" s="54" t="s">
        <v>203</v>
      </c>
      <c r="L722" s="54" t="s">
        <v>204</v>
      </c>
      <c r="M722" s="58" t="s">
        <v>205</v>
      </c>
      <c r="N722" s="54" t="s">
        <v>206</v>
      </c>
      <c r="O722" s="59">
        <v>46119</v>
      </c>
      <c r="P722" s="74"/>
      <c r="Q722" s="57"/>
      <c r="R722" s="61"/>
      <c r="S722" s="61"/>
    </row>
    <row r="723" spans="2:19" s="62" customFormat="1" outlineLevel="1" x14ac:dyDescent="0.25">
      <c r="B723" s="53"/>
      <c r="C723" s="58">
        <v>763</v>
      </c>
      <c r="D723" s="54" t="s">
        <v>215</v>
      </c>
      <c r="E723" s="64" t="s">
        <v>767</v>
      </c>
      <c r="F723" s="64" t="s">
        <v>216</v>
      </c>
      <c r="G723" s="63">
        <v>1</v>
      </c>
      <c r="H723" s="57" t="s">
        <v>24</v>
      </c>
      <c r="I723" s="54" t="s">
        <v>217</v>
      </c>
      <c r="J723" s="54" t="s">
        <v>218</v>
      </c>
      <c r="K723" s="54" t="s">
        <v>219</v>
      </c>
      <c r="L723" s="54" t="s">
        <v>220</v>
      </c>
      <c r="M723" s="58" t="s">
        <v>221</v>
      </c>
      <c r="N723" s="54" t="s">
        <v>222</v>
      </c>
      <c r="O723" s="59">
        <v>46119</v>
      </c>
      <c r="P723" s="74"/>
      <c r="Q723" s="57"/>
      <c r="R723" s="61"/>
      <c r="S723" s="61"/>
    </row>
    <row r="724" spans="2:19" s="62" customFormat="1" outlineLevel="1" x14ac:dyDescent="0.25">
      <c r="B724" s="53"/>
      <c r="C724" s="58">
        <v>764</v>
      </c>
      <c r="D724" s="54" t="s">
        <v>223</v>
      </c>
      <c r="E724" s="64" t="s">
        <v>767</v>
      </c>
      <c r="F724" s="64" t="s">
        <v>224</v>
      </c>
      <c r="G724" s="63">
        <v>1</v>
      </c>
      <c r="H724" s="57" t="s">
        <v>61</v>
      </c>
      <c r="I724" s="54" t="s">
        <v>225</v>
      </c>
      <c r="J724" s="54" t="s">
        <v>226</v>
      </c>
      <c r="K724" s="54" t="s">
        <v>227</v>
      </c>
      <c r="L724" s="54" t="s">
        <v>228</v>
      </c>
      <c r="M724" s="58" t="s">
        <v>229</v>
      </c>
      <c r="N724" s="54" t="s">
        <v>230</v>
      </c>
      <c r="O724" s="59">
        <v>46119</v>
      </c>
      <c r="P724" s="74"/>
      <c r="Q724" s="57"/>
      <c r="R724" s="61"/>
      <c r="S724" s="61"/>
    </row>
    <row r="725" spans="2:19" s="62" customFormat="1" ht="30" customHeight="1" outlineLevel="1" x14ac:dyDescent="0.25">
      <c r="B725" s="53"/>
      <c r="C725" s="58" t="s">
        <v>837</v>
      </c>
      <c r="D725" s="54" t="s">
        <v>231</v>
      </c>
      <c r="E725" s="64" t="s">
        <v>767</v>
      </c>
      <c r="F725" s="64" t="s">
        <v>232</v>
      </c>
      <c r="G725" s="63">
        <v>2</v>
      </c>
      <c r="H725" s="57" t="s">
        <v>61</v>
      </c>
      <c r="I725" s="54" t="s">
        <v>702</v>
      </c>
      <c r="J725" s="54" t="s">
        <v>703</v>
      </c>
      <c r="K725" s="54" t="s">
        <v>704</v>
      </c>
      <c r="L725" s="54" t="s">
        <v>236</v>
      </c>
      <c r="M725" s="58" t="s">
        <v>838</v>
      </c>
      <c r="N725" s="54" t="s">
        <v>238</v>
      </c>
      <c r="O725" s="59">
        <v>46119</v>
      </c>
      <c r="P725" s="74"/>
      <c r="Q725" s="57"/>
      <c r="R725" s="61"/>
      <c r="S725" s="61"/>
    </row>
    <row r="726" spans="2:19" s="62" customFormat="1" outlineLevel="1" x14ac:dyDescent="0.25">
      <c r="B726" s="53"/>
      <c r="C726" s="58">
        <v>766</v>
      </c>
      <c r="D726" s="54" t="s">
        <v>239</v>
      </c>
      <c r="E726" s="64" t="s">
        <v>767</v>
      </c>
      <c r="F726" s="64" t="s">
        <v>240</v>
      </c>
      <c r="G726" s="63">
        <v>1</v>
      </c>
      <c r="H726" s="57" t="s">
        <v>24</v>
      </c>
      <c r="I726" s="54" t="s">
        <v>241</v>
      </c>
      <c r="J726" s="54" t="s">
        <v>242</v>
      </c>
      <c r="K726" s="54" t="s">
        <v>243</v>
      </c>
      <c r="L726" s="54" t="s">
        <v>244</v>
      </c>
      <c r="M726" s="58" t="s">
        <v>714</v>
      </c>
      <c r="N726" s="54" t="s">
        <v>246</v>
      </c>
      <c r="O726" s="59">
        <v>46119</v>
      </c>
      <c r="P726" s="74"/>
      <c r="Q726" s="57"/>
      <c r="R726" s="61"/>
      <c r="S726" s="61"/>
    </row>
    <row r="727" spans="2:19" s="62" customFormat="1" outlineLevel="1" x14ac:dyDescent="0.25">
      <c r="B727" s="53"/>
      <c r="C727" s="58">
        <v>767</v>
      </c>
      <c r="D727" s="54" t="s">
        <v>247</v>
      </c>
      <c r="E727" s="64" t="s">
        <v>767</v>
      </c>
      <c r="F727" s="64" t="s">
        <v>248</v>
      </c>
      <c r="G727" s="63">
        <v>1</v>
      </c>
      <c r="H727" s="57" t="s">
        <v>61</v>
      </c>
      <c r="I727" s="54" t="s">
        <v>532</v>
      </c>
      <c r="J727" s="54" t="s">
        <v>533</v>
      </c>
      <c r="K727" s="53" t="s">
        <v>534</v>
      </c>
      <c r="L727" s="54" t="s">
        <v>252</v>
      </c>
      <c r="M727" s="58" t="s">
        <v>535</v>
      </c>
      <c r="N727" s="54" t="s">
        <v>254</v>
      </c>
      <c r="O727" s="59">
        <v>46119</v>
      </c>
      <c r="P727" s="74"/>
      <c r="Q727" s="57"/>
      <c r="R727" s="61"/>
      <c r="S727" s="61"/>
    </row>
    <row r="728" spans="2:19" s="62" customFormat="1" outlineLevel="1" x14ac:dyDescent="0.25">
      <c r="B728" s="53"/>
      <c r="C728" s="58">
        <v>768</v>
      </c>
      <c r="D728" s="54" t="s">
        <v>263</v>
      </c>
      <c r="E728" s="64" t="s">
        <v>767</v>
      </c>
      <c r="F728" s="64" t="s">
        <v>264</v>
      </c>
      <c r="G728" s="63">
        <v>1</v>
      </c>
      <c r="H728" s="57" t="s">
        <v>61</v>
      </c>
      <c r="I728" s="54" t="s">
        <v>265</v>
      </c>
      <c r="J728" s="54" t="s">
        <v>266</v>
      </c>
      <c r="K728" s="54" t="s">
        <v>267</v>
      </c>
      <c r="L728" s="54" t="s">
        <v>252</v>
      </c>
      <c r="M728" s="58" t="s">
        <v>268</v>
      </c>
      <c r="N728" s="54" t="s">
        <v>269</v>
      </c>
      <c r="O728" s="59">
        <v>46119</v>
      </c>
      <c r="P728" s="74"/>
      <c r="Q728" s="57"/>
      <c r="R728" s="61"/>
      <c r="S728" s="61"/>
    </row>
    <row r="729" spans="2:19" s="62" customFormat="1" outlineLevel="1" x14ac:dyDescent="0.25">
      <c r="B729" s="53"/>
      <c r="C729" s="58">
        <v>769</v>
      </c>
      <c r="D729" s="54" t="s">
        <v>651</v>
      </c>
      <c r="E729" s="64" t="s">
        <v>767</v>
      </c>
      <c r="F729" s="64" t="s">
        <v>652</v>
      </c>
      <c r="G729" s="63">
        <v>1</v>
      </c>
      <c r="H729" s="57" t="s">
        <v>111</v>
      </c>
      <c r="I729" s="54" t="s">
        <v>653</v>
      </c>
      <c r="J729" s="54" t="s">
        <v>654</v>
      </c>
      <c r="K729" s="54" t="s">
        <v>655</v>
      </c>
      <c r="L729" s="54" t="s">
        <v>656</v>
      </c>
      <c r="M729" s="58" t="s">
        <v>657</v>
      </c>
      <c r="N729" s="54" t="s">
        <v>658</v>
      </c>
      <c r="O729" s="59">
        <v>46119</v>
      </c>
      <c r="P729" s="74"/>
      <c r="Q729" s="57"/>
      <c r="R729" s="61"/>
      <c r="S729" s="61"/>
    </row>
    <row r="730" spans="2:19" s="62" customFormat="1" outlineLevel="1" x14ac:dyDescent="0.25">
      <c r="B730" s="53"/>
      <c r="C730" s="58">
        <v>770</v>
      </c>
      <c r="D730" s="54" t="s">
        <v>270</v>
      </c>
      <c r="E730" s="64" t="s">
        <v>767</v>
      </c>
      <c r="F730" s="64" t="s">
        <v>271</v>
      </c>
      <c r="G730" s="63">
        <v>1</v>
      </c>
      <c r="H730" s="57" t="s">
        <v>61</v>
      </c>
      <c r="I730" s="54" t="s">
        <v>272</v>
      </c>
      <c r="J730" s="54" t="s">
        <v>273</v>
      </c>
      <c r="K730" s="54" t="s">
        <v>274</v>
      </c>
      <c r="L730" s="54" t="s">
        <v>275</v>
      </c>
      <c r="M730" s="58" t="s">
        <v>792</v>
      </c>
      <c r="N730" s="54" t="s">
        <v>277</v>
      </c>
      <c r="O730" s="59">
        <v>46119</v>
      </c>
      <c r="P730" s="74"/>
      <c r="Q730" s="57"/>
      <c r="R730" s="61"/>
      <c r="S730" s="61"/>
    </row>
    <row r="731" spans="2:19" s="62" customFormat="1" outlineLevel="1" x14ac:dyDescent="0.25">
      <c r="B731" s="53"/>
      <c r="C731" s="58">
        <v>771</v>
      </c>
      <c r="D731" s="54" t="s">
        <v>278</v>
      </c>
      <c r="E731" s="64" t="s">
        <v>767</v>
      </c>
      <c r="F731" s="64" t="s">
        <v>279</v>
      </c>
      <c r="G731" s="63">
        <v>1</v>
      </c>
      <c r="H731" s="57" t="s">
        <v>61</v>
      </c>
      <c r="I731" s="54" t="s">
        <v>280</v>
      </c>
      <c r="J731" s="54" t="s">
        <v>281</v>
      </c>
      <c r="K731" s="54" t="s">
        <v>282</v>
      </c>
      <c r="L731" s="54" t="s">
        <v>283</v>
      </c>
      <c r="M731" s="58" t="s">
        <v>284</v>
      </c>
      <c r="N731" s="54" t="s">
        <v>285</v>
      </c>
      <c r="O731" s="59">
        <v>46119</v>
      </c>
      <c r="P731" s="74"/>
      <c r="Q731" s="57"/>
      <c r="R731" s="61"/>
      <c r="S731" s="61"/>
    </row>
    <row r="732" spans="2:19" s="62" customFormat="1" outlineLevel="1" x14ac:dyDescent="0.25">
      <c r="B732" s="53"/>
      <c r="C732" s="58">
        <v>772</v>
      </c>
      <c r="D732" s="54" t="s">
        <v>286</v>
      </c>
      <c r="E732" s="64" t="s">
        <v>767</v>
      </c>
      <c r="F732" s="64" t="s">
        <v>287</v>
      </c>
      <c r="G732" s="63">
        <v>1</v>
      </c>
      <c r="H732" s="57" t="s">
        <v>61</v>
      </c>
      <c r="I732" s="54" t="s">
        <v>288</v>
      </c>
      <c r="J732" s="54" t="s">
        <v>289</v>
      </c>
      <c r="K732" s="54" t="s">
        <v>290</v>
      </c>
      <c r="L732" s="54" t="s">
        <v>291</v>
      </c>
      <c r="M732" s="58" t="s">
        <v>292</v>
      </c>
      <c r="N732" s="54" t="s">
        <v>293</v>
      </c>
      <c r="O732" s="59">
        <v>46119</v>
      </c>
      <c r="P732" s="74"/>
      <c r="Q732" s="57"/>
      <c r="R732" s="61"/>
      <c r="S732" s="61"/>
    </row>
    <row r="733" spans="2:19" s="62" customFormat="1" outlineLevel="1" x14ac:dyDescent="0.25">
      <c r="B733" s="53"/>
      <c r="C733" s="58">
        <v>773</v>
      </c>
      <c r="D733" s="54" t="s">
        <v>326</v>
      </c>
      <c r="E733" s="64" t="s">
        <v>767</v>
      </c>
      <c r="F733" s="64" t="s">
        <v>327</v>
      </c>
      <c r="G733" s="63">
        <v>1</v>
      </c>
      <c r="H733" s="57" t="s">
        <v>152</v>
      </c>
      <c r="I733" s="54" t="s">
        <v>328</v>
      </c>
      <c r="J733" s="54" t="s">
        <v>329</v>
      </c>
      <c r="K733" s="54" t="s">
        <v>330</v>
      </c>
      <c r="L733" s="54" t="s">
        <v>331</v>
      </c>
      <c r="M733" s="58" t="s">
        <v>332</v>
      </c>
      <c r="N733" s="54" t="s">
        <v>333</v>
      </c>
      <c r="O733" s="59">
        <v>46119</v>
      </c>
      <c r="P733" s="74"/>
      <c r="Q733" s="57"/>
      <c r="R733" s="61"/>
      <c r="S733" s="61"/>
    </row>
    <row r="734" spans="2:19" s="62" customFormat="1" outlineLevel="1" x14ac:dyDescent="0.25">
      <c r="B734" s="53"/>
      <c r="C734" s="58">
        <v>774</v>
      </c>
      <c r="D734" s="54" t="s">
        <v>342</v>
      </c>
      <c r="E734" s="64" t="s">
        <v>767</v>
      </c>
      <c r="F734" s="64" t="s">
        <v>343</v>
      </c>
      <c r="G734" s="63">
        <v>1</v>
      </c>
      <c r="H734" s="57" t="s">
        <v>24</v>
      </c>
      <c r="I734" s="54" t="s">
        <v>344</v>
      </c>
      <c r="J734" s="54" t="s">
        <v>345</v>
      </c>
      <c r="K734" s="54" t="s">
        <v>346</v>
      </c>
      <c r="L734" s="54" t="s">
        <v>347</v>
      </c>
      <c r="M734" s="58" t="s">
        <v>348</v>
      </c>
      <c r="N734" s="54" t="s">
        <v>349</v>
      </c>
      <c r="O734" s="59">
        <v>46119</v>
      </c>
      <c r="P734" s="74"/>
      <c r="Q734" s="57"/>
      <c r="R734" s="61"/>
      <c r="S734" s="61"/>
    </row>
    <row r="735" spans="2:19" s="62" customFormat="1" outlineLevel="1" x14ac:dyDescent="0.25">
      <c r="B735" s="53"/>
      <c r="C735" s="58">
        <v>775</v>
      </c>
      <c r="D735" s="54" t="s">
        <v>350</v>
      </c>
      <c r="E735" s="64" t="s">
        <v>767</v>
      </c>
      <c r="F735" s="64" t="s">
        <v>351</v>
      </c>
      <c r="G735" s="63">
        <v>1</v>
      </c>
      <c r="H735" s="57" t="s">
        <v>152</v>
      </c>
      <c r="I735" s="54" t="s">
        <v>352</v>
      </c>
      <c r="J735" s="54" t="s">
        <v>353</v>
      </c>
      <c r="K735" s="54" t="s">
        <v>354</v>
      </c>
      <c r="L735" s="54" t="s">
        <v>355</v>
      </c>
      <c r="M735" s="58" t="s">
        <v>355</v>
      </c>
      <c r="N735" s="54" t="s">
        <v>356</v>
      </c>
      <c r="O735" s="59">
        <v>46119</v>
      </c>
      <c r="P735" s="74"/>
      <c r="Q735" s="57"/>
      <c r="R735" s="61"/>
      <c r="S735" s="61"/>
    </row>
    <row r="736" spans="2:19" s="62" customFormat="1" outlineLevel="1" x14ac:dyDescent="0.25">
      <c r="B736" s="53"/>
      <c r="C736" s="58">
        <v>776</v>
      </c>
      <c r="D736" s="54" t="s">
        <v>802</v>
      </c>
      <c r="E736" s="64" t="s">
        <v>767</v>
      </c>
      <c r="F736" s="64" t="s">
        <v>803</v>
      </c>
      <c r="G736" s="63">
        <v>2</v>
      </c>
      <c r="H736" s="57" t="s">
        <v>804</v>
      </c>
      <c r="I736" s="54" t="s">
        <v>805</v>
      </c>
      <c r="J736" s="54" t="s">
        <v>806</v>
      </c>
      <c r="K736" s="53" t="s">
        <v>807</v>
      </c>
      <c r="L736" s="54" t="s">
        <v>808</v>
      </c>
      <c r="M736" s="58" t="s">
        <v>809</v>
      </c>
      <c r="N736" s="54" t="s">
        <v>810</v>
      </c>
      <c r="O736" s="59">
        <v>46119</v>
      </c>
      <c r="P736" s="74"/>
      <c r="Q736" s="57"/>
      <c r="R736" s="61"/>
      <c r="S736" s="61"/>
    </row>
    <row r="737" spans="2:19" s="62" customFormat="1" outlineLevel="1" x14ac:dyDescent="0.25">
      <c r="B737" s="53"/>
      <c r="C737" s="58">
        <v>777</v>
      </c>
      <c r="D737" s="54" t="s">
        <v>366</v>
      </c>
      <c r="E737" s="64" t="s">
        <v>767</v>
      </c>
      <c r="F737" s="64" t="s">
        <v>367</v>
      </c>
      <c r="G737" s="63">
        <v>1</v>
      </c>
      <c r="H737" s="57" t="s">
        <v>368</v>
      </c>
      <c r="I737" s="54" t="s">
        <v>369</v>
      </c>
      <c r="J737" s="54" t="s">
        <v>370</v>
      </c>
      <c r="K737" s="54" t="s">
        <v>371</v>
      </c>
      <c r="L737" s="54" t="s">
        <v>372</v>
      </c>
      <c r="M737" s="58" t="s">
        <v>682</v>
      </c>
      <c r="N737" s="54" t="s">
        <v>374</v>
      </c>
      <c r="O737" s="59">
        <v>46119</v>
      </c>
      <c r="P737" s="74"/>
      <c r="Q737" s="57"/>
      <c r="R737" s="61"/>
      <c r="S737" s="61"/>
    </row>
    <row r="738" spans="2:19" s="62" customFormat="1" ht="36" customHeight="1" outlineLevel="1" x14ac:dyDescent="0.25">
      <c r="B738" s="53"/>
      <c r="C738" s="58" t="s">
        <v>822</v>
      </c>
      <c r="D738" s="54" t="s">
        <v>375</v>
      </c>
      <c r="E738" s="64" t="s">
        <v>767</v>
      </c>
      <c r="F738" s="64" t="s">
        <v>376</v>
      </c>
      <c r="G738" s="63">
        <v>2</v>
      </c>
      <c r="H738" s="57" t="s">
        <v>111</v>
      </c>
      <c r="I738" s="54" t="s">
        <v>823</v>
      </c>
      <c r="J738" s="54" t="s">
        <v>824</v>
      </c>
      <c r="K738" s="54" t="s">
        <v>825</v>
      </c>
      <c r="L738" s="54" t="s">
        <v>380</v>
      </c>
      <c r="M738" s="58" t="s">
        <v>826</v>
      </c>
      <c r="N738" s="54" t="s">
        <v>382</v>
      </c>
      <c r="O738" s="59">
        <v>46119</v>
      </c>
      <c r="P738" s="74"/>
      <c r="Q738" s="57"/>
      <c r="R738" s="61"/>
      <c r="S738" s="61"/>
    </row>
    <row r="739" spans="2:19" s="62" customFormat="1" outlineLevel="1" x14ac:dyDescent="0.25">
      <c r="B739" s="53"/>
      <c r="C739" s="58">
        <v>779</v>
      </c>
      <c r="D739" s="54" t="s">
        <v>383</v>
      </c>
      <c r="E739" s="64" t="s">
        <v>767</v>
      </c>
      <c r="F739" s="64" t="s">
        <v>384</v>
      </c>
      <c r="G739" s="63">
        <v>1</v>
      </c>
      <c r="H739" s="57" t="s">
        <v>61</v>
      </c>
      <c r="I739" s="54" t="s">
        <v>385</v>
      </c>
      <c r="J739" s="54" t="s">
        <v>386</v>
      </c>
      <c r="K739" s="54" t="s">
        <v>387</v>
      </c>
      <c r="L739" s="54" t="s">
        <v>388</v>
      </c>
      <c r="M739" s="58" t="s">
        <v>389</v>
      </c>
      <c r="N739" s="54" t="s">
        <v>390</v>
      </c>
      <c r="O739" s="59">
        <v>46119</v>
      </c>
      <c r="P739" s="74"/>
      <c r="Q739" s="57"/>
      <c r="R739" s="61"/>
      <c r="S739" s="61"/>
    </row>
    <row r="740" spans="2:19" s="62" customFormat="1" outlineLevel="1" x14ac:dyDescent="0.25">
      <c r="B740" s="53"/>
      <c r="C740" s="58">
        <v>780</v>
      </c>
      <c r="D740" s="54" t="s">
        <v>399</v>
      </c>
      <c r="E740" s="64" t="s">
        <v>767</v>
      </c>
      <c r="F740" s="64" t="s">
        <v>400</v>
      </c>
      <c r="G740" s="63">
        <v>1</v>
      </c>
      <c r="H740" s="57" t="s">
        <v>152</v>
      </c>
      <c r="I740" s="54" t="s">
        <v>401</v>
      </c>
      <c r="J740" s="54" t="s">
        <v>402</v>
      </c>
      <c r="K740" s="54" t="s">
        <v>403</v>
      </c>
      <c r="L740" s="54" t="s">
        <v>404</v>
      </c>
      <c r="M740" s="58" t="s">
        <v>791</v>
      </c>
      <c r="N740" s="54" t="s">
        <v>406</v>
      </c>
      <c r="O740" s="59">
        <v>46119</v>
      </c>
      <c r="P740" s="74"/>
      <c r="Q740" s="57"/>
      <c r="R740" s="61"/>
      <c r="S740" s="61"/>
    </row>
    <row r="741" spans="2:19" s="62" customFormat="1" outlineLevel="1" x14ac:dyDescent="0.25">
      <c r="B741" s="53"/>
      <c r="C741" s="58">
        <v>781</v>
      </c>
      <c r="D741" s="54" t="s">
        <v>424</v>
      </c>
      <c r="E741" s="64" t="s">
        <v>767</v>
      </c>
      <c r="F741" s="64" t="s">
        <v>425</v>
      </c>
      <c r="G741" s="63">
        <v>1</v>
      </c>
      <c r="H741" s="57" t="s">
        <v>111</v>
      </c>
      <c r="I741" s="54" t="s">
        <v>426</v>
      </c>
      <c r="J741" s="54" t="s">
        <v>427</v>
      </c>
      <c r="K741" s="54" t="s">
        <v>428</v>
      </c>
      <c r="L741" s="54" t="s">
        <v>429</v>
      </c>
      <c r="M741" s="58" t="s">
        <v>429</v>
      </c>
      <c r="N741" s="54" t="s">
        <v>430</v>
      </c>
      <c r="O741" s="59">
        <v>46119</v>
      </c>
      <c r="P741" s="74"/>
      <c r="Q741" s="57"/>
      <c r="R741" s="61"/>
      <c r="S741" s="61"/>
    </row>
    <row r="742" spans="2:19" s="62" customFormat="1" outlineLevel="1" x14ac:dyDescent="0.25">
      <c r="B742" s="53"/>
      <c r="C742" s="58">
        <v>782</v>
      </c>
      <c r="D742" s="54" t="s">
        <v>431</v>
      </c>
      <c r="E742" s="54" t="s">
        <v>767</v>
      </c>
      <c r="F742" s="64" t="s">
        <v>432</v>
      </c>
      <c r="G742" s="63">
        <v>1</v>
      </c>
      <c r="H742" s="57" t="s">
        <v>152</v>
      </c>
      <c r="I742" s="54" t="s">
        <v>433</v>
      </c>
      <c r="J742" s="54" t="s">
        <v>434</v>
      </c>
      <c r="K742" s="54" t="s">
        <v>435</v>
      </c>
      <c r="L742" s="54" t="s">
        <v>436</v>
      </c>
      <c r="M742" s="58" t="s">
        <v>437</v>
      </c>
      <c r="N742" s="54" t="s">
        <v>438</v>
      </c>
      <c r="O742" s="59">
        <v>46119</v>
      </c>
      <c r="P742" s="74"/>
      <c r="Q742" s="57"/>
      <c r="R742" s="61"/>
      <c r="S742" s="61"/>
    </row>
    <row r="743" spans="2:19" s="62" customFormat="1" ht="30" customHeight="1" outlineLevel="1" x14ac:dyDescent="0.25">
      <c r="B743" s="53"/>
      <c r="C743" s="58">
        <v>783</v>
      </c>
      <c r="D743" s="54" t="s">
        <v>439</v>
      </c>
      <c r="E743" s="64" t="s">
        <v>767</v>
      </c>
      <c r="F743" s="64" t="s">
        <v>440</v>
      </c>
      <c r="G743" s="63">
        <v>1</v>
      </c>
      <c r="H743" s="57" t="s">
        <v>152</v>
      </c>
      <c r="I743" s="54" t="s">
        <v>441</v>
      </c>
      <c r="J743" s="54" t="s">
        <v>442</v>
      </c>
      <c r="K743" s="54" t="s">
        <v>443</v>
      </c>
      <c r="L743" s="54" t="s">
        <v>444</v>
      </c>
      <c r="M743" s="58" t="s">
        <v>570</v>
      </c>
      <c r="N743" s="54" t="s">
        <v>446</v>
      </c>
      <c r="O743" s="59">
        <v>46119</v>
      </c>
      <c r="P743" s="74"/>
      <c r="Q743" s="57"/>
      <c r="R743" s="61"/>
      <c r="S743" s="61"/>
    </row>
    <row r="744" spans="2:19" s="62" customFormat="1" outlineLevel="1" x14ac:dyDescent="0.25">
      <c r="B744" s="53"/>
      <c r="C744" s="58">
        <v>784</v>
      </c>
      <c r="D744" s="54" t="s">
        <v>447</v>
      </c>
      <c r="E744" s="64" t="s">
        <v>767</v>
      </c>
      <c r="F744" s="64" t="s">
        <v>448</v>
      </c>
      <c r="G744" s="63">
        <v>1</v>
      </c>
      <c r="H744" s="57" t="s">
        <v>24</v>
      </c>
      <c r="I744" s="54" t="s">
        <v>449</v>
      </c>
      <c r="J744" s="54" t="s">
        <v>450</v>
      </c>
      <c r="K744" s="54" t="s">
        <v>451</v>
      </c>
      <c r="L744" s="54" t="s">
        <v>452</v>
      </c>
      <c r="M744" s="58" t="s">
        <v>453</v>
      </c>
      <c r="N744" s="54" t="s">
        <v>454</v>
      </c>
      <c r="O744" s="59">
        <v>46119</v>
      </c>
      <c r="P744" s="74"/>
      <c r="Q744" s="57"/>
      <c r="R744" s="61"/>
      <c r="S744" s="61"/>
    </row>
    <row r="745" spans="2:19" s="62" customFormat="1" outlineLevel="1" x14ac:dyDescent="0.25">
      <c r="B745" s="53"/>
      <c r="C745" s="58">
        <v>785</v>
      </c>
      <c r="D745" s="54" t="s">
        <v>571</v>
      </c>
      <c r="E745" s="64" t="s">
        <v>767</v>
      </c>
      <c r="F745" s="64" t="s">
        <v>572</v>
      </c>
      <c r="G745" s="63">
        <v>1</v>
      </c>
      <c r="H745" s="57" t="s">
        <v>573</v>
      </c>
      <c r="I745" s="54" t="s">
        <v>574</v>
      </c>
      <c r="J745" s="54" t="s">
        <v>575</v>
      </c>
      <c r="K745" s="54" t="s">
        <v>576</v>
      </c>
      <c r="L745" s="54" t="s">
        <v>577</v>
      </c>
      <c r="M745" s="58" t="s">
        <v>578</v>
      </c>
      <c r="N745" s="54" t="s">
        <v>579</v>
      </c>
      <c r="O745" s="59">
        <v>46119</v>
      </c>
      <c r="P745" s="74"/>
      <c r="Q745" s="57"/>
      <c r="R745" s="61"/>
      <c r="S745" s="61"/>
    </row>
    <row r="746" spans="2:19" s="62" customFormat="1" outlineLevel="1" x14ac:dyDescent="0.25">
      <c r="B746" s="53"/>
      <c r="C746" s="58">
        <v>786</v>
      </c>
      <c r="D746" s="54" t="s">
        <v>463</v>
      </c>
      <c r="E746" s="64" t="s">
        <v>767</v>
      </c>
      <c r="F746" s="64" t="s">
        <v>464</v>
      </c>
      <c r="G746" s="63">
        <v>1</v>
      </c>
      <c r="H746" s="57" t="s">
        <v>152</v>
      </c>
      <c r="I746" s="54" t="s">
        <v>465</v>
      </c>
      <c r="J746" s="54" t="s">
        <v>466</v>
      </c>
      <c r="K746" s="54" t="s">
        <v>467</v>
      </c>
      <c r="L746" s="54" t="s">
        <v>468</v>
      </c>
      <c r="M746" s="58" t="s">
        <v>469</v>
      </c>
      <c r="N746" s="54" t="s">
        <v>470</v>
      </c>
      <c r="O746" s="59">
        <v>46119</v>
      </c>
      <c r="P746" s="74"/>
      <c r="Q746" s="57"/>
      <c r="R746" s="61"/>
      <c r="S746" s="61"/>
    </row>
    <row r="747" spans="2:19" s="62" customFormat="1" outlineLevel="1" x14ac:dyDescent="0.25">
      <c r="B747" s="53"/>
      <c r="C747" s="58">
        <v>787</v>
      </c>
      <c r="D747" s="54" t="s">
        <v>471</v>
      </c>
      <c r="E747" s="64" t="s">
        <v>767</v>
      </c>
      <c r="F747" s="64" t="s">
        <v>472</v>
      </c>
      <c r="G747" s="63">
        <v>1</v>
      </c>
      <c r="H747" s="57" t="s">
        <v>111</v>
      </c>
      <c r="I747" s="54" t="s">
        <v>473</v>
      </c>
      <c r="J747" s="54" t="s">
        <v>474</v>
      </c>
      <c r="K747" s="54" t="s">
        <v>475</v>
      </c>
      <c r="L747" s="54" t="s">
        <v>476</v>
      </c>
      <c r="M747" s="58" t="s">
        <v>476</v>
      </c>
      <c r="N747" s="54" t="s">
        <v>477</v>
      </c>
      <c r="O747" s="59">
        <v>46119</v>
      </c>
      <c r="P747" s="74"/>
      <c r="Q747" s="57"/>
      <c r="R747" s="61"/>
      <c r="S747" s="61"/>
    </row>
    <row r="748" spans="2:19" s="62" customFormat="1" outlineLevel="1" x14ac:dyDescent="0.25">
      <c r="B748" s="53"/>
      <c r="C748" s="58">
        <v>788</v>
      </c>
      <c r="D748" s="54" t="s">
        <v>588</v>
      </c>
      <c r="E748" s="64" t="s">
        <v>767</v>
      </c>
      <c r="F748" s="64" t="s">
        <v>589</v>
      </c>
      <c r="G748" s="63">
        <v>1</v>
      </c>
      <c r="H748" s="57" t="s">
        <v>24</v>
      </c>
      <c r="I748" s="54" t="s">
        <v>590</v>
      </c>
      <c r="J748" s="54" t="s">
        <v>591</v>
      </c>
      <c r="K748" s="54" t="s">
        <v>592</v>
      </c>
      <c r="L748" s="54" t="s">
        <v>593</v>
      </c>
      <c r="M748" s="58" t="s">
        <v>594</v>
      </c>
      <c r="N748" s="54" t="s">
        <v>595</v>
      </c>
      <c r="O748" s="59">
        <v>46119</v>
      </c>
      <c r="P748" s="74"/>
      <c r="Q748" s="57"/>
      <c r="R748" s="61"/>
      <c r="S748" s="61"/>
    </row>
    <row r="749" spans="2:19" s="62" customFormat="1" outlineLevel="1" x14ac:dyDescent="0.25">
      <c r="B749" s="53"/>
      <c r="C749" s="58">
        <v>789</v>
      </c>
      <c r="D749" s="54" t="s">
        <v>611</v>
      </c>
      <c r="E749" s="64" t="s">
        <v>767</v>
      </c>
      <c r="F749" s="64" t="s">
        <v>612</v>
      </c>
      <c r="G749" s="63">
        <v>1</v>
      </c>
      <c r="H749" s="57" t="s">
        <v>24</v>
      </c>
      <c r="I749" s="54" t="s">
        <v>613</v>
      </c>
      <c r="J749" s="54" t="s">
        <v>614</v>
      </c>
      <c r="K749" s="54" t="s">
        <v>615</v>
      </c>
      <c r="L749" s="54" t="s">
        <v>616</v>
      </c>
      <c r="M749" s="58" t="s">
        <v>616</v>
      </c>
      <c r="N749" s="54" t="s">
        <v>617</v>
      </c>
      <c r="O749" s="59">
        <v>46119</v>
      </c>
      <c r="P749" s="74"/>
      <c r="Q749" s="57"/>
      <c r="R749" s="61"/>
      <c r="S749" s="61"/>
    </row>
    <row r="750" spans="2:19" s="62" customFormat="1" outlineLevel="1" x14ac:dyDescent="0.25">
      <c r="B750" s="53"/>
      <c r="C750" s="58">
        <v>790</v>
      </c>
      <c r="D750" s="54" t="s">
        <v>508</v>
      </c>
      <c r="E750" s="64" t="s">
        <v>767</v>
      </c>
      <c r="F750" s="64" t="s">
        <v>509</v>
      </c>
      <c r="G750" s="63">
        <v>1</v>
      </c>
      <c r="H750" s="57" t="s">
        <v>61</v>
      </c>
      <c r="I750" s="54" t="s">
        <v>510</v>
      </c>
      <c r="J750" s="54" t="s">
        <v>511</v>
      </c>
      <c r="K750" s="54" t="s">
        <v>512</v>
      </c>
      <c r="L750" s="54" t="s">
        <v>513</v>
      </c>
      <c r="M750" s="58" t="s">
        <v>514</v>
      </c>
      <c r="N750" s="54" t="s">
        <v>515</v>
      </c>
      <c r="O750" s="59">
        <v>46119</v>
      </c>
      <c r="P750" s="74"/>
      <c r="Q750" s="57"/>
      <c r="R750" s="61"/>
      <c r="S750" s="61"/>
    </row>
    <row r="751" spans="2:19" s="33" customFormat="1" ht="30" customHeight="1" x14ac:dyDescent="0.25">
      <c r="B751" s="42"/>
      <c r="C751" s="40"/>
      <c r="D751" s="43"/>
      <c r="E751" s="28" t="s">
        <v>23</v>
      </c>
      <c r="F751" s="52"/>
      <c r="G751" s="32">
        <f>SUM(G752:G817)</f>
        <v>70</v>
      </c>
      <c r="H751" s="42"/>
      <c r="I751" s="42"/>
      <c r="J751" s="42"/>
      <c r="K751" s="42"/>
      <c r="L751" s="42"/>
      <c r="M751" s="40"/>
      <c r="N751" s="42"/>
      <c r="O751" s="42"/>
      <c r="P751" s="42"/>
      <c r="Q751" s="42"/>
      <c r="R751" s="32" t="s">
        <v>31</v>
      </c>
      <c r="S751" s="42"/>
    </row>
    <row r="752" spans="2:19" s="62" customFormat="1" outlineLevel="1" x14ac:dyDescent="0.25">
      <c r="B752" s="53" t="s">
        <v>1154</v>
      </c>
      <c r="C752" s="58">
        <v>1</v>
      </c>
      <c r="D752" s="54" t="s">
        <v>21</v>
      </c>
      <c r="E752" s="64" t="s">
        <v>23</v>
      </c>
      <c r="F752" s="64" t="s">
        <v>22</v>
      </c>
      <c r="G752" s="63">
        <v>1</v>
      </c>
      <c r="H752" s="57" t="s">
        <v>24</v>
      </c>
      <c r="I752" s="54" t="s">
        <v>25</v>
      </c>
      <c r="J752" s="54" t="s">
        <v>26</v>
      </c>
      <c r="K752" s="54" t="s">
        <v>27</v>
      </c>
      <c r="L752" s="54" t="s">
        <v>28</v>
      </c>
      <c r="M752" s="58" t="s">
        <v>29</v>
      </c>
      <c r="N752" s="54" t="s">
        <v>30</v>
      </c>
      <c r="O752" s="59">
        <v>46104</v>
      </c>
      <c r="P752" s="74"/>
      <c r="Q752" s="57"/>
      <c r="R752" s="61" t="s">
        <v>31</v>
      </c>
      <c r="S752" s="61" t="s">
        <v>31</v>
      </c>
    </row>
    <row r="753" spans="2:20" s="62" customFormat="1" outlineLevel="1" x14ac:dyDescent="0.25">
      <c r="B753" s="53"/>
      <c r="C753" s="58">
        <v>66</v>
      </c>
      <c r="D753" s="54" t="s">
        <v>811</v>
      </c>
      <c r="E753" s="64" t="s">
        <v>23</v>
      </c>
      <c r="F753" s="64" t="s">
        <v>812</v>
      </c>
      <c r="G753" s="63">
        <v>2</v>
      </c>
      <c r="H753" s="57" t="s">
        <v>813</v>
      </c>
      <c r="I753" s="54" t="s">
        <v>814</v>
      </c>
      <c r="J753" s="54" t="s">
        <v>815</v>
      </c>
      <c r="K753" s="54" t="s">
        <v>816</v>
      </c>
      <c r="L753" s="54" t="s">
        <v>817</v>
      </c>
      <c r="M753" s="58" t="s">
        <v>1148</v>
      </c>
      <c r="N753" s="54" t="s">
        <v>819</v>
      </c>
      <c r="O753" s="59">
        <v>46153</v>
      </c>
      <c r="P753" s="74"/>
      <c r="Q753" s="57"/>
      <c r="R753" s="61" t="s">
        <v>31</v>
      </c>
      <c r="S753" s="61" t="s">
        <v>84</v>
      </c>
    </row>
    <row r="754" spans="2:20" s="62" customFormat="1" ht="30" customHeight="1" outlineLevel="1" x14ac:dyDescent="0.25">
      <c r="B754" s="53" t="s">
        <v>1154</v>
      </c>
      <c r="C754" s="58" t="s">
        <v>32</v>
      </c>
      <c r="D754" s="54" t="s">
        <v>34</v>
      </c>
      <c r="E754" s="64" t="s">
        <v>23</v>
      </c>
      <c r="F754" s="64" t="s">
        <v>35</v>
      </c>
      <c r="G754" s="63">
        <v>2</v>
      </c>
      <c r="H754" s="57" t="s">
        <v>36</v>
      </c>
      <c r="I754" s="54" t="s">
        <v>37</v>
      </c>
      <c r="J754" s="54" t="s">
        <v>38</v>
      </c>
      <c r="K754" s="54" t="s">
        <v>39</v>
      </c>
      <c r="L754" s="54" t="s">
        <v>40</v>
      </c>
      <c r="M754" s="58" t="s">
        <v>553</v>
      </c>
      <c r="N754" s="54" t="s">
        <v>42</v>
      </c>
      <c r="O754" s="59">
        <v>46104</v>
      </c>
      <c r="P754" s="74"/>
      <c r="Q754" s="57"/>
      <c r="R754" s="61" t="s">
        <v>31</v>
      </c>
      <c r="S754" s="61" t="s">
        <v>31</v>
      </c>
      <c r="T754" s="62" t="s">
        <v>1155</v>
      </c>
    </row>
    <row r="755" spans="2:20" s="62" customFormat="1" outlineLevel="1" x14ac:dyDescent="0.25">
      <c r="B755" s="53" t="s">
        <v>1154</v>
      </c>
      <c r="C755" s="58">
        <v>3</v>
      </c>
      <c r="D755" s="54" t="s">
        <v>43</v>
      </c>
      <c r="E755" s="64" t="s">
        <v>23</v>
      </c>
      <c r="F755" s="64" t="s">
        <v>44</v>
      </c>
      <c r="G755" s="63">
        <v>1</v>
      </c>
      <c r="H755" s="57" t="s">
        <v>24</v>
      </c>
      <c r="I755" s="54" t="s">
        <v>45</v>
      </c>
      <c r="J755" s="54" t="s">
        <v>46</v>
      </c>
      <c r="K755" s="54" t="s">
        <v>47</v>
      </c>
      <c r="L755" s="54" t="s">
        <v>48</v>
      </c>
      <c r="M755" s="58" t="s">
        <v>49</v>
      </c>
      <c r="N755" s="54" t="s">
        <v>50</v>
      </c>
      <c r="O755" s="59">
        <v>46104</v>
      </c>
      <c r="P755" s="74"/>
      <c r="Q755" s="57"/>
      <c r="R755" s="61" t="s">
        <v>31</v>
      </c>
      <c r="S755" s="61" t="s">
        <v>31</v>
      </c>
    </row>
    <row r="756" spans="2:20" s="62" customFormat="1" outlineLevel="1" x14ac:dyDescent="0.25">
      <c r="B756" s="53" t="s">
        <v>1154</v>
      </c>
      <c r="C756" s="58">
        <v>4</v>
      </c>
      <c r="D756" s="54" t="s">
        <v>51</v>
      </c>
      <c r="E756" s="64" t="s">
        <v>23</v>
      </c>
      <c r="F756" s="64" t="s">
        <v>52</v>
      </c>
      <c r="G756" s="63">
        <v>1</v>
      </c>
      <c r="H756" s="57" t="s">
        <v>24</v>
      </c>
      <c r="I756" s="54" t="s">
        <v>53</v>
      </c>
      <c r="J756" s="54" t="s">
        <v>54</v>
      </c>
      <c r="K756" s="54" t="s">
        <v>55</v>
      </c>
      <c r="L756" s="54" t="s">
        <v>56</v>
      </c>
      <c r="M756" s="58" t="s">
        <v>57</v>
      </c>
      <c r="N756" s="54" t="s">
        <v>58</v>
      </c>
      <c r="O756" s="59">
        <v>46104</v>
      </c>
      <c r="P756" s="74"/>
      <c r="Q756" s="57"/>
      <c r="R756" s="61" t="s">
        <v>31</v>
      </c>
      <c r="S756" s="61" t="s">
        <v>31</v>
      </c>
    </row>
    <row r="757" spans="2:20" s="62" customFormat="1" outlineLevel="1" x14ac:dyDescent="0.25">
      <c r="B757" s="53" t="s">
        <v>1154</v>
      </c>
      <c r="C757" s="58">
        <v>5</v>
      </c>
      <c r="D757" s="54" t="s">
        <v>59</v>
      </c>
      <c r="E757" s="64" t="s">
        <v>23</v>
      </c>
      <c r="F757" s="64" t="s">
        <v>60</v>
      </c>
      <c r="G757" s="63">
        <v>1</v>
      </c>
      <c r="H757" s="57" t="s">
        <v>61</v>
      </c>
      <c r="I757" s="54" t="s">
        <v>62</v>
      </c>
      <c r="J757" s="54" t="s">
        <v>63</v>
      </c>
      <c r="K757" s="54" t="s">
        <v>64</v>
      </c>
      <c r="L757" s="54" t="s">
        <v>65</v>
      </c>
      <c r="M757" s="58" t="s">
        <v>66</v>
      </c>
      <c r="N757" s="54" t="s">
        <v>67</v>
      </c>
      <c r="O757" s="59">
        <v>46104</v>
      </c>
      <c r="P757" s="74"/>
      <c r="Q757" s="57"/>
      <c r="R757" s="61" t="s">
        <v>31</v>
      </c>
      <c r="S757" s="61" t="s">
        <v>31</v>
      </c>
    </row>
    <row r="758" spans="2:20" s="62" customFormat="1" outlineLevel="1" x14ac:dyDescent="0.25">
      <c r="B758" s="53" t="s">
        <v>1154</v>
      </c>
      <c r="C758" s="58">
        <v>6</v>
      </c>
      <c r="D758" s="54" t="s">
        <v>68</v>
      </c>
      <c r="E758" s="64" t="s">
        <v>23</v>
      </c>
      <c r="F758" s="64" t="s">
        <v>69</v>
      </c>
      <c r="G758" s="63">
        <v>1</v>
      </c>
      <c r="H758" s="57" t="s">
        <v>61</v>
      </c>
      <c r="I758" s="54" t="s">
        <v>70</v>
      </c>
      <c r="J758" s="54" t="s">
        <v>71</v>
      </c>
      <c r="K758" s="53" t="s">
        <v>72</v>
      </c>
      <c r="L758" s="54" t="s">
        <v>73</v>
      </c>
      <c r="M758" s="58" t="s">
        <v>73</v>
      </c>
      <c r="N758" s="54" t="s">
        <v>74</v>
      </c>
      <c r="O758" s="59">
        <v>46104</v>
      </c>
      <c r="P758" s="74"/>
      <c r="Q758" s="57"/>
      <c r="R758" s="61" t="s">
        <v>31</v>
      </c>
      <c r="S758" s="61" t="s">
        <v>31</v>
      </c>
    </row>
    <row r="759" spans="2:20" s="62" customFormat="1" outlineLevel="1" x14ac:dyDescent="0.25">
      <c r="B759" s="53" t="s">
        <v>1154</v>
      </c>
      <c r="C759" s="58">
        <v>7</v>
      </c>
      <c r="D759" s="54" t="s">
        <v>75</v>
      </c>
      <c r="E759" s="64" t="s">
        <v>23</v>
      </c>
      <c r="F759" s="64" t="s">
        <v>76</v>
      </c>
      <c r="G759" s="63">
        <v>1</v>
      </c>
      <c r="H759" s="57" t="s">
        <v>77</v>
      </c>
      <c r="I759" s="54" t="s">
        <v>78</v>
      </c>
      <c r="J759" s="54" t="s">
        <v>79</v>
      </c>
      <c r="K759" s="54" t="s">
        <v>80</v>
      </c>
      <c r="L759" s="54" t="s">
        <v>81</v>
      </c>
      <c r="M759" s="58" t="s">
        <v>82</v>
      </c>
      <c r="N759" s="54" t="s">
        <v>83</v>
      </c>
      <c r="O759" s="59">
        <v>46104</v>
      </c>
      <c r="P759" s="74"/>
      <c r="Q759" s="57"/>
      <c r="R759" s="61" t="s">
        <v>31</v>
      </c>
      <c r="S759" s="61" t="s">
        <v>84</v>
      </c>
    </row>
    <row r="760" spans="2:20" s="62" customFormat="1" outlineLevel="1" x14ac:dyDescent="0.25">
      <c r="B760" s="53" t="s">
        <v>1154</v>
      </c>
      <c r="C760" s="58">
        <v>8</v>
      </c>
      <c r="D760" s="54" t="s">
        <v>85</v>
      </c>
      <c r="E760" s="64" t="s">
        <v>23</v>
      </c>
      <c r="F760" s="64" t="s">
        <v>86</v>
      </c>
      <c r="G760" s="63">
        <v>1</v>
      </c>
      <c r="H760" s="57" t="s">
        <v>87</v>
      </c>
      <c r="I760" s="54" t="s">
        <v>88</v>
      </c>
      <c r="J760" s="54" t="s">
        <v>89</v>
      </c>
      <c r="K760" s="54" t="s">
        <v>90</v>
      </c>
      <c r="L760" s="54" t="s">
        <v>91</v>
      </c>
      <c r="M760" s="58" t="s">
        <v>92</v>
      </c>
      <c r="N760" s="54" t="s">
        <v>93</v>
      </c>
      <c r="O760" s="59">
        <v>46104</v>
      </c>
      <c r="P760" s="74"/>
      <c r="Q760" s="57"/>
      <c r="R760" s="61" t="s">
        <v>31</v>
      </c>
      <c r="S760" s="61" t="s">
        <v>84</v>
      </c>
    </row>
    <row r="761" spans="2:20" s="62" customFormat="1" outlineLevel="1" x14ac:dyDescent="0.25">
      <c r="B761" s="53" t="s">
        <v>1154</v>
      </c>
      <c r="C761" s="58">
        <v>9</v>
      </c>
      <c r="D761" s="54" t="s">
        <v>94</v>
      </c>
      <c r="E761" s="64" t="s">
        <v>23</v>
      </c>
      <c r="F761" s="64" t="s">
        <v>95</v>
      </c>
      <c r="G761" s="63">
        <v>1</v>
      </c>
      <c r="H761" s="57" t="s">
        <v>36</v>
      </c>
      <c r="I761" s="54" t="s">
        <v>96</v>
      </c>
      <c r="J761" s="54" t="s">
        <v>97</v>
      </c>
      <c r="K761" s="54" t="s">
        <v>98</v>
      </c>
      <c r="L761" s="54" t="s">
        <v>99</v>
      </c>
      <c r="M761" s="58" t="s">
        <v>100</v>
      </c>
      <c r="N761" s="54" t="s">
        <v>101</v>
      </c>
      <c r="O761" s="59">
        <v>46104</v>
      </c>
      <c r="P761" s="74"/>
      <c r="Q761" s="57"/>
      <c r="R761" s="61" t="s">
        <v>31</v>
      </c>
      <c r="S761" s="61" t="s">
        <v>31</v>
      </c>
    </row>
    <row r="762" spans="2:20" s="62" customFormat="1" ht="30" customHeight="1" outlineLevel="1" x14ac:dyDescent="0.25">
      <c r="B762" s="53"/>
      <c r="C762" s="58" t="s">
        <v>1156</v>
      </c>
      <c r="D762" s="54" t="s">
        <v>725</v>
      </c>
      <c r="E762" s="64" t="s">
        <v>23</v>
      </c>
      <c r="F762" s="64" t="s">
        <v>726</v>
      </c>
      <c r="G762" s="63">
        <v>2</v>
      </c>
      <c r="H762" s="57" t="s">
        <v>727</v>
      </c>
      <c r="I762" s="54" t="s">
        <v>1157</v>
      </c>
      <c r="J762" s="54" t="s">
        <v>1158</v>
      </c>
      <c r="K762" s="54" t="s">
        <v>1159</v>
      </c>
      <c r="L762" s="54" t="s">
        <v>731</v>
      </c>
      <c r="M762" s="58" t="s">
        <v>1160</v>
      </c>
      <c r="N762" s="54" t="s">
        <v>733</v>
      </c>
      <c r="O762" s="59">
        <v>46132</v>
      </c>
      <c r="P762" s="74"/>
      <c r="Q762" s="57"/>
      <c r="R762" s="61" t="s">
        <v>31</v>
      </c>
      <c r="S762" s="61" t="s">
        <v>31</v>
      </c>
    </row>
    <row r="763" spans="2:20" s="62" customFormat="1" outlineLevel="1" x14ac:dyDescent="0.25">
      <c r="B763" s="53" t="s">
        <v>1154</v>
      </c>
      <c r="C763" s="58">
        <v>10</v>
      </c>
      <c r="D763" s="54" t="s">
        <v>102</v>
      </c>
      <c r="E763" s="64" t="s">
        <v>23</v>
      </c>
      <c r="F763" s="64" t="s">
        <v>103</v>
      </c>
      <c r="G763" s="63">
        <v>1</v>
      </c>
      <c r="H763" s="57" t="s">
        <v>61</v>
      </c>
      <c r="I763" s="54" t="s">
        <v>104</v>
      </c>
      <c r="J763" s="54" t="s">
        <v>105</v>
      </c>
      <c r="K763" s="54" t="s">
        <v>106</v>
      </c>
      <c r="L763" s="54" t="s">
        <v>107</v>
      </c>
      <c r="M763" s="58" t="s">
        <v>107</v>
      </c>
      <c r="N763" s="54" t="s">
        <v>108</v>
      </c>
      <c r="O763" s="59">
        <v>46104</v>
      </c>
      <c r="P763" s="74"/>
      <c r="Q763" s="57"/>
      <c r="R763" s="61" t="s">
        <v>31</v>
      </c>
      <c r="S763" s="61" t="s">
        <v>84</v>
      </c>
    </row>
    <row r="764" spans="2:20" s="62" customFormat="1" outlineLevel="1" x14ac:dyDescent="0.25">
      <c r="B764" s="53" t="s">
        <v>1154</v>
      </c>
      <c r="C764" s="58">
        <v>11</v>
      </c>
      <c r="D764" s="54" t="s">
        <v>109</v>
      </c>
      <c r="E764" s="64" t="s">
        <v>23</v>
      </c>
      <c r="F764" s="64" t="s">
        <v>110</v>
      </c>
      <c r="G764" s="63">
        <v>1</v>
      </c>
      <c r="H764" s="57" t="s">
        <v>111</v>
      </c>
      <c r="I764" s="54" t="s">
        <v>112</v>
      </c>
      <c r="J764" s="54" t="s">
        <v>113</v>
      </c>
      <c r="K764" s="54" t="s">
        <v>114</v>
      </c>
      <c r="L764" s="54" t="s">
        <v>115</v>
      </c>
      <c r="M764" s="58" t="s">
        <v>115</v>
      </c>
      <c r="N764" s="54" t="s">
        <v>116</v>
      </c>
      <c r="O764" s="59">
        <v>46104</v>
      </c>
      <c r="P764" s="74"/>
      <c r="Q764" s="57"/>
      <c r="R764" s="61" t="s">
        <v>31</v>
      </c>
      <c r="S764" s="61" t="s">
        <v>84</v>
      </c>
    </row>
    <row r="765" spans="2:20" s="62" customFormat="1" outlineLevel="1" x14ac:dyDescent="0.25">
      <c r="B765" s="53" t="s">
        <v>1154</v>
      </c>
      <c r="C765" s="58">
        <v>12</v>
      </c>
      <c r="D765" s="54" t="s">
        <v>117</v>
      </c>
      <c r="E765" s="64" t="s">
        <v>23</v>
      </c>
      <c r="F765" s="64" t="s">
        <v>118</v>
      </c>
      <c r="G765" s="63">
        <v>1</v>
      </c>
      <c r="H765" s="57" t="s">
        <v>24</v>
      </c>
      <c r="I765" s="54" t="s">
        <v>119</v>
      </c>
      <c r="J765" s="54" t="s">
        <v>120</v>
      </c>
      <c r="K765" s="54" t="s">
        <v>121</v>
      </c>
      <c r="L765" s="54" t="s">
        <v>122</v>
      </c>
      <c r="M765" s="58" t="s">
        <v>123</v>
      </c>
      <c r="N765" s="54" t="s">
        <v>124</v>
      </c>
      <c r="O765" s="59">
        <v>46104</v>
      </c>
      <c r="P765" s="74"/>
      <c r="Q765" s="57"/>
      <c r="R765" s="61" t="s">
        <v>31</v>
      </c>
      <c r="S765" s="61" t="s">
        <v>31</v>
      </c>
    </row>
    <row r="766" spans="2:20" s="62" customFormat="1" outlineLevel="1" x14ac:dyDescent="0.25">
      <c r="B766" s="53" t="s">
        <v>1154</v>
      </c>
      <c r="C766" s="58">
        <v>13</v>
      </c>
      <c r="D766" s="54" t="s">
        <v>125</v>
      </c>
      <c r="E766" s="64" t="s">
        <v>23</v>
      </c>
      <c r="F766" s="64" t="s">
        <v>126</v>
      </c>
      <c r="G766" s="63">
        <v>1</v>
      </c>
      <c r="H766" s="57" t="s">
        <v>127</v>
      </c>
      <c r="I766" s="54" t="s">
        <v>128</v>
      </c>
      <c r="J766" s="54" t="s">
        <v>129</v>
      </c>
      <c r="K766" s="54" t="s">
        <v>130</v>
      </c>
      <c r="L766" s="54" t="s">
        <v>131</v>
      </c>
      <c r="M766" s="58" t="s">
        <v>132</v>
      </c>
      <c r="N766" s="54" t="s">
        <v>133</v>
      </c>
      <c r="O766" s="59">
        <v>46104</v>
      </c>
      <c r="P766" s="74"/>
      <c r="Q766" s="57"/>
      <c r="R766" s="61" t="s">
        <v>31</v>
      </c>
      <c r="S766" s="61" t="s">
        <v>84</v>
      </c>
    </row>
    <row r="767" spans="2:20" s="62" customFormat="1" outlineLevel="1" x14ac:dyDescent="0.25">
      <c r="B767" s="53" t="s">
        <v>1154</v>
      </c>
      <c r="C767" s="58">
        <v>14</v>
      </c>
      <c r="D767" s="54" t="s">
        <v>134</v>
      </c>
      <c r="E767" s="64" t="s">
        <v>23</v>
      </c>
      <c r="F767" s="64" t="s">
        <v>135</v>
      </c>
      <c r="G767" s="63">
        <v>1</v>
      </c>
      <c r="H767" s="57" t="s">
        <v>24</v>
      </c>
      <c r="I767" s="54" t="s">
        <v>136</v>
      </c>
      <c r="J767" s="54" t="s">
        <v>137</v>
      </c>
      <c r="K767" s="54" t="s">
        <v>138</v>
      </c>
      <c r="L767" s="54" t="s">
        <v>139</v>
      </c>
      <c r="M767" s="58" t="s">
        <v>140</v>
      </c>
      <c r="N767" s="54" t="s">
        <v>141</v>
      </c>
      <c r="O767" s="59">
        <v>46104</v>
      </c>
      <c r="P767" s="74"/>
      <c r="Q767" s="57"/>
      <c r="R767" s="61" t="s">
        <v>31</v>
      </c>
      <c r="S767" s="61" t="s">
        <v>31</v>
      </c>
    </row>
    <row r="768" spans="2:20" s="62" customFormat="1" outlineLevel="1" x14ac:dyDescent="0.25">
      <c r="B768" s="53" t="s">
        <v>1154</v>
      </c>
      <c r="C768" s="58">
        <v>15</v>
      </c>
      <c r="D768" s="54" t="s">
        <v>142</v>
      </c>
      <c r="E768" s="64" t="s">
        <v>23</v>
      </c>
      <c r="F768" s="64" t="s">
        <v>143</v>
      </c>
      <c r="G768" s="63">
        <v>1</v>
      </c>
      <c r="H768" s="57" t="s">
        <v>61</v>
      </c>
      <c r="I768" s="54" t="s">
        <v>144</v>
      </c>
      <c r="J768" s="54" t="s">
        <v>145</v>
      </c>
      <c r="K768" s="54" t="s">
        <v>146</v>
      </c>
      <c r="L768" s="54" t="s">
        <v>147</v>
      </c>
      <c r="M768" s="58" t="s">
        <v>148</v>
      </c>
      <c r="N768" s="54" t="s">
        <v>149</v>
      </c>
      <c r="O768" s="59">
        <v>46104</v>
      </c>
      <c r="P768" s="74"/>
      <c r="Q768" s="57"/>
      <c r="R768" s="61" t="s">
        <v>31</v>
      </c>
      <c r="S768" s="61" t="s">
        <v>84</v>
      </c>
    </row>
    <row r="769" spans="2:19" s="62" customFormat="1" outlineLevel="1" x14ac:dyDescent="0.25">
      <c r="B769" s="53" t="s">
        <v>1154</v>
      </c>
      <c r="C769" s="58">
        <v>16</v>
      </c>
      <c r="D769" s="54" t="s">
        <v>150</v>
      </c>
      <c r="E769" s="64" t="s">
        <v>23</v>
      </c>
      <c r="F769" s="64" t="s">
        <v>151</v>
      </c>
      <c r="G769" s="63">
        <v>1</v>
      </c>
      <c r="H769" s="57" t="s">
        <v>152</v>
      </c>
      <c r="I769" s="54" t="s">
        <v>153</v>
      </c>
      <c r="J769" s="54" t="s">
        <v>154</v>
      </c>
      <c r="K769" s="54" t="s">
        <v>155</v>
      </c>
      <c r="L769" s="54" t="s">
        <v>156</v>
      </c>
      <c r="M769" s="58" t="s">
        <v>157</v>
      </c>
      <c r="N769" s="54" t="s">
        <v>158</v>
      </c>
      <c r="O769" s="59">
        <v>46104</v>
      </c>
      <c r="P769" s="74"/>
      <c r="Q769" s="57"/>
      <c r="R769" s="61" t="s">
        <v>31</v>
      </c>
      <c r="S769" s="61" t="s">
        <v>84</v>
      </c>
    </row>
    <row r="770" spans="2:19" s="62" customFormat="1" outlineLevel="1" x14ac:dyDescent="0.25">
      <c r="B770" s="53" t="s">
        <v>1154</v>
      </c>
      <c r="C770" s="58">
        <v>17</v>
      </c>
      <c r="D770" s="54" t="s">
        <v>159</v>
      </c>
      <c r="E770" s="64" t="s">
        <v>23</v>
      </c>
      <c r="F770" s="64" t="s">
        <v>160</v>
      </c>
      <c r="G770" s="63">
        <v>1</v>
      </c>
      <c r="H770" s="57" t="s">
        <v>61</v>
      </c>
      <c r="I770" s="54" t="s">
        <v>161</v>
      </c>
      <c r="J770" s="54" t="s">
        <v>162</v>
      </c>
      <c r="K770" s="54" t="s">
        <v>163</v>
      </c>
      <c r="L770" s="54" t="s">
        <v>164</v>
      </c>
      <c r="M770" s="58" t="s">
        <v>164</v>
      </c>
      <c r="N770" s="54" t="s">
        <v>165</v>
      </c>
      <c r="O770" s="59">
        <v>46104</v>
      </c>
      <c r="P770" s="74"/>
      <c r="Q770" s="57"/>
      <c r="R770" s="61" t="s">
        <v>31</v>
      </c>
      <c r="S770" s="61" t="s">
        <v>31</v>
      </c>
    </row>
    <row r="771" spans="2:19" s="62" customFormat="1" outlineLevel="1" x14ac:dyDescent="0.25">
      <c r="B771" s="53" t="s">
        <v>1154</v>
      </c>
      <c r="C771" s="58">
        <v>18</v>
      </c>
      <c r="D771" s="54" t="s">
        <v>166</v>
      </c>
      <c r="E771" s="64" t="s">
        <v>23</v>
      </c>
      <c r="F771" s="64" t="s">
        <v>167</v>
      </c>
      <c r="G771" s="63">
        <v>1</v>
      </c>
      <c r="H771" s="57" t="s">
        <v>61</v>
      </c>
      <c r="I771" s="54" t="s">
        <v>168</v>
      </c>
      <c r="J771" s="54" t="s">
        <v>169</v>
      </c>
      <c r="K771" s="54" t="s">
        <v>170</v>
      </c>
      <c r="L771" s="54" t="s">
        <v>171</v>
      </c>
      <c r="M771" s="58" t="s">
        <v>172</v>
      </c>
      <c r="N771" s="54" t="s">
        <v>173</v>
      </c>
      <c r="O771" s="59">
        <v>46104</v>
      </c>
      <c r="P771" s="74"/>
      <c r="Q771" s="57"/>
      <c r="R771" s="61" t="s">
        <v>31</v>
      </c>
      <c r="S771" s="61" t="s">
        <v>84</v>
      </c>
    </row>
    <row r="772" spans="2:19" s="62" customFormat="1" outlineLevel="1" x14ac:dyDescent="0.25">
      <c r="B772" s="53" t="s">
        <v>1154</v>
      </c>
      <c r="C772" s="58">
        <v>19</v>
      </c>
      <c r="D772" s="54" t="s">
        <v>174</v>
      </c>
      <c r="E772" s="64" t="s">
        <v>23</v>
      </c>
      <c r="F772" s="64" t="s">
        <v>175</v>
      </c>
      <c r="G772" s="63">
        <v>1</v>
      </c>
      <c r="H772" s="57" t="s">
        <v>152</v>
      </c>
      <c r="I772" s="54" t="s">
        <v>176</v>
      </c>
      <c r="J772" s="54" t="s">
        <v>177</v>
      </c>
      <c r="K772" s="54" t="s">
        <v>178</v>
      </c>
      <c r="L772" s="54" t="s">
        <v>179</v>
      </c>
      <c r="M772" s="58" t="s">
        <v>180</v>
      </c>
      <c r="N772" s="54" t="s">
        <v>181</v>
      </c>
      <c r="O772" s="59">
        <v>46104</v>
      </c>
      <c r="P772" s="74"/>
      <c r="Q772" s="57"/>
      <c r="R772" s="61" t="s">
        <v>31</v>
      </c>
      <c r="S772" s="61" t="s">
        <v>84</v>
      </c>
    </row>
    <row r="773" spans="2:19" s="62" customFormat="1" outlineLevel="1" x14ac:dyDescent="0.25">
      <c r="B773" s="53" t="s">
        <v>1154</v>
      </c>
      <c r="C773" s="58">
        <v>20</v>
      </c>
      <c r="D773" s="54" t="s">
        <v>182</v>
      </c>
      <c r="E773" s="64" t="s">
        <v>23</v>
      </c>
      <c r="F773" s="64" t="s">
        <v>183</v>
      </c>
      <c r="G773" s="63">
        <v>1</v>
      </c>
      <c r="H773" s="57" t="s">
        <v>111</v>
      </c>
      <c r="I773" s="54" t="s">
        <v>184</v>
      </c>
      <c r="J773" s="54" t="s">
        <v>185</v>
      </c>
      <c r="K773" s="54" t="s">
        <v>186</v>
      </c>
      <c r="L773" s="54" t="s">
        <v>187</v>
      </c>
      <c r="M773" s="58" t="s">
        <v>188</v>
      </c>
      <c r="N773" s="54" t="s">
        <v>189</v>
      </c>
      <c r="O773" s="59">
        <v>46104</v>
      </c>
      <c r="P773" s="74"/>
      <c r="Q773" s="57"/>
      <c r="R773" s="61" t="s">
        <v>31</v>
      </c>
      <c r="S773" s="61" t="s">
        <v>84</v>
      </c>
    </row>
    <row r="774" spans="2:19" s="62" customFormat="1" outlineLevel="1" x14ac:dyDescent="0.25">
      <c r="B774" s="53" t="s">
        <v>1154</v>
      </c>
      <c r="C774" s="58">
        <v>21</v>
      </c>
      <c r="D774" s="54" t="s">
        <v>190</v>
      </c>
      <c r="E774" s="64" t="s">
        <v>23</v>
      </c>
      <c r="F774" s="64" t="s">
        <v>191</v>
      </c>
      <c r="G774" s="63">
        <v>1</v>
      </c>
      <c r="H774" s="57" t="s">
        <v>24</v>
      </c>
      <c r="I774" s="54" t="s">
        <v>192</v>
      </c>
      <c r="J774" s="53" t="s">
        <v>193</v>
      </c>
      <c r="K774" s="54" t="s">
        <v>194</v>
      </c>
      <c r="L774" s="54" t="s">
        <v>1161</v>
      </c>
      <c r="M774" s="58" t="s">
        <v>196</v>
      </c>
      <c r="N774" s="54" t="s">
        <v>197</v>
      </c>
      <c r="O774" s="59">
        <v>46104</v>
      </c>
      <c r="P774" s="74"/>
      <c r="Q774" s="57"/>
      <c r="R774" s="61" t="s">
        <v>31</v>
      </c>
      <c r="S774" s="61" t="s">
        <v>31</v>
      </c>
    </row>
    <row r="775" spans="2:19" s="62" customFormat="1" outlineLevel="1" x14ac:dyDescent="0.25">
      <c r="B775" s="53" t="s">
        <v>1154</v>
      </c>
      <c r="C775" s="58">
        <v>22</v>
      </c>
      <c r="D775" s="54" t="s">
        <v>198</v>
      </c>
      <c r="E775" s="64" t="s">
        <v>23</v>
      </c>
      <c r="F775" s="64" t="s">
        <v>199</v>
      </c>
      <c r="G775" s="63">
        <v>1</v>
      </c>
      <c r="H775" s="57" t="s">
        <v>200</v>
      </c>
      <c r="I775" s="54" t="s">
        <v>201</v>
      </c>
      <c r="J775" s="54" t="s">
        <v>202</v>
      </c>
      <c r="K775" s="54" t="s">
        <v>203</v>
      </c>
      <c r="L775" s="54" t="s">
        <v>204</v>
      </c>
      <c r="M775" s="58" t="s">
        <v>205</v>
      </c>
      <c r="N775" s="54" t="s">
        <v>206</v>
      </c>
      <c r="O775" s="59">
        <v>46104</v>
      </c>
      <c r="P775" s="74"/>
      <c r="Q775" s="57"/>
      <c r="R775" s="61" t="s">
        <v>31</v>
      </c>
      <c r="S775" s="61" t="s">
        <v>84</v>
      </c>
    </row>
    <row r="776" spans="2:19" s="62" customFormat="1" outlineLevel="1" x14ac:dyDescent="0.25">
      <c r="B776" s="53" t="s">
        <v>1154</v>
      </c>
      <c r="C776" s="58">
        <v>23</v>
      </c>
      <c r="D776" s="54" t="s">
        <v>207</v>
      </c>
      <c r="E776" s="64" t="s">
        <v>23</v>
      </c>
      <c r="F776" s="64" t="s">
        <v>208</v>
      </c>
      <c r="G776" s="63">
        <v>1</v>
      </c>
      <c r="H776" s="57" t="s">
        <v>61</v>
      </c>
      <c r="I776" s="54" t="s">
        <v>209</v>
      </c>
      <c r="J776" s="54" t="s">
        <v>210</v>
      </c>
      <c r="K776" s="54" t="s">
        <v>211</v>
      </c>
      <c r="L776" s="54" t="s">
        <v>212</v>
      </c>
      <c r="M776" s="58" t="s">
        <v>213</v>
      </c>
      <c r="N776" s="54" t="s">
        <v>214</v>
      </c>
      <c r="O776" s="59">
        <v>46104</v>
      </c>
      <c r="P776" s="74"/>
      <c r="Q776" s="57"/>
      <c r="R776" s="61" t="s">
        <v>31</v>
      </c>
      <c r="S776" s="61" t="s">
        <v>31</v>
      </c>
    </row>
    <row r="777" spans="2:19" s="62" customFormat="1" outlineLevel="1" x14ac:dyDescent="0.25">
      <c r="B777" s="53" t="s">
        <v>1154</v>
      </c>
      <c r="C777" s="58">
        <v>24</v>
      </c>
      <c r="D777" s="54" t="s">
        <v>215</v>
      </c>
      <c r="E777" s="64" t="s">
        <v>23</v>
      </c>
      <c r="F777" s="64" t="s">
        <v>216</v>
      </c>
      <c r="G777" s="63">
        <v>1</v>
      </c>
      <c r="H777" s="57" t="s">
        <v>24</v>
      </c>
      <c r="I777" s="54" t="s">
        <v>217</v>
      </c>
      <c r="J777" s="54" t="s">
        <v>218</v>
      </c>
      <c r="K777" s="54" t="s">
        <v>219</v>
      </c>
      <c r="L777" s="54" t="s">
        <v>1162</v>
      </c>
      <c r="M777" s="58" t="s">
        <v>1163</v>
      </c>
      <c r="N777" s="54" t="s">
        <v>222</v>
      </c>
      <c r="O777" s="59">
        <v>46104</v>
      </c>
      <c r="P777" s="74"/>
      <c r="Q777" s="57"/>
      <c r="R777" s="61" t="s">
        <v>31</v>
      </c>
      <c r="S777" s="61" t="s">
        <v>31</v>
      </c>
    </row>
    <row r="778" spans="2:19" s="62" customFormat="1" outlineLevel="1" x14ac:dyDescent="0.25">
      <c r="B778" s="53" t="s">
        <v>1154</v>
      </c>
      <c r="C778" s="58">
        <v>25</v>
      </c>
      <c r="D778" s="54" t="s">
        <v>223</v>
      </c>
      <c r="E778" s="64" t="s">
        <v>23</v>
      </c>
      <c r="F778" s="64" t="s">
        <v>224</v>
      </c>
      <c r="G778" s="63">
        <v>1</v>
      </c>
      <c r="H778" s="57" t="s">
        <v>61</v>
      </c>
      <c r="I778" s="54" t="s">
        <v>225</v>
      </c>
      <c r="J778" s="54" t="s">
        <v>226</v>
      </c>
      <c r="K778" s="54" t="s">
        <v>227</v>
      </c>
      <c r="L778" s="54" t="s">
        <v>228</v>
      </c>
      <c r="M778" s="58" t="s">
        <v>229</v>
      </c>
      <c r="N778" s="54" t="s">
        <v>230</v>
      </c>
      <c r="O778" s="59">
        <v>46104</v>
      </c>
      <c r="P778" s="74"/>
      <c r="Q778" s="57"/>
      <c r="R778" s="61" t="s">
        <v>31</v>
      </c>
      <c r="S778" s="61" t="s">
        <v>31</v>
      </c>
    </row>
    <row r="779" spans="2:19" s="62" customFormat="1" ht="30" customHeight="1" outlineLevel="1" x14ac:dyDescent="0.25">
      <c r="B779" s="53" t="s">
        <v>1154</v>
      </c>
      <c r="C779" s="58">
        <v>26</v>
      </c>
      <c r="D779" s="54" t="s">
        <v>231</v>
      </c>
      <c r="E779" s="64" t="s">
        <v>23</v>
      </c>
      <c r="F779" s="64" t="s">
        <v>232</v>
      </c>
      <c r="G779" s="63">
        <v>1</v>
      </c>
      <c r="H779" s="57" t="s">
        <v>61</v>
      </c>
      <c r="I779" s="54" t="s">
        <v>233</v>
      </c>
      <c r="J779" s="54" t="s">
        <v>234</v>
      </c>
      <c r="K779" s="54" t="s">
        <v>235</v>
      </c>
      <c r="L779" s="54" t="s">
        <v>236</v>
      </c>
      <c r="M779" s="58" t="s">
        <v>891</v>
      </c>
      <c r="N779" s="54" t="s">
        <v>238</v>
      </c>
      <c r="O779" s="59">
        <v>46104</v>
      </c>
      <c r="P779" s="74"/>
      <c r="Q779" s="57"/>
      <c r="R779" s="61" t="s">
        <v>31</v>
      </c>
      <c r="S779" s="61" t="s">
        <v>84</v>
      </c>
    </row>
    <row r="780" spans="2:19" s="62" customFormat="1" outlineLevel="1" x14ac:dyDescent="0.25">
      <c r="B780" s="53" t="s">
        <v>1154</v>
      </c>
      <c r="C780" s="58">
        <v>27</v>
      </c>
      <c r="D780" s="54" t="s">
        <v>239</v>
      </c>
      <c r="E780" s="64" t="s">
        <v>23</v>
      </c>
      <c r="F780" s="64" t="s">
        <v>240</v>
      </c>
      <c r="G780" s="63">
        <v>1</v>
      </c>
      <c r="H780" s="57" t="s">
        <v>24</v>
      </c>
      <c r="I780" s="54" t="s">
        <v>241</v>
      </c>
      <c r="J780" s="54" t="s">
        <v>242</v>
      </c>
      <c r="K780" s="54" t="s">
        <v>243</v>
      </c>
      <c r="L780" s="54" t="s">
        <v>244</v>
      </c>
      <c r="M780" s="58" t="s">
        <v>245</v>
      </c>
      <c r="N780" s="54" t="s">
        <v>246</v>
      </c>
      <c r="O780" s="59">
        <v>46104</v>
      </c>
      <c r="P780" s="74"/>
      <c r="Q780" s="57"/>
      <c r="R780" s="61" t="s">
        <v>31</v>
      </c>
      <c r="S780" s="61" t="s">
        <v>31</v>
      </c>
    </row>
    <row r="781" spans="2:19" s="62" customFormat="1" outlineLevel="1" x14ac:dyDescent="0.25">
      <c r="B781" s="53" t="s">
        <v>1154</v>
      </c>
      <c r="C781" s="58">
        <v>28</v>
      </c>
      <c r="D781" s="54" t="s">
        <v>247</v>
      </c>
      <c r="E781" s="64" t="s">
        <v>23</v>
      </c>
      <c r="F781" s="64" t="s">
        <v>248</v>
      </c>
      <c r="G781" s="63">
        <v>1</v>
      </c>
      <c r="H781" s="57" t="s">
        <v>61</v>
      </c>
      <c r="I781" s="54" t="s">
        <v>532</v>
      </c>
      <c r="J781" s="54" t="s">
        <v>533</v>
      </c>
      <c r="K781" s="53" t="s">
        <v>534</v>
      </c>
      <c r="L781" s="54" t="s">
        <v>252</v>
      </c>
      <c r="M781" s="58" t="s">
        <v>535</v>
      </c>
      <c r="N781" s="54" t="s">
        <v>254</v>
      </c>
      <c r="O781" s="59">
        <v>46104</v>
      </c>
      <c r="P781" s="74"/>
      <c r="Q781" s="57"/>
      <c r="R781" s="61" t="s">
        <v>31</v>
      </c>
      <c r="S781" s="61" t="s">
        <v>84</v>
      </c>
    </row>
    <row r="782" spans="2:19" s="62" customFormat="1" ht="30" customHeight="1" outlineLevel="1" x14ac:dyDescent="0.25">
      <c r="B782" s="53" t="s">
        <v>1154</v>
      </c>
      <c r="C782" s="58">
        <v>29</v>
      </c>
      <c r="D782" s="54" t="s">
        <v>255</v>
      </c>
      <c r="E782" s="64" t="s">
        <v>23</v>
      </c>
      <c r="F782" s="64" t="s">
        <v>256</v>
      </c>
      <c r="G782" s="63">
        <v>1</v>
      </c>
      <c r="H782" s="57" t="s">
        <v>61</v>
      </c>
      <c r="I782" s="54" t="s">
        <v>257</v>
      </c>
      <c r="J782" s="54" t="s">
        <v>258</v>
      </c>
      <c r="K782" s="54" t="s">
        <v>259</v>
      </c>
      <c r="L782" s="54" t="s">
        <v>260</v>
      </c>
      <c r="M782" s="58" t="s">
        <v>847</v>
      </c>
      <c r="N782" s="54" t="s">
        <v>262</v>
      </c>
      <c r="O782" s="59">
        <v>46104</v>
      </c>
      <c r="P782" s="74"/>
      <c r="Q782" s="57"/>
      <c r="R782" s="61" t="s">
        <v>31</v>
      </c>
      <c r="S782" s="61" t="s">
        <v>84</v>
      </c>
    </row>
    <row r="783" spans="2:19" s="62" customFormat="1" outlineLevel="1" x14ac:dyDescent="0.25">
      <c r="B783" s="53" t="s">
        <v>1154</v>
      </c>
      <c r="C783" s="58">
        <v>30</v>
      </c>
      <c r="D783" s="54" t="s">
        <v>263</v>
      </c>
      <c r="E783" s="64" t="s">
        <v>23</v>
      </c>
      <c r="F783" s="64" t="s">
        <v>264</v>
      </c>
      <c r="G783" s="63">
        <v>1</v>
      </c>
      <c r="H783" s="57" t="s">
        <v>61</v>
      </c>
      <c r="I783" s="54" t="s">
        <v>265</v>
      </c>
      <c r="J783" s="54" t="s">
        <v>266</v>
      </c>
      <c r="K783" s="54" t="s">
        <v>267</v>
      </c>
      <c r="L783" s="54" t="s">
        <v>252</v>
      </c>
      <c r="M783" s="58" t="s">
        <v>268</v>
      </c>
      <c r="N783" s="54" t="s">
        <v>269</v>
      </c>
      <c r="O783" s="59">
        <v>46104</v>
      </c>
      <c r="P783" s="74"/>
      <c r="Q783" s="57"/>
      <c r="R783" s="61" t="s">
        <v>31</v>
      </c>
      <c r="S783" s="61" t="s">
        <v>31</v>
      </c>
    </row>
    <row r="784" spans="2:19" s="62" customFormat="1" outlineLevel="1" x14ac:dyDescent="0.25">
      <c r="B784" s="53" t="s">
        <v>1154</v>
      </c>
      <c r="C784" s="58">
        <v>31</v>
      </c>
      <c r="D784" s="54" t="s">
        <v>270</v>
      </c>
      <c r="E784" s="64" t="s">
        <v>23</v>
      </c>
      <c r="F784" s="64" t="s">
        <v>271</v>
      </c>
      <c r="G784" s="63">
        <v>1</v>
      </c>
      <c r="H784" s="57" t="s">
        <v>61</v>
      </c>
      <c r="I784" s="54" t="s">
        <v>272</v>
      </c>
      <c r="J784" s="54" t="s">
        <v>273</v>
      </c>
      <c r="K784" s="54" t="s">
        <v>274</v>
      </c>
      <c r="L784" s="54" t="s">
        <v>275</v>
      </c>
      <c r="M784" s="58" t="s">
        <v>792</v>
      </c>
      <c r="N784" s="54" t="s">
        <v>277</v>
      </c>
      <c r="O784" s="59">
        <v>46104</v>
      </c>
      <c r="P784" s="74"/>
      <c r="Q784" s="57"/>
      <c r="R784" s="61" t="s">
        <v>31</v>
      </c>
      <c r="S784" s="61" t="s">
        <v>31</v>
      </c>
    </row>
    <row r="785" spans="2:19" s="62" customFormat="1" outlineLevel="1" x14ac:dyDescent="0.25">
      <c r="B785" s="53" t="s">
        <v>1154</v>
      </c>
      <c r="C785" s="58">
        <v>32</v>
      </c>
      <c r="D785" s="54" t="s">
        <v>278</v>
      </c>
      <c r="E785" s="64" t="s">
        <v>23</v>
      </c>
      <c r="F785" s="64" t="s">
        <v>279</v>
      </c>
      <c r="G785" s="63">
        <v>1</v>
      </c>
      <c r="H785" s="57" t="s">
        <v>61</v>
      </c>
      <c r="I785" s="54" t="s">
        <v>280</v>
      </c>
      <c r="J785" s="54" t="s">
        <v>281</v>
      </c>
      <c r="K785" s="54" t="s">
        <v>282</v>
      </c>
      <c r="L785" s="54" t="s">
        <v>283</v>
      </c>
      <c r="M785" s="58" t="s">
        <v>284</v>
      </c>
      <c r="N785" s="54" t="s">
        <v>285</v>
      </c>
      <c r="O785" s="59">
        <v>46104</v>
      </c>
      <c r="P785" s="74"/>
      <c r="Q785" s="57"/>
      <c r="R785" s="61" t="s">
        <v>31</v>
      </c>
      <c r="S785" s="61" t="s">
        <v>31</v>
      </c>
    </row>
    <row r="786" spans="2:19" s="62" customFormat="1" outlineLevel="1" x14ac:dyDescent="0.25">
      <c r="B786" s="53" t="s">
        <v>1154</v>
      </c>
      <c r="C786" s="58">
        <v>33</v>
      </c>
      <c r="D786" s="54" t="s">
        <v>286</v>
      </c>
      <c r="E786" s="64" t="s">
        <v>23</v>
      </c>
      <c r="F786" s="64" t="s">
        <v>287</v>
      </c>
      <c r="G786" s="63">
        <v>1</v>
      </c>
      <c r="H786" s="57" t="s">
        <v>61</v>
      </c>
      <c r="I786" s="54" t="s">
        <v>288</v>
      </c>
      <c r="J786" s="54" t="s">
        <v>289</v>
      </c>
      <c r="K786" s="54" t="s">
        <v>290</v>
      </c>
      <c r="L786" s="54" t="s">
        <v>291</v>
      </c>
      <c r="M786" s="58" t="s">
        <v>292</v>
      </c>
      <c r="N786" s="54" t="s">
        <v>293</v>
      </c>
      <c r="O786" s="59">
        <v>46104</v>
      </c>
      <c r="P786" s="74"/>
      <c r="Q786" s="57"/>
      <c r="R786" s="61" t="s">
        <v>31</v>
      </c>
      <c r="S786" s="61" t="s">
        <v>84</v>
      </c>
    </row>
    <row r="787" spans="2:19" s="62" customFormat="1" outlineLevel="1" x14ac:dyDescent="0.25">
      <c r="B787" s="53" t="s">
        <v>1154</v>
      </c>
      <c r="C787" s="58">
        <v>34</v>
      </c>
      <c r="D787" s="54" t="s">
        <v>294</v>
      </c>
      <c r="E787" s="64" t="s">
        <v>23</v>
      </c>
      <c r="F787" s="64" t="s">
        <v>295</v>
      </c>
      <c r="G787" s="63">
        <v>1</v>
      </c>
      <c r="H787" s="57" t="s">
        <v>61</v>
      </c>
      <c r="I787" s="54" t="s">
        <v>908</v>
      </c>
      <c r="J787" s="54" t="s">
        <v>909</v>
      </c>
      <c r="K787" s="54" t="s">
        <v>910</v>
      </c>
      <c r="L787" s="54" t="s">
        <v>299</v>
      </c>
      <c r="M787" s="58" t="s">
        <v>300</v>
      </c>
      <c r="N787" s="54" t="s">
        <v>301</v>
      </c>
      <c r="O787" s="59">
        <v>46104</v>
      </c>
      <c r="P787" s="74"/>
      <c r="Q787" s="57"/>
      <c r="R787" s="61" t="s">
        <v>31</v>
      </c>
      <c r="S787" s="61" t="s">
        <v>31</v>
      </c>
    </row>
    <row r="788" spans="2:19" s="62" customFormat="1" outlineLevel="1" x14ac:dyDescent="0.25">
      <c r="B788" s="53" t="s">
        <v>1154</v>
      </c>
      <c r="C788" s="58">
        <v>35</v>
      </c>
      <c r="D788" s="54" t="s">
        <v>302</v>
      </c>
      <c r="E788" s="64" t="s">
        <v>23</v>
      </c>
      <c r="F788" s="64" t="s">
        <v>303</v>
      </c>
      <c r="G788" s="63">
        <v>1</v>
      </c>
      <c r="H788" s="57" t="s">
        <v>61</v>
      </c>
      <c r="I788" s="54" t="s">
        <v>304</v>
      </c>
      <c r="J788" s="54" t="s">
        <v>305</v>
      </c>
      <c r="K788" s="54" t="s">
        <v>306</v>
      </c>
      <c r="L788" s="54" t="s">
        <v>307</v>
      </c>
      <c r="M788" s="58" t="s">
        <v>526</v>
      </c>
      <c r="N788" s="54" t="s">
        <v>309</v>
      </c>
      <c r="O788" s="59">
        <v>46104</v>
      </c>
      <c r="P788" s="74"/>
      <c r="Q788" s="57"/>
      <c r="R788" s="61" t="s">
        <v>31</v>
      </c>
      <c r="S788" s="61" t="s">
        <v>84</v>
      </c>
    </row>
    <row r="789" spans="2:19" s="62" customFormat="1" outlineLevel="1" x14ac:dyDescent="0.25">
      <c r="B789" s="53" t="s">
        <v>1154</v>
      </c>
      <c r="C789" s="58">
        <v>36</v>
      </c>
      <c r="D789" s="54" t="s">
        <v>310</v>
      </c>
      <c r="E789" s="64" t="s">
        <v>23</v>
      </c>
      <c r="F789" s="64" t="s">
        <v>311</v>
      </c>
      <c r="G789" s="63">
        <v>1</v>
      </c>
      <c r="H789" s="57" t="s">
        <v>152</v>
      </c>
      <c r="I789" s="54" t="s">
        <v>312</v>
      </c>
      <c r="J789" s="54" t="s">
        <v>313</v>
      </c>
      <c r="K789" s="54" t="s">
        <v>314</v>
      </c>
      <c r="L789" s="54" t="s">
        <v>315</v>
      </c>
      <c r="M789" s="58" t="s">
        <v>316</v>
      </c>
      <c r="N789" s="54" t="s">
        <v>317</v>
      </c>
      <c r="O789" s="59">
        <v>46104</v>
      </c>
      <c r="P789" s="74"/>
      <c r="Q789" s="57"/>
      <c r="R789" s="61" t="s">
        <v>31</v>
      </c>
      <c r="S789" s="61" t="s">
        <v>31</v>
      </c>
    </row>
    <row r="790" spans="2:19" s="62" customFormat="1" outlineLevel="1" x14ac:dyDescent="0.25">
      <c r="B790" s="53"/>
      <c r="C790" s="58">
        <v>37</v>
      </c>
      <c r="D790" s="54" t="s">
        <v>318</v>
      </c>
      <c r="E790" s="64" t="s">
        <v>23</v>
      </c>
      <c r="F790" s="64" t="s">
        <v>319</v>
      </c>
      <c r="G790" s="63">
        <v>1</v>
      </c>
      <c r="H790" s="57" t="s">
        <v>111</v>
      </c>
      <c r="I790" s="54" t="s">
        <v>320</v>
      </c>
      <c r="J790" s="54" t="s">
        <v>321</v>
      </c>
      <c r="K790" s="54" t="s">
        <v>322</v>
      </c>
      <c r="L790" s="54" t="s">
        <v>323</v>
      </c>
      <c r="M790" s="58" t="s">
        <v>324</v>
      </c>
      <c r="N790" s="54" t="s">
        <v>325</v>
      </c>
      <c r="O790" s="59">
        <v>46104</v>
      </c>
      <c r="P790" s="74"/>
      <c r="Q790" s="57"/>
      <c r="R790" s="61" t="s">
        <v>31</v>
      </c>
      <c r="S790" s="61" t="s">
        <v>84</v>
      </c>
    </row>
    <row r="791" spans="2:19" s="62" customFormat="1" outlineLevel="1" x14ac:dyDescent="0.25">
      <c r="B791" s="53" t="s">
        <v>1154</v>
      </c>
      <c r="C791" s="58">
        <v>38</v>
      </c>
      <c r="D791" s="54" t="s">
        <v>326</v>
      </c>
      <c r="E791" s="64" t="s">
        <v>23</v>
      </c>
      <c r="F791" s="64" t="s">
        <v>327</v>
      </c>
      <c r="G791" s="63">
        <v>2</v>
      </c>
      <c r="H791" s="57" t="s">
        <v>152</v>
      </c>
      <c r="I791" s="54" t="s">
        <v>328</v>
      </c>
      <c r="J791" s="54" t="s">
        <v>329</v>
      </c>
      <c r="K791" s="54" t="s">
        <v>330</v>
      </c>
      <c r="L791" s="54" t="s">
        <v>331</v>
      </c>
      <c r="M791" s="58" t="s">
        <v>332</v>
      </c>
      <c r="N791" s="54" t="s">
        <v>333</v>
      </c>
      <c r="O791" s="59">
        <v>46104</v>
      </c>
      <c r="P791" s="74"/>
      <c r="Q791" s="57"/>
      <c r="R791" s="61" t="s">
        <v>31</v>
      </c>
      <c r="S791" s="61" t="s">
        <v>31</v>
      </c>
    </row>
    <row r="792" spans="2:19" s="62" customFormat="1" outlineLevel="1" x14ac:dyDescent="0.25">
      <c r="B792" s="53" t="s">
        <v>1154</v>
      </c>
      <c r="C792" s="58">
        <v>39</v>
      </c>
      <c r="D792" s="54" t="s">
        <v>334</v>
      </c>
      <c r="E792" s="64" t="s">
        <v>23</v>
      </c>
      <c r="F792" s="64" t="s">
        <v>335</v>
      </c>
      <c r="G792" s="63">
        <v>1</v>
      </c>
      <c r="H792" s="57" t="s">
        <v>61</v>
      </c>
      <c r="I792" s="54" t="s">
        <v>336</v>
      </c>
      <c r="J792" s="54" t="s">
        <v>337</v>
      </c>
      <c r="K792" s="54" t="s">
        <v>338</v>
      </c>
      <c r="L792" s="54" t="s">
        <v>339</v>
      </c>
      <c r="M792" s="58" t="s">
        <v>543</v>
      </c>
      <c r="N792" s="54" t="s">
        <v>341</v>
      </c>
      <c r="O792" s="59">
        <v>46104</v>
      </c>
      <c r="P792" s="74"/>
      <c r="Q792" s="57"/>
      <c r="R792" s="61" t="s">
        <v>31</v>
      </c>
      <c r="S792" s="61" t="s">
        <v>84</v>
      </c>
    </row>
    <row r="793" spans="2:19" s="62" customFormat="1" outlineLevel="1" x14ac:dyDescent="0.25">
      <c r="B793" s="53" t="s">
        <v>1154</v>
      </c>
      <c r="C793" s="58">
        <v>40</v>
      </c>
      <c r="D793" s="54" t="s">
        <v>342</v>
      </c>
      <c r="E793" s="64" t="s">
        <v>23</v>
      </c>
      <c r="F793" s="64" t="s">
        <v>343</v>
      </c>
      <c r="G793" s="63">
        <v>1</v>
      </c>
      <c r="H793" s="57" t="s">
        <v>24</v>
      </c>
      <c r="I793" s="54" t="s">
        <v>344</v>
      </c>
      <c r="J793" s="54" t="s">
        <v>345</v>
      </c>
      <c r="K793" s="54" t="s">
        <v>346</v>
      </c>
      <c r="L793" s="54" t="s">
        <v>347</v>
      </c>
      <c r="M793" s="58" t="s">
        <v>348</v>
      </c>
      <c r="N793" s="54" t="s">
        <v>349</v>
      </c>
      <c r="O793" s="59">
        <v>46104</v>
      </c>
      <c r="P793" s="74"/>
      <c r="Q793" s="57"/>
      <c r="R793" s="61" t="s">
        <v>31</v>
      </c>
      <c r="S793" s="61" t="s">
        <v>31</v>
      </c>
    </row>
    <row r="794" spans="2:19" s="62" customFormat="1" outlineLevel="1" x14ac:dyDescent="0.25">
      <c r="B794" s="53" t="s">
        <v>1154</v>
      </c>
      <c r="C794" s="58">
        <v>41</v>
      </c>
      <c r="D794" s="54" t="s">
        <v>350</v>
      </c>
      <c r="E794" s="64" t="s">
        <v>23</v>
      </c>
      <c r="F794" s="64" t="s">
        <v>351</v>
      </c>
      <c r="G794" s="63">
        <v>1</v>
      </c>
      <c r="H794" s="57" t="s">
        <v>152</v>
      </c>
      <c r="I794" s="54" t="s">
        <v>352</v>
      </c>
      <c r="J794" s="54" t="s">
        <v>353</v>
      </c>
      <c r="K794" s="54" t="s">
        <v>354</v>
      </c>
      <c r="L794" s="54" t="s">
        <v>355</v>
      </c>
      <c r="M794" s="58" t="s">
        <v>355</v>
      </c>
      <c r="N794" s="54" t="s">
        <v>356</v>
      </c>
      <c r="O794" s="59">
        <v>46104</v>
      </c>
      <c r="P794" s="74"/>
      <c r="Q794" s="57"/>
      <c r="R794" s="61" t="s">
        <v>31</v>
      </c>
      <c r="S794" s="61" t="s">
        <v>84</v>
      </c>
    </row>
    <row r="795" spans="2:19" s="62" customFormat="1" outlineLevel="1" x14ac:dyDescent="0.25">
      <c r="B795" s="53"/>
      <c r="C795" s="58" t="s">
        <v>1780</v>
      </c>
      <c r="D795" s="54" t="s">
        <v>802</v>
      </c>
      <c r="E795" s="64" t="s">
        <v>23</v>
      </c>
      <c r="F795" s="64" t="s">
        <v>803</v>
      </c>
      <c r="G795" s="63">
        <v>1</v>
      </c>
      <c r="H795" s="57" t="s">
        <v>804</v>
      </c>
      <c r="I795" s="54" t="s">
        <v>805</v>
      </c>
      <c r="J795" s="54" t="s">
        <v>806</v>
      </c>
      <c r="K795" s="53" t="s">
        <v>807</v>
      </c>
      <c r="L795" s="54" t="s">
        <v>808</v>
      </c>
      <c r="M795" s="58" t="s">
        <v>809</v>
      </c>
      <c r="N795" s="54" t="s">
        <v>810</v>
      </c>
      <c r="O795" s="59">
        <v>46132</v>
      </c>
      <c r="P795" s="74"/>
      <c r="Q795" s="57"/>
      <c r="R795" s="61" t="s">
        <v>31</v>
      </c>
      <c r="S795" s="61" t="s">
        <v>84</v>
      </c>
    </row>
    <row r="796" spans="2:19" s="62" customFormat="1" outlineLevel="1" x14ac:dyDescent="0.25">
      <c r="B796" s="53" t="s">
        <v>1154</v>
      </c>
      <c r="C796" s="58">
        <v>42</v>
      </c>
      <c r="D796" s="54" t="s">
        <v>357</v>
      </c>
      <c r="E796" s="64" t="s">
        <v>23</v>
      </c>
      <c r="F796" s="64" t="s">
        <v>358</v>
      </c>
      <c r="G796" s="63">
        <v>1</v>
      </c>
      <c r="H796" s="57" t="s">
        <v>359</v>
      </c>
      <c r="I796" s="54" t="s">
        <v>360</v>
      </c>
      <c r="J796" s="54" t="s">
        <v>361</v>
      </c>
      <c r="K796" s="54" t="s">
        <v>362</v>
      </c>
      <c r="L796" s="54" t="s">
        <v>363</v>
      </c>
      <c r="M796" s="58" t="s">
        <v>364</v>
      </c>
      <c r="N796" s="54" t="s">
        <v>365</v>
      </c>
      <c r="O796" s="59">
        <v>46104</v>
      </c>
      <c r="P796" s="74"/>
      <c r="Q796" s="57"/>
      <c r="R796" s="61" t="s">
        <v>31</v>
      </c>
      <c r="S796" s="61" t="s">
        <v>84</v>
      </c>
    </row>
    <row r="797" spans="2:19" s="62" customFormat="1" outlineLevel="1" x14ac:dyDescent="0.25">
      <c r="B797" s="53" t="s">
        <v>1154</v>
      </c>
      <c r="C797" s="58">
        <v>43</v>
      </c>
      <c r="D797" s="54" t="s">
        <v>366</v>
      </c>
      <c r="E797" s="64" t="s">
        <v>23</v>
      </c>
      <c r="F797" s="64" t="s">
        <v>367</v>
      </c>
      <c r="G797" s="63">
        <v>1</v>
      </c>
      <c r="H797" s="57" t="s">
        <v>368</v>
      </c>
      <c r="I797" s="54" t="s">
        <v>369</v>
      </c>
      <c r="J797" s="54" t="s">
        <v>370</v>
      </c>
      <c r="K797" s="54" t="s">
        <v>371</v>
      </c>
      <c r="L797" s="54" t="s">
        <v>372</v>
      </c>
      <c r="M797" s="58" t="s">
        <v>682</v>
      </c>
      <c r="N797" s="54" t="s">
        <v>374</v>
      </c>
      <c r="O797" s="59">
        <v>46104</v>
      </c>
      <c r="P797" s="74"/>
      <c r="Q797" s="57"/>
      <c r="R797" s="61" t="s">
        <v>31</v>
      </c>
      <c r="S797" s="61" t="s">
        <v>84</v>
      </c>
    </row>
    <row r="798" spans="2:19" s="62" customFormat="1" outlineLevel="1" x14ac:dyDescent="0.25">
      <c r="B798" s="53"/>
      <c r="C798" s="58">
        <v>44</v>
      </c>
      <c r="D798" s="54" t="s">
        <v>375</v>
      </c>
      <c r="E798" s="64" t="s">
        <v>23</v>
      </c>
      <c r="F798" s="64" t="s">
        <v>376</v>
      </c>
      <c r="G798" s="63">
        <v>1</v>
      </c>
      <c r="H798" s="57" t="s">
        <v>111</v>
      </c>
      <c r="I798" s="54" t="s">
        <v>377</v>
      </c>
      <c r="J798" s="54" t="s">
        <v>378</v>
      </c>
      <c r="K798" s="54" t="s">
        <v>379</v>
      </c>
      <c r="L798" s="54" t="s">
        <v>380</v>
      </c>
      <c r="M798" s="58" t="s">
        <v>381</v>
      </c>
      <c r="N798" s="54" t="s">
        <v>382</v>
      </c>
      <c r="O798" s="59">
        <v>46104</v>
      </c>
      <c r="P798" s="74"/>
      <c r="Q798" s="57"/>
      <c r="R798" s="61" t="s">
        <v>31</v>
      </c>
      <c r="S798" s="61" t="s">
        <v>31</v>
      </c>
    </row>
    <row r="799" spans="2:19" s="62" customFormat="1" outlineLevel="1" x14ac:dyDescent="0.25">
      <c r="B799" s="53" t="s">
        <v>1154</v>
      </c>
      <c r="C799" s="58">
        <v>45</v>
      </c>
      <c r="D799" s="54" t="s">
        <v>383</v>
      </c>
      <c r="E799" s="64" t="s">
        <v>23</v>
      </c>
      <c r="F799" s="64" t="s">
        <v>384</v>
      </c>
      <c r="G799" s="63">
        <v>1</v>
      </c>
      <c r="H799" s="57" t="s">
        <v>61</v>
      </c>
      <c r="I799" s="54" t="s">
        <v>385</v>
      </c>
      <c r="J799" s="54" t="s">
        <v>386</v>
      </c>
      <c r="K799" s="54" t="s">
        <v>387</v>
      </c>
      <c r="L799" s="54" t="s">
        <v>388</v>
      </c>
      <c r="M799" s="58" t="s">
        <v>389</v>
      </c>
      <c r="N799" s="54" t="s">
        <v>390</v>
      </c>
      <c r="O799" s="59">
        <v>46104</v>
      </c>
      <c r="P799" s="74"/>
      <c r="Q799" s="57"/>
      <c r="R799" s="61" t="s">
        <v>31</v>
      </c>
      <c r="S799" s="61" t="s">
        <v>84</v>
      </c>
    </row>
    <row r="800" spans="2:19" s="62" customFormat="1" outlineLevel="1" x14ac:dyDescent="0.25">
      <c r="B800" s="53"/>
      <c r="C800" s="58">
        <v>46</v>
      </c>
      <c r="D800" s="54" t="s">
        <v>391</v>
      </c>
      <c r="E800" s="64" t="s">
        <v>23</v>
      </c>
      <c r="F800" s="64" t="s">
        <v>392</v>
      </c>
      <c r="G800" s="63">
        <v>1</v>
      </c>
      <c r="H800" s="57" t="s">
        <v>111</v>
      </c>
      <c r="I800" s="54" t="s">
        <v>393</v>
      </c>
      <c r="J800" s="54" t="s">
        <v>394</v>
      </c>
      <c r="K800" s="54" t="s">
        <v>395</v>
      </c>
      <c r="L800" s="54" t="s">
        <v>396</v>
      </c>
      <c r="M800" s="58" t="s">
        <v>397</v>
      </c>
      <c r="N800" s="54" t="s">
        <v>398</v>
      </c>
      <c r="O800" s="59">
        <v>46104</v>
      </c>
      <c r="P800" s="74"/>
      <c r="Q800" s="57"/>
      <c r="R800" s="61" t="s">
        <v>31</v>
      </c>
      <c r="S800" s="61" t="s">
        <v>84</v>
      </c>
    </row>
    <row r="801" spans="2:19" s="62" customFormat="1" outlineLevel="1" x14ac:dyDescent="0.25">
      <c r="B801" s="53" t="s">
        <v>1154</v>
      </c>
      <c r="C801" s="58">
        <v>47</v>
      </c>
      <c r="D801" s="54" t="s">
        <v>399</v>
      </c>
      <c r="E801" s="64" t="s">
        <v>23</v>
      </c>
      <c r="F801" s="64" t="s">
        <v>400</v>
      </c>
      <c r="G801" s="63">
        <v>1</v>
      </c>
      <c r="H801" s="57" t="s">
        <v>152</v>
      </c>
      <c r="I801" s="54" t="s">
        <v>401</v>
      </c>
      <c r="J801" s="54" t="s">
        <v>402</v>
      </c>
      <c r="K801" s="72" t="s">
        <v>403</v>
      </c>
      <c r="L801" s="54" t="s">
        <v>404</v>
      </c>
      <c r="M801" s="58" t="s">
        <v>791</v>
      </c>
      <c r="N801" s="54" t="s">
        <v>406</v>
      </c>
      <c r="O801" s="59">
        <v>46104</v>
      </c>
      <c r="P801" s="74"/>
      <c r="Q801" s="57"/>
      <c r="R801" s="61" t="s">
        <v>31</v>
      </c>
      <c r="S801" s="61" t="s">
        <v>84</v>
      </c>
    </row>
    <row r="802" spans="2:19" s="62" customFormat="1" outlineLevel="1" x14ac:dyDescent="0.25">
      <c r="B802" s="53" t="s">
        <v>1154</v>
      </c>
      <c r="C802" s="58">
        <v>48</v>
      </c>
      <c r="D802" s="54" t="s">
        <v>407</v>
      </c>
      <c r="E802" s="64" t="s">
        <v>23</v>
      </c>
      <c r="F802" s="64" t="s">
        <v>408</v>
      </c>
      <c r="G802" s="63">
        <v>1</v>
      </c>
      <c r="H802" s="57" t="s">
        <v>61</v>
      </c>
      <c r="I802" s="54" t="s">
        <v>409</v>
      </c>
      <c r="J802" s="54" t="s">
        <v>410</v>
      </c>
      <c r="K802" s="54" t="s">
        <v>411</v>
      </c>
      <c r="L802" s="54" t="s">
        <v>412</v>
      </c>
      <c r="M802" s="58" t="s">
        <v>923</v>
      </c>
      <c r="N802" s="54" t="s">
        <v>414</v>
      </c>
      <c r="O802" s="59">
        <v>46104</v>
      </c>
      <c r="P802" s="74"/>
      <c r="Q802" s="57"/>
      <c r="R802" s="61" t="s">
        <v>31</v>
      </c>
      <c r="S802" s="61" t="s">
        <v>84</v>
      </c>
    </row>
    <row r="803" spans="2:19" s="62" customFormat="1" outlineLevel="1" x14ac:dyDescent="0.25">
      <c r="B803" s="53" t="s">
        <v>1154</v>
      </c>
      <c r="C803" s="58">
        <v>49</v>
      </c>
      <c r="D803" s="54" t="s">
        <v>415</v>
      </c>
      <c r="E803" s="64" t="s">
        <v>23</v>
      </c>
      <c r="F803" s="64" t="s">
        <v>416</v>
      </c>
      <c r="G803" s="63">
        <v>1</v>
      </c>
      <c r="H803" s="57" t="s">
        <v>417</v>
      </c>
      <c r="I803" s="54" t="s">
        <v>418</v>
      </c>
      <c r="J803" s="54" t="s">
        <v>419</v>
      </c>
      <c r="K803" s="54" t="s">
        <v>420</v>
      </c>
      <c r="L803" s="54" t="s">
        <v>421</v>
      </c>
      <c r="M803" s="58" t="s">
        <v>422</v>
      </c>
      <c r="N803" s="54" t="s">
        <v>423</v>
      </c>
      <c r="O803" s="59">
        <v>46104</v>
      </c>
      <c r="P803" s="74"/>
      <c r="Q803" s="57"/>
      <c r="R803" s="61" t="s">
        <v>31</v>
      </c>
      <c r="S803" s="61" t="s">
        <v>31</v>
      </c>
    </row>
    <row r="804" spans="2:19" s="62" customFormat="1" outlineLevel="1" x14ac:dyDescent="0.25">
      <c r="B804" s="53" t="s">
        <v>1154</v>
      </c>
      <c r="C804" s="58">
        <v>50</v>
      </c>
      <c r="D804" s="54" t="s">
        <v>424</v>
      </c>
      <c r="E804" s="64" t="s">
        <v>23</v>
      </c>
      <c r="F804" s="64" t="s">
        <v>425</v>
      </c>
      <c r="G804" s="63">
        <v>1</v>
      </c>
      <c r="H804" s="57" t="s">
        <v>111</v>
      </c>
      <c r="I804" s="54" t="s">
        <v>426</v>
      </c>
      <c r="J804" s="54" t="s">
        <v>427</v>
      </c>
      <c r="K804" s="54" t="s">
        <v>428</v>
      </c>
      <c r="L804" s="54" t="s">
        <v>429</v>
      </c>
      <c r="M804" s="58" t="s">
        <v>429</v>
      </c>
      <c r="N804" s="54" t="s">
        <v>430</v>
      </c>
      <c r="O804" s="59">
        <v>46104</v>
      </c>
      <c r="P804" s="74"/>
      <c r="Q804" s="57"/>
      <c r="R804" s="61" t="s">
        <v>31</v>
      </c>
      <c r="S804" s="61" t="s">
        <v>84</v>
      </c>
    </row>
    <row r="805" spans="2:19" s="62" customFormat="1" outlineLevel="1" x14ac:dyDescent="0.25">
      <c r="B805" s="53" t="s">
        <v>1154</v>
      </c>
      <c r="C805" s="58">
        <v>51</v>
      </c>
      <c r="D805" s="54" t="s">
        <v>431</v>
      </c>
      <c r="E805" s="64" t="s">
        <v>23</v>
      </c>
      <c r="F805" s="64" t="s">
        <v>432</v>
      </c>
      <c r="G805" s="63">
        <v>1</v>
      </c>
      <c r="H805" s="57" t="s">
        <v>152</v>
      </c>
      <c r="I805" s="54" t="s">
        <v>433</v>
      </c>
      <c r="J805" s="54" t="s">
        <v>434</v>
      </c>
      <c r="K805" s="54" t="s">
        <v>435</v>
      </c>
      <c r="L805" s="54" t="s">
        <v>436</v>
      </c>
      <c r="M805" s="58" t="s">
        <v>437</v>
      </c>
      <c r="N805" s="54" t="s">
        <v>438</v>
      </c>
      <c r="O805" s="59">
        <v>46104</v>
      </c>
      <c r="P805" s="74"/>
      <c r="Q805" s="57"/>
      <c r="R805" s="61" t="s">
        <v>31</v>
      </c>
      <c r="S805" s="61" t="s">
        <v>31</v>
      </c>
    </row>
    <row r="806" spans="2:19" s="62" customFormat="1" ht="30" customHeight="1" outlineLevel="1" x14ac:dyDescent="0.25">
      <c r="B806" s="53" t="s">
        <v>1154</v>
      </c>
      <c r="C806" s="58">
        <v>52</v>
      </c>
      <c r="D806" s="54" t="s">
        <v>439</v>
      </c>
      <c r="E806" s="64" t="s">
        <v>23</v>
      </c>
      <c r="F806" s="64" t="s">
        <v>440</v>
      </c>
      <c r="G806" s="63">
        <v>1</v>
      </c>
      <c r="H806" s="57" t="s">
        <v>152</v>
      </c>
      <c r="I806" s="54" t="s">
        <v>441</v>
      </c>
      <c r="J806" s="54" t="s">
        <v>442</v>
      </c>
      <c r="K806" s="54" t="s">
        <v>443</v>
      </c>
      <c r="L806" s="54" t="s">
        <v>444</v>
      </c>
      <c r="M806" s="58" t="s">
        <v>570</v>
      </c>
      <c r="N806" s="54" t="s">
        <v>446</v>
      </c>
      <c r="O806" s="59">
        <v>46104</v>
      </c>
      <c r="P806" s="74"/>
      <c r="Q806" s="57"/>
      <c r="R806" s="61" t="s">
        <v>31</v>
      </c>
      <c r="S806" s="61" t="s">
        <v>31</v>
      </c>
    </row>
    <row r="807" spans="2:19" s="62" customFormat="1" outlineLevel="1" x14ac:dyDescent="0.25">
      <c r="B807" s="53" t="s">
        <v>1154</v>
      </c>
      <c r="C807" s="58">
        <v>53</v>
      </c>
      <c r="D807" s="54" t="s">
        <v>447</v>
      </c>
      <c r="E807" s="64" t="s">
        <v>23</v>
      </c>
      <c r="F807" s="64" t="s">
        <v>448</v>
      </c>
      <c r="G807" s="63">
        <v>1</v>
      </c>
      <c r="H807" s="57" t="s">
        <v>24</v>
      </c>
      <c r="I807" s="54" t="s">
        <v>449</v>
      </c>
      <c r="J807" s="54" t="s">
        <v>450</v>
      </c>
      <c r="K807" s="54" t="s">
        <v>451</v>
      </c>
      <c r="L807" s="54" t="s">
        <v>452</v>
      </c>
      <c r="M807" s="58" t="s">
        <v>453</v>
      </c>
      <c r="N807" s="54" t="s">
        <v>454</v>
      </c>
      <c r="O807" s="59">
        <v>46104</v>
      </c>
      <c r="P807" s="74"/>
      <c r="Q807" s="57"/>
      <c r="R807" s="61" t="s">
        <v>31</v>
      </c>
      <c r="S807" s="61" t="s">
        <v>31</v>
      </c>
    </row>
    <row r="808" spans="2:19" s="62" customFormat="1" outlineLevel="1" x14ac:dyDescent="0.25">
      <c r="B808" s="53"/>
      <c r="C808" s="58">
        <v>65</v>
      </c>
      <c r="D808" s="54" t="s">
        <v>571</v>
      </c>
      <c r="E808" s="64" t="s">
        <v>23</v>
      </c>
      <c r="F808" s="64" t="s">
        <v>572</v>
      </c>
      <c r="G808" s="63">
        <v>1</v>
      </c>
      <c r="H808" s="57" t="s">
        <v>573</v>
      </c>
      <c r="I808" s="54" t="s">
        <v>574</v>
      </c>
      <c r="J808" s="54" t="s">
        <v>575</v>
      </c>
      <c r="K808" s="54" t="s">
        <v>576</v>
      </c>
      <c r="L808" s="54" t="s">
        <v>577</v>
      </c>
      <c r="M808" s="58" t="s">
        <v>578</v>
      </c>
      <c r="N808" s="54" t="s">
        <v>579</v>
      </c>
      <c r="O808" s="59">
        <v>46132</v>
      </c>
      <c r="P808" s="74"/>
      <c r="Q808" s="57"/>
      <c r="R808" s="61" t="s">
        <v>31</v>
      </c>
      <c r="S808" s="61" t="s">
        <v>84</v>
      </c>
    </row>
    <row r="809" spans="2:19" s="62" customFormat="1" outlineLevel="1" x14ac:dyDescent="0.25">
      <c r="B809" s="53"/>
      <c r="C809" s="58">
        <v>54</v>
      </c>
      <c r="D809" s="54" t="s">
        <v>455</v>
      </c>
      <c r="E809" s="64" t="s">
        <v>23</v>
      </c>
      <c r="F809" s="64" t="s">
        <v>456</v>
      </c>
      <c r="G809" s="63">
        <v>1</v>
      </c>
      <c r="H809" s="57" t="s">
        <v>111</v>
      </c>
      <c r="I809" s="54" t="s">
        <v>457</v>
      </c>
      <c r="J809" s="54" t="s">
        <v>458</v>
      </c>
      <c r="K809" s="54" t="s">
        <v>459</v>
      </c>
      <c r="L809" s="54" t="s">
        <v>460</v>
      </c>
      <c r="M809" s="58" t="s">
        <v>461</v>
      </c>
      <c r="N809" s="54" t="s">
        <v>462</v>
      </c>
      <c r="O809" s="59">
        <v>46104</v>
      </c>
      <c r="P809" s="74"/>
      <c r="Q809" s="57"/>
      <c r="R809" s="61" t="s">
        <v>31</v>
      </c>
      <c r="S809" s="61" t="s">
        <v>84</v>
      </c>
    </row>
    <row r="810" spans="2:19" s="62" customFormat="1" outlineLevel="1" x14ac:dyDescent="0.25">
      <c r="B810" s="53" t="s">
        <v>1154</v>
      </c>
      <c r="C810" s="58">
        <v>55</v>
      </c>
      <c r="D810" s="54" t="s">
        <v>463</v>
      </c>
      <c r="E810" s="64" t="s">
        <v>23</v>
      </c>
      <c r="F810" s="64" t="s">
        <v>464</v>
      </c>
      <c r="G810" s="63">
        <v>1</v>
      </c>
      <c r="H810" s="57" t="s">
        <v>152</v>
      </c>
      <c r="I810" s="54" t="s">
        <v>465</v>
      </c>
      <c r="J810" s="54" t="s">
        <v>466</v>
      </c>
      <c r="K810" s="54" t="s">
        <v>467</v>
      </c>
      <c r="L810" s="54" t="s">
        <v>468</v>
      </c>
      <c r="M810" s="58" t="s">
        <v>469</v>
      </c>
      <c r="N810" s="54" t="s">
        <v>470</v>
      </c>
      <c r="O810" s="59">
        <v>46104</v>
      </c>
      <c r="P810" s="74"/>
      <c r="Q810" s="57"/>
      <c r="R810" s="61" t="s">
        <v>31</v>
      </c>
      <c r="S810" s="61" t="s">
        <v>31</v>
      </c>
    </row>
    <row r="811" spans="2:19" s="62" customFormat="1" outlineLevel="1" x14ac:dyDescent="0.25">
      <c r="B811" s="53"/>
      <c r="C811" s="58">
        <v>56</v>
      </c>
      <c r="D811" s="54" t="s">
        <v>471</v>
      </c>
      <c r="E811" s="64" t="s">
        <v>23</v>
      </c>
      <c r="F811" s="64" t="s">
        <v>472</v>
      </c>
      <c r="G811" s="63">
        <v>1</v>
      </c>
      <c r="H811" s="57" t="s">
        <v>111</v>
      </c>
      <c r="I811" s="54" t="s">
        <v>473</v>
      </c>
      <c r="J811" s="54" t="s">
        <v>474</v>
      </c>
      <c r="K811" s="54" t="s">
        <v>475</v>
      </c>
      <c r="L811" s="54" t="s">
        <v>476</v>
      </c>
      <c r="M811" s="58" t="s">
        <v>476</v>
      </c>
      <c r="N811" s="54" t="s">
        <v>477</v>
      </c>
      <c r="O811" s="59">
        <v>46104</v>
      </c>
      <c r="P811" s="74"/>
      <c r="Q811" s="57"/>
      <c r="R811" s="61" t="s">
        <v>31</v>
      </c>
      <c r="S811" s="61" t="s">
        <v>84</v>
      </c>
    </row>
    <row r="812" spans="2:19" s="62" customFormat="1" ht="30" customHeight="1" outlineLevel="1" x14ac:dyDescent="0.25">
      <c r="B812" s="53" t="s">
        <v>1154</v>
      </c>
      <c r="C812" s="58">
        <v>57</v>
      </c>
      <c r="D812" s="54" t="s">
        <v>478</v>
      </c>
      <c r="E812" s="64" t="s">
        <v>23</v>
      </c>
      <c r="F812" s="64" t="s">
        <v>479</v>
      </c>
      <c r="G812" s="63">
        <v>1</v>
      </c>
      <c r="H812" s="57" t="s">
        <v>111</v>
      </c>
      <c r="I812" s="54" t="s">
        <v>480</v>
      </c>
      <c r="J812" s="54" t="s">
        <v>481</v>
      </c>
      <c r="K812" s="54" t="s">
        <v>482</v>
      </c>
      <c r="L812" s="54" t="s">
        <v>483</v>
      </c>
      <c r="M812" s="58" t="s">
        <v>634</v>
      </c>
      <c r="N812" s="54" t="s">
        <v>485</v>
      </c>
      <c r="O812" s="59">
        <v>46104</v>
      </c>
      <c r="P812" s="74"/>
      <c r="Q812" s="57"/>
      <c r="R812" s="61" t="s">
        <v>31</v>
      </c>
      <c r="S812" s="61" t="s">
        <v>84</v>
      </c>
    </row>
    <row r="813" spans="2:19" s="62" customFormat="1" outlineLevel="1" x14ac:dyDescent="0.25">
      <c r="B813" s="53" t="s">
        <v>1154</v>
      </c>
      <c r="C813" s="58">
        <v>58</v>
      </c>
      <c r="D813" s="54" t="s">
        <v>486</v>
      </c>
      <c r="E813" s="64" t="s">
        <v>23</v>
      </c>
      <c r="F813" s="64" t="s">
        <v>487</v>
      </c>
      <c r="G813" s="63">
        <v>1</v>
      </c>
      <c r="H813" s="57" t="s">
        <v>152</v>
      </c>
      <c r="I813" s="54" t="s">
        <v>488</v>
      </c>
      <c r="J813" s="54" t="s">
        <v>489</v>
      </c>
      <c r="K813" s="54" t="s">
        <v>490</v>
      </c>
      <c r="L813" s="54" t="s">
        <v>491</v>
      </c>
      <c r="M813" s="58" t="s">
        <v>492</v>
      </c>
      <c r="N813" s="54" t="s">
        <v>493</v>
      </c>
      <c r="O813" s="59">
        <v>46104</v>
      </c>
      <c r="P813" s="74"/>
      <c r="Q813" s="57"/>
      <c r="R813" s="61" t="s">
        <v>31</v>
      </c>
      <c r="S813" s="61" t="s">
        <v>84</v>
      </c>
    </row>
    <row r="814" spans="2:19" s="62" customFormat="1" outlineLevel="1" x14ac:dyDescent="0.25">
      <c r="B814" s="53" t="s">
        <v>1154</v>
      </c>
      <c r="C814" s="58">
        <v>59</v>
      </c>
      <c r="D814" s="54" t="s">
        <v>494</v>
      </c>
      <c r="E814" s="64" t="s">
        <v>23</v>
      </c>
      <c r="F814" s="64" t="s">
        <v>495</v>
      </c>
      <c r="G814" s="63">
        <v>1</v>
      </c>
      <c r="H814" s="57" t="s">
        <v>61</v>
      </c>
      <c r="I814" s="54" t="s">
        <v>496</v>
      </c>
      <c r="J814" s="54" t="s">
        <v>497</v>
      </c>
      <c r="K814" s="54" t="s">
        <v>498</v>
      </c>
      <c r="L814" s="54" t="s">
        <v>499</v>
      </c>
      <c r="M814" s="58" t="s">
        <v>500</v>
      </c>
      <c r="N814" s="54" t="s">
        <v>501</v>
      </c>
      <c r="O814" s="59">
        <v>46104</v>
      </c>
      <c r="P814" s="74"/>
      <c r="Q814" s="57"/>
      <c r="R814" s="61" t="s">
        <v>31</v>
      </c>
      <c r="S814" s="61" t="s">
        <v>84</v>
      </c>
    </row>
    <row r="815" spans="2:19" s="62" customFormat="1" outlineLevel="1" x14ac:dyDescent="0.25">
      <c r="B815" s="53" t="s">
        <v>1154</v>
      </c>
      <c r="C815" s="58">
        <v>60</v>
      </c>
      <c r="D815" s="54" t="s">
        <v>502</v>
      </c>
      <c r="E815" s="64" t="s">
        <v>23</v>
      </c>
      <c r="F815" s="64" t="s">
        <v>503</v>
      </c>
      <c r="G815" s="63">
        <v>1</v>
      </c>
      <c r="H815" s="57" t="s">
        <v>61</v>
      </c>
      <c r="I815" s="54" t="s">
        <v>504</v>
      </c>
      <c r="J815" s="54" t="s">
        <v>505</v>
      </c>
      <c r="K815" s="54" t="s">
        <v>506</v>
      </c>
      <c r="L815" s="54" t="s">
        <v>283</v>
      </c>
      <c r="M815" s="58" t="s">
        <v>284</v>
      </c>
      <c r="N815" s="54" t="s">
        <v>507</v>
      </c>
      <c r="O815" s="59">
        <v>46104</v>
      </c>
      <c r="P815" s="74"/>
      <c r="Q815" s="57"/>
      <c r="R815" s="61" t="s">
        <v>31</v>
      </c>
      <c r="S815" s="61" t="s">
        <v>84</v>
      </c>
    </row>
    <row r="816" spans="2:19" s="62" customFormat="1" outlineLevel="1" x14ac:dyDescent="0.25">
      <c r="B816" s="53" t="s">
        <v>1154</v>
      </c>
      <c r="C816" s="58">
        <v>61</v>
      </c>
      <c r="D816" s="54" t="s">
        <v>508</v>
      </c>
      <c r="E816" s="64" t="s">
        <v>23</v>
      </c>
      <c r="F816" s="64" t="s">
        <v>509</v>
      </c>
      <c r="G816" s="63">
        <v>1</v>
      </c>
      <c r="H816" s="57" t="s">
        <v>61</v>
      </c>
      <c r="I816" s="54" t="s">
        <v>510</v>
      </c>
      <c r="J816" s="54" t="s">
        <v>511</v>
      </c>
      <c r="K816" s="54" t="s">
        <v>512</v>
      </c>
      <c r="L816" s="54" t="s">
        <v>513</v>
      </c>
      <c r="M816" s="58" t="s">
        <v>514</v>
      </c>
      <c r="N816" s="54" t="s">
        <v>515</v>
      </c>
      <c r="O816" s="59">
        <v>46104</v>
      </c>
      <c r="P816" s="74"/>
      <c r="Q816" s="57"/>
      <c r="R816" s="61" t="s">
        <v>31</v>
      </c>
      <c r="S816" s="61" t="s">
        <v>31</v>
      </c>
    </row>
    <row r="817" spans="2:19" s="62" customFormat="1" outlineLevel="1" x14ac:dyDescent="0.25">
      <c r="B817" s="53" t="s">
        <v>1154</v>
      </c>
      <c r="C817" s="58">
        <v>62</v>
      </c>
      <c r="D817" s="54" t="s">
        <v>516</v>
      </c>
      <c r="E817" s="64" t="s">
        <v>23</v>
      </c>
      <c r="F817" s="67" t="s">
        <v>517</v>
      </c>
      <c r="G817" s="63">
        <v>1</v>
      </c>
      <c r="H817" s="57" t="s">
        <v>61</v>
      </c>
      <c r="I817" s="64" t="s">
        <v>518</v>
      </c>
      <c r="J817" s="64" t="s">
        <v>519</v>
      </c>
      <c r="K817" s="53" t="s">
        <v>520</v>
      </c>
      <c r="L817" s="69" t="s">
        <v>521</v>
      </c>
      <c r="M817" s="58" t="s">
        <v>522</v>
      </c>
      <c r="N817" s="54" t="s">
        <v>523</v>
      </c>
      <c r="O817" s="59">
        <v>46104</v>
      </c>
      <c r="P817" s="74"/>
      <c r="Q817" s="57"/>
      <c r="R817" s="61" t="s">
        <v>31</v>
      </c>
      <c r="S817" s="61" t="s">
        <v>31</v>
      </c>
    </row>
    <row r="818" spans="2:19" x14ac:dyDescent="0.25">
      <c r="G818" s="17">
        <f>SUBTOTAL(9,G752:G817)</f>
        <v>70</v>
      </c>
    </row>
  </sheetData>
  <conditionalFormatting sqref="C1:C232 C234:C305 C307:C1048576">
    <cfRule type="expression" dxfId="7" priority="1">
      <formula>ISNUMBER(SEARCH(CHAR(10),C1))</formula>
    </cfRule>
  </conditionalFormatting>
  <conditionalFormatting sqref="L233">
    <cfRule type="expression" dxfId="6" priority="3">
      <formula>ISNUMBER(SEARCH(CHAR(10),L233))</formula>
    </cfRule>
  </conditionalFormatting>
  <conditionalFormatting sqref="L306">
    <cfRule type="expression" dxfId="5" priority="2">
      <formula>ISNUMBER(SEARCH(CHAR(10),L306))</formula>
    </cfRule>
  </conditionalFormatting>
  <conditionalFormatting sqref="L640">
    <cfRule type="expression" dxfId="4" priority="5">
      <formula>ISNUMBER(SEARCH(CHAR(10),L640))</formula>
    </cfRule>
  </conditionalFormatting>
  <conditionalFormatting sqref="M1:M232 M234:M305 M307:M1048576">
    <cfRule type="expression" dxfId="3" priority="6">
      <formula>ISNUMBER(SEARCH(CHAR(10),M1))</formula>
    </cfRule>
  </conditionalFormatting>
  <hyperlinks>
    <hyperlink ref="K40" r:id="rId1" xr:uid="{00000000-0004-0000-0500-000000000000}"/>
    <hyperlink ref="K81" r:id="rId2" xr:uid="{00000000-0004-0000-0500-000001000000}"/>
    <hyperlink ref="K118" r:id="rId3" xr:uid="{00000000-0004-0000-0500-000002000000}"/>
    <hyperlink ref="K156" r:id="rId4" xr:uid="{00000000-0004-0000-0500-000003000000}"/>
    <hyperlink ref="K233" r:id="rId5" xr:uid="{00000000-0004-0000-0500-000004000000}"/>
    <hyperlink ref="K299" r:id="rId6" xr:uid="{00000000-0004-0000-0500-000005000000}"/>
    <hyperlink ref="K302" r:id="rId7" xr:uid="{00000000-0004-0000-0500-000006000000}"/>
    <hyperlink ref="K306" r:id="rId8" xr:uid="{00000000-0004-0000-0500-000007000000}"/>
    <hyperlink ref="K346" r:id="rId9" xr:uid="{00000000-0004-0000-0500-000008000000}"/>
    <hyperlink ref="K350" r:id="rId10" xr:uid="{00000000-0004-0000-0500-000009000000}"/>
    <hyperlink ref="K397" r:id="rId11" xr:uid="{00000000-0004-0000-0500-00000A000000}"/>
    <hyperlink ref="K405" r:id="rId12" display="krunoslav.fuckor@pravo.hr, " xr:uid="{00000000-0004-0000-0500-00000B000000}"/>
    <hyperlink ref="K421" r:id="rId13" xr:uid="{00000000-0004-0000-0500-00000C000000}"/>
    <hyperlink ref="K428" r:id="rId14" xr:uid="{00000000-0004-0000-0500-00000D000000}"/>
    <hyperlink ref="K640" r:id="rId15" xr:uid="{00000000-0004-0000-0500-00000E000000}"/>
    <hyperlink ref="K710" r:id="rId16" xr:uid="{00000000-0004-0000-0500-00000F000000}"/>
  </hyperlinks>
  <pageMargins left="0.19685039370078741" right="0.19685039370078741" top="0.39370078740157483" bottom="0.39370078740157483" header="0.31496062992125978" footer="0.31496062992125978"/>
  <pageSetup paperSize="9" scale="85" orientation="landscape"/>
  <colBreaks count="2" manualBreakCount="2">
    <brk id="13" max="782" man="1"/>
    <brk id="14" max="782"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89"/>
  <sheetViews>
    <sheetView topLeftCell="A20" workbookViewId="0">
      <selection activeCell="D18" sqref="D18"/>
    </sheetView>
  </sheetViews>
  <sheetFormatPr defaultColWidth="8.85546875" defaultRowHeight="15" x14ac:dyDescent="0.25"/>
  <cols>
    <col min="1" max="1" width="9.28515625" bestFit="1" customWidth="1"/>
    <col min="2" max="2" width="20.28515625" bestFit="1" customWidth="1"/>
    <col min="3" max="3" width="9.28515625" customWidth="1"/>
    <col min="4" max="4" width="75.140625" customWidth="1"/>
    <col min="5" max="5" width="63.140625" bestFit="1" customWidth="1"/>
    <col min="7" max="7" width="9.28515625" bestFit="1" customWidth="1"/>
    <col min="8" max="8" width="14.140625" bestFit="1" customWidth="1"/>
    <col min="9" max="9" width="63.7109375" bestFit="1" customWidth="1"/>
    <col min="10" max="10" width="56" bestFit="1" customWidth="1"/>
    <col min="11" max="11" width="83.28515625" bestFit="1" customWidth="1"/>
    <col min="12" max="12" width="39" bestFit="1" customWidth="1"/>
    <col min="13" max="13" width="156.85546875" bestFit="1" customWidth="1"/>
    <col min="14" max="14" width="12" bestFit="1" customWidth="1"/>
    <col min="15" max="15" width="21.7109375" bestFit="1" customWidth="1"/>
    <col min="16" max="16" width="14.85546875" bestFit="1" customWidth="1"/>
    <col min="17" max="17" width="15.85546875" bestFit="1" customWidth="1"/>
    <col min="18" max="18" width="12.85546875" bestFit="1" customWidth="1"/>
    <col min="19" max="19" width="13.7109375" bestFit="1" customWidth="1"/>
  </cols>
  <sheetData>
    <row r="1" spans="1:18" x14ac:dyDescent="0.25">
      <c r="A1" s="12" t="s">
        <v>1164</v>
      </c>
    </row>
    <row r="3" spans="1:18" x14ac:dyDescent="0.25">
      <c r="A3" t="s">
        <v>1</v>
      </c>
      <c r="B3" t="s">
        <v>2</v>
      </c>
      <c r="C3" t="s">
        <v>4</v>
      </c>
      <c r="D3" t="s">
        <v>5</v>
      </c>
      <c r="E3" t="s">
        <v>6</v>
      </c>
      <c r="F3" t="s">
        <v>7</v>
      </c>
      <c r="G3" t="s">
        <v>8</v>
      </c>
      <c r="H3" t="s">
        <v>9</v>
      </c>
      <c r="I3" t="s">
        <v>10</v>
      </c>
      <c r="J3" t="s">
        <v>11</v>
      </c>
      <c r="K3" t="s">
        <v>12</v>
      </c>
      <c r="L3" t="s">
        <v>13</v>
      </c>
      <c r="M3" t="s">
        <v>14</v>
      </c>
      <c r="N3" t="s">
        <v>16</v>
      </c>
      <c r="O3" t="s">
        <v>17</v>
      </c>
      <c r="P3" t="s">
        <v>18</v>
      </c>
      <c r="Q3" t="s">
        <v>19</v>
      </c>
      <c r="R3" t="s">
        <v>20</v>
      </c>
    </row>
    <row r="4" spans="1:18" ht="45" customHeight="1" x14ac:dyDescent="0.25">
      <c r="B4" s="11" t="s">
        <v>1165</v>
      </c>
      <c r="C4" t="s">
        <v>760</v>
      </c>
      <c r="D4" t="s">
        <v>761</v>
      </c>
      <c r="E4" t="s">
        <v>1166</v>
      </c>
      <c r="F4">
        <v>7</v>
      </c>
      <c r="G4" t="s">
        <v>61</v>
      </c>
      <c r="H4" t="s">
        <v>762</v>
      </c>
      <c r="I4" t="s">
        <v>763</v>
      </c>
      <c r="J4" t="s">
        <v>764</v>
      </c>
      <c r="K4" t="s">
        <v>765</v>
      </c>
      <c r="L4" s="11" t="s">
        <v>1167</v>
      </c>
      <c r="M4" t="s">
        <v>766</v>
      </c>
      <c r="N4" s="4">
        <v>46104</v>
      </c>
      <c r="Q4" t="s">
        <v>31</v>
      </c>
      <c r="R4" t="s">
        <v>84</v>
      </c>
    </row>
    <row r="5" spans="1:18" hidden="1" x14ac:dyDescent="0.25">
      <c r="B5">
        <v>342</v>
      </c>
      <c r="C5" t="s">
        <v>760</v>
      </c>
      <c r="D5" t="s">
        <v>761</v>
      </c>
      <c r="E5" t="s">
        <v>1168</v>
      </c>
      <c r="F5">
        <v>2</v>
      </c>
      <c r="G5" t="s">
        <v>61</v>
      </c>
      <c r="H5" t="s">
        <v>762</v>
      </c>
      <c r="I5" t="s">
        <v>763</v>
      </c>
      <c r="J5" t="s">
        <v>764</v>
      </c>
      <c r="K5" t="s">
        <v>765</v>
      </c>
      <c r="L5" t="s">
        <v>765</v>
      </c>
      <c r="M5" t="s">
        <v>766</v>
      </c>
      <c r="N5" s="4">
        <v>46104</v>
      </c>
      <c r="Q5" t="s">
        <v>31</v>
      </c>
      <c r="R5" t="s">
        <v>84</v>
      </c>
    </row>
    <row r="6" spans="1:18" x14ac:dyDescent="0.25">
      <c r="B6">
        <v>372</v>
      </c>
      <c r="C6" t="s">
        <v>318</v>
      </c>
      <c r="D6" t="s">
        <v>319</v>
      </c>
      <c r="E6" t="s">
        <v>1166</v>
      </c>
      <c r="F6">
        <v>1</v>
      </c>
      <c r="G6" t="s">
        <v>111</v>
      </c>
      <c r="H6" t="s">
        <v>320</v>
      </c>
      <c r="I6" t="s">
        <v>321</v>
      </c>
      <c r="J6" t="s">
        <v>322</v>
      </c>
      <c r="K6" t="s">
        <v>323</v>
      </c>
      <c r="L6" t="s">
        <v>324</v>
      </c>
      <c r="M6" t="s">
        <v>325</v>
      </c>
      <c r="N6" s="4">
        <v>46104</v>
      </c>
      <c r="Q6" t="s">
        <v>31</v>
      </c>
      <c r="R6" t="s">
        <v>84</v>
      </c>
    </row>
    <row r="7" spans="1:18" hidden="1" x14ac:dyDescent="0.25">
      <c r="B7">
        <v>327</v>
      </c>
      <c r="C7" t="s">
        <v>318</v>
      </c>
      <c r="D7" t="s">
        <v>319</v>
      </c>
      <c r="E7" t="s">
        <v>1168</v>
      </c>
      <c r="F7">
        <v>2</v>
      </c>
      <c r="G7" t="s">
        <v>111</v>
      </c>
      <c r="H7" t="s">
        <v>320</v>
      </c>
      <c r="I7" t="s">
        <v>321</v>
      </c>
      <c r="J7" t="s">
        <v>322</v>
      </c>
      <c r="K7" t="s">
        <v>323</v>
      </c>
      <c r="L7" t="s">
        <v>324</v>
      </c>
      <c r="M7" t="s">
        <v>325</v>
      </c>
      <c r="N7" s="4">
        <v>46104</v>
      </c>
      <c r="Q7" t="s">
        <v>31</v>
      </c>
      <c r="R7" t="s">
        <v>84</v>
      </c>
    </row>
    <row r="8" spans="1:18" ht="30" customHeight="1" x14ac:dyDescent="0.25">
      <c r="B8">
        <v>367</v>
      </c>
      <c r="C8" t="s">
        <v>247</v>
      </c>
      <c r="D8" t="s">
        <v>248</v>
      </c>
      <c r="E8" t="s">
        <v>1166</v>
      </c>
      <c r="F8">
        <v>2</v>
      </c>
      <c r="G8" t="s">
        <v>61</v>
      </c>
      <c r="H8" s="11" t="s">
        <v>528</v>
      </c>
      <c r="I8" t="s">
        <v>1068</v>
      </c>
      <c r="J8" s="11" t="s">
        <v>530</v>
      </c>
      <c r="K8" t="s">
        <v>252</v>
      </c>
      <c r="L8" t="s">
        <v>531</v>
      </c>
      <c r="M8" t="s">
        <v>254</v>
      </c>
      <c r="N8" s="4">
        <v>46104</v>
      </c>
      <c r="Q8" t="s">
        <v>31</v>
      </c>
      <c r="R8" t="s">
        <v>84</v>
      </c>
    </row>
    <row r="9" spans="1:18" ht="30" hidden="1" customHeight="1" x14ac:dyDescent="0.25">
      <c r="B9">
        <v>321</v>
      </c>
      <c r="C9" t="s">
        <v>247</v>
      </c>
      <c r="D9" t="s">
        <v>248</v>
      </c>
      <c r="E9" t="s">
        <v>1168</v>
      </c>
      <c r="F9">
        <v>1</v>
      </c>
      <c r="G9" t="s">
        <v>61</v>
      </c>
      <c r="H9" s="11" t="s">
        <v>528</v>
      </c>
      <c r="I9" t="s">
        <v>1068</v>
      </c>
      <c r="J9" s="11" t="s">
        <v>530</v>
      </c>
      <c r="K9" t="s">
        <v>252</v>
      </c>
      <c r="L9" t="s">
        <v>531</v>
      </c>
      <c r="M9" t="s">
        <v>254</v>
      </c>
      <c r="N9" s="4">
        <v>46104</v>
      </c>
      <c r="Q9" t="s">
        <v>31</v>
      </c>
      <c r="R9" t="s">
        <v>84</v>
      </c>
    </row>
    <row r="10" spans="1:18" x14ac:dyDescent="0.25">
      <c r="B10">
        <v>364</v>
      </c>
      <c r="C10" t="s">
        <v>207</v>
      </c>
      <c r="D10" t="s">
        <v>208</v>
      </c>
      <c r="E10" t="s">
        <v>1166</v>
      </c>
      <c r="F10">
        <v>2</v>
      </c>
      <c r="G10" t="s">
        <v>61</v>
      </c>
      <c r="H10" t="s">
        <v>209</v>
      </c>
      <c r="I10" t="s">
        <v>210</v>
      </c>
      <c r="J10" t="s">
        <v>211</v>
      </c>
      <c r="K10" t="s">
        <v>212</v>
      </c>
      <c r="L10" t="s">
        <v>213</v>
      </c>
      <c r="M10" t="s">
        <v>214</v>
      </c>
      <c r="N10" s="4">
        <v>46104</v>
      </c>
      <c r="Q10" t="s">
        <v>31</v>
      </c>
      <c r="R10" t="s">
        <v>31</v>
      </c>
    </row>
    <row r="11" spans="1:18" x14ac:dyDescent="0.25">
      <c r="B11">
        <v>371</v>
      </c>
      <c r="C11" t="s">
        <v>310</v>
      </c>
      <c r="D11" t="s">
        <v>311</v>
      </c>
      <c r="E11" t="s">
        <v>1166</v>
      </c>
      <c r="F11">
        <v>1</v>
      </c>
      <c r="G11" t="s">
        <v>152</v>
      </c>
      <c r="H11" t="s">
        <v>312</v>
      </c>
      <c r="I11" t="s">
        <v>313</v>
      </c>
      <c r="J11" t="s">
        <v>314</v>
      </c>
      <c r="K11" t="s">
        <v>315</v>
      </c>
      <c r="L11" t="s">
        <v>316</v>
      </c>
      <c r="M11" t="s">
        <v>317</v>
      </c>
      <c r="N11" s="4">
        <v>46104</v>
      </c>
      <c r="Q11" t="s">
        <v>31</v>
      </c>
      <c r="R11" t="s">
        <v>31</v>
      </c>
    </row>
    <row r="12" spans="1:18" x14ac:dyDescent="0.25">
      <c r="B12">
        <v>382</v>
      </c>
      <c r="C12" t="s">
        <v>447</v>
      </c>
      <c r="D12" t="s">
        <v>448</v>
      </c>
      <c r="E12" t="s">
        <v>1166</v>
      </c>
      <c r="F12">
        <v>1</v>
      </c>
      <c r="G12" t="s">
        <v>24</v>
      </c>
      <c r="H12" t="s">
        <v>449</v>
      </c>
      <c r="I12" t="s">
        <v>450</v>
      </c>
      <c r="J12" t="s">
        <v>451</v>
      </c>
      <c r="K12" t="s">
        <v>452</v>
      </c>
      <c r="L12" t="s">
        <v>453</v>
      </c>
      <c r="M12" t="s">
        <v>454</v>
      </c>
      <c r="N12" s="4">
        <v>46104</v>
      </c>
      <c r="Q12" t="s">
        <v>31</v>
      </c>
      <c r="R12" t="s">
        <v>31</v>
      </c>
    </row>
    <row r="13" spans="1:18" hidden="1" x14ac:dyDescent="0.25">
      <c r="B13">
        <v>339</v>
      </c>
      <c r="C13" t="s">
        <v>447</v>
      </c>
      <c r="D13" t="s">
        <v>448</v>
      </c>
      <c r="E13" t="s">
        <v>1168</v>
      </c>
      <c r="F13">
        <v>2</v>
      </c>
      <c r="G13" t="s">
        <v>24</v>
      </c>
      <c r="H13" t="s">
        <v>449</v>
      </c>
      <c r="I13" t="s">
        <v>450</v>
      </c>
      <c r="J13" t="s">
        <v>451</v>
      </c>
      <c r="K13" t="s">
        <v>452</v>
      </c>
      <c r="L13" t="s">
        <v>453</v>
      </c>
      <c r="M13" t="s">
        <v>454</v>
      </c>
      <c r="N13" s="4">
        <v>46104</v>
      </c>
      <c r="Q13" t="s">
        <v>31</v>
      </c>
      <c r="R13" t="s">
        <v>31</v>
      </c>
    </row>
    <row r="14" spans="1:18" hidden="1" x14ac:dyDescent="0.25">
      <c r="B14">
        <v>311</v>
      </c>
      <c r="C14" t="s">
        <v>536</v>
      </c>
      <c r="D14" t="s">
        <v>537</v>
      </c>
      <c r="E14" t="s">
        <v>1168</v>
      </c>
      <c r="F14">
        <v>1</v>
      </c>
      <c r="G14" t="s">
        <v>111</v>
      </c>
      <c r="H14" t="s">
        <v>538</v>
      </c>
      <c r="I14" t="s">
        <v>539</v>
      </c>
      <c r="J14" t="s">
        <v>540</v>
      </c>
      <c r="K14" t="s">
        <v>541</v>
      </c>
      <c r="L14" t="s">
        <v>541</v>
      </c>
      <c r="M14" t="s">
        <v>542</v>
      </c>
      <c r="N14" s="4">
        <v>46104</v>
      </c>
      <c r="Q14" t="s">
        <v>31</v>
      </c>
      <c r="R14" t="s">
        <v>84</v>
      </c>
    </row>
    <row r="15" spans="1:18" x14ac:dyDescent="0.25">
      <c r="B15">
        <v>386</v>
      </c>
      <c r="C15" t="s">
        <v>486</v>
      </c>
      <c r="D15" t="s">
        <v>487</v>
      </c>
      <c r="E15" t="s">
        <v>1166</v>
      </c>
      <c r="F15">
        <v>1</v>
      </c>
      <c r="G15" t="s">
        <v>152</v>
      </c>
      <c r="H15" t="s">
        <v>488</v>
      </c>
      <c r="I15" t="s">
        <v>489</v>
      </c>
      <c r="J15" t="s">
        <v>490</v>
      </c>
      <c r="K15" t="s">
        <v>491</v>
      </c>
      <c r="L15" t="s">
        <v>492</v>
      </c>
      <c r="M15" t="s">
        <v>493</v>
      </c>
      <c r="N15" s="4">
        <v>46104</v>
      </c>
      <c r="Q15" t="s">
        <v>31</v>
      </c>
      <c r="R15" t="s">
        <v>84</v>
      </c>
    </row>
    <row r="16" spans="1:18" hidden="1" x14ac:dyDescent="0.25">
      <c r="B16">
        <v>345</v>
      </c>
      <c r="C16" t="s">
        <v>486</v>
      </c>
      <c r="D16" t="s">
        <v>487</v>
      </c>
      <c r="E16" t="s">
        <v>1168</v>
      </c>
      <c r="F16">
        <v>1</v>
      </c>
      <c r="G16" t="s">
        <v>152</v>
      </c>
      <c r="H16" t="s">
        <v>488</v>
      </c>
      <c r="I16" t="s">
        <v>489</v>
      </c>
      <c r="J16" t="s">
        <v>490</v>
      </c>
      <c r="K16" t="s">
        <v>491</v>
      </c>
      <c r="L16" t="s">
        <v>492</v>
      </c>
      <c r="M16" t="s">
        <v>493</v>
      </c>
      <c r="N16" s="4">
        <v>46104</v>
      </c>
      <c r="Q16" t="s">
        <v>31</v>
      </c>
      <c r="R16" t="s">
        <v>84</v>
      </c>
    </row>
    <row r="17" spans="2:18" hidden="1" x14ac:dyDescent="0.25">
      <c r="B17">
        <v>329</v>
      </c>
      <c r="C17" t="s">
        <v>334</v>
      </c>
      <c r="D17" t="s">
        <v>335</v>
      </c>
      <c r="E17" t="s">
        <v>1168</v>
      </c>
      <c r="F17">
        <v>1</v>
      </c>
      <c r="G17" t="s">
        <v>61</v>
      </c>
      <c r="H17" t="s">
        <v>336</v>
      </c>
      <c r="I17" t="s">
        <v>337</v>
      </c>
      <c r="J17" t="s">
        <v>338</v>
      </c>
      <c r="K17" t="s">
        <v>339</v>
      </c>
      <c r="L17" t="s">
        <v>543</v>
      </c>
      <c r="M17" t="s">
        <v>341</v>
      </c>
      <c r="N17" s="4">
        <v>46104</v>
      </c>
      <c r="Q17" t="s">
        <v>31</v>
      </c>
      <c r="R17" t="s">
        <v>84</v>
      </c>
    </row>
    <row r="18" spans="2:18" x14ac:dyDescent="0.25">
      <c r="B18">
        <v>349</v>
      </c>
      <c r="C18" t="s">
        <v>21</v>
      </c>
      <c r="D18" t="s">
        <v>22</v>
      </c>
      <c r="E18" t="s">
        <v>1166</v>
      </c>
      <c r="F18">
        <v>1</v>
      </c>
      <c r="G18" t="s">
        <v>24</v>
      </c>
      <c r="H18" t="s">
        <v>25</v>
      </c>
      <c r="I18" t="s">
        <v>26</v>
      </c>
      <c r="J18" t="s">
        <v>27</v>
      </c>
      <c r="K18" t="s">
        <v>28</v>
      </c>
      <c r="L18" t="s">
        <v>29</v>
      </c>
      <c r="M18" t="s">
        <v>30</v>
      </c>
      <c r="N18" s="4">
        <v>46104</v>
      </c>
      <c r="Q18" t="s">
        <v>31</v>
      </c>
      <c r="R18" t="s">
        <v>31</v>
      </c>
    </row>
    <row r="19" spans="2:18" hidden="1" x14ac:dyDescent="0.25">
      <c r="B19">
        <v>302</v>
      </c>
      <c r="C19" t="s">
        <v>21</v>
      </c>
      <c r="D19" t="s">
        <v>22</v>
      </c>
      <c r="E19" t="s">
        <v>1168</v>
      </c>
      <c r="F19">
        <v>5</v>
      </c>
      <c r="G19" t="s">
        <v>24</v>
      </c>
      <c r="H19" t="s">
        <v>25</v>
      </c>
      <c r="I19" t="s">
        <v>26</v>
      </c>
      <c r="J19" t="s">
        <v>27</v>
      </c>
      <c r="K19" t="s">
        <v>28</v>
      </c>
      <c r="L19" t="s">
        <v>29</v>
      </c>
      <c r="M19" t="s">
        <v>30</v>
      </c>
      <c r="N19" s="4">
        <v>46104</v>
      </c>
      <c r="Q19" t="s">
        <v>31</v>
      </c>
      <c r="R19" t="s">
        <v>31</v>
      </c>
    </row>
    <row r="20" spans="2:18" x14ac:dyDescent="0.25">
      <c r="B20">
        <v>361</v>
      </c>
      <c r="C20" t="s">
        <v>159</v>
      </c>
      <c r="D20" t="s">
        <v>160</v>
      </c>
      <c r="E20" t="s">
        <v>1166</v>
      </c>
      <c r="F20">
        <v>1</v>
      </c>
      <c r="G20" t="s">
        <v>61</v>
      </c>
      <c r="H20" t="s">
        <v>161</v>
      </c>
      <c r="I20" t="s">
        <v>162</v>
      </c>
      <c r="J20" t="s">
        <v>163</v>
      </c>
      <c r="K20" t="s">
        <v>164</v>
      </c>
      <c r="L20" t="s">
        <v>164</v>
      </c>
      <c r="M20" t="s">
        <v>165</v>
      </c>
      <c r="N20" s="4">
        <v>46104</v>
      </c>
      <c r="Q20" t="s">
        <v>31</v>
      </c>
      <c r="R20" t="s">
        <v>31</v>
      </c>
    </row>
    <row r="21" spans="2:18" hidden="1" x14ac:dyDescent="0.25">
      <c r="B21">
        <v>337</v>
      </c>
      <c r="C21" t="s">
        <v>544</v>
      </c>
      <c r="D21" t="s">
        <v>545</v>
      </c>
      <c r="E21" t="s">
        <v>1168</v>
      </c>
      <c r="F21">
        <v>1</v>
      </c>
      <c r="G21" t="s">
        <v>24</v>
      </c>
      <c r="H21" t="s">
        <v>546</v>
      </c>
      <c r="I21" t="s">
        <v>547</v>
      </c>
      <c r="J21" t="s">
        <v>548</v>
      </c>
      <c r="K21" t="s">
        <v>549</v>
      </c>
      <c r="L21" t="s">
        <v>550</v>
      </c>
      <c r="M21" t="s">
        <v>551</v>
      </c>
      <c r="N21" s="4">
        <v>46104</v>
      </c>
      <c r="Q21" t="s">
        <v>31</v>
      </c>
      <c r="R21" t="s">
        <v>31</v>
      </c>
    </row>
    <row r="22" spans="2:18" ht="30" customHeight="1" x14ac:dyDescent="0.25">
      <c r="B22" s="11" t="s">
        <v>1169</v>
      </c>
      <c r="C22" t="s">
        <v>34</v>
      </c>
      <c r="D22" t="s">
        <v>35</v>
      </c>
      <c r="E22" t="s">
        <v>1166</v>
      </c>
      <c r="F22">
        <v>2</v>
      </c>
      <c r="G22" t="s">
        <v>36</v>
      </c>
      <c r="H22" t="s">
        <v>37</v>
      </c>
      <c r="I22" t="s">
        <v>38</v>
      </c>
      <c r="J22" t="s">
        <v>39</v>
      </c>
      <c r="K22" t="s">
        <v>40</v>
      </c>
      <c r="L22" t="s">
        <v>553</v>
      </c>
      <c r="M22" t="s">
        <v>42</v>
      </c>
      <c r="N22" s="4">
        <v>46104</v>
      </c>
      <c r="Q22" t="s">
        <v>31</v>
      </c>
      <c r="R22" t="s">
        <v>31</v>
      </c>
    </row>
    <row r="23" spans="2:18" hidden="1" x14ac:dyDescent="0.25">
      <c r="B23">
        <v>313</v>
      </c>
      <c r="C23" t="s">
        <v>166</v>
      </c>
      <c r="D23" t="s">
        <v>167</v>
      </c>
      <c r="E23" t="s">
        <v>1168</v>
      </c>
      <c r="F23">
        <v>1</v>
      </c>
      <c r="G23" t="s">
        <v>61</v>
      </c>
      <c r="H23" t="s">
        <v>168</v>
      </c>
      <c r="I23" t="s">
        <v>169</v>
      </c>
      <c r="J23" t="s">
        <v>170</v>
      </c>
      <c r="K23" t="s">
        <v>171</v>
      </c>
      <c r="L23" t="s">
        <v>172</v>
      </c>
      <c r="M23" t="s">
        <v>173</v>
      </c>
      <c r="N23" s="4">
        <v>46104</v>
      </c>
      <c r="Q23" t="s">
        <v>31</v>
      </c>
      <c r="R23" t="s">
        <v>84</v>
      </c>
    </row>
    <row r="24" spans="2:18" hidden="1" x14ac:dyDescent="0.25">
      <c r="B24">
        <v>328</v>
      </c>
      <c r="C24" t="s">
        <v>326</v>
      </c>
      <c r="D24" t="s">
        <v>327</v>
      </c>
      <c r="E24" t="s">
        <v>1168</v>
      </c>
      <c r="F24">
        <v>1</v>
      </c>
      <c r="G24" t="s">
        <v>152</v>
      </c>
      <c r="H24" t="s">
        <v>328</v>
      </c>
      <c r="I24" t="s">
        <v>329</v>
      </c>
      <c r="J24" t="s">
        <v>330</v>
      </c>
      <c r="K24" t="s">
        <v>331</v>
      </c>
      <c r="L24" t="s">
        <v>332</v>
      </c>
      <c r="M24" t="s">
        <v>333</v>
      </c>
      <c r="N24" s="4">
        <v>46104</v>
      </c>
      <c r="Q24" t="s">
        <v>31</v>
      </c>
      <c r="R24" t="s">
        <v>31</v>
      </c>
    </row>
    <row r="25" spans="2:18" x14ac:dyDescent="0.25">
      <c r="B25">
        <v>360</v>
      </c>
      <c r="C25" t="s">
        <v>554</v>
      </c>
      <c r="D25" t="s">
        <v>555</v>
      </c>
      <c r="E25" t="s">
        <v>1166</v>
      </c>
      <c r="F25">
        <v>1</v>
      </c>
      <c r="G25" t="s">
        <v>61</v>
      </c>
      <c r="H25" t="s">
        <v>556</v>
      </c>
      <c r="I25" t="s">
        <v>557</v>
      </c>
      <c r="J25" t="s">
        <v>558</v>
      </c>
      <c r="K25" t="s">
        <v>559</v>
      </c>
      <c r="L25" t="s">
        <v>560</v>
      </c>
      <c r="M25" t="s">
        <v>561</v>
      </c>
      <c r="N25" s="4">
        <v>46104</v>
      </c>
      <c r="Q25" t="s">
        <v>31</v>
      </c>
      <c r="R25" t="s">
        <v>31</v>
      </c>
    </row>
    <row r="26" spans="2:18" x14ac:dyDescent="0.25">
      <c r="B26">
        <v>354</v>
      </c>
      <c r="C26" t="s">
        <v>562</v>
      </c>
      <c r="D26" t="s">
        <v>563</v>
      </c>
      <c r="E26" t="s">
        <v>1166</v>
      </c>
      <c r="F26">
        <v>1</v>
      </c>
      <c r="G26" t="s">
        <v>61</v>
      </c>
      <c r="H26" t="s">
        <v>564</v>
      </c>
      <c r="I26" t="s">
        <v>565</v>
      </c>
      <c r="J26" t="s">
        <v>566</v>
      </c>
      <c r="K26" t="s">
        <v>567</v>
      </c>
      <c r="L26" t="s">
        <v>568</v>
      </c>
      <c r="M26" t="s">
        <v>569</v>
      </c>
      <c r="N26" s="4">
        <v>46104</v>
      </c>
      <c r="Q26" t="s">
        <v>31</v>
      </c>
      <c r="R26" t="s">
        <v>31</v>
      </c>
    </row>
    <row r="27" spans="2:18" x14ac:dyDescent="0.25">
      <c r="B27">
        <v>355</v>
      </c>
      <c r="C27" t="s">
        <v>85</v>
      </c>
      <c r="D27" t="s">
        <v>86</v>
      </c>
      <c r="E27" t="s">
        <v>1166</v>
      </c>
      <c r="F27">
        <v>2</v>
      </c>
      <c r="G27" t="s">
        <v>87</v>
      </c>
      <c r="H27" t="s">
        <v>88</v>
      </c>
      <c r="I27" t="s">
        <v>89</v>
      </c>
      <c r="J27" t="s">
        <v>90</v>
      </c>
      <c r="K27" t="s">
        <v>91</v>
      </c>
      <c r="L27" t="s">
        <v>92</v>
      </c>
      <c r="M27" t="s">
        <v>93</v>
      </c>
      <c r="N27" s="4">
        <v>46104</v>
      </c>
      <c r="Q27" t="s">
        <v>31</v>
      </c>
      <c r="R27" t="s">
        <v>84</v>
      </c>
    </row>
    <row r="28" spans="2:18" ht="45" customHeight="1" x14ac:dyDescent="0.25">
      <c r="B28">
        <v>381</v>
      </c>
      <c r="C28" t="s">
        <v>439</v>
      </c>
      <c r="D28" t="s">
        <v>440</v>
      </c>
      <c r="E28" t="s">
        <v>1166</v>
      </c>
      <c r="F28">
        <v>1</v>
      </c>
      <c r="G28" t="s">
        <v>152</v>
      </c>
      <c r="H28" s="11" t="s">
        <v>441</v>
      </c>
      <c r="I28" s="11" t="s">
        <v>442</v>
      </c>
      <c r="J28" s="11" t="s">
        <v>443</v>
      </c>
      <c r="K28" t="s">
        <v>444</v>
      </c>
      <c r="L28" t="s">
        <v>1170</v>
      </c>
      <c r="M28" t="s">
        <v>446</v>
      </c>
      <c r="N28" s="4">
        <v>46104</v>
      </c>
      <c r="Q28" t="s">
        <v>31</v>
      </c>
      <c r="R28" t="s">
        <v>31</v>
      </c>
    </row>
    <row r="29" spans="2:18" ht="45" hidden="1" customHeight="1" x14ac:dyDescent="0.25">
      <c r="B29">
        <v>338</v>
      </c>
      <c r="C29" t="s">
        <v>439</v>
      </c>
      <c r="D29" t="s">
        <v>440</v>
      </c>
      <c r="E29" t="s">
        <v>1168</v>
      </c>
      <c r="F29">
        <v>1</v>
      </c>
      <c r="G29" t="s">
        <v>152</v>
      </c>
      <c r="H29" s="11" t="s">
        <v>441</v>
      </c>
      <c r="I29" s="11" t="s">
        <v>442</v>
      </c>
      <c r="J29" s="11" t="s">
        <v>443</v>
      </c>
      <c r="K29" t="s">
        <v>444</v>
      </c>
      <c r="L29" t="s">
        <v>570</v>
      </c>
      <c r="M29" t="s">
        <v>446</v>
      </c>
      <c r="N29" s="4">
        <v>46104</v>
      </c>
      <c r="Q29" t="s">
        <v>31</v>
      </c>
      <c r="R29" t="s">
        <v>31</v>
      </c>
    </row>
    <row r="30" spans="2:18" hidden="1" x14ac:dyDescent="0.25">
      <c r="B30">
        <v>340</v>
      </c>
      <c r="C30" t="s">
        <v>571</v>
      </c>
      <c r="D30" t="s">
        <v>572</v>
      </c>
      <c r="E30" t="s">
        <v>1168</v>
      </c>
      <c r="F30">
        <v>3</v>
      </c>
      <c r="G30" t="s">
        <v>573</v>
      </c>
      <c r="H30" t="s">
        <v>574</v>
      </c>
      <c r="I30" t="s">
        <v>575</v>
      </c>
      <c r="J30" t="s">
        <v>576</v>
      </c>
      <c r="K30" t="s">
        <v>577</v>
      </c>
      <c r="L30" t="s">
        <v>578</v>
      </c>
      <c r="M30" t="s">
        <v>579</v>
      </c>
      <c r="N30" s="4">
        <v>46104</v>
      </c>
      <c r="Q30" t="s">
        <v>31</v>
      </c>
      <c r="R30" t="s">
        <v>84</v>
      </c>
    </row>
    <row r="31" spans="2:18" x14ac:dyDescent="0.25">
      <c r="B31">
        <v>356</v>
      </c>
      <c r="C31" t="s">
        <v>580</v>
      </c>
      <c r="D31" t="s">
        <v>581</v>
      </c>
      <c r="E31" t="s">
        <v>1166</v>
      </c>
      <c r="F31">
        <v>2</v>
      </c>
      <c r="G31" t="s">
        <v>61</v>
      </c>
      <c r="H31" t="s">
        <v>582</v>
      </c>
      <c r="I31" t="s">
        <v>583</v>
      </c>
      <c r="J31" t="s">
        <v>584</v>
      </c>
      <c r="K31" t="s">
        <v>585</v>
      </c>
      <c r="L31" t="s">
        <v>1171</v>
      </c>
      <c r="M31" t="s">
        <v>587</v>
      </c>
      <c r="N31" s="4">
        <v>46104</v>
      </c>
      <c r="Q31" t="s">
        <v>31</v>
      </c>
      <c r="R31" t="s">
        <v>84</v>
      </c>
    </row>
    <row r="32" spans="2:18" x14ac:dyDescent="0.25">
      <c r="B32">
        <v>378</v>
      </c>
      <c r="C32" t="s">
        <v>391</v>
      </c>
      <c r="D32" t="s">
        <v>392</v>
      </c>
      <c r="E32" t="s">
        <v>1166</v>
      </c>
      <c r="F32">
        <v>4</v>
      </c>
      <c r="G32" t="s">
        <v>111</v>
      </c>
      <c r="H32" t="s">
        <v>393</v>
      </c>
      <c r="I32" t="s">
        <v>394</v>
      </c>
      <c r="J32" t="s">
        <v>395</v>
      </c>
      <c r="K32" t="s">
        <v>396</v>
      </c>
      <c r="L32" t="s">
        <v>397</v>
      </c>
      <c r="M32" t="s">
        <v>398</v>
      </c>
      <c r="N32" s="4">
        <v>46104</v>
      </c>
      <c r="Q32" t="s">
        <v>31</v>
      </c>
      <c r="R32" t="s">
        <v>84</v>
      </c>
    </row>
    <row r="33" spans="2:18" x14ac:dyDescent="0.25">
      <c r="B33">
        <v>385</v>
      </c>
      <c r="C33" t="s">
        <v>588</v>
      </c>
      <c r="D33" t="s">
        <v>589</v>
      </c>
      <c r="E33" t="s">
        <v>1166</v>
      </c>
      <c r="F33">
        <v>13</v>
      </c>
      <c r="G33" t="s">
        <v>24</v>
      </c>
      <c r="H33" t="s">
        <v>590</v>
      </c>
      <c r="I33" t="s">
        <v>591</v>
      </c>
      <c r="J33" t="s">
        <v>592</v>
      </c>
      <c r="K33" t="s">
        <v>593</v>
      </c>
      <c r="L33" t="s">
        <v>594</v>
      </c>
      <c r="M33" t="s">
        <v>595</v>
      </c>
      <c r="N33" s="4">
        <v>46104</v>
      </c>
      <c r="Q33" t="s">
        <v>31</v>
      </c>
      <c r="R33" t="s">
        <v>31</v>
      </c>
    </row>
    <row r="34" spans="2:18" hidden="1" x14ac:dyDescent="0.25">
      <c r="B34">
        <v>344</v>
      </c>
      <c r="C34" t="s">
        <v>588</v>
      </c>
      <c r="D34" t="s">
        <v>589</v>
      </c>
      <c r="E34" t="s">
        <v>1168</v>
      </c>
      <c r="F34">
        <v>10</v>
      </c>
      <c r="G34" t="s">
        <v>24</v>
      </c>
      <c r="H34" t="s">
        <v>590</v>
      </c>
      <c r="I34" t="s">
        <v>591</v>
      </c>
      <c r="J34" t="s">
        <v>592</v>
      </c>
      <c r="K34" t="s">
        <v>593</v>
      </c>
      <c r="L34" t="s">
        <v>594</v>
      </c>
      <c r="M34" t="s">
        <v>595</v>
      </c>
      <c r="N34" s="4">
        <v>46104</v>
      </c>
      <c r="Q34" t="s">
        <v>31</v>
      </c>
      <c r="R34" t="s">
        <v>31</v>
      </c>
    </row>
    <row r="35" spans="2:18" x14ac:dyDescent="0.25">
      <c r="B35">
        <v>383</v>
      </c>
      <c r="C35" t="s">
        <v>596</v>
      </c>
      <c r="D35" t="s">
        <v>597</v>
      </c>
      <c r="E35" t="s">
        <v>1166</v>
      </c>
      <c r="F35">
        <v>1</v>
      </c>
      <c r="G35" t="s">
        <v>61</v>
      </c>
      <c r="H35" t="s">
        <v>598</v>
      </c>
      <c r="I35" t="s">
        <v>599</v>
      </c>
      <c r="J35" t="s">
        <v>600</v>
      </c>
      <c r="K35" t="s">
        <v>601</v>
      </c>
      <c r="L35" t="s">
        <v>602</v>
      </c>
      <c r="M35" t="s">
        <v>603</v>
      </c>
      <c r="N35" s="4">
        <v>46104</v>
      </c>
      <c r="Q35" t="s">
        <v>31</v>
      </c>
      <c r="R35" t="s">
        <v>84</v>
      </c>
    </row>
    <row r="36" spans="2:18" hidden="1" x14ac:dyDescent="0.25">
      <c r="B36">
        <v>322</v>
      </c>
      <c r="C36" t="s">
        <v>263</v>
      </c>
      <c r="D36" t="s">
        <v>264</v>
      </c>
      <c r="E36" t="s">
        <v>1168</v>
      </c>
      <c r="F36">
        <v>3</v>
      </c>
      <c r="G36" t="s">
        <v>61</v>
      </c>
      <c r="H36" t="s">
        <v>265</v>
      </c>
      <c r="I36" t="s">
        <v>266</v>
      </c>
      <c r="J36" t="s">
        <v>267</v>
      </c>
      <c r="K36" t="s">
        <v>252</v>
      </c>
      <c r="L36" t="s">
        <v>268</v>
      </c>
      <c r="M36" t="s">
        <v>269</v>
      </c>
      <c r="N36" s="4">
        <v>46104</v>
      </c>
      <c r="Q36" t="s">
        <v>31</v>
      </c>
      <c r="R36" t="s">
        <v>31</v>
      </c>
    </row>
    <row r="37" spans="2:18" hidden="1" x14ac:dyDescent="0.25">
      <c r="B37">
        <v>341</v>
      </c>
      <c r="C37" t="s">
        <v>455</v>
      </c>
      <c r="D37" t="s">
        <v>456</v>
      </c>
      <c r="E37" t="s">
        <v>1168</v>
      </c>
      <c r="F37">
        <v>2</v>
      </c>
      <c r="G37" t="s">
        <v>111</v>
      </c>
      <c r="H37" t="s">
        <v>457</v>
      </c>
      <c r="I37" t="s">
        <v>458</v>
      </c>
      <c r="J37" t="s">
        <v>459</v>
      </c>
      <c r="K37" t="s">
        <v>460</v>
      </c>
      <c r="L37" t="s">
        <v>461</v>
      </c>
      <c r="M37" t="s">
        <v>462</v>
      </c>
      <c r="N37" s="4">
        <v>46104</v>
      </c>
      <c r="Q37" t="s">
        <v>31</v>
      </c>
      <c r="R37" t="s">
        <v>84</v>
      </c>
    </row>
    <row r="38" spans="2:18" hidden="1" x14ac:dyDescent="0.25">
      <c r="B38">
        <v>332</v>
      </c>
      <c r="C38" t="s">
        <v>604</v>
      </c>
      <c r="D38" t="s">
        <v>605</v>
      </c>
      <c r="E38" t="s">
        <v>1168</v>
      </c>
      <c r="F38">
        <v>15</v>
      </c>
      <c r="G38" t="s">
        <v>61</v>
      </c>
      <c r="H38" t="s">
        <v>606</v>
      </c>
      <c r="I38" t="s">
        <v>607</v>
      </c>
      <c r="J38" t="s">
        <v>608</v>
      </c>
      <c r="K38" t="s">
        <v>252</v>
      </c>
      <c r="L38" t="s">
        <v>609</v>
      </c>
      <c r="M38" t="s">
        <v>610</v>
      </c>
      <c r="N38" s="4">
        <v>46104</v>
      </c>
      <c r="Q38" t="s">
        <v>31</v>
      </c>
      <c r="R38" t="s">
        <v>31</v>
      </c>
    </row>
    <row r="39" spans="2:18" x14ac:dyDescent="0.25">
      <c r="B39">
        <v>353</v>
      </c>
      <c r="C39" t="s">
        <v>1079</v>
      </c>
      <c r="D39" t="s">
        <v>918</v>
      </c>
      <c r="E39" t="s">
        <v>1166</v>
      </c>
      <c r="F39">
        <v>1</v>
      </c>
      <c r="G39" t="s">
        <v>152</v>
      </c>
      <c r="H39" t="s">
        <v>1080</v>
      </c>
      <c r="I39" t="s">
        <v>1081</v>
      </c>
      <c r="J39" t="s">
        <v>1082</v>
      </c>
      <c r="K39" t="s">
        <v>1083</v>
      </c>
      <c r="L39" t="s">
        <v>1084</v>
      </c>
      <c r="M39" t="s">
        <v>1085</v>
      </c>
      <c r="N39" s="4">
        <v>46104</v>
      </c>
      <c r="Q39" t="s">
        <v>31</v>
      </c>
      <c r="R39" t="s">
        <v>84</v>
      </c>
    </row>
    <row r="40" spans="2:18" hidden="1" x14ac:dyDescent="0.25">
      <c r="B40">
        <v>306</v>
      </c>
      <c r="C40" t="s">
        <v>1079</v>
      </c>
      <c r="D40" t="s">
        <v>918</v>
      </c>
      <c r="E40" t="s">
        <v>1168</v>
      </c>
      <c r="F40">
        <v>3</v>
      </c>
      <c r="G40" t="s">
        <v>152</v>
      </c>
      <c r="H40" t="s">
        <v>1080</v>
      </c>
      <c r="I40" t="s">
        <v>1081</v>
      </c>
      <c r="J40" t="s">
        <v>1082</v>
      </c>
      <c r="K40" t="s">
        <v>1083</v>
      </c>
      <c r="L40" t="s">
        <v>1084</v>
      </c>
      <c r="M40" t="s">
        <v>1085</v>
      </c>
      <c r="N40" s="4">
        <v>46104</v>
      </c>
      <c r="Q40" t="s">
        <v>31</v>
      </c>
      <c r="R40" t="s">
        <v>84</v>
      </c>
    </row>
    <row r="41" spans="2:18" hidden="1" x14ac:dyDescent="0.25">
      <c r="B41">
        <v>307</v>
      </c>
      <c r="C41" t="s">
        <v>59</v>
      </c>
      <c r="D41" t="s">
        <v>60</v>
      </c>
      <c r="E41" t="s">
        <v>1168</v>
      </c>
      <c r="F41">
        <v>16</v>
      </c>
      <c r="G41" t="s">
        <v>61</v>
      </c>
      <c r="H41" t="s">
        <v>62</v>
      </c>
      <c r="I41" t="s">
        <v>63</v>
      </c>
      <c r="J41" t="s">
        <v>64</v>
      </c>
      <c r="K41" t="s">
        <v>65</v>
      </c>
      <c r="L41" t="s">
        <v>66</v>
      </c>
      <c r="M41" t="s">
        <v>67</v>
      </c>
      <c r="N41" s="4">
        <v>46104</v>
      </c>
      <c r="Q41" t="s">
        <v>31</v>
      </c>
      <c r="R41" t="s">
        <v>31</v>
      </c>
    </row>
    <row r="42" spans="2:18" x14ac:dyDescent="0.25">
      <c r="B42">
        <v>370</v>
      </c>
      <c r="C42" t="s">
        <v>286</v>
      </c>
      <c r="D42" t="s">
        <v>287</v>
      </c>
      <c r="E42" t="s">
        <v>1166</v>
      </c>
      <c r="F42">
        <v>1</v>
      </c>
      <c r="G42" t="s">
        <v>61</v>
      </c>
      <c r="H42" t="s">
        <v>288</v>
      </c>
      <c r="I42" t="s">
        <v>289</v>
      </c>
      <c r="J42" t="s">
        <v>290</v>
      </c>
      <c r="K42" t="s">
        <v>291</v>
      </c>
      <c r="L42" t="s">
        <v>292</v>
      </c>
      <c r="M42" t="s">
        <v>293</v>
      </c>
      <c r="N42" s="4">
        <v>46104</v>
      </c>
      <c r="Q42" t="s">
        <v>31</v>
      </c>
      <c r="R42" t="s">
        <v>84</v>
      </c>
    </row>
    <row r="43" spans="2:18" x14ac:dyDescent="0.25">
      <c r="B43">
        <v>387</v>
      </c>
      <c r="C43" t="s">
        <v>611</v>
      </c>
      <c r="D43" t="s">
        <v>612</v>
      </c>
      <c r="E43" t="s">
        <v>1166</v>
      </c>
      <c r="F43">
        <v>5</v>
      </c>
      <c r="G43" t="s">
        <v>24</v>
      </c>
      <c r="H43" t="s">
        <v>613</v>
      </c>
      <c r="I43" t="s">
        <v>614</v>
      </c>
      <c r="J43" t="s">
        <v>615</v>
      </c>
      <c r="K43" t="s">
        <v>616</v>
      </c>
      <c r="L43" t="s">
        <v>616</v>
      </c>
      <c r="M43" t="s">
        <v>617</v>
      </c>
      <c r="N43" s="4">
        <v>46104</v>
      </c>
      <c r="Q43" t="s">
        <v>31</v>
      </c>
      <c r="R43" t="s">
        <v>31</v>
      </c>
    </row>
    <row r="44" spans="2:18" hidden="1" x14ac:dyDescent="0.25">
      <c r="B44">
        <v>335</v>
      </c>
      <c r="C44" t="s">
        <v>399</v>
      </c>
      <c r="D44" t="s">
        <v>400</v>
      </c>
      <c r="E44" t="s">
        <v>1168</v>
      </c>
      <c r="F44">
        <v>2</v>
      </c>
      <c r="G44" t="s">
        <v>152</v>
      </c>
      <c r="H44" t="s">
        <v>401</v>
      </c>
      <c r="I44" t="s">
        <v>402</v>
      </c>
      <c r="J44" t="s">
        <v>403</v>
      </c>
      <c r="K44" t="s">
        <v>404</v>
      </c>
      <c r="L44" t="s">
        <v>791</v>
      </c>
      <c r="M44" t="s">
        <v>406</v>
      </c>
      <c r="N44" s="4">
        <v>46104</v>
      </c>
      <c r="Q44" t="s">
        <v>31</v>
      </c>
      <c r="R44" t="s">
        <v>84</v>
      </c>
    </row>
    <row r="45" spans="2:18" x14ac:dyDescent="0.25">
      <c r="B45">
        <v>373</v>
      </c>
      <c r="C45" t="s">
        <v>342</v>
      </c>
      <c r="D45" t="s">
        <v>343</v>
      </c>
      <c r="E45" t="s">
        <v>1166</v>
      </c>
      <c r="F45">
        <v>1</v>
      </c>
      <c r="G45" t="s">
        <v>24</v>
      </c>
      <c r="H45" t="s">
        <v>344</v>
      </c>
      <c r="I45" t="s">
        <v>345</v>
      </c>
      <c r="J45" t="s">
        <v>346</v>
      </c>
      <c r="K45" t="s">
        <v>348</v>
      </c>
      <c r="L45" t="s">
        <v>348</v>
      </c>
      <c r="M45" t="s">
        <v>349</v>
      </c>
      <c r="N45" s="4">
        <v>46104</v>
      </c>
      <c r="Q45" t="s">
        <v>31</v>
      </c>
      <c r="R45" t="s">
        <v>31</v>
      </c>
    </row>
    <row r="46" spans="2:18" x14ac:dyDescent="0.25">
      <c r="B46">
        <v>352</v>
      </c>
      <c r="C46" t="s">
        <v>43</v>
      </c>
      <c r="D46" t="s">
        <v>44</v>
      </c>
      <c r="E46" t="s">
        <v>1166</v>
      </c>
      <c r="F46">
        <v>4</v>
      </c>
      <c r="G46" t="s">
        <v>24</v>
      </c>
      <c r="H46" t="s">
        <v>45</v>
      </c>
      <c r="I46" t="s">
        <v>46</v>
      </c>
      <c r="J46" t="s">
        <v>47</v>
      </c>
      <c r="K46" t="s">
        <v>48</v>
      </c>
      <c r="L46" t="s">
        <v>49</v>
      </c>
      <c r="M46" t="s">
        <v>50</v>
      </c>
      <c r="N46" s="4">
        <v>46104</v>
      </c>
      <c r="Q46" t="s">
        <v>31</v>
      </c>
      <c r="R46" t="s">
        <v>31</v>
      </c>
    </row>
    <row r="47" spans="2:18" hidden="1" x14ac:dyDescent="0.25">
      <c r="B47">
        <v>305</v>
      </c>
      <c r="C47" t="s">
        <v>43</v>
      </c>
      <c r="D47" t="s">
        <v>44</v>
      </c>
      <c r="E47" t="s">
        <v>1168</v>
      </c>
      <c r="F47">
        <v>2</v>
      </c>
      <c r="G47" t="s">
        <v>24</v>
      </c>
      <c r="H47" t="s">
        <v>45</v>
      </c>
      <c r="I47" t="s">
        <v>46</v>
      </c>
      <c r="J47" t="s">
        <v>47</v>
      </c>
      <c r="K47" t="s">
        <v>48</v>
      </c>
      <c r="L47" t="s">
        <v>49</v>
      </c>
      <c r="M47" t="s">
        <v>50</v>
      </c>
      <c r="N47" s="4">
        <v>46104</v>
      </c>
      <c r="Q47" t="s">
        <v>31</v>
      </c>
      <c r="R47" t="s">
        <v>31</v>
      </c>
    </row>
    <row r="48" spans="2:18" hidden="1" x14ac:dyDescent="0.25">
      <c r="B48">
        <v>324</v>
      </c>
      <c r="C48" t="s">
        <v>270</v>
      </c>
      <c r="D48" t="s">
        <v>271</v>
      </c>
      <c r="E48" t="s">
        <v>1168</v>
      </c>
      <c r="F48">
        <v>4</v>
      </c>
      <c r="G48" t="s">
        <v>61</v>
      </c>
      <c r="H48" t="s">
        <v>272</v>
      </c>
      <c r="I48" t="s">
        <v>273</v>
      </c>
      <c r="J48" t="s">
        <v>274</v>
      </c>
      <c r="K48" t="s">
        <v>792</v>
      </c>
      <c r="L48" t="s">
        <v>792</v>
      </c>
      <c r="M48" t="s">
        <v>277</v>
      </c>
      <c r="N48" s="4">
        <v>46104</v>
      </c>
      <c r="Q48" t="s">
        <v>31</v>
      </c>
      <c r="R48" t="s">
        <v>31</v>
      </c>
    </row>
    <row r="49" spans="2:18" x14ac:dyDescent="0.25">
      <c r="B49">
        <v>369</v>
      </c>
      <c r="C49" t="s">
        <v>859</v>
      </c>
      <c r="D49" t="s">
        <v>860</v>
      </c>
      <c r="E49" t="s">
        <v>1166</v>
      </c>
      <c r="F49">
        <v>1</v>
      </c>
      <c r="G49" t="s">
        <v>861</v>
      </c>
      <c r="H49" t="s">
        <v>862</v>
      </c>
      <c r="I49" t="s">
        <v>863</v>
      </c>
      <c r="J49" t="s">
        <v>864</v>
      </c>
      <c r="K49" t="s">
        <v>865</v>
      </c>
      <c r="L49" t="s">
        <v>866</v>
      </c>
      <c r="M49" t="s">
        <v>867</v>
      </c>
      <c r="N49" s="4">
        <v>46104</v>
      </c>
      <c r="Q49" t="s">
        <v>31</v>
      </c>
      <c r="R49" t="s">
        <v>31</v>
      </c>
    </row>
    <row r="50" spans="2:18" hidden="1" x14ac:dyDescent="0.25">
      <c r="B50">
        <v>326</v>
      </c>
      <c r="C50" t="s">
        <v>859</v>
      </c>
      <c r="D50" t="s">
        <v>860</v>
      </c>
      <c r="E50" t="s">
        <v>1168</v>
      </c>
      <c r="F50">
        <v>1</v>
      </c>
      <c r="G50" t="s">
        <v>861</v>
      </c>
      <c r="H50" t="s">
        <v>862</v>
      </c>
      <c r="I50" t="s">
        <v>863</v>
      </c>
      <c r="J50" t="s">
        <v>864</v>
      </c>
      <c r="K50" t="s">
        <v>865</v>
      </c>
      <c r="L50" t="s">
        <v>866</v>
      </c>
      <c r="M50" t="s">
        <v>867</v>
      </c>
      <c r="N50" s="4">
        <v>46104</v>
      </c>
      <c r="Q50" t="s">
        <v>31</v>
      </c>
      <c r="R50" t="s">
        <v>31</v>
      </c>
    </row>
    <row r="51" spans="2:18" x14ac:dyDescent="0.25">
      <c r="B51">
        <v>388</v>
      </c>
      <c r="C51" t="s">
        <v>508</v>
      </c>
      <c r="D51" t="s">
        <v>509</v>
      </c>
      <c r="E51" t="s">
        <v>1166</v>
      </c>
      <c r="F51">
        <v>15</v>
      </c>
      <c r="G51" t="s">
        <v>61</v>
      </c>
      <c r="H51" t="s">
        <v>510</v>
      </c>
      <c r="I51" t="s">
        <v>511</v>
      </c>
      <c r="J51" t="s">
        <v>512</v>
      </c>
      <c r="K51" t="s">
        <v>513</v>
      </c>
      <c r="L51" t="s">
        <v>514</v>
      </c>
      <c r="M51" t="s">
        <v>515</v>
      </c>
      <c r="N51" s="4">
        <v>46104</v>
      </c>
      <c r="Q51" t="s">
        <v>31</v>
      </c>
      <c r="R51" t="s">
        <v>31</v>
      </c>
    </row>
    <row r="52" spans="2:18" hidden="1" x14ac:dyDescent="0.25">
      <c r="B52">
        <v>346</v>
      </c>
      <c r="C52" t="s">
        <v>508</v>
      </c>
      <c r="D52" t="s">
        <v>509</v>
      </c>
      <c r="E52" t="s">
        <v>1168</v>
      </c>
      <c r="F52">
        <v>20</v>
      </c>
      <c r="G52" t="s">
        <v>61</v>
      </c>
      <c r="H52" t="s">
        <v>510</v>
      </c>
      <c r="I52" t="s">
        <v>511</v>
      </c>
      <c r="J52" t="s">
        <v>512</v>
      </c>
      <c r="K52" t="s">
        <v>513</v>
      </c>
      <c r="L52" t="s">
        <v>514</v>
      </c>
      <c r="M52" t="s">
        <v>515</v>
      </c>
      <c r="N52" s="4">
        <v>46104</v>
      </c>
      <c r="Q52" t="s">
        <v>31</v>
      </c>
      <c r="R52" t="s">
        <v>31</v>
      </c>
    </row>
    <row r="53" spans="2:18" x14ac:dyDescent="0.25">
      <c r="B53">
        <v>357</v>
      </c>
      <c r="C53" t="s">
        <v>102</v>
      </c>
      <c r="D53" t="s">
        <v>103</v>
      </c>
      <c r="E53" t="s">
        <v>1166</v>
      </c>
      <c r="F53">
        <v>2</v>
      </c>
      <c r="G53" t="s">
        <v>61</v>
      </c>
      <c r="H53" t="s">
        <v>104</v>
      </c>
      <c r="I53" t="s">
        <v>105</v>
      </c>
      <c r="J53" t="s">
        <v>106</v>
      </c>
      <c r="K53" t="s">
        <v>107</v>
      </c>
      <c r="L53" t="s">
        <v>107</v>
      </c>
      <c r="M53" t="s">
        <v>108</v>
      </c>
      <c r="N53" s="4">
        <v>46104</v>
      </c>
      <c r="Q53" t="s">
        <v>31</v>
      </c>
      <c r="R53" t="s">
        <v>84</v>
      </c>
    </row>
    <row r="54" spans="2:18" hidden="1" x14ac:dyDescent="0.25">
      <c r="B54">
        <v>310</v>
      </c>
      <c r="C54" t="s">
        <v>102</v>
      </c>
      <c r="D54" t="s">
        <v>103</v>
      </c>
      <c r="E54" t="s">
        <v>1168</v>
      </c>
      <c r="F54">
        <v>3</v>
      </c>
      <c r="G54" t="s">
        <v>61</v>
      </c>
      <c r="H54" t="s">
        <v>104</v>
      </c>
      <c r="I54" t="s">
        <v>105</v>
      </c>
      <c r="J54" t="s">
        <v>106</v>
      </c>
      <c r="K54" t="s">
        <v>107</v>
      </c>
      <c r="L54" t="s">
        <v>107</v>
      </c>
      <c r="M54" t="s">
        <v>108</v>
      </c>
      <c r="N54" s="4">
        <v>46104</v>
      </c>
      <c r="Q54" t="s">
        <v>31</v>
      </c>
      <c r="R54" t="s">
        <v>84</v>
      </c>
    </row>
    <row r="55" spans="2:18" hidden="1" x14ac:dyDescent="0.25">
      <c r="B55">
        <v>348</v>
      </c>
      <c r="C55" t="s">
        <v>644</v>
      </c>
      <c r="D55" t="s">
        <v>645</v>
      </c>
      <c r="E55" t="s">
        <v>1168</v>
      </c>
      <c r="F55">
        <v>4</v>
      </c>
      <c r="G55" t="s">
        <v>61</v>
      </c>
      <c r="H55" t="s">
        <v>646</v>
      </c>
      <c r="I55" t="s">
        <v>647</v>
      </c>
      <c r="J55" t="s">
        <v>648</v>
      </c>
      <c r="K55" t="s">
        <v>649</v>
      </c>
      <c r="L55" t="s">
        <v>650</v>
      </c>
      <c r="N55" s="4">
        <v>46104</v>
      </c>
      <c r="Q55" t="s">
        <v>31</v>
      </c>
      <c r="R55" t="s">
        <v>793</v>
      </c>
    </row>
    <row r="56" spans="2:18" hidden="1" x14ac:dyDescent="0.25">
      <c r="B56">
        <v>312</v>
      </c>
      <c r="C56" t="s">
        <v>150</v>
      </c>
      <c r="D56" t="s">
        <v>151</v>
      </c>
      <c r="E56" t="s">
        <v>1168</v>
      </c>
      <c r="F56">
        <v>2</v>
      </c>
      <c r="G56" t="s">
        <v>152</v>
      </c>
      <c r="H56" t="s">
        <v>153</v>
      </c>
      <c r="I56" t="s">
        <v>154</v>
      </c>
      <c r="J56" t="s">
        <v>155</v>
      </c>
      <c r="K56" t="s">
        <v>156</v>
      </c>
      <c r="L56" t="s">
        <v>1172</v>
      </c>
      <c r="M56" t="s">
        <v>158</v>
      </c>
      <c r="N56" s="4">
        <v>46104</v>
      </c>
      <c r="Q56" t="s">
        <v>31</v>
      </c>
      <c r="R56" t="s">
        <v>84</v>
      </c>
    </row>
    <row r="57" spans="2:18" hidden="1" x14ac:dyDescent="0.25">
      <c r="B57">
        <v>323</v>
      </c>
      <c r="C57" t="s">
        <v>651</v>
      </c>
      <c r="D57" t="s">
        <v>652</v>
      </c>
      <c r="E57" t="s">
        <v>1168</v>
      </c>
      <c r="F57">
        <v>5</v>
      </c>
      <c r="G57" t="s">
        <v>111</v>
      </c>
      <c r="H57" t="s">
        <v>653</v>
      </c>
      <c r="I57" t="s">
        <v>654</v>
      </c>
      <c r="J57" t="s">
        <v>655</v>
      </c>
      <c r="K57" t="s">
        <v>656</v>
      </c>
      <c r="L57" t="s">
        <v>657</v>
      </c>
      <c r="M57" t="s">
        <v>658</v>
      </c>
      <c r="N57" s="4">
        <v>46104</v>
      </c>
      <c r="Q57" t="s">
        <v>31</v>
      </c>
      <c r="R57" t="s">
        <v>31</v>
      </c>
    </row>
    <row r="58" spans="2:18" hidden="1" x14ac:dyDescent="0.25">
      <c r="B58">
        <v>319</v>
      </c>
      <c r="C58" t="s">
        <v>795</v>
      </c>
      <c r="D58" t="s">
        <v>796</v>
      </c>
      <c r="E58" t="s">
        <v>1168</v>
      </c>
      <c r="F58">
        <v>16</v>
      </c>
      <c r="G58" t="s">
        <v>61</v>
      </c>
      <c r="H58" t="s">
        <v>1173</v>
      </c>
      <c r="I58" t="s">
        <v>1174</v>
      </c>
      <c r="J58" t="s">
        <v>1175</v>
      </c>
      <c r="K58" t="s">
        <v>236</v>
      </c>
      <c r="L58" t="s">
        <v>1176</v>
      </c>
      <c r="M58" t="s">
        <v>801</v>
      </c>
      <c r="N58" s="4">
        <v>46104</v>
      </c>
      <c r="Q58" t="s">
        <v>31</v>
      </c>
      <c r="R58" t="s">
        <v>84</v>
      </c>
    </row>
    <row r="59" spans="2:18" x14ac:dyDescent="0.25">
      <c r="B59">
        <v>368</v>
      </c>
      <c r="C59" t="s">
        <v>278</v>
      </c>
      <c r="D59" t="s">
        <v>279</v>
      </c>
      <c r="E59" t="s">
        <v>1166</v>
      </c>
      <c r="F59">
        <v>7</v>
      </c>
      <c r="G59" t="s">
        <v>61</v>
      </c>
      <c r="H59" t="s">
        <v>280</v>
      </c>
      <c r="I59" t="s">
        <v>281</v>
      </c>
      <c r="J59" t="s">
        <v>282</v>
      </c>
      <c r="K59" t="s">
        <v>283</v>
      </c>
      <c r="L59" t="s">
        <v>284</v>
      </c>
      <c r="M59" t="s">
        <v>285</v>
      </c>
      <c r="N59" s="4">
        <v>46104</v>
      </c>
      <c r="Q59" t="s">
        <v>31</v>
      </c>
      <c r="R59" t="s">
        <v>31</v>
      </c>
    </row>
    <row r="60" spans="2:18" x14ac:dyDescent="0.25">
      <c r="B60">
        <v>358</v>
      </c>
      <c r="C60" t="s">
        <v>117</v>
      </c>
      <c r="D60" t="s">
        <v>118</v>
      </c>
      <c r="E60" t="s">
        <v>1166</v>
      </c>
      <c r="F60">
        <v>6</v>
      </c>
      <c r="G60" t="s">
        <v>24</v>
      </c>
      <c r="H60" t="s">
        <v>119</v>
      </c>
      <c r="I60" t="s">
        <v>120</v>
      </c>
      <c r="J60" t="s">
        <v>121</v>
      </c>
      <c r="K60" t="s">
        <v>122</v>
      </c>
      <c r="L60" t="s">
        <v>123</v>
      </c>
      <c r="M60" t="s">
        <v>124</v>
      </c>
      <c r="N60" s="4">
        <v>46104</v>
      </c>
      <c r="Q60" t="s">
        <v>31</v>
      </c>
      <c r="R60" t="s">
        <v>31</v>
      </c>
    </row>
    <row r="61" spans="2:18" hidden="1" x14ac:dyDescent="0.25">
      <c r="B61">
        <v>314</v>
      </c>
      <c r="C61" t="s">
        <v>667</v>
      </c>
      <c r="D61" t="s">
        <v>668</v>
      </c>
      <c r="E61" t="s">
        <v>1168</v>
      </c>
      <c r="F61">
        <v>1</v>
      </c>
      <c r="G61" t="s">
        <v>61</v>
      </c>
      <c r="H61" t="s">
        <v>669</v>
      </c>
      <c r="I61" t="s">
        <v>670</v>
      </c>
      <c r="J61" t="s">
        <v>671</v>
      </c>
      <c r="K61" t="s">
        <v>672</v>
      </c>
      <c r="L61" t="s">
        <v>672</v>
      </c>
      <c r="M61" t="s">
        <v>673</v>
      </c>
      <c r="N61" s="4">
        <v>46104</v>
      </c>
      <c r="Q61" t="s">
        <v>31</v>
      </c>
      <c r="R61" t="s">
        <v>84</v>
      </c>
    </row>
    <row r="62" spans="2:18" hidden="1" x14ac:dyDescent="0.25">
      <c r="B62">
        <v>334</v>
      </c>
      <c r="C62" t="s">
        <v>383</v>
      </c>
      <c r="D62" t="s">
        <v>384</v>
      </c>
      <c r="E62" t="s">
        <v>1168</v>
      </c>
      <c r="F62">
        <v>1</v>
      </c>
      <c r="G62" t="s">
        <v>61</v>
      </c>
      <c r="H62" t="s">
        <v>385</v>
      </c>
      <c r="I62" t="s">
        <v>386</v>
      </c>
      <c r="J62" t="s">
        <v>387</v>
      </c>
      <c r="K62" t="s">
        <v>388</v>
      </c>
      <c r="L62" t="s">
        <v>389</v>
      </c>
      <c r="M62" t="s">
        <v>390</v>
      </c>
      <c r="N62" s="4">
        <v>46104</v>
      </c>
      <c r="Q62" t="s">
        <v>31</v>
      </c>
      <c r="R62" t="s">
        <v>84</v>
      </c>
    </row>
    <row r="63" spans="2:18" ht="60" customHeight="1" x14ac:dyDescent="0.25">
      <c r="B63" s="11" t="s">
        <v>1177</v>
      </c>
      <c r="C63" t="s">
        <v>431</v>
      </c>
      <c r="D63" t="s">
        <v>432</v>
      </c>
      <c r="E63" t="s">
        <v>1166</v>
      </c>
      <c r="F63">
        <v>3</v>
      </c>
      <c r="G63" t="s">
        <v>152</v>
      </c>
      <c r="H63" s="11" t="s">
        <v>1178</v>
      </c>
      <c r="I63" s="11" t="s">
        <v>1179</v>
      </c>
      <c r="J63" s="11" t="s">
        <v>1180</v>
      </c>
      <c r="K63" t="s">
        <v>436</v>
      </c>
      <c r="L63" s="11" t="s">
        <v>1181</v>
      </c>
      <c r="M63" t="s">
        <v>438</v>
      </c>
      <c r="N63" s="4">
        <v>46104</v>
      </c>
      <c r="Q63" t="s">
        <v>31</v>
      </c>
      <c r="R63" t="s">
        <v>31</v>
      </c>
    </row>
    <row r="64" spans="2:18" ht="75" hidden="1" customHeight="1" x14ac:dyDescent="0.25">
      <c r="B64" s="11" t="s">
        <v>1182</v>
      </c>
      <c r="C64" t="s">
        <v>431</v>
      </c>
      <c r="D64" t="s">
        <v>432</v>
      </c>
      <c r="E64" t="s">
        <v>1168</v>
      </c>
      <c r="F64">
        <v>9</v>
      </c>
      <c r="G64" t="s">
        <v>152</v>
      </c>
      <c r="H64" s="11" t="s">
        <v>1183</v>
      </c>
      <c r="I64" s="11" t="s">
        <v>1184</v>
      </c>
      <c r="J64" s="11" t="s">
        <v>1185</v>
      </c>
      <c r="K64" t="s">
        <v>436</v>
      </c>
      <c r="L64" s="11" t="s">
        <v>1186</v>
      </c>
      <c r="M64" t="s">
        <v>438</v>
      </c>
      <c r="N64" s="4">
        <v>46104</v>
      </c>
      <c r="Q64" t="s">
        <v>31</v>
      </c>
      <c r="R64" t="s">
        <v>31</v>
      </c>
    </row>
    <row r="65" spans="2:18" ht="45" customHeight="1" x14ac:dyDescent="0.25">
      <c r="B65" s="11" t="s">
        <v>1187</v>
      </c>
      <c r="C65" t="s">
        <v>366</v>
      </c>
      <c r="D65" t="s">
        <v>367</v>
      </c>
      <c r="E65" t="s">
        <v>1166</v>
      </c>
      <c r="F65">
        <v>6</v>
      </c>
      <c r="G65" t="s">
        <v>368</v>
      </c>
      <c r="H65" t="s">
        <v>369</v>
      </c>
      <c r="I65" t="s">
        <v>370</v>
      </c>
      <c r="J65" t="s">
        <v>371</v>
      </c>
      <c r="K65" t="s">
        <v>372</v>
      </c>
      <c r="L65" s="11" t="s">
        <v>1188</v>
      </c>
      <c r="M65" t="s">
        <v>374</v>
      </c>
      <c r="N65" s="4">
        <v>46104</v>
      </c>
      <c r="Q65" t="s">
        <v>31</v>
      </c>
      <c r="R65" t="s">
        <v>84</v>
      </c>
    </row>
    <row r="66" spans="2:18" ht="60" hidden="1" customHeight="1" x14ac:dyDescent="0.25">
      <c r="B66" s="11" t="s">
        <v>1189</v>
      </c>
      <c r="C66" t="s">
        <v>366</v>
      </c>
      <c r="D66" t="s">
        <v>367</v>
      </c>
      <c r="E66" t="s">
        <v>1168</v>
      </c>
      <c r="F66">
        <v>15</v>
      </c>
      <c r="G66" t="s">
        <v>368</v>
      </c>
      <c r="H66" t="s">
        <v>369</v>
      </c>
      <c r="I66" t="s">
        <v>370</v>
      </c>
      <c r="J66" t="s">
        <v>371</v>
      </c>
      <c r="K66" t="s">
        <v>372</v>
      </c>
      <c r="L66" s="11" t="s">
        <v>1190</v>
      </c>
      <c r="M66" t="s">
        <v>374</v>
      </c>
      <c r="N66" s="4">
        <v>46104</v>
      </c>
      <c r="Q66" t="s">
        <v>31</v>
      </c>
      <c r="R66" t="s">
        <v>84</v>
      </c>
    </row>
    <row r="67" spans="2:18" x14ac:dyDescent="0.25">
      <c r="B67">
        <v>389</v>
      </c>
      <c r="C67" t="s">
        <v>516</v>
      </c>
      <c r="D67" t="s">
        <v>517</v>
      </c>
      <c r="E67" t="s">
        <v>1166</v>
      </c>
      <c r="F67">
        <v>1</v>
      </c>
      <c r="G67" t="s">
        <v>61</v>
      </c>
      <c r="H67" t="s">
        <v>518</v>
      </c>
      <c r="I67" t="s">
        <v>519</v>
      </c>
      <c r="J67" t="s">
        <v>520</v>
      </c>
      <c r="K67" t="s">
        <v>521</v>
      </c>
      <c r="L67" t="s">
        <v>522</v>
      </c>
      <c r="M67" t="s">
        <v>523</v>
      </c>
      <c r="N67" s="4">
        <v>46104</v>
      </c>
      <c r="Q67" t="s">
        <v>31</v>
      </c>
      <c r="R67" t="s">
        <v>31</v>
      </c>
    </row>
    <row r="68" spans="2:18" hidden="1" x14ac:dyDescent="0.25">
      <c r="B68">
        <v>347</v>
      </c>
      <c r="C68" t="s">
        <v>516</v>
      </c>
      <c r="D68" t="s">
        <v>517</v>
      </c>
      <c r="E68" t="s">
        <v>1168</v>
      </c>
      <c r="F68">
        <v>1</v>
      </c>
      <c r="G68" t="s">
        <v>61</v>
      </c>
      <c r="H68" t="s">
        <v>518</v>
      </c>
      <c r="I68" t="s">
        <v>519</v>
      </c>
      <c r="J68" t="s">
        <v>520</v>
      </c>
      <c r="K68" t="s">
        <v>521</v>
      </c>
      <c r="L68" t="s">
        <v>522</v>
      </c>
      <c r="M68" t="s">
        <v>523</v>
      </c>
      <c r="N68" s="4">
        <v>46104</v>
      </c>
      <c r="Q68" t="s">
        <v>31</v>
      </c>
      <c r="R68" t="s">
        <v>31</v>
      </c>
    </row>
    <row r="69" spans="2:18" x14ac:dyDescent="0.25">
      <c r="B69">
        <v>374</v>
      </c>
      <c r="C69" t="s">
        <v>802</v>
      </c>
      <c r="D69" t="s">
        <v>803</v>
      </c>
      <c r="E69" t="s">
        <v>1166</v>
      </c>
      <c r="F69">
        <v>10</v>
      </c>
      <c r="G69" t="s">
        <v>804</v>
      </c>
      <c r="H69" t="s">
        <v>805</v>
      </c>
      <c r="I69" t="s">
        <v>806</v>
      </c>
      <c r="J69" t="s">
        <v>807</v>
      </c>
      <c r="K69" t="s">
        <v>808</v>
      </c>
      <c r="L69" t="s">
        <v>809</v>
      </c>
      <c r="M69" t="s">
        <v>810</v>
      </c>
      <c r="N69" s="4">
        <v>46104</v>
      </c>
      <c r="Q69" t="s">
        <v>31</v>
      </c>
      <c r="R69" t="s">
        <v>84</v>
      </c>
    </row>
    <row r="70" spans="2:18" hidden="1" x14ac:dyDescent="0.25">
      <c r="B70">
        <v>330</v>
      </c>
      <c r="C70" t="s">
        <v>802</v>
      </c>
      <c r="D70" t="s">
        <v>803</v>
      </c>
      <c r="E70" t="s">
        <v>1168</v>
      </c>
      <c r="F70">
        <v>10</v>
      </c>
      <c r="G70" t="s">
        <v>804</v>
      </c>
      <c r="H70" t="s">
        <v>805</v>
      </c>
      <c r="I70" t="s">
        <v>806</v>
      </c>
      <c r="J70" t="s">
        <v>807</v>
      </c>
      <c r="K70" t="s">
        <v>808</v>
      </c>
      <c r="L70" t="s">
        <v>809</v>
      </c>
      <c r="M70" t="s">
        <v>810</v>
      </c>
      <c r="N70" s="4">
        <v>46104</v>
      </c>
      <c r="Q70" t="s">
        <v>31</v>
      </c>
      <c r="R70" t="s">
        <v>84</v>
      </c>
    </row>
    <row r="71" spans="2:18" x14ac:dyDescent="0.25">
      <c r="B71">
        <v>377</v>
      </c>
      <c r="C71" t="s">
        <v>375</v>
      </c>
      <c r="D71" t="s">
        <v>376</v>
      </c>
      <c r="E71" t="s">
        <v>1166</v>
      </c>
      <c r="F71">
        <v>10</v>
      </c>
      <c r="G71" t="s">
        <v>111</v>
      </c>
      <c r="H71" t="s">
        <v>377</v>
      </c>
      <c r="I71" t="s">
        <v>378</v>
      </c>
      <c r="J71" t="s">
        <v>379</v>
      </c>
      <c r="K71" t="s">
        <v>380</v>
      </c>
      <c r="L71" t="s">
        <v>1191</v>
      </c>
      <c r="M71" t="s">
        <v>382</v>
      </c>
      <c r="N71" s="4">
        <v>46104</v>
      </c>
      <c r="Q71" t="s">
        <v>31</v>
      </c>
      <c r="R71" t="s">
        <v>31</v>
      </c>
    </row>
    <row r="72" spans="2:18" ht="75" hidden="1" customHeight="1" x14ac:dyDescent="0.25">
      <c r="B72" s="11" t="s">
        <v>1192</v>
      </c>
      <c r="C72" t="s">
        <v>375</v>
      </c>
      <c r="D72" t="s">
        <v>376</v>
      </c>
      <c r="E72" t="s">
        <v>1168</v>
      </c>
      <c r="F72">
        <v>15</v>
      </c>
      <c r="G72" t="s">
        <v>111</v>
      </c>
      <c r="H72" s="11" t="s">
        <v>1193</v>
      </c>
      <c r="I72" s="11" t="s">
        <v>1194</v>
      </c>
      <c r="J72" s="11" t="s">
        <v>1195</v>
      </c>
      <c r="K72" t="s">
        <v>380</v>
      </c>
      <c r="L72" s="11" t="s">
        <v>1196</v>
      </c>
      <c r="M72" t="s">
        <v>382</v>
      </c>
      <c r="N72" s="4">
        <v>46104</v>
      </c>
      <c r="Q72" t="s">
        <v>31</v>
      </c>
      <c r="R72" t="s">
        <v>31</v>
      </c>
    </row>
    <row r="73" spans="2:18" x14ac:dyDescent="0.25">
      <c r="B73">
        <v>363</v>
      </c>
      <c r="C73" t="s">
        <v>198</v>
      </c>
      <c r="D73" t="s">
        <v>199</v>
      </c>
      <c r="E73" t="s">
        <v>1166</v>
      </c>
      <c r="F73">
        <v>18</v>
      </c>
      <c r="G73" t="s">
        <v>200</v>
      </c>
      <c r="H73" t="s">
        <v>201</v>
      </c>
      <c r="I73" t="s">
        <v>202</v>
      </c>
      <c r="J73" t="s">
        <v>203</v>
      </c>
      <c r="K73" t="s">
        <v>204</v>
      </c>
      <c r="L73" t="s">
        <v>1015</v>
      </c>
      <c r="M73" t="s">
        <v>206</v>
      </c>
      <c r="N73" s="4">
        <v>46104</v>
      </c>
      <c r="Q73" t="s">
        <v>31</v>
      </c>
      <c r="R73" t="s">
        <v>84</v>
      </c>
    </row>
    <row r="74" spans="2:18" hidden="1" x14ac:dyDescent="0.25">
      <c r="B74">
        <v>316</v>
      </c>
      <c r="C74" t="s">
        <v>198</v>
      </c>
      <c r="D74" t="s">
        <v>199</v>
      </c>
      <c r="E74" t="s">
        <v>1168</v>
      </c>
      <c r="F74">
        <v>1</v>
      </c>
      <c r="G74" t="s">
        <v>200</v>
      </c>
      <c r="H74" t="s">
        <v>201</v>
      </c>
      <c r="I74" t="s">
        <v>202</v>
      </c>
      <c r="J74" t="s">
        <v>203</v>
      </c>
      <c r="K74" t="s">
        <v>204</v>
      </c>
      <c r="L74" t="s">
        <v>1197</v>
      </c>
      <c r="M74" t="s">
        <v>206</v>
      </c>
      <c r="N74" s="4">
        <v>46104</v>
      </c>
      <c r="Q74" t="s">
        <v>31</v>
      </c>
      <c r="R74" t="s">
        <v>84</v>
      </c>
    </row>
    <row r="75" spans="2:18" ht="60" customHeight="1" x14ac:dyDescent="0.25">
      <c r="B75" s="11" t="s">
        <v>1198</v>
      </c>
      <c r="C75" t="s">
        <v>190</v>
      </c>
      <c r="D75" t="s">
        <v>191</v>
      </c>
      <c r="E75" t="s">
        <v>1166</v>
      </c>
      <c r="F75">
        <v>9</v>
      </c>
      <c r="G75" t="s">
        <v>24</v>
      </c>
      <c r="H75" s="11" t="s">
        <v>1199</v>
      </c>
      <c r="I75" s="11" t="s">
        <v>1200</v>
      </c>
      <c r="J75" s="11" t="s">
        <v>1201</v>
      </c>
      <c r="K75" t="s">
        <v>195</v>
      </c>
      <c r="L75" s="11" t="s">
        <v>1202</v>
      </c>
      <c r="M75" t="s">
        <v>197</v>
      </c>
      <c r="N75" s="4">
        <v>46104</v>
      </c>
      <c r="Q75" t="s">
        <v>31</v>
      </c>
      <c r="R75" t="s">
        <v>31</v>
      </c>
    </row>
    <row r="76" spans="2:18" ht="75" hidden="1" customHeight="1" x14ac:dyDescent="0.25">
      <c r="B76" s="11" t="s">
        <v>1203</v>
      </c>
      <c r="C76" t="s">
        <v>190</v>
      </c>
      <c r="D76" t="s">
        <v>191</v>
      </c>
      <c r="E76" t="s">
        <v>1168</v>
      </c>
      <c r="F76">
        <v>6</v>
      </c>
      <c r="G76" t="s">
        <v>24</v>
      </c>
      <c r="H76" s="11" t="s">
        <v>1204</v>
      </c>
      <c r="I76" s="11" t="s">
        <v>1205</v>
      </c>
      <c r="J76" s="11" t="s">
        <v>1206</v>
      </c>
      <c r="K76" t="s">
        <v>195</v>
      </c>
      <c r="L76" s="11" t="s">
        <v>1207</v>
      </c>
      <c r="M76" t="s">
        <v>197</v>
      </c>
      <c r="N76" s="4">
        <v>46104</v>
      </c>
      <c r="Q76" t="s">
        <v>31</v>
      </c>
      <c r="R76" t="s">
        <v>31</v>
      </c>
    </row>
    <row r="77" spans="2:18" ht="105" hidden="1" customHeight="1" x14ac:dyDescent="0.25">
      <c r="B77" s="11" t="s">
        <v>1208</v>
      </c>
      <c r="C77" t="s">
        <v>75</v>
      </c>
      <c r="D77" t="s">
        <v>76</v>
      </c>
      <c r="E77" t="s">
        <v>1168</v>
      </c>
      <c r="F77">
        <v>8</v>
      </c>
      <c r="G77" t="s">
        <v>77</v>
      </c>
      <c r="H77" s="11" t="s">
        <v>1209</v>
      </c>
      <c r="I77" s="11" t="s">
        <v>1210</v>
      </c>
      <c r="J77" s="11" t="s">
        <v>1211</v>
      </c>
      <c r="K77" t="s">
        <v>81</v>
      </c>
      <c r="L77" s="11" t="s">
        <v>1212</v>
      </c>
      <c r="M77" t="s">
        <v>83</v>
      </c>
      <c r="N77" s="4">
        <v>46104</v>
      </c>
      <c r="Q77" t="s">
        <v>31</v>
      </c>
      <c r="R77" t="s">
        <v>84</v>
      </c>
    </row>
    <row r="78" spans="2:18" x14ac:dyDescent="0.25">
      <c r="B78">
        <v>365</v>
      </c>
      <c r="C78" t="s">
        <v>231</v>
      </c>
      <c r="D78" t="s">
        <v>232</v>
      </c>
      <c r="E78" t="s">
        <v>1166</v>
      </c>
      <c r="F78">
        <v>2</v>
      </c>
      <c r="G78" t="s">
        <v>61</v>
      </c>
      <c r="H78" t="s">
        <v>697</v>
      </c>
      <c r="I78" t="s">
        <v>698</v>
      </c>
      <c r="J78" t="s">
        <v>699</v>
      </c>
      <c r="K78" t="s">
        <v>236</v>
      </c>
      <c r="L78" t="s">
        <v>700</v>
      </c>
      <c r="M78" t="s">
        <v>238</v>
      </c>
      <c r="N78" s="4">
        <v>46104</v>
      </c>
      <c r="Q78" t="s">
        <v>31</v>
      </c>
      <c r="R78" t="s">
        <v>84</v>
      </c>
    </row>
    <row r="79" spans="2:18" ht="60" hidden="1" customHeight="1" x14ac:dyDescent="0.25">
      <c r="B79" s="11" t="s">
        <v>1213</v>
      </c>
      <c r="C79" t="s">
        <v>231</v>
      </c>
      <c r="D79" t="s">
        <v>232</v>
      </c>
      <c r="E79" t="s">
        <v>1168</v>
      </c>
      <c r="F79">
        <v>5</v>
      </c>
      <c r="G79" t="s">
        <v>61</v>
      </c>
      <c r="H79" s="11" t="s">
        <v>702</v>
      </c>
      <c r="I79" s="11" t="s">
        <v>703</v>
      </c>
      <c r="J79" s="11" t="s">
        <v>704</v>
      </c>
      <c r="K79" t="s">
        <v>236</v>
      </c>
      <c r="L79" s="11" t="s">
        <v>1214</v>
      </c>
      <c r="M79" t="s">
        <v>238</v>
      </c>
      <c r="N79" s="4">
        <v>46104</v>
      </c>
      <c r="Q79" t="s">
        <v>31</v>
      </c>
      <c r="R79" t="s">
        <v>84</v>
      </c>
    </row>
    <row r="80" spans="2:18" hidden="1" x14ac:dyDescent="0.25">
      <c r="B80">
        <v>343</v>
      </c>
      <c r="C80" t="s">
        <v>471</v>
      </c>
      <c r="D80" t="s">
        <v>472</v>
      </c>
      <c r="E80" t="s">
        <v>1168</v>
      </c>
      <c r="F80">
        <v>2</v>
      </c>
      <c r="G80" t="s">
        <v>111</v>
      </c>
      <c r="H80" t="s">
        <v>473</v>
      </c>
      <c r="I80" t="s">
        <v>474</v>
      </c>
      <c r="J80" t="s">
        <v>475</v>
      </c>
      <c r="K80" t="s">
        <v>476</v>
      </c>
      <c r="L80" t="s">
        <v>476</v>
      </c>
      <c r="M80" t="s">
        <v>477</v>
      </c>
      <c r="N80" s="4">
        <v>46104</v>
      </c>
      <c r="Q80" t="s">
        <v>31</v>
      </c>
      <c r="R80" t="s">
        <v>84</v>
      </c>
    </row>
    <row r="81" spans="2:18" x14ac:dyDescent="0.25">
      <c r="B81">
        <v>366</v>
      </c>
      <c r="C81" t="s">
        <v>239</v>
      </c>
      <c r="D81" t="s">
        <v>240</v>
      </c>
      <c r="E81" t="s">
        <v>1166</v>
      </c>
      <c r="F81">
        <v>1</v>
      </c>
      <c r="G81" t="s">
        <v>24</v>
      </c>
      <c r="H81" t="s">
        <v>241</v>
      </c>
      <c r="I81" t="s">
        <v>242</v>
      </c>
      <c r="J81" t="s">
        <v>243</v>
      </c>
      <c r="K81" t="s">
        <v>244</v>
      </c>
      <c r="L81" t="s">
        <v>244</v>
      </c>
      <c r="M81" t="s">
        <v>246</v>
      </c>
      <c r="N81" s="4">
        <v>46104</v>
      </c>
      <c r="Q81" t="s">
        <v>31</v>
      </c>
      <c r="R81" t="s">
        <v>31</v>
      </c>
    </row>
    <row r="82" spans="2:18" hidden="1" x14ac:dyDescent="0.25">
      <c r="B82">
        <v>320</v>
      </c>
      <c r="C82" t="s">
        <v>239</v>
      </c>
      <c r="D82" t="s">
        <v>240</v>
      </c>
      <c r="E82" t="s">
        <v>1168</v>
      </c>
      <c r="F82">
        <v>1</v>
      </c>
      <c r="G82" t="s">
        <v>24</v>
      </c>
      <c r="H82" t="s">
        <v>241</v>
      </c>
      <c r="I82" t="s">
        <v>242</v>
      </c>
      <c r="J82" t="s">
        <v>243</v>
      </c>
      <c r="K82" t="s">
        <v>244</v>
      </c>
      <c r="L82" t="s">
        <v>244</v>
      </c>
      <c r="M82" t="s">
        <v>246</v>
      </c>
      <c r="N82" s="4">
        <v>46104</v>
      </c>
      <c r="Q82" t="s">
        <v>31</v>
      </c>
      <c r="R82" t="s">
        <v>31</v>
      </c>
    </row>
    <row r="83" spans="2:18" x14ac:dyDescent="0.25">
      <c r="B83">
        <v>359</v>
      </c>
      <c r="C83" t="s">
        <v>125</v>
      </c>
      <c r="D83" t="s">
        <v>126</v>
      </c>
      <c r="E83" t="s">
        <v>1166</v>
      </c>
      <c r="F83">
        <v>1</v>
      </c>
      <c r="G83" t="s">
        <v>127</v>
      </c>
      <c r="H83" t="s">
        <v>128</v>
      </c>
      <c r="I83" t="s">
        <v>129</v>
      </c>
      <c r="J83" t="s">
        <v>130</v>
      </c>
      <c r="K83" t="s">
        <v>131</v>
      </c>
      <c r="L83" t="s">
        <v>132</v>
      </c>
      <c r="M83" t="s">
        <v>133</v>
      </c>
      <c r="N83" s="4">
        <v>46104</v>
      </c>
      <c r="Q83" t="s">
        <v>31</v>
      </c>
      <c r="R83" t="s">
        <v>84</v>
      </c>
    </row>
    <row r="84" spans="2:18" hidden="1" x14ac:dyDescent="0.25">
      <c r="B84">
        <v>309</v>
      </c>
      <c r="C84" t="s">
        <v>725</v>
      </c>
      <c r="D84" t="s">
        <v>726</v>
      </c>
      <c r="E84" t="s">
        <v>1168</v>
      </c>
      <c r="F84">
        <v>2</v>
      </c>
      <c r="G84" t="s">
        <v>727</v>
      </c>
      <c r="H84" t="s">
        <v>728</v>
      </c>
      <c r="I84" t="s">
        <v>729</v>
      </c>
      <c r="J84" t="s">
        <v>730</v>
      </c>
      <c r="K84" t="s">
        <v>731</v>
      </c>
      <c r="L84" t="s">
        <v>732</v>
      </c>
      <c r="M84" t="s">
        <v>733</v>
      </c>
      <c r="N84" s="4">
        <v>46104</v>
      </c>
      <c r="Q84" t="s">
        <v>31</v>
      </c>
      <c r="R84" t="s">
        <v>31</v>
      </c>
    </row>
    <row r="85" spans="2:18" x14ac:dyDescent="0.25">
      <c r="B85">
        <v>379</v>
      </c>
      <c r="C85" t="s">
        <v>415</v>
      </c>
      <c r="D85" t="s">
        <v>416</v>
      </c>
      <c r="E85" t="s">
        <v>1166</v>
      </c>
      <c r="F85">
        <v>1</v>
      </c>
      <c r="G85" t="s">
        <v>417</v>
      </c>
      <c r="H85" t="s">
        <v>418</v>
      </c>
      <c r="I85" t="s">
        <v>419</v>
      </c>
      <c r="J85" t="s">
        <v>420</v>
      </c>
      <c r="K85" t="s">
        <v>421</v>
      </c>
      <c r="L85" t="s">
        <v>422</v>
      </c>
      <c r="M85" t="s">
        <v>423</v>
      </c>
      <c r="N85" s="4">
        <v>46104</v>
      </c>
      <c r="Q85" t="s">
        <v>31</v>
      </c>
      <c r="R85" t="s">
        <v>31</v>
      </c>
    </row>
    <row r="86" spans="2:18" x14ac:dyDescent="0.25">
      <c r="B86">
        <v>375</v>
      </c>
      <c r="C86" t="s">
        <v>357</v>
      </c>
      <c r="D86" t="s">
        <v>358</v>
      </c>
      <c r="E86" t="s">
        <v>1166</v>
      </c>
      <c r="F86">
        <v>1</v>
      </c>
      <c r="G86" t="s">
        <v>359</v>
      </c>
      <c r="H86" t="s">
        <v>360</v>
      </c>
      <c r="I86" t="s">
        <v>361</v>
      </c>
      <c r="J86" t="s">
        <v>362</v>
      </c>
      <c r="K86" t="s">
        <v>363</v>
      </c>
      <c r="L86" t="s">
        <v>364</v>
      </c>
      <c r="M86" t="s">
        <v>365</v>
      </c>
      <c r="N86" s="4">
        <v>46104</v>
      </c>
      <c r="Q86" t="s">
        <v>31</v>
      </c>
      <c r="R86" t="s">
        <v>84</v>
      </c>
    </row>
    <row r="87" spans="2:18" hidden="1" x14ac:dyDescent="0.25">
      <c r="B87">
        <v>325</v>
      </c>
      <c r="C87" t="s">
        <v>743</v>
      </c>
      <c r="D87" t="s">
        <v>744</v>
      </c>
      <c r="E87" t="s">
        <v>1168</v>
      </c>
      <c r="F87">
        <v>2</v>
      </c>
      <c r="G87" t="s">
        <v>745</v>
      </c>
      <c r="H87" t="s">
        <v>746</v>
      </c>
      <c r="I87" t="s">
        <v>747</v>
      </c>
      <c r="J87" t="s">
        <v>748</v>
      </c>
      <c r="K87" t="s">
        <v>749</v>
      </c>
      <c r="L87" t="s">
        <v>750</v>
      </c>
      <c r="M87" t="s">
        <v>751</v>
      </c>
      <c r="N87" s="4">
        <v>46104</v>
      </c>
      <c r="Q87" t="s">
        <v>31</v>
      </c>
      <c r="R87" t="s">
        <v>84</v>
      </c>
    </row>
    <row r="88" spans="2:18" hidden="1" x14ac:dyDescent="0.25">
      <c r="B88">
        <v>317</v>
      </c>
      <c r="C88" t="s">
        <v>223</v>
      </c>
      <c r="D88" t="s">
        <v>224</v>
      </c>
      <c r="E88" t="s">
        <v>1168</v>
      </c>
      <c r="F88">
        <v>1</v>
      </c>
      <c r="G88" t="s">
        <v>61</v>
      </c>
      <c r="H88" t="s">
        <v>225</v>
      </c>
      <c r="I88" t="s">
        <v>226</v>
      </c>
      <c r="J88" t="s">
        <v>227</v>
      </c>
      <c r="K88" t="s">
        <v>228</v>
      </c>
      <c r="L88" t="s">
        <v>229</v>
      </c>
      <c r="M88" t="s">
        <v>230</v>
      </c>
      <c r="N88" s="4">
        <v>46104</v>
      </c>
      <c r="Q88" t="s">
        <v>31</v>
      </c>
      <c r="R88" t="s">
        <v>31</v>
      </c>
    </row>
    <row r="89" spans="2:18" x14ac:dyDescent="0.25">
      <c r="F89">
        <f>SUBTOTAL(109,Table4[Kom.])</f>
        <v>150</v>
      </c>
      <c r="N89" s="4"/>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89"/>
  <sheetViews>
    <sheetView topLeftCell="A68" workbookViewId="0">
      <selection activeCell="F89" sqref="F89"/>
    </sheetView>
  </sheetViews>
  <sheetFormatPr defaultColWidth="8.85546875" defaultRowHeight="15" x14ac:dyDescent="0.25"/>
  <cols>
    <col min="1" max="1" width="9.28515625" bestFit="1" customWidth="1"/>
    <col min="2" max="2" width="40.140625" bestFit="1" customWidth="1"/>
    <col min="3" max="3" width="9.28515625" bestFit="1" customWidth="1"/>
    <col min="4" max="4" width="63.140625" bestFit="1" customWidth="1"/>
    <col min="5" max="5" width="90.28515625" bestFit="1" customWidth="1"/>
    <col min="6" max="6" width="9.28515625" bestFit="1" customWidth="1"/>
    <col min="7" max="7" width="14.140625" bestFit="1" customWidth="1"/>
    <col min="8" max="8" width="63.7109375" bestFit="1" customWidth="1"/>
    <col min="9" max="9" width="56" bestFit="1" customWidth="1"/>
    <col min="10" max="10" width="83.28515625" bestFit="1" customWidth="1"/>
    <col min="11" max="11" width="39" bestFit="1" customWidth="1"/>
    <col min="12" max="12" width="255.7109375" bestFit="1" customWidth="1"/>
    <col min="13" max="13" width="12" bestFit="1" customWidth="1"/>
    <col min="14" max="14" width="21.7109375" bestFit="1" customWidth="1"/>
    <col min="15" max="15" width="14.85546875" bestFit="1" customWidth="1"/>
    <col min="16" max="16" width="15.85546875" bestFit="1" customWidth="1"/>
    <col min="17" max="17" width="12.85546875" bestFit="1" customWidth="1"/>
    <col min="18" max="18" width="13.7109375" bestFit="1" customWidth="1"/>
  </cols>
  <sheetData>
    <row r="1" spans="1:18" x14ac:dyDescent="0.25">
      <c r="A1" s="12" t="s">
        <v>1164</v>
      </c>
    </row>
    <row r="3" spans="1:18" x14ac:dyDescent="0.25">
      <c r="A3" t="s">
        <v>1</v>
      </c>
      <c r="B3" t="s">
        <v>2</v>
      </c>
      <c r="C3" t="s">
        <v>4</v>
      </c>
      <c r="D3" t="s">
        <v>6</v>
      </c>
      <c r="E3" t="s">
        <v>5</v>
      </c>
      <c r="F3" t="s">
        <v>7</v>
      </c>
      <c r="G3" t="s">
        <v>8</v>
      </c>
      <c r="H3" t="s">
        <v>9</v>
      </c>
      <c r="I3" t="s">
        <v>10</v>
      </c>
      <c r="J3" t="s">
        <v>11</v>
      </c>
      <c r="K3" t="s">
        <v>12</v>
      </c>
      <c r="L3" t="s">
        <v>13</v>
      </c>
      <c r="M3" t="s">
        <v>14</v>
      </c>
      <c r="N3" t="s">
        <v>16</v>
      </c>
      <c r="O3" t="s">
        <v>17</v>
      </c>
      <c r="P3" t="s">
        <v>18</v>
      </c>
      <c r="Q3" t="s">
        <v>19</v>
      </c>
      <c r="R3" t="s">
        <v>20</v>
      </c>
    </row>
    <row r="4" spans="1:18" ht="45" hidden="1" customHeight="1" x14ac:dyDescent="0.25">
      <c r="B4" s="11" t="s">
        <v>1165</v>
      </c>
      <c r="C4" t="s">
        <v>760</v>
      </c>
      <c r="D4" t="s">
        <v>1166</v>
      </c>
      <c r="E4" t="s">
        <v>761</v>
      </c>
      <c r="F4">
        <v>7</v>
      </c>
      <c r="G4" t="s">
        <v>61</v>
      </c>
      <c r="H4" t="s">
        <v>762</v>
      </c>
      <c r="I4" t="s">
        <v>763</v>
      </c>
      <c r="J4" t="s">
        <v>764</v>
      </c>
      <c r="K4" t="s">
        <v>765</v>
      </c>
      <c r="L4" s="11" t="s">
        <v>1167</v>
      </c>
      <c r="M4" t="s">
        <v>766</v>
      </c>
      <c r="N4" s="4">
        <v>46104</v>
      </c>
      <c r="Q4" t="s">
        <v>31</v>
      </c>
      <c r="R4" t="s">
        <v>84</v>
      </c>
    </row>
    <row r="5" spans="1:18" x14ac:dyDescent="0.25">
      <c r="B5">
        <v>342</v>
      </c>
      <c r="C5" t="s">
        <v>760</v>
      </c>
      <c r="D5" t="s">
        <v>1168</v>
      </c>
      <c r="E5" t="s">
        <v>761</v>
      </c>
      <c r="F5">
        <v>2</v>
      </c>
      <c r="G5" t="s">
        <v>61</v>
      </c>
      <c r="H5" t="s">
        <v>762</v>
      </c>
      <c r="I5" t="s">
        <v>763</v>
      </c>
      <c r="J5" t="s">
        <v>764</v>
      </c>
      <c r="K5" t="s">
        <v>765</v>
      </c>
      <c r="L5" t="s">
        <v>765</v>
      </c>
      <c r="M5" t="s">
        <v>766</v>
      </c>
      <c r="N5" s="4">
        <v>46104</v>
      </c>
      <c r="Q5" t="s">
        <v>31</v>
      </c>
      <c r="R5" t="s">
        <v>84</v>
      </c>
    </row>
    <row r="6" spans="1:18" hidden="1" x14ac:dyDescent="0.25">
      <c r="B6">
        <v>372</v>
      </c>
      <c r="C6" t="s">
        <v>318</v>
      </c>
      <c r="D6" t="s">
        <v>1166</v>
      </c>
      <c r="E6" t="s">
        <v>319</v>
      </c>
      <c r="F6">
        <v>1</v>
      </c>
      <c r="G6" t="s">
        <v>111</v>
      </c>
      <c r="H6" t="s">
        <v>320</v>
      </c>
      <c r="I6" t="s">
        <v>321</v>
      </c>
      <c r="J6" t="s">
        <v>322</v>
      </c>
      <c r="K6" t="s">
        <v>323</v>
      </c>
      <c r="L6" t="s">
        <v>324</v>
      </c>
      <c r="M6" t="s">
        <v>325</v>
      </c>
      <c r="N6" s="4">
        <v>46104</v>
      </c>
      <c r="Q6" t="s">
        <v>31</v>
      </c>
      <c r="R6" t="s">
        <v>84</v>
      </c>
    </row>
    <row r="7" spans="1:18" x14ac:dyDescent="0.25">
      <c r="B7">
        <v>327</v>
      </c>
      <c r="C7" t="s">
        <v>318</v>
      </c>
      <c r="D7" t="s">
        <v>1168</v>
      </c>
      <c r="E7" t="s">
        <v>319</v>
      </c>
      <c r="F7">
        <v>2</v>
      </c>
      <c r="G7" t="s">
        <v>111</v>
      </c>
      <c r="H7" t="s">
        <v>320</v>
      </c>
      <c r="I7" t="s">
        <v>321</v>
      </c>
      <c r="J7" t="s">
        <v>322</v>
      </c>
      <c r="K7" t="s">
        <v>323</v>
      </c>
      <c r="L7" t="s">
        <v>324</v>
      </c>
      <c r="M7" t="s">
        <v>325</v>
      </c>
      <c r="N7" s="4">
        <v>46104</v>
      </c>
      <c r="Q7" t="s">
        <v>31</v>
      </c>
      <c r="R7" t="s">
        <v>84</v>
      </c>
    </row>
    <row r="8" spans="1:18" ht="30" hidden="1" customHeight="1" x14ac:dyDescent="0.25">
      <c r="B8">
        <v>367</v>
      </c>
      <c r="C8" t="s">
        <v>247</v>
      </c>
      <c r="D8" t="s">
        <v>1166</v>
      </c>
      <c r="E8" t="s">
        <v>248</v>
      </c>
      <c r="F8">
        <v>2</v>
      </c>
      <c r="G8" t="s">
        <v>61</v>
      </c>
      <c r="H8" s="11" t="s">
        <v>528</v>
      </c>
      <c r="I8" t="s">
        <v>1068</v>
      </c>
      <c r="J8" s="11" t="s">
        <v>530</v>
      </c>
      <c r="K8" t="s">
        <v>252</v>
      </c>
      <c r="L8" t="s">
        <v>531</v>
      </c>
      <c r="M8" t="s">
        <v>254</v>
      </c>
      <c r="N8" s="4">
        <v>46104</v>
      </c>
      <c r="Q8" t="s">
        <v>31</v>
      </c>
      <c r="R8" t="s">
        <v>84</v>
      </c>
    </row>
    <row r="9" spans="1:18" ht="30" customHeight="1" x14ac:dyDescent="0.25">
      <c r="B9">
        <v>321</v>
      </c>
      <c r="C9" t="s">
        <v>247</v>
      </c>
      <c r="D9" t="s">
        <v>1168</v>
      </c>
      <c r="E9" t="s">
        <v>248</v>
      </c>
      <c r="F9">
        <v>1</v>
      </c>
      <c r="G9" t="s">
        <v>61</v>
      </c>
      <c r="H9" s="11" t="s">
        <v>528</v>
      </c>
      <c r="I9" t="s">
        <v>1068</v>
      </c>
      <c r="J9" s="11" t="s">
        <v>530</v>
      </c>
      <c r="K9" t="s">
        <v>252</v>
      </c>
      <c r="L9" t="s">
        <v>531</v>
      </c>
      <c r="M9" t="s">
        <v>254</v>
      </c>
      <c r="N9" s="4">
        <v>46104</v>
      </c>
      <c r="Q9" t="s">
        <v>31</v>
      </c>
      <c r="R9" t="s">
        <v>84</v>
      </c>
    </row>
    <row r="10" spans="1:18" hidden="1" x14ac:dyDescent="0.25">
      <c r="B10">
        <v>364</v>
      </c>
      <c r="C10" t="s">
        <v>207</v>
      </c>
      <c r="D10" t="s">
        <v>1166</v>
      </c>
      <c r="E10" t="s">
        <v>208</v>
      </c>
      <c r="F10">
        <v>2</v>
      </c>
      <c r="G10" t="s">
        <v>61</v>
      </c>
      <c r="H10" t="s">
        <v>209</v>
      </c>
      <c r="I10" t="s">
        <v>210</v>
      </c>
      <c r="J10" t="s">
        <v>211</v>
      </c>
      <c r="K10" t="s">
        <v>212</v>
      </c>
      <c r="L10" t="s">
        <v>213</v>
      </c>
      <c r="M10" t="s">
        <v>214</v>
      </c>
      <c r="N10" s="4">
        <v>46104</v>
      </c>
      <c r="Q10" t="s">
        <v>31</v>
      </c>
      <c r="R10" t="s">
        <v>31</v>
      </c>
    </row>
    <row r="11" spans="1:18" hidden="1" x14ac:dyDescent="0.25">
      <c r="B11">
        <v>371</v>
      </c>
      <c r="C11" t="s">
        <v>310</v>
      </c>
      <c r="D11" t="s">
        <v>1166</v>
      </c>
      <c r="E11" t="s">
        <v>311</v>
      </c>
      <c r="F11">
        <v>1</v>
      </c>
      <c r="G11" t="s">
        <v>152</v>
      </c>
      <c r="H11" t="s">
        <v>312</v>
      </c>
      <c r="I11" t="s">
        <v>313</v>
      </c>
      <c r="J11" t="s">
        <v>314</v>
      </c>
      <c r="K11" t="s">
        <v>315</v>
      </c>
      <c r="L11" t="s">
        <v>316</v>
      </c>
      <c r="M11" t="s">
        <v>317</v>
      </c>
      <c r="N11" s="4">
        <v>46104</v>
      </c>
      <c r="Q11" t="s">
        <v>31</v>
      </c>
      <c r="R11" t="s">
        <v>31</v>
      </c>
    </row>
    <row r="12" spans="1:18" hidden="1" x14ac:dyDescent="0.25">
      <c r="B12">
        <v>382</v>
      </c>
      <c r="C12" t="s">
        <v>447</v>
      </c>
      <c r="D12" t="s">
        <v>1166</v>
      </c>
      <c r="E12" t="s">
        <v>448</v>
      </c>
      <c r="F12">
        <v>1</v>
      </c>
      <c r="G12" t="s">
        <v>24</v>
      </c>
      <c r="H12" t="s">
        <v>449</v>
      </c>
      <c r="I12" t="s">
        <v>450</v>
      </c>
      <c r="J12" t="s">
        <v>451</v>
      </c>
      <c r="K12" t="s">
        <v>452</v>
      </c>
      <c r="L12" t="s">
        <v>453</v>
      </c>
      <c r="M12" t="s">
        <v>454</v>
      </c>
      <c r="N12" s="4">
        <v>46104</v>
      </c>
      <c r="Q12" t="s">
        <v>31</v>
      </c>
      <c r="R12" t="s">
        <v>31</v>
      </c>
    </row>
    <row r="13" spans="1:18" x14ac:dyDescent="0.25">
      <c r="B13">
        <v>339</v>
      </c>
      <c r="C13" t="s">
        <v>447</v>
      </c>
      <c r="D13" t="s">
        <v>1168</v>
      </c>
      <c r="E13" t="s">
        <v>448</v>
      </c>
      <c r="F13">
        <v>2</v>
      </c>
      <c r="G13" t="s">
        <v>24</v>
      </c>
      <c r="H13" t="s">
        <v>449</v>
      </c>
      <c r="I13" t="s">
        <v>450</v>
      </c>
      <c r="J13" t="s">
        <v>451</v>
      </c>
      <c r="K13" t="s">
        <v>452</v>
      </c>
      <c r="L13" t="s">
        <v>453</v>
      </c>
      <c r="M13" t="s">
        <v>454</v>
      </c>
      <c r="N13" s="4">
        <v>46104</v>
      </c>
      <c r="Q13" t="s">
        <v>31</v>
      </c>
      <c r="R13" t="s">
        <v>31</v>
      </c>
    </row>
    <row r="14" spans="1:18" x14ac:dyDescent="0.25">
      <c r="B14">
        <v>311</v>
      </c>
      <c r="C14" t="s">
        <v>536</v>
      </c>
      <c r="D14" t="s">
        <v>1168</v>
      </c>
      <c r="E14" t="s">
        <v>537</v>
      </c>
      <c r="F14">
        <v>1</v>
      </c>
      <c r="G14" t="s">
        <v>111</v>
      </c>
      <c r="H14" t="s">
        <v>538</v>
      </c>
      <c r="I14" t="s">
        <v>539</v>
      </c>
      <c r="J14" t="s">
        <v>540</v>
      </c>
      <c r="K14" t="s">
        <v>541</v>
      </c>
      <c r="L14" t="s">
        <v>541</v>
      </c>
      <c r="M14" t="s">
        <v>542</v>
      </c>
      <c r="N14" s="4">
        <v>46104</v>
      </c>
      <c r="Q14" t="s">
        <v>31</v>
      </c>
      <c r="R14" t="s">
        <v>84</v>
      </c>
    </row>
    <row r="15" spans="1:18" hidden="1" x14ac:dyDescent="0.25">
      <c r="B15">
        <v>386</v>
      </c>
      <c r="C15" t="s">
        <v>486</v>
      </c>
      <c r="D15" t="s">
        <v>1166</v>
      </c>
      <c r="E15" t="s">
        <v>487</v>
      </c>
      <c r="F15">
        <v>1</v>
      </c>
      <c r="G15" t="s">
        <v>152</v>
      </c>
      <c r="H15" t="s">
        <v>488</v>
      </c>
      <c r="I15" t="s">
        <v>489</v>
      </c>
      <c r="J15" t="s">
        <v>490</v>
      </c>
      <c r="K15" t="s">
        <v>491</v>
      </c>
      <c r="L15" t="s">
        <v>492</v>
      </c>
      <c r="M15" t="s">
        <v>493</v>
      </c>
      <c r="N15" s="4">
        <v>46104</v>
      </c>
      <c r="Q15" t="s">
        <v>31</v>
      </c>
      <c r="R15" t="s">
        <v>84</v>
      </c>
    </row>
    <row r="16" spans="1:18" x14ac:dyDescent="0.25">
      <c r="B16">
        <v>345</v>
      </c>
      <c r="C16" t="s">
        <v>486</v>
      </c>
      <c r="D16" t="s">
        <v>1168</v>
      </c>
      <c r="E16" t="s">
        <v>487</v>
      </c>
      <c r="F16">
        <v>1</v>
      </c>
      <c r="G16" t="s">
        <v>152</v>
      </c>
      <c r="H16" t="s">
        <v>488</v>
      </c>
      <c r="I16" t="s">
        <v>489</v>
      </c>
      <c r="J16" t="s">
        <v>490</v>
      </c>
      <c r="K16" t="s">
        <v>491</v>
      </c>
      <c r="L16" t="s">
        <v>492</v>
      </c>
      <c r="M16" t="s">
        <v>493</v>
      </c>
      <c r="N16" s="4">
        <v>46104</v>
      </c>
      <c r="Q16" t="s">
        <v>31</v>
      </c>
      <c r="R16" t="s">
        <v>84</v>
      </c>
    </row>
    <row r="17" spans="2:18" x14ac:dyDescent="0.25">
      <c r="B17">
        <v>329</v>
      </c>
      <c r="C17" t="s">
        <v>334</v>
      </c>
      <c r="D17" t="s">
        <v>1168</v>
      </c>
      <c r="E17" t="s">
        <v>335</v>
      </c>
      <c r="F17">
        <v>1</v>
      </c>
      <c r="G17" t="s">
        <v>61</v>
      </c>
      <c r="H17" t="s">
        <v>336</v>
      </c>
      <c r="I17" t="s">
        <v>337</v>
      </c>
      <c r="J17" t="s">
        <v>338</v>
      </c>
      <c r="K17" t="s">
        <v>339</v>
      </c>
      <c r="L17" t="s">
        <v>543</v>
      </c>
      <c r="M17" t="s">
        <v>341</v>
      </c>
      <c r="N17" s="4">
        <v>46104</v>
      </c>
      <c r="Q17" t="s">
        <v>31</v>
      </c>
      <c r="R17" t="s">
        <v>84</v>
      </c>
    </row>
    <row r="18" spans="2:18" hidden="1" x14ac:dyDescent="0.25">
      <c r="B18">
        <v>349</v>
      </c>
      <c r="C18" t="s">
        <v>21</v>
      </c>
      <c r="D18" t="s">
        <v>1166</v>
      </c>
      <c r="E18" t="s">
        <v>22</v>
      </c>
      <c r="F18">
        <v>1</v>
      </c>
      <c r="G18" t="s">
        <v>24</v>
      </c>
      <c r="H18" t="s">
        <v>25</v>
      </c>
      <c r="I18" t="s">
        <v>26</v>
      </c>
      <c r="J18" t="s">
        <v>27</v>
      </c>
      <c r="K18" t="s">
        <v>28</v>
      </c>
      <c r="L18" t="s">
        <v>29</v>
      </c>
      <c r="M18" t="s">
        <v>30</v>
      </c>
      <c r="N18" s="4">
        <v>46104</v>
      </c>
      <c r="Q18" t="s">
        <v>31</v>
      </c>
      <c r="R18" t="s">
        <v>31</v>
      </c>
    </row>
    <row r="19" spans="2:18" x14ac:dyDescent="0.25">
      <c r="B19">
        <v>302</v>
      </c>
      <c r="C19" t="s">
        <v>21</v>
      </c>
      <c r="D19" t="s">
        <v>1168</v>
      </c>
      <c r="E19" t="s">
        <v>22</v>
      </c>
      <c r="F19">
        <v>5</v>
      </c>
      <c r="G19" t="s">
        <v>24</v>
      </c>
      <c r="H19" t="s">
        <v>25</v>
      </c>
      <c r="I19" t="s">
        <v>26</v>
      </c>
      <c r="J19" t="s">
        <v>27</v>
      </c>
      <c r="K19" t="s">
        <v>28</v>
      </c>
      <c r="L19" t="s">
        <v>29</v>
      </c>
      <c r="M19" t="s">
        <v>30</v>
      </c>
      <c r="N19" s="4">
        <v>46104</v>
      </c>
      <c r="Q19" t="s">
        <v>31</v>
      </c>
      <c r="R19" t="s">
        <v>31</v>
      </c>
    </row>
    <row r="20" spans="2:18" hidden="1" x14ac:dyDescent="0.25">
      <c r="B20">
        <v>361</v>
      </c>
      <c r="C20" t="s">
        <v>159</v>
      </c>
      <c r="D20" t="s">
        <v>1166</v>
      </c>
      <c r="E20" t="s">
        <v>160</v>
      </c>
      <c r="F20">
        <v>1</v>
      </c>
      <c r="G20" t="s">
        <v>61</v>
      </c>
      <c r="H20" t="s">
        <v>161</v>
      </c>
      <c r="I20" t="s">
        <v>162</v>
      </c>
      <c r="J20" t="s">
        <v>163</v>
      </c>
      <c r="K20" t="s">
        <v>164</v>
      </c>
      <c r="L20" t="s">
        <v>164</v>
      </c>
      <c r="M20" t="s">
        <v>165</v>
      </c>
      <c r="N20" s="4">
        <v>46104</v>
      </c>
      <c r="Q20" t="s">
        <v>31</v>
      </c>
      <c r="R20" t="s">
        <v>31</v>
      </c>
    </row>
    <row r="21" spans="2:18" x14ac:dyDescent="0.25">
      <c r="B21">
        <v>337</v>
      </c>
      <c r="C21" t="s">
        <v>544</v>
      </c>
      <c r="D21" t="s">
        <v>1168</v>
      </c>
      <c r="E21" t="s">
        <v>545</v>
      </c>
      <c r="F21">
        <v>1</v>
      </c>
      <c r="G21" t="s">
        <v>24</v>
      </c>
      <c r="H21" t="s">
        <v>546</v>
      </c>
      <c r="I21" t="s">
        <v>547</v>
      </c>
      <c r="J21" t="s">
        <v>548</v>
      </c>
      <c r="K21" t="s">
        <v>549</v>
      </c>
      <c r="L21" t="s">
        <v>550</v>
      </c>
      <c r="M21" t="s">
        <v>551</v>
      </c>
      <c r="N21" s="4">
        <v>46104</v>
      </c>
      <c r="Q21" t="s">
        <v>31</v>
      </c>
      <c r="R21" t="s">
        <v>31</v>
      </c>
    </row>
    <row r="22" spans="2:18" ht="30" hidden="1" customHeight="1" x14ac:dyDescent="0.25">
      <c r="B22" s="11" t="s">
        <v>1215</v>
      </c>
      <c r="C22" t="s">
        <v>34</v>
      </c>
      <c r="D22" t="s">
        <v>1166</v>
      </c>
      <c r="E22" t="s">
        <v>35</v>
      </c>
      <c r="F22">
        <v>2</v>
      </c>
      <c r="G22" t="s">
        <v>36</v>
      </c>
      <c r="H22" t="s">
        <v>37</v>
      </c>
      <c r="I22" t="s">
        <v>38</v>
      </c>
      <c r="J22" t="s">
        <v>39</v>
      </c>
      <c r="K22" t="s">
        <v>40</v>
      </c>
      <c r="L22" t="s">
        <v>553</v>
      </c>
      <c r="M22" t="s">
        <v>42</v>
      </c>
      <c r="N22" s="4">
        <v>46104</v>
      </c>
      <c r="Q22" t="s">
        <v>31</v>
      </c>
      <c r="R22" t="s">
        <v>31</v>
      </c>
    </row>
    <row r="23" spans="2:18" x14ac:dyDescent="0.25">
      <c r="B23">
        <v>313</v>
      </c>
      <c r="C23" t="s">
        <v>166</v>
      </c>
      <c r="D23" t="s">
        <v>1168</v>
      </c>
      <c r="E23" t="s">
        <v>167</v>
      </c>
      <c r="F23">
        <v>1</v>
      </c>
      <c r="G23" t="s">
        <v>61</v>
      </c>
      <c r="H23" t="s">
        <v>168</v>
      </c>
      <c r="I23" t="s">
        <v>169</v>
      </c>
      <c r="J23" t="s">
        <v>170</v>
      </c>
      <c r="K23" t="s">
        <v>171</v>
      </c>
      <c r="L23" t="s">
        <v>172</v>
      </c>
      <c r="M23" t="s">
        <v>173</v>
      </c>
      <c r="N23" s="4">
        <v>46104</v>
      </c>
      <c r="Q23" t="s">
        <v>31</v>
      </c>
      <c r="R23" t="s">
        <v>84</v>
      </c>
    </row>
    <row r="24" spans="2:18" x14ac:dyDescent="0.25">
      <c r="B24">
        <v>328</v>
      </c>
      <c r="C24" t="s">
        <v>326</v>
      </c>
      <c r="D24" t="s">
        <v>1168</v>
      </c>
      <c r="E24" t="s">
        <v>327</v>
      </c>
      <c r="F24">
        <v>1</v>
      </c>
      <c r="G24" t="s">
        <v>152</v>
      </c>
      <c r="H24" t="s">
        <v>328</v>
      </c>
      <c r="I24" t="s">
        <v>329</v>
      </c>
      <c r="J24" t="s">
        <v>330</v>
      </c>
      <c r="K24" t="s">
        <v>331</v>
      </c>
      <c r="L24" t="s">
        <v>332</v>
      </c>
      <c r="M24" t="s">
        <v>333</v>
      </c>
      <c r="N24" s="4">
        <v>46104</v>
      </c>
      <c r="Q24" t="s">
        <v>31</v>
      </c>
      <c r="R24" t="s">
        <v>31</v>
      </c>
    </row>
    <row r="25" spans="2:18" hidden="1" x14ac:dyDescent="0.25">
      <c r="B25">
        <v>360</v>
      </c>
      <c r="C25" t="s">
        <v>554</v>
      </c>
      <c r="D25" t="s">
        <v>1166</v>
      </c>
      <c r="E25" t="s">
        <v>555</v>
      </c>
      <c r="F25">
        <v>1</v>
      </c>
      <c r="G25" t="s">
        <v>61</v>
      </c>
      <c r="H25" t="s">
        <v>556</v>
      </c>
      <c r="I25" t="s">
        <v>557</v>
      </c>
      <c r="J25" t="s">
        <v>558</v>
      </c>
      <c r="K25" t="s">
        <v>559</v>
      </c>
      <c r="L25" t="s">
        <v>560</v>
      </c>
      <c r="M25" t="s">
        <v>561</v>
      </c>
      <c r="N25" s="4">
        <v>46104</v>
      </c>
      <c r="Q25" t="s">
        <v>31</v>
      </c>
      <c r="R25" t="s">
        <v>31</v>
      </c>
    </row>
    <row r="26" spans="2:18" hidden="1" x14ac:dyDescent="0.25">
      <c r="B26">
        <v>354</v>
      </c>
      <c r="C26" t="s">
        <v>562</v>
      </c>
      <c r="D26" t="s">
        <v>1166</v>
      </c>
      <c r="E26" t="s">
        <v>563</v>
      </c>
      <c r="F26">
        <v>1</v>
      </c>
      <c r="G26" t="s">
        <v>61</v>
      </c>
      <c r="H26" t="s">
        <v>564</v>
      </c>
      <c r="I26" t="s">
        <v>565</v>
      </c>
      <c r="J26" t="s">
        <v>566</v>
      </c>
      <c r="K26" t="s">
        <v>567</v>
      </c>
      <c r="L26" t="s">
        <v>568</v>
      </c>
      <c r="M26" t="s">
        <v>569</v>
      </c>
      <c r="N26" s="4">
        <v>46104</v>
      </c>
      <c r="Q26" t="s">
        <v>31</v>
      </c>
      <c r="R26" t="s">
        <v>31</v>
      </c>
    </row>
    <row r="27" spans="2:18" hidden="1" x14ac:dyDescent="0.25">
      <c r="B27">
        <v>355</v>
      </c>
      <c r="C27" t="s">
        <v>85</v>
      </c>
      <c r="D27" t="s">
        <v>1166</v>
      </c>
      <c r="E27" t="s">
        <v>86</v>
      </c>
      <c r="F27">
        <v>2</v>
      </c>
      <c r="G27" t="s">
        <v>87</v>
      </c>
      <c r="H27" t="s">
        <v>88</v>
      </c>
      <c r="I27" t="s">
        <v>89</v>
      </c>
      <c r="J27" t="s">
        <v>90</v>
      </c>
      <c r="K27" t="s">
        <v>91</v>
      </c>
      <c r="L27" t="s">
        <v>92</v>
      </c>
      <c r="M27" t="s">
        <v>93</v>
      </c>
      <c r="N27" s="4">
        <v>46104</v>
      </c>
      <c r="Q27" t="s">
        <v>31</v>
      </c>
      <c r="R27" t="s">
        <v>84</v>
      </c>
    </row>
    <row r="28" spans="2:18" ht="30" hidden="1" customHeight="1" x14ac:dyDescent="0.25">
      <c r="B28">
        <v>381</v>
      </c>
      <c r="C28" t="s">
        <v>439</v>
      </c>
      <c r="D28" t="s">
        <v>1166</v>
      </c>
      <c r="E28" t="s">
        <v>440</v>
      </c>
      <c r="F28">
        <v>1</v>
      </c>
      <c r="G28" t="s">
        <v>152</v>
      </c>
      <c r="H28" s="11" t="s">
        <v>441</v>
      </c>
      <c r="I28" s="11" t="s">
        <v>442</v>
      </c>
      <c r="J28" s="11" t="s">
        <v>443</v>
      </c>
      <c r="K28" t="s">
        <v>444</v>
      </c>
      <c r="L28" t="s">
        <v>1170</v>
      </c>
      <c r="M28" t="s">
        <v>446</v>
      </c>
      <c r="N28" s="4">
        <v>46104</v>
      </c>
      <c r="Q28" t="s">
        <v>31</v>
      </c>
      <c r="R28" t="s">
        <v>31</v>
      </c>
    </row>
    <row r="29" spans="2:18" ht="30" customHeight="1" x14ac:dyDescent="0.25">
      <c r="B29">
        <v>338</v>
      </c>
      <c r="C29" t="s">
        <v>439</v>
      </c>
      <c r="D29" t="s">
        <v>1168</v>
      </c>
      <c r="E29" t="s">
        <v>440</v>
      </c>
      <c r="F29">
        <v>1</v>
      </c>
      <c r="G29" t="s">
        <v>152</v>
      </c>
      <c r="H29" s="11" t="s">
        <v>441</v>
      </c>
      <c r="I29" s="11" t="s">
        <v>442</v>
      </c>
      <c r="J29" s="11" t="s">
        <v>443</v>
      </c>
      <c r="K29" t="s">
        <v>444</v>
      </c>
      <c r="L29" t="s">
        <v>570</v>
      </c>
      <c r="M29" t="s">
        <v>446</v>
      </c>
      <c r="N29" s="4">
        <v>46104</v>
      </c>
      <c r="Q29" t="s">
        <v>31</v>
      </c>
      <c r="R29" t="s">
        <v>31</v>
      </c>
    </row>
    <row r="30" spans="2:18" x14ac:dyDescent="0.25">
      <c r="B30">
        <v>340</v>
      </c>
      <c r="C30" t="s">
        <v>571</v>
      </c>
      <c r="D30" t="s">
        <v>1168</v>
      </c>
      <c r="E30" t="s">
        <v>572</v>
      </c>
      <c r="F30">
        <v>3</v>
      </c>
      <c r="G30" t="s">
        <v>573</v>
      </c>
      <c r="H30" t="s">
        <v>574</v>
      </c>
      <c r="I30" t="s">
        <v>575</v>
      </c>
      <c r="J30" t="s">
        <v>576</v>
      </c>
      <c r="K30" t="s">
        <v>577</v>
      </c>
      <c r="L30" t="s">
        <v>578</v>
      </c>
      <c r="M30" t="s">
        <v>579</v>
      </c>
      <c r="N30" s="4">
        <v>46104</v>
      </c>
      <c r="Q30" t="s">
        <v>31</v>
      </c>
      <c r="R30" t="s">
        <v>84</v>
      </c>
    </row>
    <row r="31" spans="2:18" hidden="1" x14ac:dyDescent="0.25">
      <c r="B31">
        <v>356</v>
      </c>
      <c r="C31" t="s">
        <v>580</v>
      </c>
      <c r="D31" t="s">
        <v>1166</v>
      </c>
      <c r="E31" t="s">
        <v>581</v>
      </c>
      <c r="F31">
        <v>2</v>
      </c>
      <c r="G31" t="s">
        <v>61</v>
      </c>
      <c r="H31" t="s">
        <v>582</v>
      </c>
      <c r="I31" t="s">
        <v>583</v>
      </c>
      <c r="J31" t="s">
        <v>584</v>
      </c>
      <c r="K31" t="s">
        <v>585</v>
      </c>
      <c r="L31" t="s">
        <v>1171</v>
      </c>
      <c r="M31" t="s">
        <v>587</v>
      </c>
      <c r="N31" s="4">
        <v>46104</v>
      </c>
      <c r="Q31" t="s">
        <v>31</v>
      </c>
      <c r="R31" t="s">
        <v>84</v>
      </c>
    </row>
    <row r="32" spans="2:18" hidden="1" x14ac:dyDescent="0.25">
      <c r="B32">
        <v>378</v>
      </c>
      <c r="C32" t="s">
        <v>391</v>
      </c>
      <c r="D32" t="s">
        <v>1166</v>
      </c>
      <c r="E32" t="s">
        <v>392</v>
      </c>
      <c r="F32">
        <v>4</v>
      </c>
      <c r="G32" t="s">
        <v>111</v>
      </c>
      <c r="H32" t="s">
        <v>393</v>
      </c>
      <c r="I32" t="s">
        <v>394</v>
      </c>
      <c r="J32" t="s">
        <v>395</v>
      </c>
      <c r="K32" t="s">
        <v>396</v>
      </c>
      <c r="L32" t="s">
        <v>397</v>
      </c>
      <c r="M32" t="s">
        <v>398</v>
      </c>
      <c r="N32" s="4">
        <v>46104</v>
      </c>
      <c r="Q32" t="s">
        <v>31</v>
      </c>
      <c r="R32" t="s">
        <v>84</v>
      </c>
    </row>
    <row r="33" spans="2:18" hidden="1" x14ac:dyDescent="0.25">
      <c r="B33">
        <v>385</v>
      </c>
      <c r="C33" t="s">
        <v>588</v>
      </c>
      <c r="D33" t="s">
        <v>1166</v>
      </c>
      <c r="E33" t="s">
        <v>589</v>
      </c>
      <c r="F33">
        <v>13</v>
      </c>
      <c r="G33" t="s">
        <v>24</v>
      </c>
      <c r="H33" t="s">
        <v>590</v>
      </c>
      <c r="I33" t="s">
        <v>591</v>
      </c>
      <c r="J33" t="s">
        <v>592</v>
      </c>
      <c r="K33" t="s">
        <v>593</v>
      </c>
      <c r="L33" t="s">
        <v>594</v>
      </c>
      <c r="M33" t="s">
        <v>595</v>
      </c>
      <c r="N33" s="4">
        <v>46104</v>
      </c>
      <c r="Q33" t="s">
        <v>31</v>
      </c>
      <c r="R33" t="s">
        <v>31</v>
      </c>
    </row>
    <row r="34" spans="2:18" x14ac:dyDescent="0.25">
      <c r="B34">
        <v>344</v>
      </c>
      <c r="C34" t="s">
        <v>588</v>
      </c>
      <c r="D34" t="s">
        <v>1168</v>
      </c>
      <c r="E34" t="s">
        <v>589</v>
      </c>
      <c r="F34">
        <v>10</v>
      </c>
      <c r="G34" t="s">
        <v>24</v>
      </c>
      <c r="H34" t="s">
        <v>590</v>
      </c>
      <c r="I34" t="s">
        <v>591</v>
      </c>
      <c r="J34" t="s">
        <v>592</v>
      </c>
      <c r="K34" t="s">
        <v>593</v>
      </c>
      <c r="L34" t="s">
        <v>594</v>
      </c>
      <c r="M34" t="s">
        <v>595</v>
      </c>
      <c r="N34" s="4">
        <v>46104</v>
      </c>
      <c r="Q34" t="s">
        <v>31</v>
      </c>
      <c r="R34" t="s">
        <v>31</v>
      </c>
    </row>
    <row r="35" spans="2:18" hidden="1" x14ac:dyDescent="0.25">
      <c r="B35">
        <v>383</v>
      </c>
      <c r="C35" t="s">
        <v>596</v>
      </c>
      <c r="D35" t="s">
        <v>1166</v>
      </c>
      <c r="E35" t="s">
        <v>597</v>
      </c>
      <c r="F35">
        <v>1</v>
      </c>
      <c r="G35" t="s">
        <v>61</v>
      </c>
      <c r="H35" t="s">
        <v>598</v>
      </c>
      <c r="I35" t="s">
        <v>599</v>
      </c>
      <c r="J35" t="s">
        <v>600</v>
      </c>
      <c r="K35" t="s">
        <v>601</v>
      </c>
      <c r="L35" t="s">
        <v>602</v>
      </c>
      <c r="M35" t="s">
        <v>603</v>
      </c>
      <c r="N35" s="4">
        <v>46104</v>
      </c>
      <c r="Q35" t="s">
        <v>31</v>
      </c>
      <c r="R35" t="s">
        <v>84</v>
      </c>
    </row>
    <row r="36" spans="2:18" x14ac:dyDescent="0.25">
      <c r="B36">
        <v>322</v>
      </c>
      <c r="C36" t="s">
        <v>263</v>
      </c>
      <c r="D36" t="s">
        <v>1168</v>
      </c>
      <c r="E36" t="s">
        <v>264</v>
      </c>
      <c r="F36">
        <v>3</v>
      </c>
      <c r="G36" t="s">
        <v>61</v>
      </c>
      <c r="H36" t="s">
        <v>265</v>
      </c>
      <c r="I36" t="s">
        <v>266</v>
      </c>
      <c r="J36" t="s">
        <v>267</v>
      </c>
      <c r="K36" t="s">
        <v>252</v>
      </c>
      <c r="L36" t="s">
        <v>268</v>
      </c>
      <c r="M36" t="s">
        <v>269</v>
      </c>
      <c r="N36" s="4">
        <v>46104</v>
      </c>
      <c r="Q36" t="s">
        <v>31</v>
      </c>
      <c r="R36" t="s">
        <v>31</v>
      </c>
    </row>
    <row r="37" spans="2:18" x14ac:dyDescent="0.25">
      <c r="B37">
        <v>341</v>
      </c>
      <c r="C37" t="s">
        <v>455</v>
      </c>
      <c r="D37" t="s">
        <v>1168</v>
      </c>
      <c r="E37" t="s">
        <v>456</v>
      </c>
      <c r="F37">
        <v>2</v>
      </c>
      <c r="G37" t="s">
        <v>111</v>
      </c>
      <c r="H37" t="s">
        <v>457</v>
      </c>
      <c r="I37" t="s">
        <v>458</v>
      </c>
      <c r="J37" t="s">
        <v>459</v>
      </c>
      <c r="K37" t="s">
        <v>460</v>
      </c>
      <c r="L37" t="s">
        <v>461</v>
      </c>
      <c r="M37" t="s">
        <v>462</v>
      </c>
      <c r="N37" s="4">
        <v>46104</v>
      </c>
      <c r="Q37" t="s">
        <v>31</v>
      </c>
      <c r="R37" t="s">
        <v>84</v>
      </c>
    </row>
    <row r="38" spans="2:18" x14ac:dyDescent="0.25">
      <c r="B38">
        <v>332</v>
      </c>
      <c r="C38" t="s">
        <v>604</v>
      </c>
      <c r="D38" t="s">
        <v>1168</v>
      </c>
      <c r="E38" t="s">
        <v>605</v>
      </c>
      <c r="F38">
        <v>15</v>
      </c>
      <c r="G38" t="s">
        <v>61</v>
      </c>
      <c r="H38" t="s">
        <v>606</v>
      </c>
      <c r="I38" t="s">
        <v>607</v>
      </c>
      <c r="J38" t="s">
        <v>608</v>
      </c>
      <c r="K38" t="s">
        <v>252</v>
      </c>
      <c r="L38" t="s">
        <v>609</v>
      </c>
      <c r="M38" t="s">
        <v>610</v>
      </c>
      <c r="N38" s="4">
        <v>46104</v>
      </c>
      <c r="Q38" t="s">
        <v>31</v>
      </c>
      <c r="R38" t="s">
        <v>31</v>
      </c>
    </row>
    <row r="39" spans="2:18" hidden="1" x14ac:dyDescent="0.25">
      <c r="B39">
        <v>353</v>
      </c>
      <c r="C39" t="s">
        <v>1079</v>
      </c>
      <c r="D39" t="s">
        <v>1166</v>
      </c>
      <c r="E39" t="s">
        <v>918</v>
      </c>
      <c r="F39">
        <v>1</v>
      </c>
      <c r="G39" t="s">
        <v>152</v>
      </c>
      <c r="H39" t="s">
        <v>1080</v>
      </c>
      <c r="I39" t="s">
        <v>1081</v>
      </c>
      <c r="J39" t="s">
        <v>1082</v>
      </c>
      <c r="K39" t="s">
        <v>1083</v>
      </c>
      <c r="L39" t="s">
        <v>1084</v>
      </c>
      <c r="M39" t="s">
        <v>1085</v>
      </c>
      <c r="N39" s="4">
        <v>46104</v>
      </c>
      <c r="Q39" t="s">
        <v>31</v>
      </c>
      <c r="R39" t="s">
        <v>84</v>
      </c>
    </row>
    <row r="40" spans="2:18" x14ac:dyDescent="0.25">
      <c r="B40">
        <v>306</v>
      </c>
      <c r="C40" t="s">
        <v>1079</v>
      </c>
      <c r="D40" t="s">
        <v>1168</v>
      </c>
      <c r="E40" t="s">
        <v>918</v>
      </c>
      <c r="F40">
        <v>3</v>
      </c>
      <c r="G40" t="s">
        <v>152</v>
      </c>
      <c r="H40" t="s">
        <v>1080</v>
      </c>
      <c r="I40" t="s">
        <v>1081</v>
      </c>
      <c r="J40" t="s">
        <v>1082</v>
      </c>
      <c r="K40" t="s">
        <v>1083</v>
      </c>
      <c r="L40" t="s">
        <v>1084</v>
      </c>
      <c r="M40" t="s">
        <v>1085</v>
      </c>
      <c r="N40" s="4">
        <v>46104</v>
      </c>
      <c r="Q40" t="s">
        <v>31</v>
      </c>
      <c r="R40" t="s">
        <v>84</v>
      </c>
    </row>
    <row r="41" spans="2:18" x14ac:dyDescent="0.25">
      <c r="B41">
        <v>307</v>
      </c>
      <c r="C41" t="s">
        <v>59</v>
      </c>
      <c r="D41" t="s">
        <v>1168</v>
      </c>
      <c r="E41" t="s">
        <v>60</v>
      </c>
      <c r="F41">
        <v>16</v>
      </c>
      <c r="G41" t="s">
        <v>61</v>
      </c>
      <c r="H41" t="s">
        <v>62</v>
      </c>
      <c r="I41" t="s">
        <v>63</v>
      </c>
      <c r="J41" t="s">
        <v>64</v>
      </c>
      <c r="K41" t="s">
        <v>65</v>
      </c>
      <c r="L41" t="s">
        <v>66</v>
      </c>
      <c r="M41" t="s">
        <v>67</v>
      </c>
      <c r="N41" s="4">
        <v>46104</v>
      </c>
      <c r="Q41" t="s">
        <v>31</v>
      </c>
      <c r="R41" t="s">
        <v>31</v>
      </c>
    </row>
    <row r="42" spans="2:18" hidden="1" x14ac:dyDescent="0.25">
      <c r="B42">
        <v>370</v>
      </c>
      <c r="C42" t="s">
        <v>286</v>
      </c>
      <c r="D42" t="s">
        <v>1166</v>
      </c>
      <c r="E42" t="s">
        <v>287</v>
      </c>
      <c r="F42">
        <v>1</v>
      </c>
      <c r="G42" t="s">
        <v>61</v>
      </c>
      <c r="H42" t="s">
        <v>288</v>
      </c>
      <c r="I42" t="s">
        <v>289</v>
      </c>
      <c r="J42" t="s">
        <v>290</v>
      </c>
      <c r="K42" t="s">
        <v>291</v>
      </c>
      <c r="L42" t="s">
        <v>292</v>
      </c>
      <c r="M42" t="s">
        <v>293</v>
      </c>
      <c r="N42" s="4">
        <v>46104</v>
      </c>
      <c r="Q42" t="s">
        <v>31</v>
      </c>
      <c r="R42" t="s">
        <v>84</v>
      </c>
    </row>
    <row r="43" spans="2:18" hidden="1" x14ac:dyDescent="0.25">
      <c r="B43">
        <v>387</v>
      </c>
      <c r="C43" t="s">
        <v>611</v>
      </c>
      <c r="D43" t="s">
        <v>1166</v>
      </c>
      <c r="E43" t="s">
        <v>612</v>
      </c>
      <c r="F43">
        <v>5</v>
      </c>
      <c r="G43" t="s">
        <v>24</v>
      </c>
      <c r="H43" t="s">
        <v>613</v>
      </c>
      <c r="I43" t="s">
        <v>614</v>
      </c>
      <c r="J43" t="s">
        <v>615</v>
      </c>
      <c r="K43" t="s">
        <v>616</v>
      </c>
      <c r="L43" t="s">
        <v>616</v>
      </c>
      <c r="M43" t="s">
        <v>617</v>
      </c>
      <c r="N43" s="4">
        <v>46104</v>
      </c>
      <c r="Q43" t="s">
        <v>31</v>
      </c>
      <c r="R43" t="s">
        <v>31</v>
      </c>
    </row>
    <row r="44" spans="2:18" x14ac:dyDescent="0.25">
      <c r="B44">
        <v>335</v>
      </c>
      <c r="C44" t="s">
        <v>399</v>
      </c>
      <c r="D44" t="s">
        <v>1168</v>
      </c>
      <c r="E44" t="s">
        <v>400</v>
      </c>
      <c r="F44">
        <v>2</v>
      </c>
      <c r="G44" t="s">
        <v>152</v>
      </c>
      <c r="H44" t="s">
        <v>401</v>
      </c>
      <c r="I44" t="s">
        <v>402</v>
      </c>
      <c r="J44" t="s">
        <v>403</v>
      </c>
      <c r="K44" t="s">
        <v>404</v>
      </c>
      <c r="L44" t="s">
        <v>791</v>
      </c>
      <c r="M44" t="s">
        <v>406</v>
      </c>
      <c r="N44" s="4">
        <v>46104</v>
      </c>
      <c r="Q44" t="s">
        <v>31</v>
      </c>
      <c r="R44" t="s">
        <v>84</v>
      </c>
    </row>
    <row r="45" spans="2:18" hidden="1" x14ac:dyDescent="0.25">
      <c r="B45">
        <v>373</v>
      </c>
      <c r="C45" t="s">
        <v>342</v>
      </c>
      <c r="D45" t="s">
        <v>1166</v>
      </c>
      <c r="E45" t="s">
        <v>343</v>
      </c>
      <c r="F45">
        <v>1</v>
      </c>
      <c r="G45" t="s">
        <v>24</v>
      </c>
      <c r="H45" t="s">
        <v>344</v>
      </c>
      <c r="I45" t="s">
        <v>345</v>
      </c>
      <c r="J45" t="s">
        <v>346</v>
      </c>
      <c r="K45" t="s">
        <v>348</v>
      </c>
      <c r="L45" t="s">
        <v>348</v>
      </c>
      <c r="M45" t="s">
        <v>349</v>
      </c>
      <c r="N45" s="4">
        <v>46104</v>
      </c>
      <c r="Q45" t="s">
        <v>31</v>
      </c>
      <c r="R45" t="s">
        <v>31</v>
      </c>
    </row>
    <row r="46" spans="2:18" hidden="1" x14ac:dyDescent="0.25">
      <c r="B46">
        <v>352</v>
      </c>
      <c r="C46" t="s">
        <v>43</v>
      </c>
      <c r="D46" t="s">
        <v>1166</v>
      </c>
      <c r="E46" t="s">
        <v>44</v>
      </c>
      <c r="F46">
        <v>4</v>
      </c>
      <c r="G46" t="s">
        <v>24</v>
      </c>
      <c r="H46" t="s">
        <v>45</v>
      </c>
      <c r="I46" t="s">
        <v>46</v>
      </c>
      <c r="J46" t="s">
        <v>47</v>
      </c>
      <c r="K46" t="s">
        <v>48</v>
      </c>
      <c r="L46" t="s">
        <v>49</v>
      </c>
      <c r="M46" t="s">
        <v>50</v>
      </c>
      <c r="N46" s="4">
        <v>46104</v>
      </c>
      <c r="Q46" t="s">
        <v>31</v>
      </c>
      <c r="R46" t="s">
        <v>31</v>
      </c>
    </row>
    <row r="47" spans="2:18" x14ac:dyDescent="0.25">
      <c r="B47">
        <v>305</v>
      </c>
      <c r="C47" t="s">
        <v>43</v>
      </c>
      <c r="D47" t="s">
        <v>1168</v>
      </c>
      <c r="E47" t="s">
        <v>44</v>
      </c>
      <c r="F47">
        <v>2</v>
      </c>
      <c r="G47" t="s">
        <v>24</v>
      </c>
      <c r="H47" t="s">
        <v>45</v>
      </c>
      <c r="I47" t="s">
        <v>46</v>
      </c>
      <c r="J47" t="s">
        <v>47</v>
      </c>
      <c r="K47" t="s">
        <v>48</v>
      </c>
      <c r="L47" t="s">
        <v>49</v>
      </c>
      <c r="M47" t="s">
        <v>50</v>
      </c>
      <c r="N47" s="4">
        <v>46104</v>
      </c>
      <c r="Q47" t="s">
        <v>31</v>
      </c>
      <c r="R47" t="s">
        <v>31</v>
      </c>
    </row>
    <row r="48" spans="2:18" x14ac:dyDescent="0.25">
      <c r="B48">
        <v>324</v>
      </c>
      <c r="C48" t="s">
        <v>270</v>
      </c>
      <c r="D48" t="s">
        <v>1168</v>
      </c>
      <c r="E48" t="s">
        <v>271</v>
      </c>
      <c r="F48">
        <v>4</v>
      </c>
      <c r="G48" t="s">
        <v>61</v>
      </c>
      <c r="H48" t="s">
        <v>272</v>
      </c>
      <c r="I48" t="s">
        <v>273</v>
      </c>
      <c r="J48" t="s">
        <v>274</v>
      </c>
      <c r="K48" t="s">
        <v>792</v>
      </c>
      <c r="L48" t="s">
        <v>792</v>
      </c>
      <c r="M48" t="s">
        <v>277</v>
      </c>
      <c r="N48" s="4">
        <v>46104</v>
      </c>
      <c r="Q48" t="s">
        <v>31</v>
      </c>
      <c r="R48" t="s">
        <v>31</v>
      </c>
    </row>
    <row r="49" spans="2:18" hidden="1" x14ac:dyDescent="0.25">
      <c r="B49">
        <v>369</v>
      </c>
      <c r="C49" t="s">
        <v>859</v>
      </c>
      <c r="D49" t="s">
        <v>1166</v>
      </c>
      <c r="E49" t="s">
        <v>860</v>
      </c>
      <c r="F49">
        <v>1</v>
      </c>
      <c r="G49" t="s">
        <v>861</v>
      </c>
      <c r="H49" t="s">
        <v>862</v>
      </c>
      <c r="I49" t="s">
        <v>863</v>
      </c>
      <c r="J49" t="s">
        <v>864</v>
      </c>
      <c r="K49" t="s">
        <v>865</v>
      </c>
      <c r="L49" t="s">
        <v>866</v>
      </c>
      <c r="M49" t="s">
        <v>867</v>
      </c>
      <c r="N49" s="4">
        <v>46104</v>
      </c>
      <c r="Q49" t="s">
        <v>31</v>
      </c>
      <c r="R49" t="s">
        <v>31</v>
      </c>
    </row>
    <row r="50" spans="2:18" x14ac:dyDescent="0.25">
      <c r="B50">
        <v>326</v>
      </c>
      <c r="C50" t="s">
        <v>859</v>
      </c>
      <c r="D50" t="s">
        <v>1168</v>
      </c>
      <c r="E50" t="s">
        <v>860</v>
      </c>
      <c r="F50">
        <v>1</v>
      </c>
      <c r="G50" t="s">
        <v>861</v>
      </c>
      <c r="H50" t="s">
        <v>862</v>
      </c>
      <c r="I50" t="s">
        <v>863</v>
      </c>
      <c r="J50" t="s">
        <v>864</v>
      </c>
      <c r="K50" t="s">
        <v>865</v>
      </c>
      <c r="L50" t="s">
        <v>866</v>
      </c>
      <c r="M50" t="s">
        <v>867</v>
      </c>
      <c r="N50" s="4">
        <v>46104</v>
      </c>
      <c r="Q50" t="s">
        <v>31</v>
      </c>
      <c r="R50" t="s">
        <v>31</v>
      </c>
    </row>
    <row r="51" spans="2:18" hidden="1" x14ac:dyDescent="0.25">
      <c r="B51">
        <v>388</v>
      </c>
      <c r="C51" t="s">
        <v>508</v>
      </c>
      <c r="D51" t="s">
        <v>1166</v>
      </c>
      <c r="E51" t="s">
        <v>509</v>
      </c>
      <c r="F51">
        <v>15</v>
      </c>
      <c r="G51" t="s">
        <v>61</v>
      </c>
      <c r="H51" t="s">
        <v>510</v>
      </c>
      <c r="I51" t="s">
        <v>511</v>
      </c>
      <c r="J51" t="s">
        <v>512</v>
      </c>
      <c r="K51" t="s">
        <v>513</v>
      </c>
      <c r="L51" t="s">
        <v>514</v>
      </c>
      <c r="M51" t="s">
        <v>515</v>
      </c>
      <c r="N51" s="4">
        <v>46104</v>
      </c>
      <c r="Q51" t="s">
        <v>31</v>
      </c>
      <c r="R51" t="s">
        <v>31</v>
      </c>
    </row>
    <row r="52" spans="2:18" x14ac:dyDescent="0.25">
      <c r="B52">
        <v>346</v>
      </c>
      <c r="C52" t="s">
        <v>508</v>
      </c>
      <c r="D52" t="s">
        <v>1168</v>
      </c>
      <c r="E52" t="s">
        <v>509</v>
      </c>
      <c r="F52">
        <v>20</v>
      </c>
      <c r="G52" t="s">
        <v>61</v>
      </c>
      <c r="H52" t="s">
        <v>510</v>
      </c>
      <c r="I52" t="s">
        <v>511</v>
      </c>
      <c r="J52" t="s">
        <v>512</v>
      </c>
      <c r="K52" t="s">
        <v>513</v>
      </c>
      <c r="L52" t="s">
        <v>514</v>
      </c>
      <c r="M52" t="s">
        <v>515</v>
      </c>
      <c r="N52" s="4">
        <v>46104</v>
      </c>
      <c r="Q52" t="s">
        <v>31</v>
      </c>
      <c r="R52" t="s">
        <v>31</v>
      </c>
    </row>
    <row r="53" spans="2:18" hidden="1" x14ac:dyDescent="0.25">
      <c r="B53">
        <v>357</v>
      </c>
      <c r="C53" t="s">
        <v>102</v>
      </c>
      <c r="D53" t="s">
        <v>1166</v>
      </c>
      <c r="E53" t="s">
        <v>103</v>
      </c>
      <c r="F53">
        <v>2</v>
      </c>
      <c r="G53" t="s">
        <v>61</v>
      </c>
      <c r="H53" t="s">
        <v>104</v>
      </c>
      <c r="I53" t="s">
        <v>105</v>
      </c>
      <c r="J53" t="s">
        <v>106</v>
      </c>
      <c r="K53" t="s">
        <v>107</v>
      </c>
      <c r="L53" t="s">
        <v>107</v>
      </c>
      <c r="M53" t="s">
        <v>108</v>
      </c>
      <c r="N53" s="4">
        <v>46104</v>
      </c>
      <c r="Q53" t="s">
        <v>31</v>
      </c>
      <c r="R53" t="s">
        <v>84</v>
      </c>
    </row>
    <row r="54" spans="2:18" x14ac:dyDescent="0.25">
      <c r="B54">
        <v>310</v>
      </c>
      <c r="C54" t="s">
        <v>102</v>
      </c>
      <c r="D54" t="s">
        <v>1168</v>
      </c>
      <c r="E54" t="s">
        <v>103</v>
      </c>
      <c r="F54">
        <v>3</v>
      </c>
      <c r="G54" t="s">
        <v>61</v>
      </c>
      <c r="H54" t="s">
        <v>104</v>
      </c>
      <c r="I54" t="s">
        <v>105</v>
      </c>
      <c r="J54" t="s">
        <v>106</v>
      </c>
      <c r="K54" t="s">
        <v>107</v>
      </c>
      <c r="L54" t="s">
        <v>107</v>
      </c>
      <c r="M54" t="s">
        <v>108</v>
      </c>
      <c r="N54" s="4">
        <v>46104</v>
      </c>
      <c r="Q54" t="s">
        <v>31</v>
      </c>
      <c r="R54" t="s">
        <v>84</v>
      </c>
    </row>
    <row r="55" spans="2:18" x14ac:dyDescent="0.25">
      <c r="B55">
        <v>348</v>
      </c>
      <c r="C55" t="s">
        <v>644</v>
      </c>
      <c r="D55" t="s">
        <v>1168</v>
      </c>
      <c r="E55" t="s">
        <v>645</v>
      </c>
      <c r="F55">
        <v>4</v>
      </c>
      <c r="G55" t="s">
        <v>61</v>
      </c>
      <c r="H55" t="s">
        <v>646</v>
      </c>
      <c r="I55" t="s">
        <v>647</v>
      </c>
      <c r="J55" t="s">
        <v>648</v>
      </c>
      <c r="K55" t="s">
        <v>649</v>
      </c>
      <c r="L55" t="s">
        <v>650</v>
      </c>
      <c r="N55" s="4">
        <v>46104</v>
      </c>
      <c r="Q55" t="s">
        <v>31</v>
      </c>
      <c r="R55" t="s">
        <v>793</v>
      </c>
    </row>
    <row r="56" spans="2:18" x14ac:dyDescent="0.25">
      <c r="B56">
        <v>312</v>
      </c>
      <c r="C56" t="s">
        <v>150</v>
      </c>
      <c r="D56" t="s">
        <v>1168</v>
      </c>
      <c r="E56" t="s">
        <v>151</v>
      </c>
      <c r="F56">
        <v>2</v>
      </c>
      <c r="G56" t="s">
        <v>152</v>
      </c>
      <c r="H56" t="s">
        <v>153</v>
      </c>
      <c r="I56" t="s">
        <v>154</v>
      </c>
      <c r="J56" t="s">
        <v>155</v>
      </c>
      <c r="K56" t="s">
        <v>156</v>
      </c>
      <c r="L56" t="s">
        <v>1172</v>
      </c>
      <c r="M56" t="s">
        <v>158</v>
      </c>
      <c r="N56" s="4">
        <v>46104</v>
      </c>
      <c r="Q56" t="s">
        <v>31</v>
      </c>
      <c r="R56" t="s">
        <v>84</v>
      </c>
    </row>
    <row r="57" spans="2:18" x14ac:dyDescent="0.25">
      <c r="B57">
        <v>323</v>
      </c>
      <c r="C57" t="s">
        <v>651</v>
      </c>
      <c r="D57" t="s">
        <v>1168</v>
      </c>
      <c r="E57" t="s">
        <v>652</v>
      </c>
      <c r="F57">
        <v>5</v>
      </c>
      <c r="G57" t="s">
        <v>111</v>
      </c>
      <c r="H57" t="s">
        <v>653</v>
      </c>
      <c r="I57" t="s">
        <v>654</v>
      </c>
      <c r="J57" t="s">
        <v>655</v>
      </c>
      <c r="K57" t="s">
        <v>656</v>
      </c>
      <c r="L57" t="s">
        <v>657</v>
      </c>
      <c r="M57" t="s">
        <v>658</v>
      </c>
      <c r="N57" s="4">
        <v>46104</v>
      </c>
      <c r="Q57" t="s">
        <v>31</v>
      </c>
      <c r="R57" t="s">
        <v>31</v>
      </c>
    </row>
    <row r="58" spans="2:18" ht="30" customHeight="1" x14ac:dyDescent="0.25">
      <c r="B58" s="11" t="s">
        <v>1216</v>
      </c>
      <c r="C58" t="s">
        <v>795</v>
      </c>
      <c r="D58" t="s">
        <v>1168</v>
      </c>
      <c r="E58" t="s">
        <v>796</v>
      </c>
      <c r="F58">
        <v>16</v>
      </c>
      <c r="G58" t="s">
        <v>61</v>
      </c>
      <c r="H58" s="11" t="s">
        <v>797</v>
      </c>
      <c r="I58" s="11" t="s">
        <v>798</v>
      </c>
      <c r="J58" s="11" t="s">
        <v>799</v>
      </c>
      <c r="K58" t="s">
        <v>236</v>
      </c>
      <c r="L58" s="11" t="s">
        <v>1217</v>
      </c>
      <c r="M58" t="s">
        <v>801</v>
      </c>
      <c r="N58" s="4">
        <v>46104</v>
      </c>
      <c r="Q58" t="s">
        <v>31</v>
      </c>
      <c r="R58" t="s">
        <v>84</v>
      </c>
    </row>
    <row r="59" spans="2:18" hidden="1" x14ac:dyDescent="0.25">
      <c r="B59">
        <v>368</v>
      </c>
      <c r="C59" t="s">
        <v>278</v>
      </c>
      <c r="D59" t="s">
        <v>1166</v>
      </c>
      <c r="E59" t="s">
        <v>279</v>
      </c>
      <c r="F59">
        <v>7</v>
      </c>
      <c r="G59" t="s">
        <v>61</v>
      </c>
      <c r="H59" t="s">
        <v>280</v>
      </c>
      <c r="I59" t="s">
        <v>281</v>
      </c>
      <c r="J59" t="s">
        <v>282</v>
      </c>
      <c r="K59" t="s">
        <v>283</v>
      </c>
      <c r="L59" t="s">
        <v>284</v>
      </c>
      <c r="M59" t="s">
        <v>285</v>
      </c>
      <c r="N59" s="4">
        <v>46104</v>
      </c>
      <c r="Q59" t="s">
        <v>31</v>
      </c>
      <c r="R59" t="s">
        <v>31</v>
      </c>
    </row>
    <row r="60" spans="2:18" hidden="1" x14ac:dyDescent="0.25">
      <c r="B60">
        <v>358</v>
      </c>
      <c r="C60" t="s">
        <v>117</v>
      </c>
      <c r="D60" t="s">
        <v>1166</v>
      </c>
      <c r="E60" t="s">
        <v>118</v>
      </c>
      <c r="F60">
        <v>6</v>
      </c>
      <c r="G60" t="s">
        <v>24</v>
      </c>
      <c r="H60" t="s">
        <v>119</v>
      </c>
      <c r="I60" t="s">
        <v>120</v>
      </c>
      <c r="J60" t="s">
        <v>121</v>
      </c>
      <c r="K60" t="s">
        <v>122</v>
      </c>
      <c r="L60" t="s">
        <v>123</v>
      </c>
      <c r="M60" t="s">
        <v>124</v>
      </c>
      <c r="N60" s="4">
        <v>46104</v>
      </c>
      <c r="Q60" t="s">
        <v>31</v>
      </c>
      <c r="R60" t="s">
        <v>31</v>
      </c>
    </row>
    <row r="61" spans="2:18" x14ac:dyDescent="0.25">
      <c r="B61">
        <v>314</v>
      </c>
      <c r="C61" t="s">
        <v>667</v>
      </c>
      <c r="D61" t="s">
        <v>1168</v>
      </c>
      <c r="E61" t="s">
        <v>668</v>
      </c>
      <c r="F61">
        <v>1</v>
      </c>
      <c r="G61" t="s">
        <v>61</v>
      </c>
      <c r="H61" t="s">
        <v>669</v>
      </c>
      <c r="I61" t="s">
        <v>670</v>
      </c>
      <c r="J61" t="s">
        <v>671</v>
      </c>
      <c r="K61" t="s">
        <v>672</v>
      </c>
      <c r="L61" t="s">
        <v>672</v>
      </c>
      <c r="M61" t="s">
        <v>673</v>
      </c>
      <c r="N61" s="4">
        <v>46104</v>
      </c>
      <c r="Q61" t="s">
        <v>31</v>
      </c>
      <c r="R61" t="s">
        <v>84</v>
      </c>
    </row>
    <row r="62" spans="2:18" x14ac:dyDescent="0.25">
      <c r="B62">
        <v>334</v>
      </c>
      <c r="C62" t="s">
        <v>383</v>
      </c>
      <c r="D62" t="s">
        <v>1168</v>
      </c>
      <c r="E62" t="s">
        <v>384</v>
      </c>
      <c r="F62">
        <v>1</v>
      </c>
      <c r="G62" t="s">
        <v>61</v>
      </c>
      <c r="H62" t="s">
        <v>385</v>
      </c>
      <c r="I62" t="s">
        <v>386</v>
      </c>
      <c r="J62" t="s">
        <v>387</v>
      </c>
      <c r="K62" t="s">
        <v>388</v>
      </c>
      <c r="L62" t="s">
        <v>389</v>
      </c>
      <c r="M62" t="s">
        <v>390</v>
      </c>
      <c r="N62" s="4">
        <v>46104</v>
      </c>
      <c r="Q62" t="s">
        <v>31</v>
      </c>
      <c r="R62" t="s">
        <v>84</v>
      </c>
    </row>
    <row r="63" spans="2:18" ht="45" hidden="1" customHeight="1" x14ac:dyDescent="0.25">
      <c r="B63" s="11" t="s">
        <v>1177</v>
      </c>
      <c r="C63" t="s">
        <v>431</v>
      </c>
      <c r="D63" t="s">
        <v>1166</v>
      </c>
      <c r="E63" t="s">
        <v>432</v>
      </c>
      <c r="F63">
        <v>3</v>
      </c>
      <c r="G63" t="s">
        <v>152</v>
      </c>
      <c r="H63" s="11" t="s">
        <v>1178</v>
      </c>
      <c r="I63" s="11" t="s">
        <v>1179</v>
      </c>
      <c r="J63" s="11" t="s">
        <v>1180</v>
      </c>
      <c r="K63" t="s">
        <v>436</v>
      </c>
      <c r="L63" s="11" t="s">
        <v>1181</v>
      </c>
      <c r="M63" t="s">
        <v>438</v>
      </c>
      <c r="N63" s="4">
        <v>46104</v>
      </c>
      <c r="Q63" t="s">
        <v>31</v>
      </c>
      <c r="R63" t="s">
        <v>31</v>
      </c>
    </row>
    <row r="64" spans="2:18" ht="60" customHeight="1" x14ac:dyDescent="0.25">
      <c r="B64" s="11" t="s">
        <v>1182</v>
      </c>
      <c r="C64" t="s">
        <v>431</v>
      </c>
      <c r="D64" t="s">
        <v>1168</v>
      </c>
      <c r="E64" t="s">
        <v>432</v>
      </c>
      <c r="F64">
        <v>9</v>
      </c>
      <c r="G64" t="s">
        <v>152</v>
      </c>
      <c r="H64" s="11" t="s">
        <v>1183</v>
      </c>
      <c r="I64" s="11" t="s">
        <v>1184</v>
      </c>
      <c r="J64" s="11" t="s">
        <v>1185</v>
      </c>
      <c r="K64" t="s">
        <v>436</v>
      </c>
      <c r="L64" s="11" t="s">
        <v>1186</v>
      </c>
      <c r="M64" t="s">
        <v>438</v>
      </c>
      <c r="N64" s="4">
        <v>46104</v>
      </c>
      <c r="Q64" t="s">
        <v>31</v>
      </c>
      <c r="R64" t="s">
        <v>31</v>
      </c>
    </row>
    <row r="65" spans="2:18" ht="45" hidden="1" customHeight="1" x14ac:dyDescent="0.25">
      <c r="B65" s="11" t="s">
        <v>1187</v>
      </c>
      <c r="C65" t="s">
        <v>366</v>
      </c>
      <c r="D65" t="s">
        <v>1166</v>
      </c>
      <c r="E65" t="s">
        <v>367</v>
      </c>
      <c r="F65">
        <v>6</v>
      </c>
      <c r="G65" t="s">
        <v>368</v>
      </c>
      <c r="H65" t="s">
        <v>369</v>
      </c>
      <c r="I65" t="s">
        <v>370</v>
      </c>
      <c r="J65" t="s">
        <v>371</v>
      </c>
      <c r="K65" t="s">
        <v>372</v>
      </c>
      <c r="L65" s="11" t="s">
        <v>1188</v>
      </c>
      <c r="M65" t="s">
        <v>374</v>
      </c>
      <c r="N65" s="4">
        <v>46104</v>
      </c>
      <c r="Q65" t="s">
        <v>31</v>
      </c>
      <c r="R65" t="s">
        <v>84</v>
      </c>
    </row>
    <row r="66" spans="2:18" ht="60" customHeight="1" x14ac:dyDescent="0.25">
      <c r="B66" s="11" t="s">
        <v>1189</v>
      </c>
      <c r="C66" t="s">
        <v>366</v>
      </c>
      <c r="D66" t="s">
        <v>1168</v>
      </c>
      <c r="E66" t="s">
        <v>367</v>
      </c>
      <c r="F66">
        <v>15</v>
      </c>
      <c r="G66" t="s">
        <v>368</v>
      </c>
      <c r="H66" t="s">
        <v>369</v>
      </c>
      <c r="I66" t="s">
        <v>370</v>
      </c>
      <c r="J66" t="s">
        <v>371</v>
      </c>
      <c r="K66" t="s">
        <v>372</v>
      </c>
      <c r="L66" s="11" t="s">
        <v>1190</v>
      </c>
      <c r="M66" t="s">
        <v>374</v>
      </c>
      <c r="N66" s="4">
        <v>46104</v>
      </c>
      <c r="Q66" t="s">
        <v>31</v>
      </c>
      <c r="R66" t="s">
        <v>84</v>
      </c>
    </row>
    <row r="67" spans="2:18" hidden="1" x14ac:dyDescent="0.25">
      <c r="B67">
        <v>389</v>
      </c>
      <c r="C67" t="s">
        <v>516</v>
      </c>
      <c r="D67" t="s">
        <v>1166</v>
      </c>
      <c r="E67" t="s">
        <v>517</v>
      </c>
      <c r="F67">
        <v>1</v>
      </c>
      <c r="G67" t="s">
        <v>61</v>
      </c>
      <c r="H67" t="s">
        <v>518</v>
      </c>
      <c r="I67" t="s">
        <v>519</v>
      </c>
      <c r="J67" t="s">
        <v>520</v>
      </c>
      <c r="K67" t="s">
        <v>521</v>
      </c>
      <c r="L67" t="s">
        <v>522</v>
      </c>
      <c r="M67" t="s">
        <v>523</v>
      </c>
      <c r="N67" s="4">
        <v>46104</v>
      </c>
      <c r="Q67" t="s">
        <v>31</v>
      </c>
      <c r="R67" t="s">
        <v>31</v>
      </c>
    </row>
    <row r="68" spans="2:18" x14ac:dyDescent="0.25">
      <c r="B68">
        <v>347</v>
      </c>
      <c r="C68" t="s">
        <v>516</v>
      </c>
      <c r="D68" t="s">
        <v>1168</v>
      </c>
      <c r="E68" t="s">
        <v>517</v>
      </c>
      <c r="F68">
        <v>1</v>
      </c>
      <c r="G68" t="s">
        <v>61</v>
      </c>
      <c r="H68" t="s">
        <v>518</v>
      </c>
      <c r="I68" t="s">
        <v>519</v>
      </c>
      <c r="J68" t="s">
        <v>520</v>
      </c>
      <c r="K68" t="s">
        <v>521</v>
      </c>
      <c r="L68" t="s">
        <v>522</v>
      </c>
      <c r="M68" t="s">
        <v>523</v>
      </c>
      <c r="N68" s="4">
        <v>46104</v>
      </c>
      <c r="Q68" t="s">
        <v>31</v>
      </c>
      <c r="R68" t="s">
        <v>31</v>
      </c>
    </row>
    <row r="69" spans="2:18" ht="30" hidden="1" customHeight="1" x14ac:dyDescent="0.25">
      <c r="B69" s="11" t="s">
        <v>1218</v>
      </c>
      <c r="C69" t="s">
        <v>802</v>
      </c>
      <c r="D69" t="s">
        <v>1166</v>
      </c>
      <c r="E69" t="s">
        <v>803</v>
      </c>
      <c r="F69">
        <v>10</v>
      </c>
      <c r="G69" t="s">
        <v>804</v>
      </c>
      <c r="H69" s="11" t="s">
        <v>874</v>
      </c>
      <c r="I69" s="11" t="s">
        <v>875</v>
      </c>
      <c r="J69" s="11" t="s">
        <v>876</v>
      </c>
      <c r="K69" t="s">
        <v>808</v>
      </c>
      <c r="L69" s="11" t="s">
        <v>1219</v>
      </c>
      <c r="M69" t="s">
        <v>810</v>
      </c>
      <c r="N69" s="4">
        <v>46104</v>
      </c>
      <c r="Q69" t="s">
        <v>31</v>
      </c>
      <c r="R69" t="s">
        <v>84</v>
      </c>
    </row>
    <row r="70" spans="2:18" x14ac:dyDescent="0.25">
      <c r="B70">
        <v>330</v>
      </c>
      <c r="C70" t="s">
        <v>802</v>
      </c>
      <c r="D70" t="s">
        <v>1168</v>
      </c>
      <c r="E70" t="s">
        <v>803</v>
      </c>
      <c r="F70">
        <v>10</v>
      </c>
      <c r="G70" t="s">
        <v>804</v>
      </c>
      <c r="H70" t="s">
        <v>805</v>
      </c>
      <c r="I70" t="s">
        <v>806</v>
      </c>
      <c r="J70" t="s">
        <v>807</v>
      </c>
      <c r="K70" t="s">
        <v>808</v>
      </c>
      <c r="L70" t="s">
        <v>809</v>
      </c>
      <c r="M70" t="s">
        <v>810</v>
      </c>
      <c r="N70" s="4">
        <v>46104</v>
      </c>
      <c r="Q70" t="s">
        <v>31</v>
      </c>
      <c r="R70" t="s">
        <v>84</v>
      </c>
    </row>
    <row r="71" spans="2:18" hidden="1" x14ac:dyDescent="0.25">
      <c r="B71">
        <v>377</v>
      </c>
      <c r="C71" t="s">
        <v>375</v>
      </c>
      <c r="D71" t="s">
        <v>1166</v>
      </c>
      <c r="E71" t="s">
        <v>376</v>
      </c>
      <c r="F71">
        <v>10</v>
      </c>
      <c r="G71" t="s">
        <v>111</v>
      </c>
      <c r="H71" t="s">
        <v>377</v>
      </c>
      <c r="I71" t="s">
        <v>378</v>
      </c>
      <c r="J71" t="s">
        <v>379</v>
      </c>
      <c r="K71" t="s">
        <v>380</v>
      </c>
      <c r="L71" t="s">
        <v>1191</v>
      </c>
      <c r="M71" t="s">
        <v>382</v>
      </c>
      <c r="N71" s="4">
        <v>46104</v>
      </c>
      <c r="Q71" t="s">
        <v>31</v>
      </c>
      <c r="R71" t="s">
        <v>31</v>
      </c>
    </row>
    <row r="72" spans="2:18" ht="45" customHeight="1" x14ac:dyDescent="0.25">
      <c r="B72" s="11" t="s">
        <v>1192</v>
      </c>
      <c r="C72" t="s">
        <v>375</v>
      </c>
      <c r="D72" t="s">
        <v>1168</v>
      </c>
      <c r="E72" t="s">
        <v>376</v>
      </c>
      <c r="F72">
        <v>15</v>
      </c>
      <c r="G72" t="s">
        <v>111</v>
      </c>
      <c r="H72" s="11" t="s">
        <v>1193</v>
      </c>
      <c r="I72" s="11" t="s">
        <v>1194</v>
      </c>
      <c r="J72" s="11" t="s">
        <v>1195</v>
      </c>
      <c r="K72" t="s">
        <v>380</v>
      </c>
      <c r="L72" s="11" t="s">
        <v>1196</v>
      </c>
      <c r="M72" t="s">
        <v>382</v>
      </c>
      <c r="N72" s="4">
        <v>46104</v>
      </c>
      <c r="Q72" t="s">
        <v>31</v>
      </c>
      <c r="R72" t="s">
        <v>31</v>
      </c>
    </row>
    <row r="73" spans="2:18" ht="120" hidden="1" customHeight="1" x14ac:dyDescent="0.25">
      <c r="B73" s="11" t="s">
        <v>1220</v>
      </c>
      <c r="C73" t="s">
        <v>198</v>
      </c>
      <c r="D73" t="s">
        <v>1166</v>
      </c>
      <c r="E73" t="s">
        <v>199</v>
      </c>
      <c r="F73">
        <v>18</v>
      </c>
      <c r="G73" t="s">
        <v>200</v>
      </c>
      <c r="H73" t="s">
        <v>201</v>
      </c>
      <c r="I73" t="s">
        <v>202</v>
      </c>
      <c r="J73" t="s">
        <v>203</v>
      </c>
      <c r="K73" t="s">
        <v>204</v>
      </c>
      <c r="L73" s="11" t="s">
        <v>1221</v>
      </c>
      <c r="M73" t="s">
        <v>206</v>
      </c>
      <c r="N73" s="4">
        <v>46104</v>
      </c>
      <c r="Q73" t="s">
        <v>31</v>
      </c>
      <c r="R73" t="s">
        <v>84</v>
      </c>
    </row>
    <row r="74" spans="2:18" x14ac:dyDescent="0.25">
      <c r="B74">
        <v>316</v>
      </c>
      <c r="C74" t="s">
        <v>198</v>
      </c>
      <c r="D74" t="s">
        <v>1168</v>
      </c>
      <c r="E74" t="s">
        <v>199</v>
      </c>
      <c r="F74">
        <v>1</v>
      </c>
      <c r="G74" t="s">
        <v>200</v>
      </c>
      <c r="H74" t="s">
        <v>201</v>
      </c>
      <c r="I74" t="s">
        <v>202</v>
      </c>
      <c r="J74" t="s">
        <v>203</v>
      </c>
      <c r="K74" t="s">
        <v>204</v>
      </c>
      <c r="L74" t="s">
        <v>1197</v>
      </c>
      <c r="M74" t="s">
        <v>206</v>
      </c>
      <c r="N74" s="4">
        <v>46104</v>
      </c>
      <c r="Q74" t="s">
        <v>31</v>
      </c>
      <c r="R74" t="s">
        <v>84</v>
      </c>
    </row>
    <row r="75" spans="2:18" ht="60" hidden="1" customHeight="1" x14ac:dyDescent="0.25">
      <c r="B75" s="11" t="s">
        <v>1198</v>
      </c>
      <c r="C75" t="s">
        <v>190</v>
      </c>
      <c r="D75" t="s">
        <v>1166</v>
      </c>
      <c r="E75" t="s">
        <v>191</v>
      </c>
      <c r="F75">
        <v>9</v>
      </c>
      <c r="G75" t="s">
        <v>24</v>
      </c>
      <c r="H75" s="11" t="s">
        <v>1199</v>
      </c>
      <c r="I75" s="11" t="s">
        <v>1200</v>
      </c>
      <c r="J75" s="11" t="s">
        <v>1201</v>
      </c>
      <c r="K75" t="s">
        <v>195</v>
      </c>
      <c r="L75" s="11" t="s">
        <v>1202</v>
      </c>
      <c r="M75" t="s">
        <v>197</v>
      </c>
      <c r="N75" s="4">
        <v>46104</v>
      </c>
      <c r="Q75" t="s">
        <v>31</v>
      </c>
      <c r="R75" t="s">
        <v>31</v>
      </c>
    </row>
    <row r="76" spans="2:18" ht="75" customHeight="1" x14ac:dyDescent="0.25">
      <c r="B76" s="11" t="s">
        <v>1203</v>
      </c>
      <c r="C76" t="s">
        <v>190</v>
      </c>
      <c r="D76" t="s">
        <v>1168</v>
      </c>
      <c r="E76" t="s">
        <v>191</v>
      </c>
      <c r="F76">
        <v>6</v>
      </c>
      <c r="G76" t="s">
        <v>24</v>
      </c>
      <c r="H76" s="11" t="s">
        <v>1204</v>
      </c>
      <c r="I76" s="11" t="s">
        <v>1205</v>
      </c>
      <c r="J76" s="11" t="s">
        <v>1206</v>
      </c>
      <c r="K76" t="s">
        <v>195</v>
      </c>
      <c r="L76" s="11" t="s">
        <v>1207</v>
      </c>
      <c r="M76" t="s">
        <v>197</v>
      </c>
      <c r="N76" s="4">
        <v>46104</v>
      </c>
      <c r="Q76" t="s">
        <v>31</v>
      </c>
      <c r="R76" t="s">
        <v>31</v>
      </c>
    </row>
    <row r="77" spans="2:18" ht="60" customHeight="1" x14ac:dyDescent="0.25">
      <c r="B77" s="11" t="s">
        <v>1208</v>
      </c>
      <c r="C77" t="s">
        <v>75</v>
      </c>
      <c r="D77" t="s">
        <v>1168</v>
      </c>
      <c r="E77" t="s">
        <v>76</v>
      </c>
      <c r="F77">
        <v>8</v>
      </c>
      <c r="G77" t="s">
        <v>77</v>
      </c>
      <c r="H77" s="11" t="s">
        <v>1209</v>
      </c>
      <c r="I77" s="11" t="s">
        <v>1210</v>
      </c>
      <c r="J77" s="11" t="s">
        <v>1211</v>
      </c>
      <c r="K77" t="s">
        <v>81</v>
      </c>
      <c r="L77" s="11" t="s">
        <v>1212</v>
      </c>
      <c r="M77" t="s">
        <v>83</v>
      </c>
      <c r="N77" s="4">
        <v>46104</v>
      </c>
      <c r="Q77" t="s">
        <v>31</v>
      </c>
      <c r="R77" t="s">
        <v>84</v>
      </c>
    </row>
    <row r="78" spans="2:18" hidden="1" x14ac:dyDescent="0.25">
      <c r="B78">
        <v>365</v>
      </c>
      <c r="C78" t="s">
        <v>231</v>
      </c>
      <c r="D78" t="s">
        <v>1166</v>
      </c>
      <c r="E78" t="s">
        <v>232</v>
      </c>
      <c r="F78">
        <v>2</v>
      </c>
      <c r="G78" t="s">
        <v>61</v>
      </c>
      <c r="H78" t="s">
        <v>697</v>
      </c>
      <c r="I78" t="s">
        <v>698</v>
      </c>
      <c r="J78" t="s">
        <v>699</v>
      </c>
      <c r="K78" t="s">
        <v>236</v>
      </c>
      <c r="L78" t="s">
        <v>700</v>
      </c>
      <c r="M78" t="s">
        <v>238</v>
      </c>
      <c r="N78" s="4">
        <v>46104</v>
      </c>
      <c r="Q78" t="s">
        <v>31</v>
      </c>
      <c r="R78" t="s">
        <v>84</v>
      </c>
    </row>
    <row r="79" spans="2:18" ht="60" customHeight="1" x14ac:dyDescent="0.25">
      <c r="B79" s="11" t="s">
        <v>1213</v>
      </c>
      <c r="C79" t="s">
        <v>231</v>
      </c>
      <c r="D79" t="s">
        <v>1168</v>
      </c>
      <c r="E79" t="s">
        <v>232</v>
      </c>
      <c r="F79">
        <v>5</v>
      </c>
      <c r="G79" t="s">
        <v>61</v>
      </c>
      <c r="H79" s="11" t="s">
        <v>702</v>
      </c>
      <c r="I79" s="11" t="s">
        <v>703</v>
      </c>
      <c r="J79" s="11" t="s">
        <v>704</v>
      </c>
      <c r="K79" t="s">
        <v>236</v>
      </c>
      <c r="L79" s="11" t="s">
        <v>1214</v>
      </c>
      <c r="M79" t="s">
        <v>238</v>
      </c>
      <c r="N79" s="4">
        <v>46104</v>
      </c>
      <c r="Q79" t="s">
        <v>31</v>
      </c>
      <c r="R79" t="s">
        <v>84</v>
      </c>
    </row>
    <row r="80" spans="2:18" x14ac:dyDescent="0.25">
      <c r="B80">
        <v>343</v>
      </c>
      <c r="C80" t="s">
        <v>471</v>
      </c>
      <c r="D80" t="s">
        <v>1168</v>
      </c>
      <c r="E80" t="s">
        <v>472</v>
      </c>
      <c r="F80">
        <v>2</v>
      </c>
      <c r="G80" t="s">
        <v>111</v>
      </c>
      <c r="H80" t="s">
        <v>473</v>
      </c>
      <c r="I80" t="s">
        <v>474</v>
      </c>
      <c r="J80" t="s">
        <v>475</v>
      </c>
      <c r="K80" t="s">
        <v>476</v>
      </c>
      <c r="L80" t="s">
        <v>476</v>
      </c>
      <c r="M80" t="s">
        <v>477</v>
      </c>
      <c r="N80" s="4">
        <v>46104</v>
      </c>
      <c r="Q80" t="s">
        <v>31</v>
      </c>
      <c r="R80" t="s">
        <v>84</v>
      </c>
    </row>
    <row r="81" spans="2:18" hidden="1" x14ac:dyDescent="0.25">
      <c r="B81">
        <v>366</v>
      </c>
      <c r="C81" t="s">
        <v>239</v>
      </c>
      <c r="D81" t="s">
        <v>1166</v>
      </c>
      <c r="E81" t="s">
        <v>240</v>
      </c>
      <c r="F81">
        <v>1</v>
      </c>
      <c r="G81" t="s">
        <v>24</v>
      </c>
      <c r="H81" t="s">
        <v>241</v>
      </c>
      <c r="I81" t="s">
        <v>242</v>
      </c>
      <c r="J81" t="s">
        <v>243</v>
      </c>
      <c r="K81" t="s">
        <v>244</v>
      </c>
      <c r="L81" t="s">
        <v>244</v>
      </c>
      <c r="M81" t="s">
        <v>246</v>
      </c>
      <c r="N81" s="4">
        <v>46104</v>
      </c>
      <c r="Q81" t="s">
        <v>31</v>
      </c>
      <c r="R81" t="s">
        <v>31</v>
      </c>
    </row>
    <row r="82" spans="2:18" x14ac:dyDescent="0.25">
      <c r="B82">
        <v>320</v>
      </c>
      <c r="C82" t="s">
        <v>239</v>
      </c>
      <c r="D82" t="s">
        <v>1168</v>
      </c>
      <c r="E82" t="s">
        <v>240</v>
      </c>
      <c r="F82">
        <v>1</v>
      </c>
      <c r="G82" t="s">
        <v>24</v>
      </c>
      <c r="H82" t="s">
        <v>241</v>
      </c>
      <c r="I82" t="s">
        <v>242</v>
      </c>
      <c r="J82" t="s">
        <v>243</v>
      </c>
      <c r="K82" t="s">
        <v>244</v>
      </c>
      <c r="L82" t="s">
        <v>244</v>
      </c>
      <c r="M82" t="s">
        <v>246</v>
      </c>
      <c r="N82" s="4">
        <v>46104</v>
      </c>
      <c r="Q82" t="s">
        <v>31</v>
      </c>
      <c r="R82" t="s">
        <v>31</v>
      </c>
    </row>
    <row r="83" spans="2:18" hidden="1" x14ac:dyDescent="0.25">
      <c r="B83">
        <v>359</v>
      </c>
      <c r="C83" t="s">
        <v>125</v>
      </c>
      <c r="D83" t="s">
        <v>1166</v>
      </c>
      <c r="E83" t="s">
        <v>126</v>
      </c>
      <c r="F83">
        <v>1</v>
      </c>
      <c r="G83" t="s">
        <v>127</v>
      </c>
      <c r="H83" t="s">
        <v>128</v>
      </c>
      <c r="I83" t="s">
        <v>129</v>
      </c>
      <c r="J83" t="s">
        <v>130</v>
      </c>
      <c r="K83" t="s">
        <v>131</v>
      </c>
      <c r="L83" t="s">
        <v>132</v>
      </c>
      <c r="M83" t="s">
        <v>133</v>
      </c>
      <c r="N83" s="4">
        <v>46104</v>
      </c>
      <c r="Q83" t="s">
        <v>31</v>
      </c>
      <c r="R83" t="s">
        <v>84</v>
      </c>
    </row>
    <row r="84" spans="2:18" x14ac:dyDescent="0.25">
      <c r="B84">
        <v>309</v>
      </c>
      <c r="C84" t="s">
        <v>725</v>
      </c>
      <c r="D84" t="s">
        <v>1168</v>
      </c>
      <c r="E84" t="s">
        <v>726</v>
      </c>
      <c r="F84">
        <v>2</v>
      </c>
      <c r="G84" t="s">
        <v>727</v>
      </c>
      <c r="H84" t="s">
        <v>728</v>
      </c>
      <c r="I84" t="s">
        <v>729</v>
      </c>
      <c r="J84" t="s">
        <v>730</v>
      </c>
      <c r="K84" t="s">
        <v>731</v>
      </c>
      <c r="L84" t="s">
        <v>732</v>
      </c>
      <c r="M84" t="s">
        <v>733</v>
      </c>
      <c r="N84" s="4">
        <v>46104</v>
      </c>
      <c r="Q84" t="s">
        <v>31</v>
      </c>
      <c r="R84" t="s">
        <v>31</v>
      </c>
    </row>
    <row r="85" spans="2:18" hidden="1" x14ac:dyDescent="0.25">
      <c r="B85">
        <v>379</v>
      </c>
      <c r="C85" t="s">
        <v>415</v>
      </c>
      <c r="D85" t="s">
        <v>1166</v>
      </c>
      <c r="E85" t="s">
        <v>416</v>
      </c>
      <c r="F85">
        <v>1</v>
      </c>
      <c r="G85" t="s">
        <v>417</v>
      </c>
      <c r="H85" t="s">
        <v>418</v>
      </c>
      <c r="I85" t="s">
        <v>419</v>
      </c>
      <c r="J85" t="s">
        <v>420</v>
      </c>
      <c r="K85" t="s">
        <v>421</v>
      </c>
      <c r="L85" t="s">
        <v>422</v>
      </c>
      <c r="M85" t="s">
        <v>423</v>
      </c>
      <c r="N85" s="4">
        <v>46104</v>
      </c>
      <c r="Q85" t="s">
        <v>31</v>
      </c>
      <c r="R85" t="s">
        <v>31</v>
      </c>
    </row>
    <row r="86" spans="2:18" hidden="1" x14ac:dyDescent="0.25">
      <c r="B86">
        <v>375</v>
      </c>
      <c r="C86" t="s">
        <v>357</v>
      </c>
      <c r="D86" t="s">
        <v>1166</v>
      </c>
      <c r="E86" t="s">
        <v>358</v>
      </c>
      <c r="F86">
        <v>1</v>
      </c>
      <c r="G86" t="s">
        <v>359</v>
      </c>
      <c r="H86" t="s">
        <v>360</v>
      </c>
      <c r="I86" t="s">
        <v>361</v>
      </c>
      <c r="J86" t="s">
        <v>362</v>
      </c>
      <c r="K86" t="s">
        <v>363</v>
      </c>
      <c r="L86" t="s">
        <v>364</v>
      </c>
      <c r="M86" t="s">
        <v>365</v>
      </c>
      <c r="N86" s="4">
        <v>46104</v>
      </c>
      <c r="Q86" t="s">
        <v>31</v>
      </c>
      <c r="R86" t="s">
        <v>84</v>
      </c>
    </row>
    <row r="87" spans="2:18" x14ac:dyDescent="0.25">
      <c r="B87">
        <v>325</v>
      </c>
      <c r="C87" t="s">
        <v>743</v>
      </c>
      <c r="D87" t="s">
        <v>1168</v>
      </c>
      <c r="E87" t="s">
        <v>744</v>
      </c>
      <c r="F87">
        <v>2</v>
      </c>
      <c r="G87" t="s">
        <v>745</v>
      </c>
      <c r="H87" t="s">
        <v>746</v>
      </c>
      <c r="I87" t="s">
        <v>747</v>
      </c>
      <c r="J87" t="s">
        <v>748</v>
      </c>
      <c r="K87" t="s">
        <v>749</v>
      </c>
      <c r="L87" t="s">
        <v>750</v>
      </c>
      <c r="M87" t="s">
        <v>751</v>
      </c>
      <c r="N87" s="4">
        <v>46104</v>
      </c>
      <c r="Q87" t="s">
        <v>31</v>
      </c>
      <c r="R87" t="s">
        <v>84</v>
      </c>
    </row>
    <row r="88" spans="2:18" x14ac:dyDescent="0.25">
      <c r="B88">
        <v>317</v>
      </c>
      <c r="C88" t="s">
        <v>223</v>
      </c>
      <c r="D88" t="s">
        <v>1168</v>
      </c>
      <c r="E88" t="s">
        <v>224</v>
      </c>
      <c r="F88">
        <v>1</v>
      </c>
      <c r="G88" t="s">
        <v>61</v>
      </c>
      <c r="H88" t="s">
        <v>225</v>
      </c>
      <c r="I88" t="s">
        <v>226</v>
      </c>
      <c r="J88" t="s">
        <v>227</v>
      </c>
      <c r="K88" t="s">
        <v>228</v>
      </c>
      <c r="L88" t="s">
        <v>229</v>
      </c>
      <c r="M88" t="s">
        <v>230</v>
      </c>
      <c r="N88" s="4">
        <v>46104</v>
      </c>
      <c r="Q88" t="s">
        <v>31</v>
      </c>
      <c r="R88" t="s">
        <v>31</v>
      </c>
    </row>
    <row r="89" spans="2:18" x14ac:dyDescent="0.25">
      <c r="F89">
        <f>SUBTOTAL(109,Table5[Kom.])</f>
        <v>210</v>
      </c>
      <c r="N89" s="4"/>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98"/>
  <sheetViews>
    <sheetView zoomScale="85" zoomScaleNormal="85" workbookViewId="0">
      <selection activeCell="E9" sqref="E9"/>
    </sheetView>
  </sheetViews>
  <sheetFormatPr defaultColWidth="8.85546875" defaultRowHeight="15" x14ac:dyDescent="0.25"/>
  <cols>
    <col min="1" max="1" width="9.28515625" bestFit="1" customWidth="1"/>
    <col min="2" max="2" width="15.140625" bestFit="1" customWidth="1"/>
    <col min="3" max="3" width="9.28515625" bestFit="1" customWidth="1"/>
    <col min="4" max="4" width="35.140625" bestFit="1" customWidth="1"/>
    <col min="5" max="5" width="90.28515625" bestFit="1" customWidth="1"/>
    <col min="6" max="6" width="9.28515625" bestFit="1" customWidth="1"/>
    <col min="7" max="7" width="14.140625" bestFit="1" customWidth="1"/>
    <col min="8" max="8" width="70.42578125" bestFit="1" customWidth="1"/>
    <col min="9" max="9" width="36.140625" bestFit="1" customWidth="1"/>
    <col min="10" max="10" width="73.140625" bestFit="1" customWidth="1"/>
    <col min="11" max="11" width="31.28515625" bestFit="1" customWidth="1"/>
    <col min="12" max="12" width="118" bestFit="1" customWidth="1"/>
    <col min="13" max="13" width="12" bestFit="1" customWidth="1"/>
    <col min="14" max="14" width="21.7109375" bestFit="1" customWidth="1"/>
    <col min="15" max="15" width="14.85546875" bestFit="1" customWidth="1"/>
    <col min="16" max="16" width="15.85546875" bestFit="1" customWidth="1"/>
    <col min="17" max="17" width="12.85546875" bestFit="1" customWidth="1"/>
    <col min="18" max="18" width="13.7109375" bestFit="1" customWidth="1"/>
  </cols>
  <sheetData>
    <row r="1" spans="1:18" x14ac:dyDescent="0.25">
      <c r="A1" s="12" t="s">
        <v>1222</v>
      </c>
    </row>
    <row r="3" spans="1:18" x14ac:dyDescent="0.25">
      <c r="A3" t="s">
        <v>1</v>
      </c>
      <c r="B3" t="s">
        <v>753</v>
      </c>
      <c r="C3" t="s">
        <v>4</v>
      </c>
      <c r="D3" t="s">
        <v>6</v>
      </c>
      <c r="E3" t="s">
        <v>5</v>
      </c>
      <c r="F3" t="s">
        <v>7</v>
      </c>
      <c r="G3" t="s">
        <v>8</v>
      </c>
      <c r="H3" t="s">
        <v>9</v>
      </c>
      <c r="I3" t="s">
        <v>10</v>
      </c>
      <c r="J3" t="s">
        <v>11</v>
      </c>
      <c r="K3" t="s">
        <v>12</v>
      </c>
      <c r="L3" t="s">
        <v>13</v>
      </c>
      <c r="M3" t="s">
        <v>14</v>
      </c>
      <c r="N3" t="s">
        <v>16</v>
      </c>
      <c r="O3" t="s">
        <v>17</v>
      </c>
      <c r="P3" t="s">
        <v>18</v>
      </c>
      <c r="Q3" t="s">
        <v>19</v>
      </c>
      <c r="R3" t="s">
        <v>20</v>
      </c>
    </row>
    <row r="4" spans="1:18" ht="30" customHeight="1" x14ac:dyDescent="0.25">
      <c r="B4" s="11" t="s">
        <v>1223</v>
      </c>
      <c r="C4" t="s">
        <v>302</v>
      </c>
      <c r="D4" t="s">
        <v>1224</v>
      </c>
      <c r="E4" t="s">
        <v>303</v>
      </c>
      <c r="F4">
        <v>2</v>
      </c>
      <c r="G4" t="s">
        <v>61</v>
      </c>
      <c r="H4" t="s">
        <v>304</v>
      </c>
      <c r="I4" t="s">
        <v>305</v>
      </c>
      <c r="J4" t="s">
        <v>306</v>
      </c>
      <c r="K4" t="s">
        <v>307</v>
      </c>
      <c r="L4" t="s">
        <v>526</v>
      </c>
      <c r="M4" t="s">
        <v>309</v>
      </c>
      <c r="N4" s="4">
        <v>46119</v>
      </c>
    </row>
    <row r="5" spans="1:18" ht="30" customHeight="1" x14ac:dyDescent="0.25">
      <c r="B5" s="11" t="s">
        <v>1225</v>
      </c>
      <c r="C5" t="s">
        <v>760</v>
      </c>
      <c r="D5" t="s">
        <v>1226</v>
      </c>
      <c r="E5" t="s">
        <v>761</v>
      </c>
      <c r="F5">
        <v>8</v>
      </c>
      <c r="G5" t="s">
        <v>61</v>
      </c>
      <c r="H5" t="s">
        <v>762</v>
      </c>
      <c r="I5" t="s">
        <v>763</v>
      </c>
      <c r="J5" t="s">
        <v>764</v>
      </c>
      <c r="K5" t="s">
        <v>765</v>
      </c>
      <c r="L5" s="11" t="s">
        <v>1227</v>
      </c>
      <c r="M5" t="s">
        <v>766</v>
      </c>
      <c r="N5" s="4">
        <v>46119</v>
      </c>
    </row>
    <row r="6" spans="1:18" x14ac:dyDescent="0.25">
      <c r="B6">
        <v>426</v>
      </c>
      <c r="C6" t="s">
        <v>318</v>
      </c>
      <c r="D6" t="s">
        <v>1226</v>
      </c>
      <c r="E6" t="s">
        <v>319</v>
      </c>
      <c r="F6">
        <v>1</v>
      </c>
      <c r="G6" t="s">
        <v>111</v>
      </c>
      <c r="H6" t="s">
        <v>320</v>
      </c>
      <c r="I6" t="s">
        <v>321</v>
      </c>
      <c r="J6" t="s">
        <v>322</v>
      </c>
      <c r="K6" t="s">
        <v>323</v>
      </c>
      <c r="L6" t="s">
        <v>324</v>
      </c>
      <c r="M6" t="s">
        <v>325</v>
      </c>
      <c r="N6" s="4">
        <v>46119</v>
      </c>
    </row>
    <row r="7" spans="1:18" x14ac:dyDescent="0.25">
      <c r="B7">
        <v>431</v>
      </c>
      <c r="C7" t="s">
        <v>963</v>
      </c>
      <c r="D7" t="s">
        <v>1226</v>
      </c>
      <c r="E7" t="s">
        <v>917</v>
      </c>
      <c r="F7">
        <v>1</v>
      </c>
      <c r="G7" t="s">
        <v>152</v>
      </c>
      <c r="H7" t="s">
        <v>964</v>
      </c>
      <c r="I7" t="s">
        <v>965</v>
      </c>
      <c r="J7" t="s">
        <v>966</v>
      </c>
      <c r="K7" t="s">
        <v>967</v>
      </c>
      <c r="L7" t="s">
        <v>985</v>
      </c>
      <c r="M7" t="s">
        <v>969</v>
      </c>
      <c r="N7" s="4">
        <v>46119</v>
      </c>
    </row>
    <row r="8" spans="1:18" ht="30" customHeight="1" x14ac:dyDescent="0.25">
      <c r="B8">
        <v>564</v>
      </c>
      <c r="C8" t="s">
        <v>247</v>
      </c>
      <c r="D8" t="s">
        <v>1224</v>
      </c>
      <c r="E8" t="s">
        <v>248</v>
      </c>
      <c r="F8">
        <v>2</v>
      </c>
      <c r="G8" t="s">
        <v>61</v>
      </c>
      <c r="H8" s="11" t="s">
        <v>528</v>
      </c>
      <c r="I8" t="s">
        <v>1068</v>
      </c>
      <c r="J8" s="11" t="s">
        <v>530</v>
      </c>
      <c r="K8" t="s">
        <v>252</v>
      </c>
      <c r="L8" t="s">
        <v>531</v>
      </c>
      <c r="M8" t="s">
        <v>254</v>
      </c>
      <c r="N8" s="4">
        <v>46119</v>
      </c>
    </row>
    <row r="9" spans="1:18" ht="30" customHeight="1" x14ac:dyDescent="0.25">
      <c r="B9">
        <v>418</v>
      </c>
      <c r="C9" t="s">
        <v>247</v>
      </c>
      <c r="D9" t="s">
        <v>1226</v>
      </c>
      <c r="E9" t="s">
        <v>248</v>
      </c>
      <c r="F9">
        <v>1</v>
      </c>
      <c r="G9" t="s">
        <v>61</v>
      </c>
      <c r="H9" s="11" t="s">
        <v>528</v>
      </c>
      <c r="I9" t="s">
        <v>1068</v>
      </c>
      <c r="J9" s="11" t="s">
        <v>530</v>
      </c>
      <c r="K9" t="s">
        <v>252</v>
      </c>
      <c r="L9" t="s">
        <v>531</v>
      </c>
      <c r="M9" t="s">
        <v>254</v>
      </c>
      <c r="N9" s="4">
        <v>46119</v>
      </c>
    </row>
    <row r="10" spans="1:18" x14ac:dyDescent="0.25">
      <c r="B10">
        <v>414</v>
      </c>
      <c r="C10" t="s">
        <v>207</v>
      </c>
      <c r="D10" t="s">
        <v>1226</v>
      </c>
      <c r="E10" t="s">
        <v>208</v>
      </c>
      <c r="F10">
        <v>2</v>
      </c>
      <c r="G10" t="s">
        <v>61</v>
      </c>
      <c r="H10" t="s">
        <v>209</v>
      </c>
      <c r="I10" t="s">
        <v>210</v>
      </c>
      <c r="J10" t="s">
        <v>211</v>
      </c>
      <c r="K10" t="s">
        <v>212</v>
      </c>
      <c r="L10" t="s">
        <v>213</v>
      </c>
      <c r="M10" t="s">
        <v>214</v>
      </c>
      <c r="N10" s="4">
        <v>46119</v>
      </c>
    </row>
    <row r="11" spans="1:18" x14ac:dyDescent="0.25">
      <c r="B11">
        <v>408</v>
      </c>
      <c r="C11" t="s">
        <v>768</v>
      </c>
      <c r="D11" t="s">
        <v>1226</v>
      </c>
      <c r="E11" t="s">
        <v>769</v>
      </c>
      <c r="F11">
        <v>7</v>
      </c>
      <c r="G11" t="s">
        <v>61</v>
      </c>
      <c r="H11" t="s">
        <v>770</v>
      </c>
      <c r="I11" t="s">
        <v>771</v>
      </c>
      <c r="J11" t="s">
        <v>772</v>
      </c>
      <c r="K11" t="s">
        <v>773</v>
      </c>
      <c r="L11" t="s">
        <v>774</v>
      </c>
      <c r="M11" t="s">
        <v>775</v>
      </c>
      <c r="N11" s="4">
        <v>46119</v>
      </c>
    </row>
    <row r="12" spans="1:18" x14ac:dyDescent="0.25">
      <c r="B12">
        <v>570</v>
      </c>
      <c r="C12" t="s">
        <v>310</v>
      </c>
      <c r="D12" t="s">
        <v>1224</v>
      </c>
      <c r="E12" t="s">
        <v>311</v>
      </c>
      <c r="F12">
        <v>1</v>
      </c>
      <c r="G12" t="s">
        <v>152</v>
      </c>
      <c r="H12" t="s">
        <v>312</v>
      </c>
      <c r="I12" t="s">
        <v>313</v>
      </c>
      <c r="J12" t="s">
        <v>314</v>
      </c>
      <c r="K12" t="s">
        <v>315</v>
      </c>
      <c r="L12" t="s">
        <v>316</v>
      </c>
      <c r="M12" t="s">
        <v>317</v>
      </c>
      <c r="N12" s="4">
        <v>46119</v>
      </c>
    </row>
    <row r="13" spans="1:18" x14ac:dyDescent="0.25">
      <c r="B13">
        <v>425</v>
      </c>
      <c r="C13" t="s">
        <v>310</v>
      </c>
      <c r="D13" t="s">
        <v>1226</v>
      </c>
      <c r="E13" t="s">
        <v>311</v>
      </c>
      <c r="F13">
        <v>1</v>
      </c>
      <c r="G13" t="s">
        <v>152</v>
      </c>
      <c r="H13" t="s">
        <v>312</v>
      </c>
      <c r="I13" t="s">
        <v>313</v>
      </c>
      <c r="J13" t="s">
        <v>314</v>
      </c>
      <c r="K13" t="s">
        <v>315</v>
      </c>
      <c r="L13" t="s">
        <v>316</v>
      </c>
      <c r="M13" t="s">
        <v>317</v>
      </c>
      <c r="N13" s="4">
        <v>46119</v>
      </c>
    </row>
    <row r="14" spans="1:18" x14ac:dyDescent="0.25">
      <c r="B14">
        <v>442</v>
      </c>
      <c r="C14" t="s">
        <v>447</v>
      </c>
      <c r="D14" t="s">
        <v>1226</v>
      </c>
      <c r="E14" t="s">
        <v>448</v>
      </c>
      <c r="F14">
        <v>1</v>
      </c>
      <c r="G14" t="s">
        <v>24</v>
      </c>
      <c r="H14" t="s">
        <v>449</v>
      </c>
      <c r="I14" t="s">
        <v>450</v>
      </c>
      <c r="J14" t="s">
        <v>451</v>
      </c>
      <c r="K14" t="s">
        <v>452</v>
      </c>
      <c r="L14" t="s">
        <v>437</v>
      </c>
      <c r="M14" t="s">
        <v>454</v>
      </c>
      <c r="N14" s="4">
        <v>46119</v>
      </c>
    </row>
    <row r="15" spans="1:18" x14ac:dyDescent="0.25">
      <c r="B15">
        <v>578</v>
      </c>
      <c r="C15" t="s">
        <v>463</v>
      </c>
      <c r="D15" t="s">
        <v>1224</v>
      </c>
      <c r="E15" t="s">
        <v>464</v>
      </c>
      <c r="F15">
        <v>1</v>
      </c>
      <c r="G15" t="s">
        <v>152</v>
      </c>
      <c r="H15" t="s">
        <v>465</v>
      </c>
      <c r="I15" t="s">
        <v>466</v>
      </c>
      <c r="J15" t="s">
        <v>467</v>
      </c>
      <c r="K15" t="s">
        <v>468</v>
      </c>
      <c r="L15" t="s">
        <v>469</v>
      </c>
      <c r="M15" t="s">
        <v>470</v>
      </c>
      <c r="N15" s="4">
        <v>46119</v>
      </c>
    </row>
    <row r="16" spans="1:18" x14ac:dyDescent="0.25">
      <c r="B16">
        <v>445</v>
      </c>
      <c r="C16" t="s">
        <v>463</v>
      </c>
      <c r="D16" t="s">
        <v>1228</v>
      </c>
      <c r="E16" t="s">
        <v>464</v>
      </c>
      <c r="F16">
        <v>3</v>
      </c>
      <c r="G16" t="s">
        <v>152</v>
      </c>
      <c r="H16" t="s">
        <v>465</v>
      </c>
      <c r="I16" t="s">
        <v>466</v>
      </c>
      <c r="J16" t="s">
        <v>467</v>
      </c>
      <c r="K16" t="s">
        <v>468</v>
      </c>
      <c r="L16" t="s">
        <v>469</v>
      </c>
      <c r="M16" t="s">
        <v>470</v>
      </c>
      <c r="N16" s="4">
        <v>46119</v>
      </c>
    </row>
    <row r="17" spans="2:14" x14ac:dyDescent="0.25">
      <c r="B17">
        <v>390</v>
      </c>
      <c r="C17" t="s">
        <v>21</v>
      </c>
      <c r="D17" t="s">
        <v>1226</v>
      </c>
      <c r="E17" t="s">
        <v>22</v>
      </c>
      <c r="F17">
        <v>2</v>
      </c>
      <c r="G17" t="s">
        <v>24</v>
      </c>
      <c r="H17" t="s">
        <v>25</v>
      </c>
      <c r="I17" t="s">
        <v>26</v>
      </c>
      <c r="J17" t="s">
        <v>27</v>
      </c>
      <c r="K17" t="s">
        <v>28</v>
      </c>
      <c r="L17" t="s">
        <v>29</v>
      </c>
      <c r="M17" t="s">
        <v>30</v>
      </c>
      <c r="N17" s="4">
        <v>46119</v>
      </c>
    </row>
    <row r="18" spans="2:14" x14ac:dyDescent="0.25">
      <c r="B18">
        <v>557</v>
      </c>
      <c r="C18" t="s">
        <v>159</v>
      </c>
      <c r="D18" t="s">
        <v>1224</v>
      </c>
      <c r="E18" t="s">
        <v>160</v>
      </c>
      <c r="F18">
        <v>1</v>
      </c>
      <c r="G18" t="s">
        <v>61</v>
      </c>
      <c r="H18" t="s">
        <v>161</v>
      </c>
      <c r="I18" t="s">
        <v>162</v>
      </c>
      <c r="J18" t="s">
        <v>163</v>
      </c>
      <c r="K18" t="s">
        <v>164</v>
      </c>
      <c r="L18" t="s">
        <v>164</v>
      </c>
      <c r="M18" t="s">
        <v>165</v>
      </c>
      <c r="N18" s="4">
        <v>46119</v>
      </c>
    </row>
    <row r="19" spans="2:14" x14ac:dyDescent="0.25">
      <c r="B19">
        <v>441</v>
      </c>
      <c r="C19" t="s">
        <v>544</v>
      </c>
      <c r="D19" t="s">
        <v>1226</v>
      </c>
      <c r="E19" t="s">
        <v>545</v>
      </c>
      <c r="F19">
        <v>5</v>
      </c>
      <c r="G19" t="s">
        <v>24</v>
      </c>
      <c r="H19" t="s">
        <v>546</v>
      </c>
      <c r="I19" t="s">
        <v>547</v>
      </c>
      <c r="J19" t="s">
        <v>548</v>
      </c>
      <c r="K19" t="s">
        <v>549</v>
      </c>
      <c r="L19" t="s">
        <v>436</v>
      </c>
      <c r="M19" t="s">
        <v>551</v>
      </c>
      <c r="N19" s="4">
        <v>46119</v>
      </c>
    </row>
    <row r="20" spans="2:14" x14ac:dyDescent="0.25">
      <c r="B20">
        <v>451</v>
      </c>
      <c r="C20" t="s">
        <v>494</v>
      </c>
      <c r="D20" t="s">
        <v>1226</v>
      </c>
      <c r="E20" t="s">
        <v>495</v>
      </c>
      <c r="F20">
        <v>2</v>
      </c>
      <c r="G20" t="s">
        <v>61</v>
      </c>
      <c r="H20" t="s">
        <v>496</v>
      </c>
      <c r="I20" t="s">
        <v>497</v>
      </c>
      <c r="J20" t="s">
        <v>498</v>
      </c>
      <c r="K20" t="s">
        <v>499</v>
      </c>
      <c r="L20" t="s">
        <v>500</v>
      </c>
      <c r="M20" t="s">
        <v>501</v>
      </c>
      <c r="N20" s="4">
        <v>46119</v>
      </c>
    </row>
    <row r="21" spans="2:14" x14ac:dyDescent="0.25">
      <c r="B21">
        <v>392</v>
      </c>
      <c r="C21" t="s">
        <v>34</v>
      </c>
      <c r="D21" t="s">
        <v>1226</v>
      </c>
      <c r="E21" t="s">
        <v>35</v>
      </c>
      <c r="F21">
        <v>6</v>
      </c>
      <c r="G21" t="s">
        <v>36</v>
      </c>
      <c r="H21" t="s">
        <v>37</v>
      </c>
      <c r="I21" t="s">
        <v>38</v>
      </c>
      <c r="J21" t="s">
        <v>39</v>
      </c>
      <c r="K21" t="s">
        <v>40</v>
      </c>
      <c r="L21" t="s">
        <v>553</v>
      </c>
      <c r="M21" t="s">
        <v>42</v>
      </c>
      <c r="N21" s="4">
        <v>46119</v>
      </c>
    </row>
    <row r="22" spans="2:14" x14ac:dyDescent="0.25">
      <c r="B22">
        <v>558</v>
      </c>
      <c r="C22" t="s">
        <v>166</v>
      </c>
      <c r="D22" t="s">
        <v>1224</v>
      </c>
      <c r="E22" t="s">
        <v>167</v>
      </c>
      <c r="F22">
        <v>2</v>
      </c>
      <c r="G22" t="s">
        <v>61</v>
      </c>
      <c r="H22" t="s">
        <v>168</v>
      </c>
      <c r="I22" t="s">
        <v>169</v>
      </c>
      <c r="J22" t="s">
        <v>170</v>
      </c>
      <c r="K22" t="s">
        <v>171</v>
      </c>
      <c r="L22" t="s">
        <v>172</v>
      </c>
      <c r="M22" t="s">
        <v>173</v>
      </c>
      <c r="N22" s="4">
        <v>46119</v>
      </c>
    </row>
    <row r="23" spans="2:14" x14ac:dyDescent="0.25">
      <c r="B23">
        <v>409</v>
      </c>
      <c r="C23" t="s">
        <v>166</v>
      </c>
      <c r="D23" t="s">
        <v>1226</v>
      </c>
      <c r="E23" t="s">
        <v>167</v>
      </c>
      <c r="F23">
        <v>1</v>
      </c>
      <c r="G23" t="s">
        <v>61</v>
      </c>
      <c r="H23" t="s">
        <v>168</v>
      </c>
      <c r="I23" t="s">
        <v>169</v>
      </c>
      <c r="J23" t="s">
        <v>170</v>
      </c>
      <c r="K23" t="s">
        <v>171</v>
      </c>
      <c r="L23" t="s">
        <v>172</v>
      </c>
      <c r="M23" t="s">
        <v>173</v>
      </c>
      <c r="N23" s="4">
        <v>46119</v>
      </c>
    </row>
    <row r="24" spans="2:14" x14ac:dyDescent="0.25">
      <c r="B24">
        <v>427</v>
      </c>
      <c r="C24" t="s">
        <v>326</v>
      </c>
      <c r="D24" t="s">
        <v>1226</v>
      </c>
      <c r="E24" t="s">
        <v>327</v>
      </c>
      <c r="F24">
        <v>3</v>
      </c>
      <c r="G24" t="s">
        <v>152</v>
      </c>
      <c r="H24" t="s">
        <v>328</v>
      </c>
      <c r="I24" t="s">
        <v>329</v>
      </c>
      <c r="J24" t="s">
        <v>330</v>
      </c>
      <c r="K24" t="s">
        <v>331</v>
      </c>
      <c r="L24" t="s">
        <v>332</v>
      </c>
      <c r="M24" t="s">
        <v>333</v>
      </c>
      <c r="N24" s="4">
        <v>46119</v>
      </c>
    </row>
    <row r="25" spans="2:14" x14ac:dyDescent="0.25">
      <c r="B25">
        <v>555</v>
      </c>
      <c r="C25" t="s">
        <v>554</v>
      </c>
      <c r="D25" t="s">
        <v>1224</v>
      </c>
      <c r="E25" t="s">
        <v>555</v>
      </c>
      <c r="F25">
        <v>1</v>
      </c>
      <c r="G25" t="s">
        <v>61</v>
      </c>
      <c r="H25" t="s">
        <v>556</v>
      </c>
      <c r="I25" t="s">
        <v>557</v>
      </c>
      <c r="J25" t="s">
        <v>558</v>
      </c>
      <c r="K25" t="s">
        <v>559</v>
      </c>
      <c r="L25" t="s">
        <v>560</v>
      </c>
      <c r="M25" t="s">
        <v>561</v>
      </c>
      <c r="N25" s="4">
        <v>46119</v>
      </c>
    </row>
    <row r="26" spans="2:14" x14ac:dyDescent="0.25">
      <c r="B26">
        <v>405</v>
      </c>
      <c r="C26" t="s">
        <v>554</v>
      </c>
      <c r="D26" t="s">
        <v>1226</v>
      </c>
      <c r="E26" t="s">
        <v>555</v>
      </c>
      <c r="F26">
        <v>1</v>
      </c>
      <c r="G26" t="s">
        <v>61</v>
      </c>
      <c r="H26" t="s">
        <v>556</v>
      </c>
      <c r="I26" t="s">
        <v>557</v>
      </c>
      <c r="J26" t="s">
        <v>558</v>
      </c>
      <c r="K26" t="s">
        <v>559</v>
      </c>
      <c r="L26" t="s">
        <v>560</v>
      </c>
      <c r="M26" t="s">
        <v>561</v>
      </c>
      <c r="N26" s="4">
        <v>46119</v>
      </c>
    </row>
    <row r="27" spans="2:14" x14ac:dyDescent="0.25">
      <c r="B27">
        <v>398</v>
      </c>
      <c r="C27" t="s">
        <v>85</v>
      </c>
      <c r="D27" t="s">
        <v>1226</v>
      </c>
      <c r="E27" t="s">
        <v>86</v>
      </c>
      <c r="F27">
        <v>1</v>
      </c>
      <c r="G27" t="s">
        <v>87</v>
      </c>
      <c r="H27" t="s">
        <v>88</v>
      </c>
      <c r="I27" t="s">
        <v>89</v>
      </c>
      <c r="J27" t="s">
        <v>90</v>
      </c>
      <c r="K27" t="s">
        <v>91</v>
      </c>
      <c r="L27" t="s">
        <v>92</v>
      </c>
      <c r="M27" t="s">
        <v>93</v>
      </c>
      <c r="N27" s="4">
        <v>46119</v>
      </c>
    </row>
    <row r="28" spans="2:14" x14ac:dyDescent="0.25">
      <c r="B28">
        <v>443</v>
      </c>
      <c r="C28" t="s">
        <v>571</v>
      </c>
      <c r="D28" t="s">
        <v>1226</v>
      </c>
      <c r="E28" t="s">
        <v>572</v>
      </c>
      <c r="F28">
        <v>2</v>
      </c>
      <c r="G28" t="s">
        <v>573</v>
      </c>
      <c r="H28" t="s">
        <v>574</v>
      </c>
      <c r="I28" t="s">
        <v>575</v>
      </c>
      <c r="J28" t="s">
        <v>576</v>
      </c>
      <c r="K28" t="s">
        <v>577</v>
      </c>
      <c r="L28" t="s">
        <v>436</v>
      </c>
      <c r="M28" t="s">
        <v>579</v>
      </c>
      <c r="N28" s="4">
        <v>46119</v>
      </c>
    </row>
    <row r="29" spans="2:14" x14ac:dyDescent="0.25">
      <c r="B29">
        <v>559</v>
      </c>
      <c r="C29" t="s">
        <v>174</v>
      </c>
      <c r="D29" t="s">
        <v>1224</v>
      </c>
      <c r="E29" t="s">
        <v>175</v>
      </c>
      <c r="F29">
        <v>1</v>
      </c>
      <c r="G29" t="s">
        <v>152</v>
      </c>
      <c r="H29" t="s">
        <v>176</v>
      </c>
      <c r="I29" t="s">
        <v>177</v>
      </c>
      <c r="J29" t="s">
        <v>178</v>
      </c>
      <c r="K29" t="s">
        <v>179</v>
      </c>
      <c r="L29" t="s">
        <v>180</v>
      </c>
      <c r="M29" t="s">
        <v>181</v>
      </c>
      <c r="N29" s="4">
        <v>46119</v>
      </c>
    </row>
    <row r="30" spans="2:14" x14ac:dyDescent="0.25">
      <c r="B30">
        <v>410</v>
      </c>
      <c r="C30" t="s">
        <v>174</v>
      </c>
      <c r="D30" t="s">
        <v>1226</v>
      </c>
      <c r="E30" t="s">
        <v>175</v>
      </c>
      <c r="F30">
        <v>1</v>
      </c>
      <c r="G30" t="s">
        <v>152</v>
      </c>
      <c r="H30" t="s">
        <v>176</v>
      </c>
      <c r="I30" t="s">
        <v>177</v>
      </c>
      <c r="J30" t="s">
        <v>178</v>
      </c>
      <c r="K30" t="s">
        <v>179</v>
      </c>
      <c r="L30" t="s">
        <v>180</v>
      </c>
      <c r="M30" t="s">
        <v>181</v>
      </c>
      <c r="N30" s="4">
        <v>46119</v>
      </c>
    </row>
    <row r="31" spans="2:14" x14ac:dyDescent="0.25">
      <c r="B31">
        <v>402</v>
      </c>
      <c r="C31" t="s">
        <v>109</v>
      </c>
      <c r="D31" t="s">
        <v>1226</v>
      </c>
      <c r="E31" t="s">
        <v>110</v>
      </c>
      <c r="F31">
        <v>1</v>
      </c>
      <c r="G31" t="s">
        <v>111</v>
      </c>
      <c r="H31" t="s">
        <v>112</v>
      </c>
      <c r="I31" t="s">
        <v>113</v>
      </c>
      <c r="J31" t="s">
        <v>114</v>
      </c>
      <c r="K31" t="s">
        <v>115</v>
      </c>
      <c r="L31" t="s">
        <v>115</v>
      </c>
      <c r="M31" t="s">
        <v>116</v>
      </c>
      <c r="N31" s="4">
        <v>46119</v>
      </c>
    </row>
    <row r="32" spans="2:14" x14ac:dyDescent="0.25">
      <c r="B32">
        <v>572</v>
      </c>
      <c r="C32" t="s">
        <v>350</v>
      </c>
      <c r="D32" t="s">
        <v>1224</v>
      </c>
      <c r="E32" t="s">
        <v>351</v>
      </c>
      <c r="F32">
        <v>1</v>
      </c>
      <c r="G32" t="s">
        <v>152</v>
      </c>
      <c r="H32" t="s">
        <v>352</v>
      </c>
      <c r="I32" t="s">
        <v>353</v>
      </c>
      <c r="J32" t="s">
        <v>354</v>
      </c>
      <c r="K32" t="s">
        <v>355</v>
      </c>
      <c r="L32" t="s">
        <v>355</v>
      </c>
      <c r="M32" t="s">
        <v>356</v>
      </c>
      <c r="N32" s="4">
        <v>46119</v>
      </c>
    </row>
    <row r="33" spans="2:14" x14ac:dyDescent="0.25">
      <c r="B33">
        <v>429</v>
      </c>
      <c r="C33" t="s">
        <v>350</v>
      </c>
      <c r="D33" t="s">
        <v>1226</v>
      </c>
      <c r="E33" t="s">
        <v>351</v>
      </c>
      <c r="F33">
        <v>2</v>
      </c>
      <c r="G33" t="s">
        <v>152</v>
      </c>
      <c r="H33" t="s">
        <v>352</v>
      </c>
      <c r="I33" t="s">
        <v>353</v>
      </c>
      <c r="J33" t="s">
        <v>354</v>
      </c>
      <c r="K33" t="s">
        <v>355</v>
      </c>
      <c r="L33" t="s">
        <v>355</v>
      </c>
      <c r="M33" t="s">
        <v>356</v>
      </c>
      <c r="N33" s="4">
        <v>46119</v>
      </c>
    </row>
    <row r="34" spans="2:14" x14ac:dyDescent="0.25">
      <c r="B34">
        <v>435</v>
      </c>
      <c r="C34" t="s">
        <v>391</v>
      </c>
      <c r="D34" t="s">
        <v>1226</v>
      </c>
      <c r="E34" t="s">
        <v>392</v>
      </c>
      <c r="F34">
        <v>1</v>
      </c>
      <c r="G34" t="s">
        <v>111</v>
      </c>
      <c r="H34" t="s">
        <v>393</v>
      </c>
      <c r="I34" t="s">
        <v>394</v>
      </c>
      <c r="J34" t="s">
        <v>395</v>
      </c>
      <c r="K34" t="s">
        <v>396</v>
      </c>
      <c r="L34" t="s">
        <v>397</v>
      </c>
      <c r="M34" t="s">
        <v>398</v>
      </c>
      <c r="N34" s="4">
        <v>46119</v>
      </c>
    </row>
    <row r="35" spans="2:14" x14ac:dyDescent="0.25">
      <c r="B35">
        <v>449</v>
      </c>
      <c r="C35" t="s">
        <v>588</v>
      </c>
      <c r="D35" t="s">
        <v>1226</v>
      </c>
      <c r="E35" t="s">
        <v>589</v>
      </c>
      <c r="F35">
        <v>1</v>
      </c>
      <c r="G35" t="s">
        <v>24</v>
      </c>
      <c r="H35" t="s">
        <v>590</v>
      </c>
      <c r="I35" t="s">
        <v>591</v>
      </c>
      <c r="J35" t="s">
        <v>592</v>
      </c>
      <c r="K35" t="s">
        <v>593</v>
      </c>
      <c r="L35" t="s">
        <v>594</v>
      </c>
      <c r="M35" t="s">
        <v>595</v>
      </c>
      <c r="N35" s="4">
        <v>46119</v>
      </c>
    </row>
    <row r="36" spans="2:14" x14ac:dyDescent="0.25">
      <c r="B36">
        <v>577</v>
      </c>
      <c r="C36" t="s">
        <v>596</v>
      </c>
      <c r="D36" t="s">
        <v>1224</v>
      </c>
      <c r="E36" t="s">
        <v>597</v>
      </c>
      <c r="F36">
        <v>1</v>
      </c>
      <c r="G36" t="s">
        <v>61</v>
      </c>
      <c r="H36" t="s">
        <v>598</v>
      </c>
      <c r="I36" t="s">
        <v>599</v>
      </c>
      <c r="J36" t="s">
        <v>600</v>
      </c>
      <c r="K36" t="s">
        <v>601</v>
      </c>
      <c r="L36" t="s">
        <v>602</v>
      </c>
      <c r="M36" t="s">
        <v>603</v>
      </c>
      <c r="N36" s="4">
        <v>46119</v>
      </c>
    </row>
    <row r="37" spans="2:14" x14ac:dyDescent="0.25">
      <c r="B37">
        <v>565</v>
      </c>
      <c r="C37" t="s">
        <v>263</v>
      </c>
      <c r="D37" t="s">
        <v>1224</v>
      </c>
      <c r="E37" t="s">
        <v>264</v>
      </c>
      <c r="F37">
        <v>1</v>
      </c>
      <c r="G37" t="s">
        <v>61</v>
      </c>
      <c r="H37" t="s">
        <v>265</v>
      </c>
      <c r="I37" t="s">
        <v>266</v>
      </c>
      <c r="J37" t="s">
        <v>267</v>
      </c>
      <c r="K37" t="s">
        <v>252</v>
      </c>
      <c r="L37" t="s">
        <v>268</v>
      </c>
      <c r="M37" t="s">
        <v>269</v>
      </c>
      <c r="N37" s="4">
        <v>46119</v>
      </c>
    </row>
    <row r="38" spans="2:14" x14ac:dyDescent="0.25">
      <c r="B38">
        <v>420</v>
      </c>
      <c r="C38" t="s">
        <v>263</v>
      </c>
      <c r="D38" t="s">
        <v>1226</v>
      </c>
      <c r="E38" t="s">
        <v>264</v>
      </c>
      <c r="F38">
        <v>2</v>
      </c>
      <c r="G38" t="s">
        <v>61</v>
      </c>
      <c r="H38" t="s">
        <v>265</v>
      </c>
      <c r="I38" t="s">
        <v>266</v>
      </c>
      <c r="J38" t="s">
        <v>267</v>
      </c>
      <c r="K38" t="s">
        <v>252</v>
      </c>
      <c r="L38" t="s">
        <v>268</v>
      </c>
      <c r="M38" t="s">
        <v>269</v>
      </c>
      <c r="N38" s="4">
        <v>46119</v>
      </c>
    </row>
    <row r="39" spans="2:14" x14ac:dyDescent="0.25">
      <c r="B39">
        <v>444</v>
      </c>
      <c r="C39" t="s">
        <v>455</v>
      </c>
      <c r="D39" t="s">
        <v>1226</v>
      </c>
      <c r="E39" t="s">
        <v>456</v>
      </c>
      <c r="F39">
        <v>1</v>
      </c>
      <c r="G39" t="s">
        <v>111</v>
      </c>
      <c r="H39" t="s">
        <v>457</v>
      </c>
      <c r="I39" t="s">
        <v>458</v>
      </c>
      <c r="J39" t="s">
        <v>459</v>
      </c>
      <c r="K39" t="s">
        <v>460</v>
      </c>
      <c r="L39" t="s">
        <v>331</v>
      </c>
      <c r="M39" t="s">
        <v>462</v>
      </c>
      <c r="N39" s="4">
        <v>46119</v>
      </c>
    </row>
    <row r="40" spans="2:14" x14ac:dyDescent="0.25">
      <c r="B40">
        <v>433</v>
      </c>
      <c r="C40" t="s">
        <v>604</v>
      </c>
      <c r="D40" t="s">
        <v>1226</v>
      </c>
      <c r="E40" t="s">
        <v>605</v>
      </c>
      <c r="F40">
        <v>1</v>
      </c>
      <c r="G40" t="s">
        <v>61</v>
      </c>
      <c r="H40" t="s">
        <v>606</v>
      </c>
      <c r="I40" t="s">
        <v>607</v>
      </c>
      <c r="J40" t="s">
        <v>608</v>
      </c>
      <c r="K40" t="s">
        <v>252</v>
      </c>
      <c r="L40" t="s">
        <v>609</v>
      </c>
      <c r="M40" t="s">
        <v>610</v>
      </c>
      <c r="N40" s="4">
        <v>46119</v>
      </c>
    </row>
    <row r="41" spans="2:14" x14ac:dyDescent="0.25">
      <c r="B41">
        <v>556</v>
      </c>
      <c r="C41" t="s">
        <v>142</v>
      </c>
      <c r="D41" t="s">
        <v>1224</v>
      </c>
      <c r="E41" t="s">
        <v>143</v>
      </c>
      <c r="F41">
        <v>1</v>
      </c>
      <c r="G41" t="s">
        <v>61</v>
      </c>
      <c r="H41" t="s">
        <v>144</v>
      </c>
      <c r="I41" t="s">
        <v>145</v>
      </c>
      <c r="J41" t="s">
        <v>146</v>
      </c>
      <c r="K41" t="s">
        <v>147</v>
      </c>
      <c r="L41" t="s">
        <v>148</v>
      </c>
      <c r="M41" t="s">
        <v>149</v>
      </c>
      <c r="N41" s="4">
        <v>46119</v>
      </c>
    </row>
    <row r="42" spans="2:14" x14ac:dyDescent="0.25">
      <c r="B42">
        <v>406</v>
      </c>
      <c r="C42" t="s">
        <v>142</v>
      </c>
      <c r="D42" t="s">
        <v>1226</v>
      </c>
      <c r="E42" t="s">
        <v>143</v>
      </c>
      <c r="F42">
        <v>1</v>
      </c>
      <c r="G42" t="s">
        <v>61</v>
      </c>
      <c r="H42" t="s">
        <v>144</v>
      </c>
      <c r="I42" t="s">
        <v>145</v>
      </c>
      <c r="J42" t="s">
        <v>146</v>
      </c>
      <c r="K42" t="s">
        <v>147</v>
      </c>
      <c r="L42" t="s">
        <v>148</v>
      </c>
      <c r="M42" t="s">
        <v>149</v>
      </c>
      <c r="N42" s="4">
        <v>46119</v>
      </c>
    </row>
    <row r="43" spans="2:14" x14ac:dyDescent="0.25">
      <c r="B43">
        <v>550</v>
      </c>
      <c r="C43" t="s">
        <v>59</v>
      </c>
      <c r="D43" t="s">
        <v>1224</v>
      </c>
      <c r="E43" t="s">
        <v>60</v>
      </c>
      <c r="F43">
        <v>4</v>
      </c>
      <c r="G43" t="s">
        <v>61</v>
      </c>
      <c r="H43" t="s">
        <v>62</v>
      </c>
      <c r="I43" t="s">
        <v>63</v>
      </c>
      <c r="J43" t="s">
        <v>64</v>
      </c>
      <c r="K43" t="s">
        <v>65</v>
      </c>
      <c r="L43" t="s">
        <v>66</v>
      </c>
      <c r="M43" t="s">
        <v>67</v>
      </c>
      <c r="N43" s="4">
        <v>46119</v>
      </c>
    </row>
    <row r="44" spans="2:14" x14ac:dyDescent="0.25">
      <c r="B44">
        <v>396</v>
      </c>
      <c r="C44" t="s">
        <v>59</v>
      </c>
      <c r="D44" t="s">
        <v>1226</v>
      </c>
      <c r="E44" t="s">
        <v>60</v>
      </c>
      <c r="F44">
        <v>20</v>
      </c>
      <c r="G44" t="s">
        <v>61</v>
      </c>
      <c r="H44" t="s">
        <v>62</v>
      </c>
      <c r="I44" t="s">
        <v>63</v>
      </c>
      <c r="J44" t="s">
        <v>64</v>
      </c>
      <c r="K44" t="s">
        <v>65</v>
      </c>
      <c r="L44" t="s">
        <v>66</v>
      </c>
      <c r="M44" t="s">
        <v>67</v>
      </c>
      <c r="N44" s="4">
        <v>46119</v>
      </c>
    </row>
    <row r="45" spans="2:14" x14ac:dyDescent="0.25">
      <c r="B45">
        <v>549</v>
      </c>
      <c r="C45" t="s">
        <v>782</v>
      </c>
      <c r="D45" t="s">
        <v>1224</v>
      </c>
      <c r="E45" t="s">
        <v>783</v>
      </c>
      <c r="F45">
        <v>1</v>
      </c>
      <c r="G45" t="s">
        <v>784</v>
      </c>
      <c r="H45" t="s">
        <v>785</v>
      </c>
      <c r="I45" t="s">
        <v>786</v>
      </c>
      <c r="J45" t="s">
        <v>787</v>
      </c>
      <c r="K45" t="s">
        <v>788</v>
      </c>
      <c r="L45" t="s">
        <v>789</v>
      </c>
      <c r="M45" t="s">
        <v>790</v>
      </c>
      <c r="N45" s="4">
        <v>46119</v>
      </c>
    </row>
    <row r="46" spans="2:14" x14ac:dyDescent="0.25">
      <c r="B46">
        <v>395</v>
      </c>
      <c r="C46" t="s">
        <v>782</v>
      </c>
      <c r="D46" t="s">
        <v>1226</v>
      </c>
      <c r="E46" t="s">
        <v>783</v>
      </c>
      <c r="F46">
        <v>1</v>
      </c>
      <c r="G46" t="s">
        <v>784</v>
      </c>
      <c r="H46" t="s">
        <v>785</v>
      </c>
      <c r="I46" t="s">
        <v>786</v>
      </c>
      <c r="J46" t="s">
        <v>787</v>
      </c>
      <c r="K46" t="s">
        <v>788</v>
      </c>
      <c r="L46" t="s">
        <v>789</v>
      </c>
      <c r="M46" t="s">
        <v>790</v>
      </c>
      <c r="N46" s="4">
        <v>46119</v>
      </c>
    </row>
    <row r="47" spans="2:14" x14ac:dyDescent="0.25">
      <c r="B47">
        <v>415</v>
      </c>
      <c r="C47" t="s">
        <v>215</v>
      </c>
      <c r="D47" t="s">
        <v>1226</v>
      </c>
      <c r="E47" t="s">
        <v>216</v>
      </c>
      <c r="F47">
        <v>1</v>
      </c>
      <c r="G47" t="s">
        <v>24</v>
      </c>
      <c r="H47" t="s">
        <v>217</v>
      </c>
      <c r="I47" t="s">
        <v>218</v>
      </c>
      <c r="J47" t="s">
        <v>219</v>
      </c>
      <c r="K47" t="s">
        <v>220</v>
      </c>
      <c r="L47" t="s">
        <v>221</v>
      </c>
      <c r="M47" t="s">
        <v>222</v>
      </c>
      <c r="N47" s="4">
        <v>46119</v>
      </c>
    </row>
    <row r="48" spans="2:14" x14ac:dyDescent="0.25">
      <c r="B48">
        <v>424</v>
      </c>
      <c r="C48" t="s">
        <v>286</v>
      </c>
      <c r="D48" t="s">
        <v>1226</v>
      </c>
      <c r="E48" t="s">
        <v>287</v>
      </c>
      <c r="F48">
        <v>1</v>
      </c>
      <c r="G48" t="s">
        <v>61</v>
      </c>
      <c r="H48" t="s">
        <v>288</v>
      </c>
      <c r="I48" t="s">
        <v>289</v>
      </c>
      <c r="J48" t="s">
        <v>290</v>
      </c>
      <c r="K48" t="s">
        <v>291</v>
      </c>
      <c r="L48" t="s">
        <v>292</v>
      </c>
      <c r="M48" t="s">
        <v>293</v>
      </c>
      <c r="N48" s="4">
        <v>46119</v>
      </c>
    </row>
    <row r="49" spans="2:14" x14ac:dyDescent="0.25">
      <c r="B49">
        <v>436</v>
      </c>
      <c r="C49" t="s">
        <v>399</v>
      </c>
      <c r="D49" t="s">
        <v>1226</v>
      </c>
      <c r="E49" t="s">
        <v>400</v>
      </c>
      <c r="F49">
        <v>1</v>
      </c>
      <c r="G49" t="s">
        <v>152</v>
      </c>
      <c r="H49" t="s">
        <v>401</v>
      </c>
      <c r="I49" t="s">
        <v>402</v>
      </c>
      <c r="J49" t="s">
        <v>403</v>
      </c>
      <c r="K49" t="s">
        <v>404</v>
      </c>
      <c r="L49" t="s">
        <v>791</v>
      </c>
      <c r="M49" t="s">
        <v>406</v>
      </c>
      <c r="N49" s="4">
        <v>46119</v>
      </c>
    </row>
    <row r="50" spans="2:14" x14ac:dyDescent="0.25">
      <c r="B50">
        <v>428</v>
      </c>
      <c r="C50" t="s">
        <v>342</v>
      </c>
      <c r="D50" t="s">
        <v>1226</v>
      </c>
      <c r="E50" t="s">
        <v>343</v>
      </c>
      <c r="F50">
        <v>4</v>
      </c>
      <c r="G50" t="s">
        <v>24</v>
      </c>
      <c r="H50" t="s">
        <v>344</v>
      </c>
      <c r="I50" t="s">
        <v>345</v>
      </c>
      <c r="J50" t="s">
        <v>346</v>
      </c>
      <c r="K50" t="s">
        <v>348</v>
      </c>
      <c r="L50" t="s">
        <v>348</v>
      </c>
      <c r="M50" t="s">
        <v>349</v>
      </c>
      <c r="N50" s="4">
        <v>46119</v>
      </c>
    </row>
    <row r="51" spans="2:14" x14ac:dyDescent="0.25">
      <c r="B51">
        <v>400</v>
      </c>
      <c r="C51" t="s">
        <v>626</v>
      </c>
      <c r="D51" t="s">
        <v>1226</v>
      </c>
      <c r="E51" t="s">
        <v>627</v>
      </c>
      <c r="F51">
        <v>4</v>
      </c>
      <c r="G51" t="s">
        <v>152</v>
      </c>
      <c r="H51" t="s">
        <v>628</v>
      </c>
      <c r="I51" t="s">
        <v>629</v>
      </c>
      <c r="J51" t="s">
        <v>630</v>
      </c>
      <c r="K51" t="s">
        <v>631</v>
      </c>
      <c r="L51" t="s">
        <v>632</v>
      </c>
      <c r="M51" t="s">
        <v>633</v>
      </c>
      <c r="N51" s="4">
        <v>46119</v>
      </c>
    </row>
    <row r="52" spans="2:14" ht="30" customHeight="1" x14ac:dyDescent="0.25">
      <c r="B52">
        <v>579</v>
      </c>
      <c r="C52" t="s">
        <v>478</v>
      </c>
      <c r="D52" t="s">
        <v>1224</v>
      </c>
      <c r="E52" t="s">
        <v>479</v>
      </c>
      <c r="F52">
        <v>1</v>
      </c>
      <c r="G52" t="s">
        <v>111</v>
      </c>
      <c r="H52" s="11" t="s">
        <v>480</v>
      </c>
      <c r="I52" s="11" t="s">
        <v>481</v>
      </c>
      <c r="J52" s="11" t="s">
        <v>482</v>
      </c>
      <c r="K52" t="s">
        <v>483</v>
      </c>
      <c r="L52" t="s">
        <v>634</v>
      </c>
      <c r="M52" t="s">
        <v>485</v>
      </c>
      <c r="N52" s="4">
        <v>46119</v>
      </c>
    </row>
    <row r="53" spans="2:14" ht="30" customHeight="1" x14ac:dyDescent="0.25">
      <c r="B53">
        <v>450</v>
      </c>
      <c r="C53" t="s">
        <v>478</v>
      </c>
      <c r="D53" t="s">
        <v>1226</v>
      </c>
      <c r="E53" t="s">
        <v>479</v>
      </c>
      <c r="F53">
        <v>1</v>
      </c>
      <c r="G53" t="s">
        <v>111</v>
      </c>
      <c r="H53" s="11" t="s">
        <v>480</v>
      </c>
      <c r="I53" s="11" t="s">
        <v>481</v>
      </c>
      <c r="J53" s="11" t="s">
        <v>482</v>
      </c>
      <c r="K53" t="s">
        <v>483</v>
      </c>
      <c r="L53" t="s">
        <v>634</v>
      </c>
      <c r="M53" t="s">
        <v>485</v>
      </c>
      <c r="N53" s="4">
        <v>46119</v>
      </c>
    </row>
    <row r="54" spans="2:14" x14ac:dyDescent="0.25">
      <c r="B54">
        <v>393</v>
      </c>
      <c r="C54" t="s">
        <v>43</v>
      </c>
      <c r="D54" t="s">
        <v>1226</v>
      </c>
      <c r="E54" t="s">
        <v>44</v>
      </c>
      <c r="F54">
        <v>6</v>
      </c>
      <c r="G54" t="s">
        <v>24</v>
      </c>
      <c r="H54" t="s">
        <v>45</v>
      </c>
      <c r="I54" t="s">
        <v>46</v>
      </c>
      <c r="J54" t="s">
        <v>47</v>
      </c>
      <c r="K54" t="s">
        <v>48</v>
      </c>
      <c r="L54" t="s">
        <v>49</v>
      </c>
      <c r="M54" t="s">
        <v>50</v>
      </c>
      <c r="N54" s="4">
        <v>46119</v>
      </c>
    </row>
    <row r="55" spans="2:14" x14ac:dyDescent="0.25">
      <c r="B55">
        <v>567</v>
      </c>
      <c r="C55" t="s">
        <v>270</v>
      </c>
      <c r="D55" t="s">
        <v>1224</v>
      </c>
      <c r="E55" t="s">
        <v>271</v>
      </c>
      <c r="F55">
        <v>1</v>
      </c>
      <c r="G55" t="s">
        <v>61</v>
      </c>
      <c r="H55" t="s">
        <v>272</v>
      </c>
      <c r="I55" t="s">
        <v>273</v>
      </c>
      <c r="J55" t="s">
        <v>274</v>
      </c>
      <c r="K55" t="s">
        <v>792</v>
      </c>
      <c r="L55" t="s">
        <v>792</v>
      </c>
      <c r="M55" t="s">
        <v>277</v>
      </c>
      <c r="N55" s="4">
        <v>46119</v>
      </c>
    </row>
    <row r="56" spans="2:14" x14ac:dyDescent="0.25">
      <c r="B56">
        <v>453</v>
      </c>
      <c r="C56" t="s">
        <v>508</v>
      </c>
      <c r="D56" t="s">
        <v>1226</v>
      </c>
      <c r="E56" t="s">
        <v>509</v>
      </c>
      <c r="F56">
        <v>1</v>
      </c>
      <c r="G56" t="s">
        <v>61</v>
      </c>
      <c r="H56" t="s">
        <v>510</v>
      </c>
      <c r="I56" t="s">
        <v>511</v>
      </c>
      <c r="J56" t="s">
        <v>512</v>
      </c>
      <c r="K56" t="s">
        <v>513</v>
      </c>
      <c r="L56" t="s">
        <v>514</v>
      </c>
      <c r="M56" t="s">
        <v>515</v>
      </c>
      <c r="N56" s="4">
        <v>46119</v>
      </c>
    </row>
    <row r="57" spans="2:14" x14ac:dyDescent="0.25">
      <c r="B57">
        <v>401</v>
      </c>
      <c r="C57" t="s">
        <v>102</v>
      </c>
      <c r="D57" t="s">
        <v>1226</v>
      </c>
      <c r="E57" t="s">
        <v>103</v>
      </c>
      <c r="F57">
        <v>7</v>
      </c>
      <c r="G57" t="s">
        <v>61</v>
      </c>
      <c r="H57" t="s">
        <v>104</v>
      </c>
      <c r="I57" t="s">
        <v>105</v>
      </c>
      <c r="J57" t="s">
        <v>106</v>
      </c>
      <c r="K57" t="s">
        <v>107</v>
      </c>
      <c r="L57" t="s">
        <v>107</v>
      </c>
      <c r="M57" t="s">
        <v>108</v>
      </c>
      <c r="N57" s="4">
        <v>46119</v>
      </c>
    </row>
    <row r="58" spans="2:14" x14ac:dyDescent="0.25">
      <c r="B58">
        <v>580</v>
      </c>
      <c r="C58" t="s">
        <v>644</v>
      </c>
      <c r="D58" t="s">
        <v>1224</v>
      </c>
      <c r="E58" t="s">
        <v>645</v>
      </c>
      <c r="F58">
        <v>2</v>
      </c>
      <c r="G58" t="s">
        <v>61</v>
      </c>
      <c r="H58" t="s">
        <v>646</v>
      </c>
      <c r="I58" t="s">
        <v>647</v>
      </c>
      <c r="J58" t="s">
        <v>648</v>
      </c>
      <c r="K58" t="s">
        <v>649</v>
      </c>
      <c r="L58" t="s">
        <v>650</v>
      </c>
      <c r="N58" s="4">
        <v>46119</v>
      </c>
    </row>
    <row r="59" spans="2:14" x14ac:dyDescent="0.25">
      <c r="B59">
        <v>455</v>
      </c>
      <c r="C59" t="s">
        <v>644</v>
      </c>
      <c r="D59" t="s">
        <v>1226</v>
      </c>
      <c r="E59" t="s">
        <v>645</v>
      </c>
      <c r="F59">
        <v>2</v>
      </c>
      <c r="G59" t="s">
        <v>61</v>
      </c>
      <c r="H59" t="s">
        <v>646</v>
      </c>
      <c r="I59" t="s">
        <v>647</v>
      </c>
      <c r="J59" t="s">
        <v>648</v>
      </c>
      <c r="K59" t="s">
        <v>649</v>
      </c>
      <c r="L59" t="s">
        <v>650</v>
      </c>
      <c r="N59" s="4">
        <v>46119</v>
      </c>
    </row>
    <row r="60" spans="2:14" x14ac:dyDescent="0.25">
      <c r="B60">
        <v>439</v>
      </c>
      <c r="C60" t="s">
        <v>424</v>
      </c>
      <c r="D60" t="s">
        <v>1226</v>
      </c>
      <c r="E60" t="s">
        <v>425</v>
      </c>
      <c r="F60">
        <v>2</v>
      </c>
      <c r="G60" t="s">
        <v>111</v>
      </c>
      <c r="H60" t="s">
        <v>426</v>
      </c>
      <c r="I60" t="s">
        <v>427</v>
      </c>
      <c r="J60" t="s">
        <v>428</v>
      </c>
      <c r="K60" t="s">
        <v>429</v>
      </c>
      <c r="L60" t="s">
        <v>429</v>
      </c>
      <c r="M60" t="s">
        <v>430</v>
      </c>
      <c r="N60" s="4">
        <v>46119</v>
      </c>
    </row>
    <row r="61" spans="2:14" x14ac:dyDescent="0.25">
      <c r="B61">
        <v>404</v>
      </c>
      <c r="C61" t="s">
        <v>134</v>
      </c>
      <c r="D61" t="s">
        <v>1226</v>
      </c>
      <c r="E61" t="s">
        <v>135</v>
      </c>
      <c r="F61">
        <v>2</v>
      </c>
      <c r="G61" t="s">
        <v>24</v>
      </c>
      <c r="H61" t="s">
        <v>136</v>
      </c>
      <c r="I61" t="s">
        <v>137</v>
      </c>
      <c r="J61" t="s">
        <v>138</v>
      </c>
      <c r="K61" t="s">
        <v>139</v>
      </c>
      <c r="L61" t="s">
        <v>140</v>
      </c>
      <c r="M61" t="s">
        <v>141</v>
      </c>
      <c r="N61" s="4">
        <v>46119</v>
      </c>
    </row>
    <row r="62" spans="2:14" x14ac:dyDescent="0.25">
      <c r="B62">
        <v>407</v>
      </c>
      <c r="C62" t="s">
        <v>150</v>
      </c>
      <c r="D62" t="s">
        <v>1226</v>
      </c>
      <c r="E62" t="s">
        <v>151</v>
      </c>
      <c r="F62">
        <v>1</v>
      </c>
      <c r="G62" t="s">
        <v>152</v>
      </c>
      <c r="H62" t="s">
        <v>153</v>
      </c>
      <c r="I62" t="s">
        <v>154</v>
      </c>
      <c r="J62" t="s">
        <v>155</v>
      </c>
      <c r="K62" t="s">
        <v>156</v>
      </c>
      <c r="L62" t="s">
        <v>1114</v>
      </c>
      <c r="M62" t="s">
        <v>158</v>
      </c>
      <c r="N62" s="4">
        <v>46119</v>
      </c>
    </row>
    <row r="63" spans="2:14" x14ac:dyDescent="0.25">
      <c r="B63">
        <v>566</v>
      </c>
      <c r="C63" t="s">
        <v>651</v>
      </c>
      <c r="D63" t="s">
        <v>1224</v>
      </c>
      <c r="E63" t="s">
        <v>652</v>
      </c>
      <c r="F63">
        <v>1</v>
      </c>
      <c r="G63" t="s">
        <v>111</v>
      </c>
      <c r="H63" t="s">
        <v>653</v>
      </c>
      <c r="I63" t="s">
        <v>654</v>
      </c>
      <c r="J63" t="s">
        <v>655</v>
      </c>
      <c r="K63" t="s">
        <v>656</v>
      </c>
      <c r="L63" t="s">
        <v>657</v>
      </c>
      <c r="M63" t="s">
        <v>658</v>
      </c>
      <c r="N63" s="4">
        <v>46119</v>
      </c>
    </row>
    <row r="64" spans="2:14" x14ac:dyDescent="0.25">
      <c r="B64">
        <v>421</v>
      </c>
      <c r="C64" t="s">
        <v>651</v>
      </c>
      <c r="D64" t="s">
        <v>1226</v>
      </c>
      <c r="E64" t="s">
        <v>652</v>
      </c>
      <c r="F64">
        <v>2</v>
      </c>
      <c r="G64" t="s">
        <v>111</v>
      </c>
      <c r="H64" t="s">
        <v>653</v>
      </c>
      <c r="I64" t="s">
        <v>654</v>
      </c>
      <c r="J64" t="s">
        <v>655</v>
      </c>
      <c r="K64" t="s">
        <v>656</v>
      </c>
      <c r="L64" t="s">
        <v>657</v>
      </c>
      <c r="M64" t="s">
        <v>658</v>
      </c>
      <c r="N64" s="4">
        <v>46119</v>
      </c>
    </row>
    <row r="65" spans="2:14" x14ac:dyDescent="0.25">
      <c r="B65">
        <v>394</v>
      </c>
      <c r="C65" t="s">
        <v>51</v>
      </c>
      <c r="D65" t="s">
        <v>1226</v>
      </c>
      <c r="E65" t="s">
        <v>52</v>
      </c>
      <c r="F65">
        <v>3</v>
      </c>
      <c r="G65" t="s">
        <v>24</v>
      </c>
      <c r="H65" t="s">
        <v>53</v>
      </c>
      <c r="I65" t="s">
        <v>54</v>
      </c>
      <c r="J65" t="s">
        <v>55</v>
      </c>
      <c r="K65" t="s">
        <v>56</v>
      </c>
      <c r="L65" t="s">
        <v>57</v>
      </c>
      <c r="M65" t="s">
        <v>58</v>
      </c>
      <c r="N65" s="4">
        <v>46119</v>
      </c>
    </row>
    <row r="66" spans="2:14" x14ac:dyDescent="0.25">
      <c r="B66">
        <v>447</v>
      </c>
      <c r="C66" t="s">
        <v>659</v>
      </c>
      <c r="D66" t="s">
        <v>1226</v>
      </c>
      <c r="E66" t="s">
        <v>660</v>
      </c>
      <c r="F66">
        <v>1</v>
      </c>
      <c r="G66" t="s">
        <v>152</v>
      </c>
      <c r="H66" t="s">
        <v>661</v>
      </c>
      <c r="I66" t="s">
        <v>662</v>
      </c>
      <c r="J66" t="s">
        <v>663</v>
      </c>
      <c r="K66" t="s">
        <v>664</v>
      </c>
      <c r="L66" t="s">
        <v>665</v>
      </c>
      <c r="M66" t="s">
        <v>666</v>
      </c>
      <c r="N66" s="4">
        <v>46119</v>
      </c>
    </row>
    <row r="67" spans="2:14" x14ac:dyDescent="0.25">
      <c r="B67">
        <v>560</v>
      </c>
      <c r="C67" t="s">
        <v>667</v>
      </c>
      <c r="D67" t="s">
        <v>1224</v>
      </c>
      <c r="E67" t="s">
        <v>668</v>
      </c>
      <c r="F67">
        <v>2</v>
      </c>
      <c r="G67" t="s">
        <v>61</v>
      </c>
      <c r="H67" t="s">
        <v>669</v>
      </c>
      <c r="I67" t="s">
        <v>670</v>
      </c>
      <c r="J67" t="s">
        <v>671</v>
      </c>
      <c r="K67" t="s">
        <v>672</v>
      </c>
      <c r="L67" t="s">
        <v>672</v>
      </c>
      <c r="M67" t="s">
        <v>673</v>
      </c>
      <c r="N67" s="4">
        <v>46119</v>
      </c>
    </row>
    <row r="68" spans="2:14" x14ac:dyDescent="0.25">
      <c r="B68">
        <v>411</v>
      </c>
      <c r="C68" t="s">
        <v>667</v>
      </c>
      <c r="D68" t="s">
        <v>1226</v>
      </c>
      <c r="E68" t="s">
        <v>668</v>
      </c>
      <c r="F68">
        <v>1</v>
      </c>
      <c r="G68" t="s">
        <v>61</v>
      </c>
      <c r="H68" t="s">
        <v>674</v>
      </c>
      <c r="I68" t="s">
        <v>675</v>
      </c>
      <c r="J68" t="s">
        <v>676</v>
      </c>
      <c r="K68" t="s">
        <v>672</v>
      </c>
      <c r="L68" t="s">
        <v>677</v>
      </c>
      <c r="M68" t="s">
        <v>673</v>
      </c>
      <c r="N68" s="4">
        <v>46119</v>
      </c>
    </row>
    <row r="69" spans="2:14" x14ac:dyDescent="0.25">
      <c r="B69">
        <v>452</v>
      </c>
      <c r="C69" t="s">
        <v>502</v>
      </c>
      <c r="D69" t="s">
        <v>1226</v>
      </c>
      <c r="E69" t="s">
        <v>503</v>
      </c>
      <c r="F69">
        <v>1</v>
      </c>
      <c r="G69" t="s">
        <v>61</v>
      </c>
      <c r="H69" t="s">
        <v>504</v>
      </c>
      <c r="I69" t="s">
        <v>505</v>
      </c>
      <c r="J69" t="s">
        <v>506</v>
      </c>
      <c r="K69" t="s">
        <v>283</v>
      </c>
      <c r="L69" t="s">
        <v>284</v>
      </c>
      <c r="M69" t="s">
        <v>507</v>
      </c>
      <c r="N69" s="4">
        <v>46119</v>
      </c>
    </row>
    <row r="70" spans="2:14" x14ac:dyDescent="0.25">
      <c r="B70">
        <v>575</v>
      </c>
      <c r="C70" t="s">
        <v>383</v>
      </c>
      <c r="D70" t="s">
        <v>1224</v>
      </c>
      <c r="E70" t="s">
        <v>384</v>
      </c>
      <c r="F70">
        <v>2</v>
      </c>
      <c r="G70" t="s">
        <v>61</v>
      </c>
      <c r="H70" t="s">
        <v>385</v>
      </c>
      <c r="I70" t="s">
        <v>386</v>
      </c>
      <c r="J70" t="s">
        <v>387</v>
      </c>
      <c r="K70" t="s">
        <v>388</v>
      </c>
      <c r="L70" t="s">
        <v>389</v>
      </c>
      <c r="M70" t="s">
        <v>390</v>
      </c>
      <c r="N70" s="4">
        <v>46119</v>
      </c>
    </row>
    <row r="71" spans="2:14" x14ac:dyDescent="0.25">
      <c r="B71">
        <v>576</v>
      </c>
      <c r="C71" t="s">
        <v>431</v>
      </c>
      <c r="D71" t="s">
        <v>1224</v>
      </c>
      <c r="E71" t="s">
        <v>432</v>
      </c>
      <c r="F71">
        <v>1</v>
      </c>
      <c r="G71" t="s">
        <v>152</v>
      </c>
      <c r="H71" t="s">
        <v>868</v>
      </c>
      <c r="I71" t="s">
        <v>869</v>
      </c>
      <c r="J71" t="s">
        <v>870</v>
      </c>
      <c r="K71" t="s">
        <v>436</v>
      </c>
      <c r="L71" t="s">
        <v>436</v>
      </c>
      <c r="M71" t="s">
        <v>438</v>
      </c>
      <c r="N71" s="4">
        <v>46119</v>
      </c>
    </row>
    <row r="72" spans="2:14" ht="30" customHeight="1" x14ac:dyDescent="0.25">
      <c r="B72" s="11" t="s">
        <v>1229</v>
      </c>
      <c r="C72" t="s">
        <v>431</v>
      </c>
      <c r="D72" t="s">
        <v>1226</v>
      </c>
      <c r="E72" t="s">
        <v>432</v>
      </c>
      <c r="F72">
        <v>7</v>
      </c>
      <c r="G72" t="s">
        <v>152</v>
      </c>
      <c r="H72" s="11" t="s">
        <v>1097</v>
      </c>
      <c r="I72" s="11" t="s">
        <v>1098</v>
      </c>
      <c r="J72" s="11" t="s">
        <v>1099</v>
      </c>
      <c r="K72" t="s">
        <v>436</v>
      </c>
      <c r="L72" s="11" t="s">
        <v>1230</v>
      </c>
      <c r="M72" t="s">
        <v>438</v>
      </c>
      <c r="N72" s="4">
        <v>46119</v>
      </c>
    </row>
    <row r="73" spans="2:14" x14ac:dyDescent="0.25">
      <c r="B73">
        <v>432</v>
      </c>
      <c r="C73" t="s">
        <v>366</v>
      </c>
      <c r="D73" t="s">
        <v>1226</v>
      </c>
      <c r="E73" t="s">
        <v>367</v>
      </c>
      <c r="F73">
        <v>3</v>
      </c>
      <c r="G73" t="s">
        <v>368</v>
      </c>
      <c r="H73" t="s">
        <v>369</v>
      </c>
      <c r="I73" t="s">
        <v>370</v>
      </c>
      <c r="J73" t="s">
        <v>371</v>
      </c>
      <c r="K73" t="s">
        <v>372</v>
      </c>
      <c r="L73" t="s">
        <v>373</v>
      </c>
      <c r="M73" t="s">
        <v>374</v>
      </c>
      <c r="N73" s="4">
        <v>46119</v>
      </c>
    </row>
    <row r="74" spans="2:14" x14ac:dyDescent="0.25">
      <c r="B74">
        <v>454</v>
      </c>
      <c r="C74" t="s">
        <v>516</v>
      </c>
      <c r="D74" t="s">
        <v>1226</v>
      </c>
      <c r="E74" t="s">
        <v>517</v>
      </c>
      <c r="F74">
        <v>1</v>
      </c>
      <c r="G74" t="s">
        <v>61</v>
      </c>
      <c r="H74" t="s">
        <v>518</v>
      </c>
      <c r="I74" t="s">
        <v>519</v>
      </c>
      <c r="J74" t="s">
        <v>520</v>
      </c>
      <c r="K74" t="s">
        <v>521</v>
      </c>
      <c r="L74" t="s">
        <v>522</v>
      </c>
      <c r="M74" t="s">
        <v>523</v>
      </c>
      <c r="N74" s="4">
        <v>46119</v>
      </c>
    </row>
    <row r="75" spans="2:14" ht="30" customHeight="1" x14ac:dyDescent="0.25">
      <c r="B75" s="11" t="s">
        <v>1231</v>
      </c>
      <c r="C75" t="s">
        <v>802</v>
      </c>
      <c r="D75" t="s">
        <v>1224</v>
      </c>
      <c r="E75" t="s">
        <v>803</v>
      </c>
      <c r="F75">
        <v>3</v>
      </c>
      <c r="G75" t="s">
        <v>804</v>
      </c>
      <c r="H75" s="11" t="s">
        <v>874</v>
      </c>
      <c r="I75" s="11" t="s">
        <v>875</v>
      </c>
      <c r="J75" s="11" t="s">
        <v>876</v>
      </c>
      <c r="K75" t="s">
        <v>808</v>
      </c>
      <c r="L75" s="11" t="s">
        <v>1232</v>
      </c>
      <c r="M75" t="s">
        <v>810</v>
      </c>
      <c r="N75" s="4">
        <v>46119</v>
      </c>
    </row>
    <row r="76" spans="2:14" ht="30" customHeight="1" x14ac:dyDescent="0.25">
      <c r="B76" s="11" t="s">
        <v>1233</v>
      </c>
      <c r="C76" t="s">
        <v>802</v>
      </c>
      <c r="D76" t="s">
        <v>1226</v>
      </c>
      <c r="E76" t="s">
        <v>803</v>
      </c>
      <c r="F76">
        <v>15</v>
      </c>
      <c r="G76" t="s">
        <v>804</v>
      </c>
      <c r="H76" s="11" t="s">
        <v>874</v>
      </c>
      <c r="I76" s="11" t="s">
        <v>875</v>
      </c>
      <c r="J76" s="11" t="s">
        <v>876</v>
      </c>
      <c r="K76" t="s">
        <v>808</v>
      </c>
      <c r="L76" s="11" t="s">
        <v>1234</v>
      </c>
      <c r="M76" t="s">
        <v>810</v>
      </c>
      <c r="N76" s="4">
        <v>46119</v>
      </c>
    </row>
    <row r="77" spans="2:14" x14ac:dyDescent="0.25">
      <c r="B77">
        <v>391</v>
      </c>
      <c r="C77" t="s">
        <v>811</v>
      </c>
      <c r="D77" t="s">
        <v>1226</v>
      </c>
      <c r="E77" t="s">
        <v>812</v>
      </c>
      <c r="F77">
        <v>41</v>
      </c>
      <c r="G77" t="s">
        <v>813</v>
      </c>
      <c r="H77" t="s">
        <v>814</v>
      </c>
      <c r="I77" t="s">
        <v>815</v>
      </c>
      <c r="J77" t="s">
        <v>816</v>
      </c>
      <c r="K77" t="s">
        <v>817</v>
      </c>
      <c r="L77" t="s">
        <v>1148</v>
      </c>
      <c r="M77" t="s">
        <v>819</v>
      </c>
      <c r="N77" s="4">
        <v>46119</v>
      </c>
    </row>
    <row r="78" spans="2:14" x14ac:dyDescent="0.25">
      <c r="B78">
        <v>574</v>
      </c>
      <c r="C78" t="s">
        <v>375</v>
      </c>
      <c r="D78" t="s">
        <v>1224</v>
      </c>
      <c r="E78" t="s">
        <v>376</v>
      </c>
      <c r="F78">
        <v>1</v>
      </c>
      <c r="G78" t="s">
        <v>111</v>
      </c>
      <c r="H78" t="s">
        <v>1235</v>
      </c>
      <c r="I78" t="s">
        <v>1236</v>
      </c>
      <c r="J78" t="s">
        <v>1237</v>
      </c>
      <c r="K78" t="s">
        <v>380</v>
      </c>
      <c r="L78" t="s">
        <v>1238</v>
      </c>
      <c r="M78" t="s">
        <v>382</v>
      </c>
      <c r="N78" s="4">
        <v>46119</v>
      </c>
    </row>
    <row r="79" spans="2:14" ht="45" customHeight="1" x14ac:dyDescent="0.25">
      <c r="B79" s="11" t="s">
        <v>1239</v>
      </c>
      <c r="C79" t="s">
        <v>375</v>
      </c>
      <c r="D79" t="s">
        <v>1226</v>
      </c>
      <c r="E79" t="s">
        <v>376</v>
      </c>
      <c r="F79">
        <v>5</v>
      </c>
      <c r="G79" t="s">
        <v>111</v>
      </c>
      <c r="H79" s="11" t="s">
        <v>1240</v>
      </c>
      <c r="I79" s="11" t="s">
        <v>1241</v>
      </c>
      <c r="J79" s="11" t="s">
        <v>1242</v>
      </c>
      <c r="K79" t="s">
        <v>380</v>
      </c>
      <c r="L79" s="11" t="s">
        <v>1243</v>
      </c>
      <c r="M79" t="s">
        <v>382</v>
      </c>
      <c r="N79" s="4">
        <v>46119</v>
      </c>
    </row>
    <row r="80" spans="2:14" x14ac:dyDescent="0.25">
      <c r="B80">
        <v>561</v>
      </c>
      <c r="C80" t="s">
        <v>198</v>
      </c>
      <c r="D80" t="s">
        <v>1224</v>
      </c>
      <c r="E80" t="s">
        <v>199</v>
      </c>
      <c r="F80">
        <v>1</v>
      </c>
      <c r="G80" t="s">
        <v>200</v>
      </c>
      <c r="H80" t="s">
        <v>201</v>
      </c>
      <c r="I80" t="s">
        <v>202</v>
      </c>
      <c r="J80" t="s">
        <v>203</v>
      </c>
      <c r="K80" t="s">
        <v>204</v>
      </c>
      <c r="L80" t="s">
        <v>205</v>
      </c>
      <c r="M80" t="s">
        <v>206</v>
      </c>
      <c r="N80" s="4">
        <v>46119</v>
      </c>
    </row>
    <row r="81" spans="2:14" x14ac:dyDescent="0.25">
      <c r="B81">
        <v>413</v>
      </c>
      <c r="C81" t="s">
        <v>198</v>
      </c>
      <c r="D81" t="s">
        <v>1226</v>
      </c>
      <c r="E81" t="s">
        <v>199</v>
      </c>
      <c r="F81">
        <v>10</v>
      </c>
      <c r="G81" t="s">
        <v>200</v>
      </c>
      <c r="H81" t="s">
        <v>201</v>
      </c>
      <c r="I81" t="s">
        <v>202</v>
      </c>
      <c r="J81" t="s">
        <v>203</v>
      </c>
      <c r="K81" t="s">
        <v>204</v>
      </c>
      <c r="L81" t="s">
        <v>205</v>
      </c>
      <c r="M81" t="s">
        <v>206</v>
      </c>
      <c r="N81" s="4">
        <v>46119</v>
      </c>
    </row>
    <row r="82" spans="2:14" ht="30" customHeight="1" x14ac:dyDescent="0.25">
      <c r="B82" s="11" t="s">
        <v>1244</v>
      </c>
      <c r="C82" t="s">
        <v>190</v>
      </c>
      <c r="D82" t="s">
        <v>1226</v>
      </c>
      <c r="E82" t="s">
        <v>191</v>
      </c>
      <c r="F82">
        <v>4</v>
      </c>
      <c r="G82" t="s">
        <v>24</v>
      </c>
      <c r="H82" s="11" t="s">
        <v>1245</v>
      </c>
      <c r="I82" s="11" t="s">
        <v>1246</v>
      </c>
      <c r="J82" s="11" t="s">
        <v>1247</v>
      </c>
      <c r="K82" t="s">
        <v>195</v>
      </c>
      <c r="L82" s="11" t="s">
        <v>1248</v>
      </c>
      <c r="M82" t="s">
        <v>197</v>
      </c>
      <c r="N82" s="4">
        <v>46119</v>
      </c>
    </row>
    <row r="83" spans="2:14" x14ac:dyDescent="0.25">
      <c r="B83">
        <v>551</v>
      </c>
      <c r="C83" t="s">
        <v>75</v>
      </c>
      <c r="D83" t="s">
        <v>1224</v>
      </c>
      <c r="E83" t="s">
        <v>76</v>
      </c>
      <c r="F83">
        <v>1</v>
      </c>
      <c r="G83" t="s">
        <v>77</v>
      </c>
      <c r="H83" t="s">
        <v>78</v>
      </c>
      <c r="I83" t="s">
        <v>79</v>
      </c>
      <c r="J83" t="s">
        <v>80</v>
      </c>
      <c r="K83" t="s">
        <v>81</v>
      </c>
      <c r="L83" t="s">
        <v>82</v>
      </c>
      <c r="M83" t="s">
        <v>83</v>
      </c>
      <c r="N83" s="4">
        <v>46119</v>
      </c>
    </row>
    <row r="84" spans="2:14" x14ac:dyDescent="0.25">
      <c r="B84">
        <v>397</v>
      </c>
      <c r="C84" t="s">
        <v>75</v>
      </c>
      <c r="D84" t="s">
        <v>1226</v>
      </c>
      <c r="E84" t="s">
        <v>76</v>
      </c>
      <c r="F84">
        <v>10</v>
      </c>
      <c r="G84" t="s">
        <v>77</v>
      </c>
      <c r="H84" t="s">
        <v>78</v>
      </c>
      <c r="I84" t="s">
        <v>79</v>
      </c>
      <c r="J84" t="s">
        <v>80</v>
      </c>
      <c r="K84" t="s">
        <v>81</v>
      </c>
      <c r="L84" t="s">
        <v>82</v>
      </c>
      <c r="M84" t="s">
        <v>83</v>
      </c>
      <c r="N84" s="4">
        <v>46119</v>
      </c>
    </row>
    <row r="85" spans="2:14" ht="30" customHeight="1" x14ac:dyDescent="0.25">
      <c r="B85">
        <v>563</v>
      </c>
      <c r="C85" t="s">
        <v>231</v>
      </c>
      <c r="D85" t="s">
        <v>1224</v>
      </c>
      <c r="E85" t="s">
        <v>232</v>
      </c>
      <c r="F85">
        <v>2</v>
      </c>
      <c r="G85" t="s">
        <v>61</v>
      </c>
      <c r="H85" s="11" t="s">
        <v>233</v>
      </c>
      <c r="I85" s="11" t="s">
        <v>234</v>
      </c>
      <c r="J85" s="11" t="s">
        <v>235</v>
      </c>
      <c r="K85" t="s">
        <v>236</v>
      </c>
      <c r="L85" t="s">
        <v>891</v>
      </c>
      <c r="M85" t="s">
        <v>238</v>
      </c>
      <c r="N85" s="4">
        <v>46119</v>
      </c>
    </row>
    <row r="86" spans="2:14" ht="30" customHeight="1" x14ac:dyDescent="0.25">
      <c r="B86" s="11" t="s">
        <v>1249</v>
      </c>
      <c r="C86" t="s">
        <v>231</v>
      </c>
      <c r="D86" t="s">
        <v>1226</v>
      </c>
      <c r="E86" t="s">
        <v>232</v>
      </c>
      <c r="F86">
        <v>2</v>
      </c>
      <c r="G86" t="s">
        <v>61</v>
      </c>
      <c r="H86" s="11" t="s">
        <v>702</v>
      </c>
      <c r="I86" s="11" t="s">
        <v>703</v>
      </c>
      <c r="J86" s="11" t="s">
        <v>704</v>
      </c>
      <c r="K86" t="s">
        <v>236</v>
      </c>
      <c r="L86" s="11" t="s">
        <v>838</v>
      </c>
      <c r="M86" t="s">
        <v>238</v>
      </c>
      <c r="N86" s="4">
        <v>46119</v>
      </c>
    </row>
    <row r="87" spans="2:14" x14ac:dyDescent="0.25">
      <c r="B87">
        <v>422</v>
      </c>
      <c r="C87" t="s">
        <v>706</v>
      </c>
      <c r="D87" t="s">
        <v>1226</v>
      </c>
      <c r="E87" t="s">
        <v>707</v>
      </c>
      <c r="F87">
        <v>3</v>
      </c>
      <c r="G87" t="s">
        <v>111</v>
      </c>
      <c r="H87" t="s">
        <v>708</v>
      </c>
      <c r="I87" t="s">
        <v>709</v>
      </c>
      <c r="J87" t="s">
        <v>710</v>
      </c>
      <c r="K87" t="s">
        <v>711</v>
      </c>
      <c r="L87" t="s">
        <v>712</v>
      </c>
      <c r="M87" t="s">
        <v>713</v>
      </c>
      <c r="N87" s="4">
        <v>46119</v>
      </c>
    </row>
    <row r="88" spans="2:14" x14ac:dyDescent="0.25">
      <c r="B88">
        <v>448</v>
      </c>
      <c r="C88" t="s">
        <v>471</v>
      </c>
      <c r="D88" t="s">
        <v>1226</v>
      </c>
      <c r="E88" t="s">
        <v>472</v>
      </c>
      <c r="F88">
        <v>3</v>
      </c>
      <c r="G88" t="s">
        <v>111</v>
      </c>
      <c r="H88" t="s">
        <v>473</v>
      </c>
      <c r="I88" t="s">
        <v>474</v>
      </c>
      <c r="J88" t="s">
        <v>475</v>
      </c>
      <c r="K88" t="s">
        <v>476</v>
      </c>
      <c r="L88" t="s">
        <v>476</v>
      </c>
      <c r="M88" t="s">
        <v>477</v>
      </c>
      <c r="N88" s="4">
        <v>46119</v>
      </c>
    </row>
    <row r="89" spans="2:14" ht="45" customHeight="1" x14ac:dyDescent="0.25">
      <c r="B89" s="11" t="s">
        <v>1250</v>
      </c>
      <c r="C89" t="s">
        <v>892</v>
      </c>
      <c r="D89" t="s">
        <v>1226</v>
      </c>
      <c r="E89" t="s">
        <v>893</v>
      </c>
      <c r="F89">
        <v>3</v>
      </c>
      <c r="G89" t="s">
        <v>61</v>
      </c>
      <c r="H89" s="11" t="s">
        <v>1251</v>
      </c>
      <c r="I89" s="11" t="s">
        <v>1252</v>
      </c>
      <c r="J89" s="11" t="s">
        <v>1253</v>
      </c>
      <c r="K89" t="s">
        <v>991</v>
      </c>
      <c r="L89" s="11" t="s">
        <v>1254</v>
      </c>
      <c r="M89" t="s">
        <v>898</v>
      </c>
      <c r="N89" s="4">
        <v>46119</v>
      </c>
    </row>
    <row r="90" spans="2:14" x14ac:dyDescent="0.25">
      <c r="B90">
        <v>417</v>
      </c>
      <c r="C90" t="s">
        <v>239</v>
      </c>
      <c r="D90" t="s">
        <v>1226</v>
      </c>
      <c r="E90" t="s">
        <v>240</v>
      </c>
      <c r="F90">
        <v>1</v>
      </c>
      <c r="G90" t="s">
        <v>24</v>
      </c>
      <c r="H90" t="s">
        <v>241</v>
      </c>
      <c r="I90" t="s">
        <v>242</v>
      </c>
      <c r="J90" t="s">
        <v>243</v>
      </c>
      <c r="K90" t="s">
        <v>244</v>
      </c>
      <c r="L90" t="s">
        <v>245</v>
      </c>
      <c r="M90" t="s">
        <v>246</v>
      </c>
      <c r="N90" s="4">
        <v>46119</v>
      </c>
    </row>
    <row r="91" spans="2:14" x14ac:dyDescent="0.25">
      <c r="B91">
        <v>553</v>
      </c>
      <c r="C91" t="s">
        <v>125</v>
      </c>
      <c r="D91" t="s">
        <v>1224</v>
      </c>
      <c r="E91" t="s">
        <v>126</v>
      </c>
      <c r="F91">
        <v>1</v>
      </c>
      <c r="G91" t="s">
        <v>127</v>
      </c>
      <c r="H91" t="s">
        <v>128</v>
      </c>
      <c r="I91" t="s">
        <v>129</v>
      </c>
      <c r="J91" t="s">
        <v>130</v>
      </c>
      <c r="K91" t="s">
        <v>131</v>
      </c>
      <c r="L91" t="s">
        <v>132</v>
      </c>
      <c r="M91" t="s">
        <v>133</v>
      </c>
      <c r="N91" s="4">
        <v>46119</v>
      </c>
    </row>
    <row r="92" spans="2:14" x14ac:dyDescent="0.25">
      <c r="B92">
        <v>403</v>
      </c>
      <c r="C92" t="s">
        <v>125</v>
      </c>
      <c r="D92" t="s">
        <v>1226</v>
      </c>
      <c r="E92" t="s">
        <v>126</v>
      </c>
      <c r="F92">
        <v>2</v>
      </c>
      <c r="G92" t="s">
        <v>127</v>
      </c>
      <c r="H92" t="s">
        <v>128</v>
      </c>
      <c r="I92" t="s">
        <v>129</v>
      </c>
      <c r="J92" t="s">
        <v>130</v>
      </c>
      <c r="K92" t="s">
        <v>131</v>
      </c>
      <c r="L92" t="s">
        <v>132</v>
      </c>
      <c r="M92" t="s">
        <v>133</v>
      </c>
      <c r="N92" s="4">
        <v>46119</v>
      </c>
    </row>
    <row r="93" spans="2:14" x14ac:dyDescent="0.25">
      <c r="B93">
        <v>399</v>
      </c>
      <c r="C93" t="s">
        <v>899</v>
      </c>
      <c r="D93" t="s">
        <v>1226</v>
      </c>
      <c r="E93" t="s">
        <v>900</v>
      </c>
      <c r="F93">
        <v>1</v>
      </c>
      <c r="G93" t="s">
        <v>901</v>
      </c>
      <c r="H93" t="s">
        <v>902</v>
      </c>
      <c r="I93" t="s">
        <v>903</v>
      </c>
      <c r="J93" t="s">
        <v>904</v>
      </c>
      <c r="K93" t="s">
        <v>905</v>
      </c>
      <c r="L93" t="s">
        <v>906</v>
      </c>
      <c r="M93" t="s">
        <v>907</v>
      </c>
      <c r="N93" s="4">
        <v>46119</v>
      </c>
    </row>
    <row r="94" spans="2:14" x14ac:dyDescent="0.25">
      <c r="B94">
        <v>419</v>
      </c>
      <c r="C94" t="s">
        <v>715</v>
      </c>
      <c r="D94" t="s">
        <v>1226</v>
      </c>
      <c r="E94" t="s">
        <v>716</v>
      </c>
      <c r="F94">
        <v>1</v>
      </c>
      <c r="G94" t="s">
        <v>717</v>
      </c>
      <c r="H94" t="s">
        <v>718</v>
      </c>
      <c r="I94" t="s">
        <v>719</v>
      </c>
      <c r="J94" t="s">
        <v>720</v>
      </c>
      <c r="K94" t="s">
        <v>721</v>
      </c>
      <c r="L94" t="s">
        <v>722</v>
      </c>
      <c r="M94" t="s">
        <v>723</v>
      </c>
      <c r="N94" s="4">
        <v>46119</v>
      </c>
    </row>
    <row r="95" spans="2:14" x14ac:dyDescent="0.25">
      <c r="B95">
        <v>438</v>
      </c>
      <c r="C95" t="s">
        <v>415</v>
      </c>
      <c r="D95" t="s">
        <v>1226</v>
      </c>
      <c r="E95" t="s">
        <v>416</v>
      </c>
      <c r="F95">
        <v>4</v>
      </c>
      <c r="G95" t="s">
        <v>417</v>
      </c>
      <c r="H95" t="s">
        <v>418</v>
      </c>
      <c r="I95" t="s">
        <v>419</v>
      </c>
      <c r="J95" t="s">
        <v>420</v>
      </c>
      <c r="K95" t="s">
        <v>421</v>
      </c>
      <c r="L95" t="s">
        <v>422</v>
      </c>
      <c r="M95" t="s">
        <v>423</v>
      </c>
      <c r="N95" s="4">
        <v>46119</v>
      </c>
    </row>
    <row r="96" spans="2:14" x14ac:dyDescent="0.25">
      <c r="B96">
        <v>423</v>
      </c>
      <c r="C96" t="s">
        <v>743</v>
      </c>
      <c r="D96" t="s">
        <v>1226</v>
      </c>
      <c r="E96" t="s">
        <v>744</v>
      </c>
      <c r="F96">
        <v>1</v>
      </c>
      <c r="G96" t="s">
        <v>745</v>
      </c>
      <c r="H96" t="s">
        <v>746</v>
      </c>
      <c r="I96" t="s">
        <v>747</v>
      </c>
      <c r="J96" t="s">
        <v>748</v>
      </c>
      <c r="K96" t="s">
        <v>749</v>
      </c>
      <c r="L96" t="s">
        <v>750</v>
      </c>
      <c r="M96" t="s">
        <v>751</v>
      </c>
      <c r="N96" s="4">
        <v>46119</v>
      </c>
    </row>
    <row r="97" spans="2:14" x14ac:dyDescent="0.25">
      <c r="B97">
        <v>562</v>
      </c>
      <c r="C97" t="s">
        <v>223</v>
      </c>
      <c r="D97" t="s">
        <v>1224</v>
      </c>
      <c r="E97" t="s">
        <v>224</v>
      </c>
      <c r="F97">
        <v>1</v>
      </c>
      <c r="G97" t="s">
        <v>61</v>
      </c>
      <c r="H97" t="s">
        <v>225</v>
      </c>
      <c r="I97" t="s">
        <v>226</v>
      </c>
      <c r="J97" t="s">
        <v>227</v>
      </c>
      <c r="K97" t="s">
        <v>228</v>
      </c>
      <c r="L97" t="s">
        <v>229</v>
      </c>
      <c r="M97" t="s">
        <v>230</v>
      </c>
      <c r="N97" s="4">
        <v>46119</v>
      </c>
    </row>
    <row r="98" spans="2:14" x14ac:dyDescent="0.25">
      <c r="B98">
        <v>568</v>
      </c>
      <c r="C98" t="s">
        <v>294</v>
      </c>
      <c r="D98" t="s">
        <v>1224</v>
      </c>
      <c r="E98" t="s">
        <v>295</v>
      </c>
      <c r="F98">
        <v>1</v>
      </c>
      <c r="G98" t="s">
        <v>61</v>
      </c>
      <c r="H98" t="s">
        <v>908</v>
      </c>
      <c r="I98" t="s">
        <v>909</v>
      </c>
      <c r="J98" t="s">
        <v>910</v>
      </c>
      <c r="K98" t="s">
        <v>299</v>
      </c>
      <c r="L98" t="s">
        <v>300</v>
      </c>
      <c r="M98" t="s">
        <v>301</v>
      </c>
      <c r="N98" s="4">
        <v>46119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82"/>
  <sheetViews>
    <sheetView topLeftCell="A52" workbookViewId="0">
      <selection activeCell="D31" sqref="D31"/>
    </sheetView>
  </sheetViews>
  <sheetFormatPr defaultColWidth="8.85546875" defaultRowHeight="15" x14ac:dyDescent="0.25"/>
  <cols>
    <col min="1" max="1" width="9.28515625" bestFit="1" customWidth="1"/>
    <col min="2" max="2" width="30" bestFit="1" customWidth="1"/>
    <col min="3" max="3" width="9.28515625" bestFit="1" customWidth="1"/>
    <col min="4" max="4" width="74" bestFit="1" customWidth="1"/>
    <col min="5" max="5" width="90.28515625" bestFit="1" customWidth="1"/>
    <col min="6" max="6" width="9.28515625" bestFit="1" customWidth="1"/>
    <col min="7" max="7" width="14.140625" bestFit="1" customWidth="1"/>
    <col min="8" max="8" width="77.42578125" bestFit="1" customWidth="1"/>
    <col min="9" max="9" width="100.140625" bestFit="1" customWidth="1"/>
    <col min="10" max="10" width="152.7109375" bestFit="1" customWidth="1"/>
    <col min="11" max="11" width="29.42578125" bestFit="1" customWidth="1"/>
    <col min="12" max="12" width="192.42578125" bestFit="1" customWidth="1"/>
    <col min="13" max="13" width="12" bestFit="1" customWidth="1"/>
    <col min="14" max="14" width="21.7109375" bestFit="1" customWidth="1"/>
    <col min="15" max="15" width="14.85546875" bestFit="1" customWidth="1"/>
    <col min="16" max="16" width="15.85546875" bestFit="1" customWidth="1"/>
    <col min="17" max="17" width="12.85546875" bestFit="1" customWidth="1"/>
    <col min="18" max="18" width="13.7109375" bestFit="1" customWidth="1"/>
  </cols>
  <sheetData>
    <row r="1" spans="1:18" x14ac:dyDescent="0.25">
      <c r="A1" s="12" t="s">
        <v>1255</v>
      </c>
    </row>
    <row r="3" spans="1:18" x14ac:dyDescent="0.25">
      <c r="A3" t="s">
        <v>1</v>
      </c>
      <c r="B3" t="s">
        <v>753</v>
      </c>
      <c r="C3" t="s">
        <v>4</v>
      </c>
      <c r="D3" t="s">
        <v>6</v>
      </c>
      <c r="E3" t="s">
        <v>5</v>
      </c>
      <c r="F3" t="s">
        <v>7</v>
      </c>
      <c r="G3" t="s">
        <v>8</v>
      </c>
      <c r="H3" t="s">
        <v>9</v>
      </c>
      <c r="I3" t="s">
        <v>10</v>
      </c>
      <c r="J3" t="s">
        <v>11</v>
      </c>
      <c r="K3" t="s">
        <v>12</v>
      </c>
      <c r="L3" t="s">
        <v>13</v>
      </c>
      <c r="M3" t="s">
        <v>14</v>
      </c>
      <c r="N3" t="s">
        <v>16</v>
      </c>
      <c r="O3" t="s">
        <v>17</v>
      </c>
      <c r="P3" t="s">
        <v>18</v>
      </c>
      <c r="Q3" t="s">
        <v>19</v>
      </c>
      <c r="R3" t="s">
        <v>20</v>
      </c>
    </row>
    <row r="4" spans="1:18" x14ac:dyDescent="0.25">
      <c r="B4">
        <v>169</v>
      </c>
      <c r="C4" t="s">
        <v>1016</v>
      </c>
      <c r="D4" t="s">
        <v>1256</v>
      </c>
      <c r="E4" t="s">
        <v>919</v>
      </c>
      <c r="F4">
        <v>1</v>
      </c>
      <c r="G4" t="s">
        <v>61</v>
      </c>
      <c r="H4" t="s">
        <v>1017</v>
      </c>
      <c r="I4" t="s">
        <v>1018</v>
      </c>
      <c r="J4" t="s">
        <v>1019</v>
      </c>
      <c r="K4" t="s">
        <v>1020</v>
      </c>
      <c r="L4" t="s">
        <v>1257</v>
      </c>
      <c r="M4" t="s">
        <v>1022</v>
      </c>
      <c r="N4" s="4">
        <v>46125</v>
      </c>
      <c r="Q4" t="s">
        <v>31</v>
      </c>
    </row>
    <row r="5" spans="1:18" x14ac:dyDescent="0.25">
      <c r="B5">
        <v>161</v>
      </c>
      <c r="C5" t="s">
        <v>318</v>
      </c>
      <c r="D5" t="s">
        <v>1256</v>
      </c>
      <c r="E5" t="s">
        <v>319</v>
      </c>
      <c r="F5">
        <v>4</v>
      </c>
      <c r="G5" t="s">
        <v>111</v>
      </c>
      <c r="H5" t="s">
        <v>320</v>
      </c>
      <c r="I5" t="s">
        <v>321</v>
      </c>
      <c r="J5" t="s">
        <v>322</v>
      </c>
      <c r="K5" t="s">
        <v>323</v>
      </c>
      <c r="L5" t="s">
        <v>324</v>
      </c>
      <c r="M5" t="s">
        <v>325</v>
      </c>
      <c r="N5" s="4">
        <v>46125</v>
      </c>
      <c r="Q5" t="s">
        <v>31</v>
      </c>
    </row>
    <row r="6" spans="1:18" ht="30" customHeight="1" x14ac:dyDescent="0.25">
      <c r="B6">
        <v>524</v>
      </c>
      <c r="C6" t="s">
        <v>247</v>
      </c>
      <c r="D6" t="s">
        <v>1258</v>
      </c>
      <c r="E6" t="s">
        <v>248</v>
      </c>
      <c r="F6">
        <v>1</v>
      </c>
      <c r="G6" t="s">
        <v>61</v>
      </c>
      <c r="H6" s="11" t="s">
        <v>528</v>
      </c>
      <c r="I6" t="s">
        <v>1068</v>
      </c>
      <c r="J6" s="11" t="s">
        <v>530</v>
      </c>
      <c r="K6" t="s">
        <v>252</v>
      </c>
      <c r="L6" t="s">
        <v>531</v>
      </c>
      <c r="M6" t="s">
        <v>254</v>
      </c>
      <c r="N6" s="4">
        <v>46125</v>
      </c>
    </row>
    <row r="7" spans="1:18" x14ac:dyDescent="0.25">
      <c r="B7">
        <v>528</v>
      </c>
      <c r="C7" t="s">
        <v>310</v>
      </c>
      <c r="D7" t="s">
        <v>1258</v>
      </c>
      <c r="E7" t="s">
        <v>311</v>
      </c>
      <c r="F7">
        <v>1</v>
      </c>
      <c r="G7" t="s">
        <v>152</v>
      </c>
      <c r="H7" t="s">
        <v>312</v>
      </c>
      <c r="I7" t="s">
        <v>313</v>
      </c>
      <c r="J7" t="s">
        <v>314</v>
      </c>
      <c r="K7" t="s">
        <v>315</v>
      </c>
      <c r="L7" t="s">
        <v>316</v>
      </c>
      <c r="M7" t="s">
        <v>317</v>
      </c>
      <c r="N7" s="4">
        <v>46125</v>
      </c>
    </row>
    <row r="8" spans="1:18" x14ac:dyDescent="0.25">
      <c r="B8">
        <v>238</v>
      </c>
      <c r="C8" t="s">
        <v>486</v>
      </c>
      <c r="D8" t="s">
        <v>1259</v>
      </c>
      <c r="E8" t="s">
        <v>487</v>
      </c>
      <c r="F8">
        <v>1</v>
      </c>
      <c r="G8" t="s">
        <v>152</v>
      </c>
      <c r="H8" t="s">
        <v>488</v>
      </c>
      <c r="I8" t="s">
        <v>489</v>
      </c>
      <c r="J8" t="s">
        <v>490</v>
      </c>
      <c r="K8" t="s">
        <v>491</v>
      </c>
      <c r="L8" t="s">
        <v>492</v>
      </c>
      <c r="M8" t="s">
        <v>493</v>
      </c>
      <c r="N8" s="4">
        <v>46125</v>
      </c>
      <c r="Q8" t="s">
        <v>31</v>
      </c>
    </row>
    <row r="9" spans="1:18" x14ac:dyDescent="0.25">
      <c r="B9">
        <v>174</v>
      </c>
      <c r="C9" t="s">
        <v>486</v>
      </c>
      <c r="D9" t="s">
        <v>1256</v>
      </c>
      <c r="E9" t="s">
        <v>487</v>
      </c>
      <c r="F9">
        <v>1</v>
      </c>
      <c r="G9" t="s">
        <v>152</v>
      </c>
      <c r="H9" t="s">
        <v>488</v>
      </c>
      <c r="I9" t="s">
        <v>489</v>
      </c>
      <c r="J9" t="s">
        <v>490</v>
      </c>
      <c r="K9" t="s">
        <v>491</v>
      </c>
      <c r="L9" t="s">
        <v>492</v>
      </c>
      <c r="M9" t="s">
        <v>493</v>
      </c>
      <c r="N9" s="4">
        <v>46125</v>
      </c>
      <c r="Q9" t="s">
        <v>31</v>
      </c>
    </row>
    <row r="10" spans="1:18" x14ac:dyDescent="0.25">
      <c r="B10">
        <v>530</v>
      </c>
      <c r="C10" t="s">
        <v>334</v>
      </c>
      <c r="D10" t="s">
        <v>1258</v>
      </c>
      <c r="E10" t="s">
        <v>335</v>
      </c>
      <c r="F10">
        <v>2</v>
      </c>
      <c r="G10" t="s">
        <v>61</v>
      </c>
      <c r="H10" t="s">
        <v>336</v>
      </c>
      <c r="I10" t="s">
        <v>337</v>
      </c>
      <c r="J10" t="s">
        <v>338</v>
      </c>
      <c r="K10" t="s">
        <v>339</v>
      </c>
      <c r="L10" t="s">
        <v>543</v>
      </c>
      <c r="M10" t="s">
        <v>341</v>
      </c>
      <c r="N10" s="4">
        <v>46125</v>
      </c>
    </row>
    <row r="11" spans="1:18" x14ac:dyDescent="0.25">
      <c r="B11">
        <v>175</v>
      </c>
      <c r="C11" t="s">
        <v>21</v>
      </c>
      <c r="D11" t="s">
        <v>1259</v>
      </c>
      <c r="E11" t="s">
        <v>22</v>
      </c>
      <c r="F11">
        <v>3</v>
      </c>
      <c r="G11" t="s">
        <v>24</v>
      </c>
      <c r="H11" t="s">
        <v>25</v>
      </c>
      <c r="I11" t="s">
        <v>26</v>
      </c>
      <c r="J11" t="s">
        <v>27</v>
      </c>
      <c r="K11" t="s">
        <v>28</v>
      </c>
      <c r="L11" t="s">
        <v>29</v>
      </c>
      <c r="M11" t="s">
        <v>30</v>
      </c>
      <c r="N11" s="4">
        <v>46125</v>
      </c>
      <c r="Q11" t="s">
        <v>31</v>
      </c>
    </row>
    <row r="12" spans="1:18" x14ac:dyDescent="0.25">
      <c r="B12">
        <v>149</v>
      </c>
      <c r="C12" t="s">
        <v>21</v>
      </c>
      <c r="D12" t="s">
        <v>1256</v>
      </c>
      <c r="E12" t="s">
        <v>22</v>
      </c>
      <c r="F12">
        <v>2</v>
      </c>
      <c r="G12" t="s">
        <v>24</v>
      </c>
      <c r="H12" t="s">
        <v>25</v>
      </c>
      <c r="I12" t="s">
        <v>26</v>
      </c>
      <c r="J12" t="s">
        <v>27</v>
      </c>
      <c r="K12" t="s">
        <v>28</v>
      </c>
      <c r="L12" t="s">
        <v>29</v>
      </c>
      <c r="M12" t="s">
        <v>30</v>
      </c>
      <c r="N12" s="4">
        <v>46125</v>
      </c>
      <c r="Q12" t="s">
        <v>31</v>
      </c>
    </row>
    <row r="13" spans="1:18" x14ac:dyDescent="0.25">
      <c r="B13">
        <v>514</v>
      </c>
      <c r="C13" t="s">
        <v>159</v>
      </c>
      <c r="D13" t="s">
        <v>1258</v>
      </c>
      <c r="E13" t="s">
        <v>160</v>
      </c>
      <c r="F13">
        <v>1</v>
      </c>
      <c r="G13" t="s">
        <v>61</v>
      </c>
      <c r="H13" t="s">
        <v>161</v>
      </c>
      <c r="I13" t="s">
        <v>162</v>
      </c>
      <c r="J13" t="s">
        <v>163</v>
      </c>
      <c r="K13" t="s">
        <v>164</v>
      </c>
      <c r="L13" t="s">
        <v>164</v>
      </c>
      <c r="M13" t="s">
        <v>165</v>
      </c>
      <c r="N13" s="4">
        <v>46125</v>
      </c>
    </row>
    <row r="14" spans="1:18" x14ac:dyDescent="0.25">
      <c r="B14">
        <v>194</v>
      </c>
      <c r="C14" t="s">
        <v>159</v>
      </c>
      <c r="D14" t="s">
        <v>1259</v>
      </c>
      <c r="E14" t="s">
        <v>160</v>
      </c>
      <c r="F14">
        <v>1</v>
      </c>
      <c r="G14" t="s">
        <v>61</v>
      </c>
      <c r="H14" t="s">
        <v>161</v>
      </c>
      <c r="I14" t="s">
        <v>162</v>
      </c>
      <c r="J14" t="s">
        <v>163</v>
      </c>
      <c r="K14" t="s">
        <v>164</v>
      </c>
      <c r="L14" t="s">
        <v>164</v>
      </c>
      <c r="M14" t="s">
        <v>165</v>
      </c>
      <c r="N14" s="4">
        <v>46125</v>
      </c>
      <c r="Q14" t="s">
        <v>31</v>
      </c>
    </row>
    <row r="15" spans="1:18" x14ac:dyDescent="0.25">
      <c r="B15">
        <v>153</v>
      </c>
      <c r="C15" t="s">
        <v>159</v>
      </c>
      <c r="D15" t="s">
        <v>1256</v>
      </c>
      <c r="E15" t="s">
        <v>160</v>
      </c>
      <c r="F15">
        <v>1</v>
      </c>
      <c r="G15" t="s">
        <v>61</v>
      </c>
      <c r="H15" t="s">
        <v>161</v>
      </c>
      <c r="I15" t="s">
        <v>162</v>
      </c>
      <c r="J15" t="s">
        <v>163</v>
      </c>
      <c r="K15" t="s">
        <v>164</v>
      </c>
      <c r="L15" t="s">
        <v>164</v>
      </c>
      <c r="M15" t="s">
        <v>165</v>
      </c>
      <c r="N15" s="4">
        <v>46125</v>
      </c>
      <c r="Q15" t="s">
        <v>31</v>
      </c>
    </row>
    <row r="16" spans="1:18" x14ac:dyDescent="0.25">
      <c r="B16">
        <v>543</v>
      </c>
      <c r="C16" t="s">
        <v>494</v>
      </c>
      <c r="D16" t="s">
        <v>1258</v>
      </c>
      <c r="E16" t="s">
        <v>495</v>
      </c>
      <c r="F16">
        <v>1</v>
      </c>
      <c r="G16" t="s">
        <v>61</v>
      </c>
      <c r="H16" t="s">
        <v>496</v>
      </c>
      <c r="I16" t="s">
        <v>497</v>
      </c>
      <c r="J16" t="s">
        <v>498</v>
      </c>
      <c r="K16" t="s">
        <v>499</v>
      </c>
      <c r="L16" t="s">
        <v>500</v>
      </c>
      <c r="M16" t="s">
        <v>501</v>
      </c>
      <c r="N16" s="4">
        <v>46125</v>
      </c>
    </row>
    <row r="17" spans="2:17" x14ac:dyDescent="0.25">
      <c r="B17">
        <v>168</v>
      </c>
      <c r="C17" t="s">
        <v>407</v>
      </c>
      <c r="D17" t="s">
        <v>1256</v>
      </c>
      <c r="E17" t="s">
        <v>408</v>
      </c>
      <c r="F17">
        <v>1</v>
      </c>
      <c r="G17" t="s">
        <v>61</v>
      </c>
      <c r="H17" t="s">
        <v>409</v>
      </c>
      <c r="I17" t="s">
        <v>410</v>
      </c>
      <c r="J17" t="s">
        <v>411</v>
      </c>
      <c r="K17" t="s">
        <v>412</v>
      </c>
      <c r="L17" t="s">
        <v>552</v>
      </c>
      <c r="M17" t="s">
        <v>414</v>
      </c>
      <c r="N17" s="4">
        <v>46125</v>
      </c>
      <c r="Q17" t="s">
        <v>31</v>
      </c>
    </row>
    <row r="18" spans="2:17" x14ac:dyDescent="0.25">
      <c r="B18">
        <v>515</v>
      </c>
      <c r="C18" t="s">
        <v>166</v>
      </c>
      <c r="D18" t="s">
        <v>1258</v>
      </c>
      <c r="E18" t="s">
        <v>167</v>
      </c>
      <c r="F18">
        <v>1</v>
      </c>
      <c r="G18" t="s">
        <v>61</v>
      </c>
      <c r="H18" t="s">
        <v>168</v>
      </c>
      <c r="I18" t="s">
        <v>169</v>
      </c>
      <c r="J18" t="s">
        <v>170</v>
      </c>
      <c r="K18" t="s">
        <v>171</v>
      </c>
      <c r="L18" t="s">
        <v>172</v>
      </c>
      <c r="M18" t="s">
        <v>173</v>
      </c>
      <c r="N18" s="4">
        <v>46125</v>
      </c>
    </row>
    <row r="19" spans="2:17" x14ac:dyDescent="0.25">
      <c r="B19">
        <v>529</v>
      </c>
      <c r="C19" t="s">
        <v>326</v>
      </c>
      <c r="D19" t="s">
        <v>1258</v>
      </c>
      <c r="E19" t="s">
        <v>327</v>
      </c>
      <c r="F19">
        <v>1</v>
      </c>
      <c r="G19" t="s">
        <v>152</v>
      </c>
      <c r="H19" t="s">
        <v>328</v>
      </c>
      <c r="I19" t="s">
        <v>329</v>
      </c>
      <c r="J19" t="s">
        <v>330</v>
      </c>
      <c r="K19" t="s">
        <v>331</v>
      </c>
      <c r="L19" t="s">
        <v>332</v>
      </c>
      <c r="M19" t="s">
        <v>333</v>
      </c>
      <c r="N19" s="4">
        <v>46125</v>
      </c>
    </row>
    <row r="20" spans="2:17" x14ac:dyDescent="0.25">
      <c r="B20">
        <v>214</v>
      </c>
      <c r="C20" t="s">
        <v>326</v>
      </c>
      <c r="D20" t="s">
        <v>1259</v>
      </c>
      <c r="E20" t="s">
        <v>327</v>
      </c>
      <c r="F20">
        <v>1</v>
      </c>
      <c r="G20" t="s">
        <v>152</v>
      </c>
      <c r="H20" t="s">
        <v>328</v>
      </c>
      <c r="I20" t="s">
        <v>329</v>
      </c>
      <c r="J20" t="s">
        <v>330</v>
      </c>
      <c r="K20" t="s">
        <v>331</v>
      </c>
      <c r="L20" t="s">
        <v>332</v>
      </c>
      <c r="M20" t="s">
        <v>333</v>
      </c>
      <c r="N20" s="4">
        <v>46125</v>
      </c>
      <c r="Q20" t="s">
        <v>31</v>
      </c>
    </row>
    <row r="21" spans="2:17" x14ac:dyDescent="0.25">
      <c r="B21">
        <v>162</v>
      </c>
      <c r="C21" t="s">
        <v>326</v>
      </c>
      <c r="D21" t="s">
        <v>1256</v>
      </c>
      <c r="E21" t="s">
        <v>327</v>
      </c>
      <c r="F21">
        <v>1</v>
      </c>
      <c r="G21" t="s">
        <v>152</v>
      </c>
      <c r="H21" t="s">
        <v>328</v>
      </c>
      <c r="I21" t="s">
        <v>329</v>
      </c>
      <c r="J21" t="s">
        <v>330</v>
      </c>
      <c r="K21" t="s">
        <v>331</v>
      </c>
      <c r="L21" t="s">
        <v>332</v>
      </c>
      <c r="M21" t="s">
        <v>333</v>
      </c>
      <c r="N21" s="4">
        <v>46125</v>
      </c>
      <c r="Q21" t="s">
        <v>31</v>
      </c>
    </row>
    <row r="22" spans="2:17" x14ac:dyDescent="0.25">
      <c r="B22">
        <v>512</v>
      </c>
      <c r="C22" t="s">
        <v>554</v>
      </c>
      <c r="D22" t="s">
        <v>1258</v>
      </c>
      <c r="E22" t="s">
        <v>555</v>
      </c>
      <c r="F22">
        <v>1</v>
      </c>
      <c r="G22" t="s">
        <v>61</v>
      </c>
      <c r="H22" t="s">
        <v>556</v>
      </c>
      <c r="I22" t="s">
        <v>557</v>
      </c>
      <c r="J22" t="s">
        <v>558</v>
      </c>
      <c r="K22" t="s">
        <v>559</v>
      </c>
      <c r="L22" t="s">
        <v>560</v>
      </c>
      <c r="M22" t="s">
        <v>561</v>
      </c>
      <c r="N22" s="4">
        <v>46125</v>
      </c>
    </row>
    <row r="23" spans="2:17" ht="30" customHeight="1" x14ac:dyDescent="0.25">
      <c r="B23" s="11" t="s">
        <v>1260</v>
      </c>
      <c r="C23" t="s">
        <v>554</v>
      </c>
      <c r="D23" t="s">
        <v>1259</v>
      </c>
      <c r="E23" t="s">
        <v>555</v>
      </c>
      <c r="F23">
        <v>10</v>
      </c>
      <c r="G23" t="s">
        <v>61</v>
      </c>
      <c r="H23" s="11" t="s">
        <v>1261</v>
      </c>
      <c r="I23" s="11" t="s">
        <v>1262</v>
      </c>
      <c r="J23" s="11" t="s">
        <v>1263</v>
      </c>
      <c r="K23" t="s">
        <v>559</v>
      </c>
      <c r="L23" s="11" t="s">
        <v>1264</v>
      </c>
      <c r="M23" t="s">
        <v>561</v>
      </c>
      <c r="N23" s="4">
        <v>46125</v>
      </c>
      <c r="Q23" t="s">
        <v>31</v>
      </c>
    </row>
    <row r="24" spans="2:17" ht="30" customHeight="1" x14ac:dyDescent="0.25">
      <c r="B24" s="11" t="s">
        <v>1265</v>
      </c>
      <c r="C24" t="s">
        <v>554</v>
      </c>
      <c r="D24" t="s">
        <v>1256</v>
      </c>
      <c r="E24" t="s">
        <v>555</v>
      </c>
      <c r="F24">
        <v>2</v>
      </c>
      <c r="G24" t="s">
        <v>61</v>
      </c>
      <c r="H24" t="s">
        <v>556</v>
      </c>
      <c r="I24" t="s">
        <v>557</v>
      </c>
      <c r="J24" t="s">
        <v>558</v>
      </c>
      <c r="K24" t="s">
        <v>559</v>
      </c>
      <c r="L24" s="11" t="s">
        <v>1266</v>
      </c>
      <c r="M24" t="s">
        <v>561</v>
      </c>
      <c r="N24" s="4">
        <v>46125</v>
      </c>
      <c r="Q24" t="s">
        <v>31</v>
      </c>
    </row>
    <row r="25" spans="2:17" ht="30" customHeight="1" x14ac:dyDescent="0.25">
      <c r="B25">
        <v>539</v>
      </c>
      <c r="C25" t="s">
        <v>439</v>
      </c>
      <c r="D25" t="s">
        <v>1258</v>
      </c>
      <c r="E25" t="s">
        <v>440</v>
      </c>
      <c r="F25">
        <v>1</v>
      </c>
      <c r="G25" t="s">
        <v>152</v>
      </c>
      <c r="H25" s="11" t="s">
        <v>441</v>
      </c>
      <c r="I25" s="11" t="s">
        <v>442</v>
      </c>
      <c r="J25" s="11" t="s">
        <v>443</v>
      </c>
      <c r="K25" t="s">
        <v>444</v>
      </c>
      <c r="L25" t="s">
        <v>570</v>
      </c>
      <c r="M25" t="s">
        <v>446</v>
      </c>
      <c r="N25" s="4">
        <v>46125</v>
      </c>
    </row>
    <row r="26" spans="2:17" x14ac:dyDescent="0.25">
      <c r="B26">
        <v>540</v>
      </c>
      <c r="C26" t="s">
        <v>571</v>
      </c>
      <c r="D26" t="s">
        <v>1258</v>
      </c>
      <c r="E26" t="s">
        <v>572</v>
      </c>
      <c r="F26">
        <v>2</v>
      </c>
      <c r="G26" t="s">
        <v>573</v>
      </c>
      <c r="H26" t="s">
        <v>574</v>
      </c>
      <c r="I26" t="s">
        <v>575</v>
      </c>
      <c r="J26" t="s">
        <v>576</v>
      </c>
      <c r="K26" t="s">
        <v>577</v>
      </c>
      <c r="L26" t="s">
        <v>578</v>
      </c>
      <c r="M26" t="s">
        <v>579</v>
      </c>
      <c r="N26" s="4">
        <v>46125</v>
      </c>
    </row>
    <row r="27" spans="2:17" x14ac:dyDescent="0.25">
      <c r="B27">
        <v>516</v>
      </c>
      <c r="C27" t="s">
        <v>174</v>
      </c>
      <c r="D27" t="s">
        <v>1258</v>
      </c>
      <c r="E27" t="s">
        <v>175</v>
      </c>
      <c r="F27">
        <v>1</v>
      </c>
      <c r="G27" t="s">
        <v>152</v>
      </c>
      <c r="H27" t="s">
        <v>176</v>
      </c>
      <c r="I27" t="s">
        <v>177</v>
      </c>
      <c r="J27" t="s">
        <v>178</v>
      </c>
      <c r="K27" t="s">
        <v>179</v>
      </c>
      <c r="L27" t="s">
        <v>180</v>
      </c>
      <c r="M27" t="s">
        <v>181</v>
      </c>
      <c r="N27" s="4">
        <v>46125</v>
      </c>
    </row>
    <row r="28" spans="2:17" x14ac:dyDescent="0.25">
      <c r="B28">
        <v>509</v>
      </c>
      <c r="C28" t="s">
        <v>109</v>
      </c>
      <c r="D28" t="s">
        <v>1258</v>
      </c>
      <c r="E28" t="s">
        <v>110</v>
      </c>
      <c r="F28">
        <v>1</v>
      </c>
      <c r="G28" t="s">
        <v>111</v>
      </c>
      <c r="H28" t="s">
        <v>112</v>
      </c>
      <c r="I28" t="s">
        <v>113</v>
      </c>
      <c r="J28" t="s">
        <v>114</v>
      </c>
      <c r="K28" t="s">
        <v>115</v>
      </c>
      <c r="L28" t="s">
        <v>115</v>
      </c>
      <c r="M28" t="s">
        <v>116</v>
      </c>
      <c r="N28" s="4">
        <v>46125</v>
      </c>
    </row>
    <row r="29" spans="2:17" x14ac:dyDescent="0.25">
      <c r="B29">
        <v>531</v>
      </c>
      <c r="C29" t="s">
        <v>350</v>
      </c>
      <c r="D29" t="s">
        <v>1258</v>
      </c>
      <c r="E29" t="s">
        <v>351</v>
      </c>
      <c r="F29">
        <v>1</v>
      </c>
      <c r="G29" t="s">
        <v>152</v>
      </c>
      <c r="H29" t="s">
        <v>352</v>
      </c>
      <c r="I29" t="s">
        <v>353</v>
      </c>
      <c r="J29" t="s">
        <v>354</v>
      </c>
      <c r="K29" t="s">
        <v>355</v>
      </c>
      <c r="L29" t="s">
        <v>355</v>
      </c>
      <c r="M29" t="s">
        <v>356</v>
      </c>
      <c r="N29" s="4">
        <v>46125</v>
      </c>
    </row>
    <row r="30" spans="2:17" x14ac:dyDescent="0.25">
      <c r="B30">
        <v>541</v>
      </c>
      <c r="C30" t="s">
        <v>588</v>
      </c>
      <c r="D30" t="s">
        <v>1258</v>
      </c>
      <c r="E30" t="s">
        <v>589</v>
      </c>
      <c r="F30">
        <v>1</v>
      </c>
      <c r="G30" t="s">
        <v>24</v>
      </c>
      <c r="H30" t="s">
        <v>590</v>
      </c>
      <c r="I30" t="s">
        <v>591</v>
      </c>
      <c r="J30" t="s">
        <v>592</v>
      </c>
      <c r="K30" t="s">
        <v>593</v>
      </c>
      <c r="L30" t="s">
        <v>594</v>
      </c>
      <c r="M30" t="s">
        <v>595</v>
      </c>
      <c r="N30" s="4">
        <v>46125</v>
      </c>
    </row>
    <row r="31" spans="2:17" x14ac:dyDescent="0.25">
      <c r="B31">
        <v>236</v>
      </c>
      <c r="C31" t="s">
        <v>588</v>
      </c>
      <c r="D31" t="s">
        <v>1259</v>
      </c>
      <c r="E31" t="s">
        <v>589</v>
      </c>
      <c r="F31">
        <v>9</v>
      </c>
      <c r="G31" t="s">
        <v>24</v>
      </c>
      <c r="H31" t="s">
        <v>590</v>
      </c>
      <c r="I31" t="s">
        <v>591</v>
      </c>
      <c r="J31" t="s">
        <v>592</v>
      </c>
      <c r="K31" t="s">
        <v>593</v>
      </c>
      <c r="L31" t="s">
        <v>594</v>
      </c>
      <c r="M31" t="s">
        <v>595</v>
      </c>
      <c r="N31" s="4">
        <v>46125</v>
      </c>
      <c r="Q31" t="s">
        <v>31</v>
      </c>
    </row>
    <row r="32" spans="2:17" ht="30" customHeight="1" x14ac:dyDescent="0.25">
      <c r="B32" s="11" t="s">
        <v>1267</v>
      </c>
      <c r="C32" t="s">
        <v>596</v>
      </c>
      <c r="D32" t="s">
        <v>1259</v>
      </c>
      <c r="E32" t="s">
        <v>597</v>
      </c>
      <c r="F32">
        <v>30</v>
      </c>
      <c r="G32" t="s">
        <v>61</v>
      </c>
      <c r="H32" t="s">
        <v>598</v>
      </c>
      <c r="I32" t="s">
        <v>599</v>
      </c>
      <c r="J32" t="s">
        <v>600</v>
      </c>
      <c r="K32" t="s">
        <v>601</v>
      </c>
      <c r="L32" s="11" t="s">
        <v>1268</v>
      </c>
      <c r="M32" t="s">
        <v>603</v>
      </c>
      <c r="N32" s="4">
        <v>46125</v>
      </c>
      <c r="Q32" t="s">
        <v>31</v>
      </c>
    </row>
    <row r="33" spans="2:17" x14ac:dyDescent="0.25">
      <c r="B33">
        <v>525</v>
      </c>
      <c r="C33" t="s">
        <v>263</v>
      </c>
      <c r="D33" t="s">
        <v>1258</v>
      </c>
      <c r="E33" t="s">
        <v>264</v>
      </c>
      <c r="F33">
        <v>1</v>
      </c>
      <c r="G33" t="s">
        <v>61</v>
      </c>
      <c r="H33" t="s">
        <v>265</v>
      </c>
      <c r="I33" t="s">
        <v>266</v>
      </c>
      <c r="J33" t="s">
        <v>267</v>
      </c>
      <c r="K33" t="s">
        <v>252</v>
      </c>
      <c r="L33" t="s">
        <v>268</v>
      </c>
      <c r="M33" t="s">
        <v>269</v>
      </c>
      <c r="N33" s="4">
        <v>46125</v>
      </c>
    </row>
    <row r="34" spans="2:17" x14ac:dyDescent="0.25">
      <c r="B34">
        <v>534</v>
      </c>
      <c r="C34" t="s">
        <v>604</v>
      </c>
      <c r="D34" t="s">
        <v>1258</v>
      </c>
      <c r="E34" t="s">
        <v>605</v>
      </c>
      <c r="F34">
        <v>1</v>
      </c>
      <c r="G34" t="s">
        <v>61</v>
      </c>
      <c r="H34" t="s">
        <v>606</v>
      </c>
      <c r="I34" t="s">
        <v>607</v>
      </c>
      <c r="J34" t="s">
        <v>608</v>
      </c>
      <c r="K34" t="s">
        <v>252</v>
      </c>
      <c r="L34" t="s">
        <v>609</v>
      </c>
      <c r="M34" t="s">
        <v>610</v>
      </c>
      <c r="N34" s="4">
        <v>46125</v>
      </c>
    </row>
    <row r="35" spans="2:17" x14ac:dyDescent="0.25">
      <c r="B35">
        <v>221</v>
      </c>
      <c r="C35" t="s">
        <v>604</v>
      </c>
      <c r="D35" t="s">
        <v>1259</v>
      </c>
      <c r="E35" t="s">
        <v>605</v>
      </c>
      <c r="F35">
        <v>6</v>
      </c>
      <c r="G35" t="s">
        <v>61</v>
      </c>
      <c r="H35" t="s">
        <v>606</v>
      </c>
      <c r="I35" t="s">
        <v>607</v>
      </c>
      <c r="J35" t="s">
        <v>608</v>
      </c>
      <c r="K35" t="s">
        <v>252</v>
      </c>
      <c r="L35" t="s">
        <v>609</v>
      </c>
      <c r="M35" t="s">
        <v>610</v>
      </c>
      <c r="N35" s="4">
        <v>46125</v>
      </c>
      <c r="Q35" t="s">
        <v>31</v>
      </c>
    </row>
    <row r="36" spans="2:17" x14ac:dyDescent="0.25">
      <c r="B36">
        <v>165</v>
      </c>
      <c r="C36" t="s">
        <v>604</v>
      </c>
      <c r="D36" t="s">
        <v>1256</v>
      </c>
      <c r="E36" t="s">
        <v>605</v>
      </c>
      <c r="F36">
        <v>12</v>
      </c>
      <c r="G36" t="s">
        <v>61</v>
      </c>
      <c r="H36" t="s">
        <v>606</v>
      </c>
      <c r="I36" t="s">
        <v>607</v>
      </c>
      <c r="J36" t="s">
        <v>608</v>
      </c>
      <c r="K36" t="s">
        <v>252</v>
      </c>
      <c r="L36" t="s">
        <v>609</v>
      </c>
      <c r="M36" t="s">
        <v>610</v>
      </c>
      <c r="N36" s="4">
        <v>46125</v>
      </c>
      <c r="Q36" t="s">
        <v>31</v>
      </c>
    </row>
    <row r="37" spans="2:17" x14ac:dyDescent="0.25">
      <c r="B37">
        <v>513</v>
      </c>
      <c r="C37" t="s">
        <v>142</v>
      </c>
      <c r="D37" t="s">
        <v>1258</v>
      </c>
      <c r="E37" t="s">
        <v>143</v>
      </c>
      <c r="F37">
        <v>1</v>
      </c>
      <c r="G37" t="s">
        <v>61</v>
      </c>
      <c r="H37" t="s">
        <v>144</v>
      </c>
      <c r="I37" t="s">
        <v>145</v>
      </c>
      <c r="J37" t="s">
        <v>146</v>
      </c>
      <c r="K37" t="s">
        <v>147</v>
      </c>
      <c r="L37" t="s">
        <v>148</v>
      </c>
      <c r="M37" t="s">
        <v>149</v>
      </c>
      <c r="N37" s="4">
        <v>46125</v>
      </c>
    </row>
    <row r="38" spans="2:17" x14ac:dyDescent="0.25">
      <c r="B38">
        <v>508</v>
      </c>
      <c r="C38" t="s">
        <v>59</v>
      </c>
      <c r="D38" t="s">
        <v>1258</v>
      </c>
      <c r="E38" t="s">
        <v>60</v>
      </c>
      <c r="F38">
        <v>8</v>
      </c>
      <c r="G38" t="s">
        <v>61</v>
      </c>
      <c r="H38" t="s">
        <v>62</v>
      </c>
      <c r="I38" t="s">
        <v>63</v>
      </c>
      <c r="J38" t="s">
        <v>64</v>
      </c>
      <c r="K38" t="s">
        <v>65</v>
      </c>
      <c r="L38" t="s">
        <v>66</v>
      </c>
      <c r="M38" t="s">
        <v>67</v>
      </c>
      <c r="N38" s="4">
        <v>46125</v>
      </c>
    </row>
    <row r="39" spans="2:17" x14ac:dyDescent="0.25">
      <c r="B39">
        <v>507</v>
      </c>
      <c r="C39" t="s">
        <v>782</v>
      </c>
      <c r="D39" t="s">
        <v>1258</v>
      </c>
      <c r="E39" t="s">
        <v>783</v>
      </c>
      <c r="F39">
        <v>1</v>
      </c>
      <c r="G39" t="s">
        <v>784</v>
      </c>
      <c r="H39" t="s">
        <v>785</v>
      </c>
      <c r="I39" t="s">
        <v>786</v>
      </c>
      <c r="J39" t="s">
        <v>787</v>
      </c>
      <c r="K39" t="s">
        <v>788</v>
      </c>
      <c r="L39" t="s">
        <v>789</v>
      </c>
      <c r="M39" t="s">
        <v>790</v>
      </c>
      <c r="N39" s="4">
        <v>46125</v>
      </c>
    </row>
    <row r="40" spans="2:17" x14ac:dyDescent="0.25">
      <c r="B40">
        <v>521</v>
      </c>
      <c r="C40" t="s">
        <v>215</v>
      </c>
      <c r="D40" t="s">
        <v>1258</v>
      </c>
      <c r="E40" t="s">
        <v>216</v>
      </c>
      <c r="F40">
        <v>1</v>
      </c>
      <c r="G40" t="s">
        <v>24</v>
      </c>
      <c r="H40" t="s">
        <v>217</v>
      </c>
      <c r="I40" t="s">
        <v>218</v>
      </c>
      <c r="J40" t="s">
        <v>219</v>
      </c>
      <c r="K40" t="s">
        <v>220</v>
      </c>
      <c r="L40" t="s">
        <v>221</v>
      </c>
      <c r="M40" t="s">
        <v>222</v>
      </c>
      <c r="N40" s="4">
        <v>46125</v>
      </c>
    </row>
    <row r="41" spans="2:17" x14ac:dyDescent="0.25">
      <c r="B41">
        <v>537</v>
      </c>
      <c r="C41" t="s">
        <v>399</v>
      </c>
      <c r="D41" t="s">
        <v>1258</v>
      </c>
      <c r="E41" t="s">
        <v>400</v>
      </c>
      <c r="F41">
        <v>1</v>
      </c>
      <c r="G41" t="s">
        <v>152</v>
      </c>
      <c r="H41" t="s">
        <v>401</v>
      </c>
      <c r="I41" t="s">
        <v>402</v>
      </c>
      <c r="J41" t="s">
        <v>403</v>
      </c>
      <c r="K41" t="s">
        <v>404</v>
      </c>
      <c r="L41" t="s">
        <v>791</v>
      </c>
      <c r="M41" t="s">
        <v>406</v>
      </c>
      <c r="N41" s="4">
        <v>46125</v>
      </c>
    </row>
    <row r="42" spans="2:17" x14ac:dyDescent="0.25">
      <c r="B42">
        <v>571</v>
      </c>
      <c r="C42" t="s">
        <v>342</v>
      </c>
      <c r="D42" t="s">
        <v>1224</v>
      </c>
      <c r="E42" t="s">
        <v>343</v>
      </c>
      <c r="F42">
        <v>1</v>
      </c>
      <c r="G42" t="s">
        <v>24</v>
      </c>
      <c r="H42" t="s">
        <v>344</v>
      </c>
      <c r="I42" t="s">
        <v>345</v>
      </c>
      <c r="J42" t="s">
        <v>346</v>
      </c>
      <c r="K42" t="s">
        <v>348</v>
      </c>
      <c r="L42" t="s">
        <v>348</v>
      </c>
      <c r="M42" t="s">
        <v>349</v>
      </c>
      <c r="N42" s="4">
        <v>46125</v>
      </c>
    </row>
    <row r="43" spans="2:17" x14ac:dyDescent="0.25">
      <c r="B43">
        <v>151</v>
      </c>
      <c r="C43" t="s">
        <v>626</v>
      </c>
      <c r="D43" t="s">
        <v>1256</v>
      </c>
      <c r="E43" t="s">
        <v>627</v>
      </c>
      <c r="F43">
        <v>2</v>
      </c>
      <c r="G43" t="s">
        <v>152</v>
      </c>
      <c r="H43" t="s">
        <v>628</v>
      </c>
      <c r="I43" t="s">
        <v>629</v>
      </c>
      <c r="J43" t="s">
        <v>630</v>
      </c>
      <c r="K43" t="s">
        <v>631</v>
      </c>
      <c r="L43" t="s">
        <v>632</v>
      </c>
      <c r="M43" t="s">
        <v>633</v>
      </c>
      <c r="N43" s="4">
        <v>46125</v>
      </c>
      <c r="Q43" t="s">
        <v>31</v>
      </c>
    </row>
    <row r="44" spans="2:17" ht="30" customHeight="1" x14ac:dyDescent="0.25">
      <c r="B44">
        <v>542</v>
      </c>
      <c r="C44" t="s">
        <v>478</v>
      </c>
      <c r="D44" t="s">
        <v>1258</v>
      </c>
      <c r="E44" t="s">
        <v>479</v>
      </c>
      <c r="F44">
        <v>1</v>
      </c>
      <c r="G44" t="s">
        <v>111</v>
      </c>
      <c r="H44" s="11" t="s">
        <v>480</v>
      </c>
      <c r="I44" s="11" t="s">
        <v>481</v>
      </c>
      <c r="J44" s="11" t="s">
        <v>482</v>
      </c>
      <c r="K44" t="s">
        <v>483</v>
      </c>
      <c r="L44" t="s">
        <v>634</v>
      </c>
      <c r="M44" t="s">
        <v>485</v>
      </c>
      <c r="N44" s="4">
        <v>46125</v>
      </c>
    </row>
    <row r="45" spans="2:17" x14ac:dyDescent="0.25">
      <c r="B45">
        <v>547</v>
      </c>
      <c r="C45" t="s">
        <v>43</v>
      </c>
      <c r="D45" t="s">
        <v>1224</v>
      </c>
      <c r="E45" t="s">
        <v>44</v>
      </c>
      <c r="F45">
        <v>2</v>
      </c>
      <c r="G45" t="s">
        <v>24</v>
      </c>
      <c r="H45" t="s">
        <v>45</v>
      </c>
      <c r="I45" t="s">
        <v>46</v>
      </c>
      <c r="J45" t="s">
        <v>47</v>
      </c>
      <c r="K45" t="s">
        <v>48</v>
      </c>
      <c r="L45" t="s">
        <v>49</v>
      </c>
      <c r="M45" t="s">
        <v>50</v>
      </c>
      <c r="N45" s="4">
        <v>46125</v>
      </c>
    </row>
    <row r="46" spans="2:17" x14ac:dyDescent="0.25">
      <c r="B46">
        <v>506</v>
      </c>
      <c r="C46" t="s">
        <v>43</v>
      </c>
      <c r="D46" t="s">
        <v>1258</v>
      </c>
      <c r="E46" t="s">
        <v>44</v>
      </c>
      <c r="F46">
        <v>2</v>
      </c>
      <c r="G46" t="s">
        <v>24</v>
      </c>
      <c r="H46" t="s">
        <v>45</v>
      </c>
      <c r="I46" t="s">
        <v>46</v>
      </c>
      <c r="J46" t="s">
        <v>47</v>
      </c>
      <c r="K46" t="s">
        <v>48</v>
      </c>
      <c r="L46" t="s">
        <v>49</v>
      </c>
      <c r="M46" t="s">
        <v>50</v>
      </c>
      <c r="N46" s="4">
        <v>46125</v>
      </c>
    </row>
    <row r="47" spans="2:17" x14ac:dyDescent="0.25">
      <c r="B47">
        <v>526</v>
      </c>
      <c r="C47" t="s">
        <v>270</v>
      </c>
      <c r="D47" t="s">
        <v>1258</v>
      </c>
      <c r="E47" t="s">
        <v>271</v>
      </c>
      <c r="F47">
        <v>1</v>
      </c>
      <c r="G47" t="s">
        <v>61</v>
      </c>
      <c r="H47" t="s">
        <v>272</v>
      </c>
      <c r="I47" t="s">
        <v>273</v>
      </c>
      <c r="J47" t="s">
        <v>274</v>
      </c>
      <c r="K47" t="s">
        <v>792</v>
      </c>
      <c r="L47" t="s">
        <v>792</v>
      </c>
      <c r="M47" t="s">
        <v>277</v>
      </c>
      <c r="N47" s="4">
        <v>46125</v>
      </c>
    </row>
    <row r="48" spans="2:17" x14ac:dyDescent="0.25">
      <c r="B48">
        <v>207</v>
      </c>
      <c r="C48" t="s">
        <v>270</v>
      </c>
      <c r="D48" t="s">
        <v>1259</v>
      </c>
      <c r="E48" t="s">
        <v>271</v>
      </c>
      <c r="F48">
        <v>1</v>
      </c>
      <c r="G48" t="s">
        <v>61</v>
      </c>
      <c r="H48" t="s">
        <v>272</v>
      </c>
      <c r="I48" t="s">
        <v>273</v>
      </c>
      <c r="J48" t="s">
        <v>274</v>
      </c>
      <c r="K48" t="s">
        <v>792</v>
      </c>
      <c r="L48" t="s">
        <v>792</v>
      </c>
      <c r="M48" t="s">
        <v>277</v>
      </c>
      <c r="N48" s="4">
        <v>46125</v>
      </c>
      <c r="Q48" t="s">
        <v>31</v>
      </c>
    </row>
    <row r="49" spans="2:17" x14ac:dyDescent="0.25">
      <c r="B49">
        <v>158</v>
      </c>
      <c r="C49" t="s">
        <v>270</v>
      </c>
      <c r="D49" t="s">
        <v>1256</v>
      </c>
      <c r="E49" t="s">
        <v>271</v>
      </c>
      <c r="F49">
        <v>3</v>
      </c>
      <c r="G49" t="s">
        <v>61</v>
      </c>
      <c r="H49" t="s">
        <v>272</v>
      </c>
      <c r="I49" t="s">
        <v>273</v>
      </c>
      <c r="J49" t="s">
        <v>274</v>
      </c>
      <c r="K49" t="s">
        <v>792</v>
      </c>
      <c r="L49" t="s">
        <v>792</v>
      </c>
      <c r="M49" t="s">
        <v>277</v>
      </c>
      <c r="N49" s="4">
        <v>46125</v>
      </c>
      <c r="Q49" t="s">
        <v>31</v>
      </c>
    </row>
    <row r="50" spans="2:17" x14ac:dyDescent="0.25">
      <c r="B50">
        <v>545</v>
      </c>
      <c r="C50" t="s">
        <v>508</v>
      </c>
      <c r="D50" t="s">
        <v>1258</v>
      </c>
      <c r="E50" t="s">
        <v>509</v>
      </c>
      <c r="F50">
        <v>1</v>
      </c>
      <c r="G50" t="s">
        <v>61</v>
      </c>
      <c r="H50" t="s">
        <v>510</v>
      </c>
      <c r="I50" t="s">
        <v>511</v>
      </c>
      <c r="J50" t="s">
        <v>512</v>
      </c>
      <c r="K50" t="s">
        <v>513</v>
      </c>
      <c r="L50" t="s">
        <v>514</v>
      </c>
      <c r="M50" t="s">
        <v>515</v>
      </c>
      <c r="N50" s="4">
        <v>46125</v>
      </c>
    </row>
    <row r="51" spans="2:17" x14ac:dyDescent="0.25">
      <c r="B51">
        <v>240</v>
      </c>
      <c r="C51" t="s">
        <v>508</v>
      </c>
      <c r="D51" t="s">
        <v>1259</v>
      </c>
      <c r="E51" t="s">
        <v>509</v>
      </c>
      <c r="F51">
        <v>20</v>
      </c>
      <c r="G51" t="s">
        <v>61</v>
      </c>
      <c r="H51" t="s">
        <v>510</v>
      </c>
      <c r="I51" t="s">
        <v>511</v>
      </c>
      <c r="J51" t="s">
        <v>512</v>
      </c>
      <c r="K51" t="s">
        <v>513</v>
      </c>
      <c r="L51" t="s">
        <v>514</v>
      </c>
      <c r="M51" t="s">
        <v>515</v>
      </c>
      <c r="N51" s="4">
        <v>46125</v>
      </c>
      <c r="Q51" t="s">
        <v>31</v>
      </c>
    </row>
    <row r="52" spans="2:17" x14ac:dyDescent="0.25">
      <c r="B52">
        <v>242</v>
      </c>
      <c r="C52" t="s">
        <v>644</v>
      </c>
      <c r="D52" t="s">
        <v>1259</v>
      </c>
      <c r="E52" t="s">
        <v>645</v>
      </c>
      <c r="F52">
        <v>3</v>
      </c>
      <c r="G52" t="s">
        <v>61</v>
      </c>
      <c r="H52" t="s">
        <v>646</v>
      </c>
      <c r="I52" t="s">
        <v>647</v>
      </c>
      <c r="J52" t="s">
        <v>648</v>
      </c>
      <c r="K52" t="s">
        <v>649</v>
      </c>
      <c r="L52" t="s">
        <v>650</v>
      </c>
      <c r="N52" s="4">
        <v>46125</v>
      </c>
      <c r="Q52" t="s">
        <v>31</v>
      </c>
    </row>
    <row r="53" spans="2:17" x14ac:dyDescent="0.25">
      <c r="B53">
        <v>170</v>
      </c>
      <c r="C53" t="s">
        <v>424</v>
      </c>
      <c r="D53" t="s">
        <v>1256</v>
      </c>
      <c r="E53" t="s">
        <v>425</v>
      </c>
      <c r="F53">
        <v>4</v>
      </c>
      <c r="G53" t="s">
        <v>111</v>
      </c>
      <c r="H53" t="s">
        <v>426</v>
      </c>
      <c r="I53" t="s">
        <v>427</v>
      </c>
      <c r="J53" t="s">
        <v>428</v>
      </c>
      <c r="K53" t="s">
        <v>429</v>
      </c>
      <c r="L53" t="s">
        <v>429</v>
      </c>
      <c r="M53" t="s">
        <v>430</v>
      </c>
      <c r="N53" s="4">
        <v>46125</v>
      </c>
      <c r="Q53" t="s">
        <v>31</v>
      </c>
    </row>
    <row r="54" spans="2:17" x14ac:dyDescent="0.25">
      <c r="B54">
        <v>554</v>
      </c>
      <c r="C54" t="s">
        <v>134</v>
      </c>
      <c r="D54" t="s">
        <v>1224</v>
      </c>
      <c r="E54" t="s">
        <v>135</v>
      </c>
      <c r="F54">
        <v>1</v>
      </c>
      <c r="G54" t="s">
        <v>24</v>
      </c>
      <c r="H54" t="s">
        <v>136</v>
      </c>
      <c r="I54" t="s">
        <v>137</v>
      </c>
      <c r="J54" t="s">
        <v>138</v>
      </c>
      <c r="K54" t="s">
        <v>139</v>
      </c>
      <c r="L54" t="s">
        <v>140</v>
      </c>
      <c r="M54" t="s">
        <v>141</v>
      </c>
      <c r="N54" s="4">
        <v>46125</v>
      </c>
    </row>
    <row r="55" spans="2:17" x14ac:dyDescent="0.25">
      <c r="B55">
        <v>511</v>
      </c>
      <c r="C55" t="s">
        <v>134</v>
      </c>
      <c r="D55" t="s">
        <v>1258</v>
      </c>
      <c r="E55" t="s">
        <v>135</v>
      </c>
      <c r="F55">
        <v>1</v>
      </c>
      <c r="G55" t="s">
        <v>24</v>
      </c>
      <c r="H55" t="s">
        <v>136</v>
      </c>
      <c r="I55" t="s">
        <v>137</v>
      </c>
      <c r="J55" t="s">
        <v>138</v>
      </c>
      <c r="K55" t="s">
        <v>139</v>
      </c>
      <c r="L55" t="s">
        <v>140</v>
      </c>
      <c r="M55" t="s">
        <v>141</v>
      </c>
      <c r="N55" s="4">
        <v>46125</v>
      </c>
    </row>
    <row r="56" spans="2:17" x14ac:dyDescent="0.25">
      <c r="B56">
        <v>206</v>
      </c>
      <c r="C56" t="s">
        <v>651</v>
      </c>
      <c r="D56" t="s">
        <v>1259</v>
      </c>
      <c r="E56" t="s">
        <v>652</v>
      </c>
      <c r="F56">
        <v>3</v>
      </c>
      <c r="G56" t="s">
        <v>111</v>
      </c>
      <c r="H56" t="s">
        <v>653</v>
      </c>
      <c r="I56" t="s">
        <v>654</v>
      </c>
      <c r="J56" t="s">
        <v>655</v>
      </c>
      <c r="K56" t="s">
        <v>656</v>
      </c>
      <c r="L56" t="s">
        <v>657</v>
      </c>
      <c r="M56" t="s">
        <v>658</v>
      </c>
      <c r="N56" s="4">
        <v>46125</v>
      </c>
      <c r="Q56" t="s">
        <v>31</v>
      </c>
    </row>
    <row r="57" spans="2:17" x14ac:dyDescent="0.25">
      <c r="B57">
        <v>157</v>
      </c>
      <c r="C57" t="s">
        <v>651</v>
      </c>
      <c r="D57" t="s">
        <v>1256</v>
      </c>
      <c r="E57" t="s">
        <v>652</v>
      </c>
      <c r="F57">
        <v>2</v>
      </c>
      <c r="G57" t="s">
        <v>111</v>
      </c>
      <c r="H57" t="s">
        <v>653</v>
      </c>
      <c r="I57" t="s">
        <v>654</v>
      </c>
      <c r="J57" t="s">
        <v>655</v>
      </c>
      <c r="K57" t="s">
        <v>656</v>
      </c>
      <c r="L57" t="s">
        <v>657</v>
      </c>
      <c r="M57" t="s">
        <v>658</v>
      </c>
      <c r="N57" s="4">
        <v>46125</v>
      </c>
      <c r="Q57" t="s">
        <v>31</v>
      </c>
    </row>
    <row r="58" spans="2:17" x14ac:dyDescent="0.25">
      <c r="B58">
        <v>548</v>
      </c>
      <c r="C58" t="s">
        <v>51</v>
      </c>
      <c r="D58" t="s">
        <v>1224</v>
      </c>
      <c r="E58" t="s">
        <v>52</v>
      </c>
      <c r="F58">
        <v>6</v>
      </c>
      <c r="G58" t="s">
        <v>24</v>
      </c>
      <c r="H58" t="s">
        <v>53</v>
      </c>
      <c r="I58" t="s">
        <v>54</v>
      </c>
      <c r="J58" t="s">
        <v>55</v>
      </c>
      <c r="K58" t="s">
        <v>56</v>
      </c>
      <c r="L58" t="s">
        <v>57</v>
      </c>
      <c r="M58" t="s">
        <v>58</v>
      </c>
      <c r="N58" s="4">
        <v>46125</v>
      </c>
    </row>
    <row r="59" spans="2:17" x14ac:dyDescent="0.25">
      <c r="B59">
        <v>552</v>
      </c>
      <c r="C59" t="s">
        <v>117</v>
      </c>
      <c r="D59" t="s">
        <v>1224</v>
      </c>
      <c r="E59" t="s">
        <v>118</v>
      </c>
      <c r="F59">
        <v>1</v>
      </c>
      <c r="G59" t="s">
        <v>24</v>
      </c>
      <c r="H59" t="s">
        <v>119</v>
      </c>
      <c r="I59" t="s">
        <v>120</v>
      </c>
      <c r="J59" t="s">
        <v>121</v>
      </c>
      <c r="K59" t="s">
        <v>122</v>
      </c>
      <c r="L59" t="s">
        <v>123</v>
      </c>
      <c r="M59" t="s">
        <v>124</v>
      </c>
      <c r="N59" s="4">
        <v>46125</v>
      </c>
    </row>
    <row r="60" spans="2:17" x14ac:dyDescent="0.25">
      <c r="B60">
        <v>517</v>
      </c>
      <c r="C60" t="s">
        <v>667</v>
      </c>
      <c r="D60" t="s">
        <v>1258</v>
      </c>
      <c r="E60" t="s">
        <v>668</v>
      </c>
      <c r="F60">
        <v>2</v>
      </c>
      <c r="G60" t="s">
        <v>61</v>
      </c>
      <c r="H60" t="s">
        <v>669</v>
      </c>
      <c r="I60" t="s">
        <v>670</v>
      </c>
      <c r="J60" t="s">
        <v>671</v>
      </c>
      <c r="K60" t="s">
        <v>672</v>
      </c>
      <c r="L60" t="s">
        <v>672</v>
      </c>
      <c r="M60" t="s">
        <v>673</v>
      </c>
      <c r="N60" s="4">
        <v>46125</v>
      </c>
    </row>
    <row r="61" spans="2:17" x14ac:dyDescent="0.25">
      <c r="B61">
        <v>544</v>
      </c>
      <c r="C61" t="s">
        <v>502</v>
      </c>
      <c r="D61" t="s">
        <v>1258</v>
      </c>
      <c r="E61" t="s">
        <v>503</v>
      </c>
      <c r="F61">
        <v>1</v>
      </c>
      <c r="G61" t="s">
        <v>61</v>
      </c>
      <c r="H61" t="s">
        <v>504</v>
      </c>
      <c r="I61" t="s">
        <v>505</v>
      </c>
      <c r="J61" t="s">
        <v>506</v>
      </c>
      <c r="K61" t="s">
        <v>283</v>
      </c>
      <c r="L61" t="s">
        <v>284</v>
      </c>
      <c r="M61" t="s">
        <v>507</v>
      </c>
      <c r="N61" s="4">
        <v>46125</v>
      </c>
    </row>
    <row r="62" spans="2:17" x14ac:dyDescent="0.25">
      <c r="B62">
        <v>536</v>
      </c>
      <c r="C62" t="s">
        <v>383</v>
      </c>
      <c r="D62" t="s">
        <v>1258</v>
      </c>
      <c r="E62" t="s">
        <v>384</v>
      </c>
      <c r="F62">
        <v>3</v>
      </c>
      <c r="G62" t="s">
        <v>61</v>
      </c>
      <c r="H62" t="s">
        <v>385</v>
      </c>
      <c r="I62" t="s">
        <v>386</v>
      </c>
      <c r="J62" t="s">
        <v>387</v>
      </c>
      <c r="K62" t="s">
        <v>388</v>
      </c>
      <c r="L62" t="s">
        <v>389</v>
      </c>
      <c r="M62" t="s">
        <v>390</v>
      </c>
      <c r="N62" s="4">
        <v>46125</v>
      </c>
    </row>
    <row r="63" spans="2:17" x14ac:dyDescent="0.25">
      <c r="B63">
        <v>538</v>
      </c>
      <c r="C63" t="s">
        <v>431</v>
      </c>
      <c r="D63" t="s">
        <v>1258</v>
      </c>
      <c r="E63" t="s">
        <v>432</v>
      </c>
      <c r="F63">
        <v>1</v>
      </c>
      <c r="G63" t="s">
        <v>152</v>
      </c>
      <c r="H63" t="s">
        <v>433</v>
      </c>
      <c r="I63" t="s">
        <v>434</v>
      </c>
      <c r="J63" t="s">
        <v>435</v>
      </c>
      <c r="K63" t="s">
        <v>436</v>
      </c>
      <c r="L63" t="s">
        <v>437</v>
      </c>
      <c r="M63" t="s">
        <v>438</v>
      </c>
      <c r="N63" s="4">
        <v>46125</v>
      </c>
    </row>
    <row r="64" spans="2:17" x14ac:dyDescent="0.25">
      <c r="B64">
        <v>533</v>
      </c>
      <c r="C64" t="s">
        <v>366</v>
      </c>
      <c r="D64" t="s">
        <v>1258</v>
      </c>
      <c r="E64" t="s">
        <v>367</v>
      </c>
      <c r="F64">
        <v>2</v>
      </c>
      <c r="G64" t="s">
        <v>368</v>
      </c>
      <c r="H64" t="s">
        <v>369</v>
      </c>
      <c r="I64" t="s">
        <v>370</v>
      </c>
      <c r="J64" t="s">
        <v>371</v>
      </c>
      <c r="K64" t="s">
        <v>372</v>
      </c>
      <c r="L64" t="s">
        <v>373</v>
      </c>
      <c r="M64" t="s">
        <v>374</v>
      </c>
      <c r="N64" s="4">
        <v>46125</v>
      </c>
    </row>
    <row r="65" spans="2:17" x14ac:dyDescent="0.25">
      <c r="B65">
        <v>532</v>
      </c>
      <c r="C65" t="s">
        <v>802</v>
      </c>
      <c r="D65" t="s">
        <v>1258</v>
      </c>
      <c r="E65" t="s">
        <v>803</v>
      </c>
      <c r="F65">
        <v>2</v>
      </c>
      <c r="G65" t="s">
        <v>804</v>
      </c>
      <c r="H65" t="s">
        <v>805</v>
      </c>
      <c r="I65" t="s">
        <v>806</v>
      </c>
      <c r="J65" t="s">
        <v>807</v>
      </c>
      <c r="K65" t="s">
        <v>808</v>
      </c>
      <c r="L65" t="s">
        <v>809</v>
      </c>
      <c r="M65" t="s">
        <v>810</v>
      </c>
      <c r="N65" s="4">
        <v>46125</v>
      </c>
    </row>
    <row r="66" spans="2:17" ht="30" customHeight="1" x14ac:dyDescent="0.25">
      <c r="B66" s="11" t="s">
        <v>1269</v>
      </c>
      <c r="C66" t="s">
        <v>802</v>
      </c>
      <c r="D66" t="s">
        <v>1256</v>
      </c>
      <c r="E66" t="s">
        <v>803</v>
      </c>
      <c r="F66">
        <v>15</v>
      </c>
      <c r="G66" t="s">
        <v>804</v>
      </c>
      <c r="H66" s="11" t="s">
        <v>874</v>
      </c>
      <c r="I66" s="11" t="s">
        <v>875</v>
      </c>
      <c r="J66" s="11" t="s">
        <v>876</v>
      </c>
      <c r="K66" t="s">
        <v>808</v>
      </c>
      <c r="L66" s="11" t="s">
        <v>1270</v>
      </c>
      <c r="M66" t="s">
        <v>810</v>
      </c>
      <c r="N66" s="4">
        <v>46125</v>
      </c>
      <c r="Q66" t="s">
        <v>31</v>
      </c>
    </row>
    <row r="67" spans="2:17" x14ac:dyDescent="0.25">
      <c r="B67">
        <v>546</v>
      </c>
      <c r="C67" t="s">
        <v>811</v>
      </c>
      <c r="D67" t="s">
        <v>1224</v>
      </c>
      <c r="E67" t="s">
        <v>812</v>
      </c>
      <c r="F67">
        <v>2</v>
      </c>
      <c r="G67" t="s">
        <v>813</v>
      </c>
      <c r="H67" t="s">
        <v>814</v>
      </c>
      <c r="I67" t="s">
        <v>815</v>
      </c>
      <c r="J67" t="s">
        <v>816</v>
      </c>
      <c r="K67" t="s">
        <v>817</v>
      </c>
      <c r="L67" t="s">
        <v>1148</v>
      </c>
      <c r="M67" t="s">
        <v>819</v>
      </c>
      <c r="N67" s="4">
        <v>46125</v>
      </c>
    </row>
    <row r="68" spans="2:17" x14ac:dyDescent="0.25">
      <c r="B68">
        <v>535</v>
      </c>
      <c r="C68" t="s">
        <v>375</v>
      </c>
      <c r="D68" t="s">
        <v>1258</v>
      </c>
      <c r="E68" t="s">
        <v>376</v>
      </c>
      <c r="F68">
        <v>1</v>
      </c>
      <c r="G68" t="s">
        <v>111</v>
      </c>
      <c r="H68" t="s">
        <v>377</v>
      </c>
      <c r="I68" t="s">
        <v>378</v>
      </c>
      <c r="J68" t="s">
        <v>379</v>
      </c>
      <c r="K68" t="s">
        <v>380</v>
      </c>
      <c r="L68" t="s">
        <v>381</v>
      </c>
      <c r="M68" t="s">
        <v>382</v>
      </c>
      <c r="N68" s="4">
        <v>46125</v>
      </c>
    </row>
    <row r="69" spans="2:17" x14ac:dyDescent="0.25">
      <c r="B69">
        <v>520</v>
      </c>
      <c r="C69" t="s">
        <v>198</v>
      </c>
      <c r="D69" t="s">
        <v>1258</v>
      </c>
      <c r="E69" t="s">
        <v>199</v>
      </c>
      <c r="F69">
        <v>1</v>
      </c>
      <c r="G69" t="s">
        <v>200</v>
      </c>
      <c r="H69" t="s">
        <v>201</v>
      </c>
      <c r="I69" t="s">
        <v>202</v>
      </c>
      <c r="J69" t="s">
        <v>203</v>
      </c>
      <c r="K69" t="s">
        <v>204</v>
      </c>
      <c r="L69" t="s">
        <v>205</v>
      </c>
      <c r="M69" t="s">
        <v>206</v>
      </c>
      <c r="N69" s="4">
        <v>46125</v>
      </c>
    </row>
    <row r="70" spans="2:17" x14ac:dyDescent="0.25">
      <c r="B70">
        <v>519</v>
      </c>
      <c r="C70" t="s">
        <v>190</v>
      </c>
      <c r="D70" t="s">
        <v>1258</v>
      </c>
      <c r="E70" t="s">
        <v>191</v>
      </c>
      <c r="F70">
        <v>1</v>
      </c>
      <c r="G70" t="s">
        <v>24</v>
      </c>
      <c r="H70" t="s">
        <v>1271</v>
      </c>
      <c r="I70" t="s">
        <v>1272</v>
      </c>
      <c r="J70" t="s">
        <v>1273</v>
      </c>
      <c r="K70" t="s">
        <v>195</v>
      </c>
      <c r="L70" t="s">
        <v>1274</v>
      </c>
      <c r="M70" t="s">
        <v>197</v>
      </c>
      <c r="N70" s="4">
        <v>46125</v>
      </c>
    </row>
    <row r="71" spans="2:17" ht="90" customHeight="1" x14ac:dyDescent="0.25">
      <c r="B71" s="11" t="s">
        <v>1275</v>
      </c>
      <c r="C71" t="s">
        <v>190</v>
      </c>
      <c r="D71" t="s">
        <v>1259</v>
      </c>
      <c r="E71" t="s">
        <v>191</v>
      </c>
      <c r="F71">
        <v>18</v>
      </c>
      <c r="G71" t="s">
        <v>24</v>
      </c>
      <c r="H71" s="11" t="s">
        <v>1276</v>
      </c>
      <c r="I71" s="11" t="s">
        <v>1277</v>
      </c>
      <c r="J71" s="11" t="s">
        <v>1278</v>
      </c>
      <c r="K71" t="s">
        <v>195</v>
      </c>
      <c r="L71" s="11" t="s">
        <v>1279</v>
      </c>
      <c r="M71" t="s">
        <v>197</v>
      </c>
      <c r="N71" s="4">
        <v>46125</v>
      </c>
      <c r="Q71" t="s">
        <v>31</v>
      </c>
    </row>
    <row r="72" spans="2:17" ht="30" customHeight="1" x14ac:dyDescent="0.25">
      <c r="B72" s="11" t="s">
        <v>1280</v>
      </c>
      <c r="C72" t="s">
        <v>190</v>
      </c>
      <c r="D72" t="s">
        <v>1256</v>
      </c>
      <c r="E72" t="s">
        <v>191</v>
      </c>
      <c r="F72">
        <v>2</v>
      </c>
      <c r="G72" t="s">
        <v>24</v>
      </c>
      <c r="H72" s="11" t="s">
        <v>1281</v>
      </c>
      <c r="I72" s="11" t="s">
        <v>1282</v>
      </c>
      <c r="J72" s="11" t="s">
        <v>1283</v>
      </c>
      <c r="K72" t="s">
        <v>195</v>
      </c>
      <c r="L72" s="11" t="s">
        <v>1284</v>
      </c>
      <c r="M72" t="s">
        <v>197</v>
      </c>
      <c r="N72" s="4">
        <v>46125</v>
      </c>
      <c r="Q72" t="s">
        <v>31</v>
      </c>
    </row>
    <row r="73" spans="2:17" ht="30" customHeight="1" x14ac:dyDescent="0.25">
      <c r="B73">
        <v>523</v>
      </c>
      <c r="C73" t="s">
        <v>231</v>
      </c>
      <c r="D73" t="s">
        <v>1258</v>
      </c>
      <c r="E73" t="s">
        <v>232</v>
      </c>
      <c r="F73">
        <v>2</v>
      </c>
      <c r="G73" t="s">
        <v>61</v>
      </c>
      <c r="H73" s="11" t="s">
        <v>233</v>
      </c>
      <c r="I73" s="11" t="s">
        <v>234</v>
      </c>
      <c r="J73" s="11" t="s">
        <v>235</v>
      </c>
      <c r="K73" t="s">
        <v>236</v>
      </c>
      <c r="L73" t="s">
        <v>891</v>
      </c>
      <c r="M73" t="s">
        <v>238</v>
      </c>
      <c r="N73" s="4">
        <v>46125</v>
      </c>
    </row>
    <row r="74" spans="2:17" ht="30" customHeight="1" x14ac:dyDescent="0.25">
      <c r="B74" s="11" t="s">
        <v>1285</v>
      </c>
      <c r="C74" t="s">
        <v>255</v>
      </c>
      <c r="D74" t="s">
        <v>1259</v>
      </c>
      <c r="E74" t="s">
        <v>256</v>
      </c>
      <c r="F74">
        <v>3</v>
      </c>
      <c r="G74" t="s">
        <v>61</v>
      </c>
      <c r="H74" s="11" t="s">
        <v>1286</v>
      </c>
      <c r="I74" s="11" t="s">
        <v>1287</v>
      </c>
      <c r="J74" s="11" t="s">
        <v>1288</v>
      </c>
      <c r="K74" t="s">
        <v>260</v>
      </c>
      <c r="L74" s="11" t="s">
        <v>1289</v>
      </c>
      <c r="M74" t="s">
        <v>262</v>
      </c>
      <c r="N74" s="4">
        <v>46125</v>
      </c>
      <c r="Q74" t="s">
        <v>31</v>
      </c>
    </row>
    <row r="75" spans="2:17" ht="30" customHeight="1" x14ac:dyDescent="0.25">
      <c r="B75">
        <v>155</v>
      </c>
      <c r="C75" t="s">
        <v>255</v>
      </c>
      <c r="D75" t="s">
        <v>1256</v>
      </c>
      <c r="E75" t="s">
        <v>256</v>
      </c>
      <c r="F75">
        <v>1</v>
      </c>
      <c r="G75" t="s">
        <v>61</v>
      </c>
      <c r="H75" t="s">
        <v>1290</v>
      </c>
      <c r="I75" t="s">
        <v>1291</v>
      </c>
      <c r="J75" s="11" t="s">
        <v>1292</v>
      </c>
      <c r="K75" t="s">
        <v>260</v>
      </c>
      <c r="L75" t="s">
        <v>1293</v>
      </c>
      <c r="M75" t="s">
        <v>262</v>
      </c>
      <c r="N75" s="4">
        <v>46125</v>
      </c>
      <c r="Q75" t="s">
        <v>31</v>
      </c>
    </row>
    <row r="76" spans="2:17" x14ac:dyDescent="0.25">
      <c r="B76">
        <v>510</v>
      </c>
      <c r="C76" t="s">
        <v>125</v>
      </c>
      <c r="D76" t="s">
        <v>1258</v>
      </c>
      <c r="E76" t="s">
        <v>126</v>
      </c>
      <c r="F76">
        <v>1</v>
      </c>
      <c r="G76" t="s">
        <v>127</v>
      </c>
      <c r="H76" t="s">
        <v>128</v>
      </c>
      <c r="I76" t="s">
        <v>129</v>
      </c>
      <c r="J76" t="s">
        <v>130</v>
      </c>
      <c r="K76" t="s">
        <v>131</v>
      </c>
      <c r="L76" t="s">
        <v>132</v>
      </c>
      <c r="M76" t="s">
        <v>133</v>
      </c>
      <c r="N76" s="4">
        <v>46125</v>
      </c>
    </row>
    <row r="77" spans="2:17" x14ac:dyDescent="0.25">
      <c r="B77">
        <v>220</v>
      </c>
      <c r="C77" t="s">
        <v>734</v>
      </c>
      <c r="D77" t="s">
        <v>1259</v>
      </c>
      <c r="E77" t="s">
        <v>735</v>
      </c>
      <c r="F77">
        <v>3</v>
      </c>
      <c r="G77" t="s">
        <v>736</v>
      </c>
      <c r="H77" t="s">
        <v>737</v>
      </c>
      <c r="I77" t="s">
        <v>738</v>
      </c>
      <c r="J77" t="s">
        <v>739</v>
      </c>
      <c r="K77" t="s">
        <v>740</v>
      </c>
      <c r="L77" t="s">
        <v>741</v>
      </c>
      <c r="M77" t="s">
        <v>742</v>
      </c>
      <c r="N77" s="4">
        <v>46125</v>
      </c>
      <c r="Q77" t="s">
        <v>31</v>
      </c>
    </row>
    <row r="78" spans="2:17" ht="30" customHeight="1" x14ac:dyDescent="0.25">
      <c r="B78" s="11" t="s">
        <v>1294</v>
      </c>
      <c r="C78" t="s">
        <v>734</v>
      </c>
      <c r="D78" t="s">
        <v>1256</v>
      </c>
      <c r="E78" t="s">
        <v>735</v>
      </c>
      <c r="F78">
        <v>6</v>
      </c>
      <c r="G78" t="s">
        <v>736</v>
      </c>
      <c r="H78" t="s">
        <v>737</v>
      </c>
      <c r="I78" t="s">
        <v>738</v>
      </c>
      <c r="J78" t="s">
        <v>739</v>
      </c>
      <c r="K78" t="s">
        <v>740</v>
      </c>
      <c r="L78" s="11" t="s">
        <v>1295</v>
      </c>
      <c r="M78" t="s">
        <v>742</v>
      </c>
      <c r="N78" s="4">
        <v>46125</v>
      </c>
      <c r="Q78" t="s">
        <v>31</v>
      </c>
    </row>
    <row r="79" spans="2:17" x14ac:dyDescent="0.25">
      <c r="B79">
        <v>518</v>
      </c>
      <c r="C79" t="s">
        <v>182</v>
      </c>
      <c r="D79" t="s">
        <v>1258</v>
      </c>
      <c r="E79" t="s">
        <v>183</v>
      </c>
      <c r="F79">
        <v>1</v>
      </c>
      <c r="G79" t="s">
        <v>111</v>
      </c>
      <c r="H79" t="s">
        <v>184</v>
      </c>
      <c r="I79" t="s">
        <v>185</v>
      </c>
      <c r="J79" t="s">
        <v>186</v>
      </c>
      <c r="K79" t="s">
        <v>187</v>
      </c>
      <c r="L79" t="s">
        <v>188</v>
      </c>
      <c r="M79" t="s">
        <v>189</v>
      </c>
      <c r="N79" s="4">
        <v>46125</v>
      </c>
    </row>
    <row r="80" spans="2:17" x14ac:dyDescent="0.25">
      <c r="B80">
        <v>522</v>
      </c>
      <c r="C80" t="s">
        <v>223</v>
      </c>
      <c r="D80" t="s">
        <v>1258</v>
      </c>
      <c r="E80" t="s">
        <v>224</v>
      </c>
      <c r="F80">
        <v>1</v>
      </c>
      <c r="G80" t="s">
        <v>61</v>
      </c>
      <c r="H80" t="s">
        <v>225</v>
      </c>
      <c r="I80" t="s">
        <v>226</v>
      </c>
      <c r="J80" t="s">
        <v>227</v>
      </c>
      <c r="K80" t="s">
        <v>228</v>
      </c>
      <c r="L80" t="s">
        <v>229</v>
      </c>
      <c r="M80" t="s">
        <v>230</v>
      </c>
      <c r="N80" s="4">
        <v>46125</v>
      </c>
    </row>
    <row r="81" spans="2:14" x14ac:dyDescent="0.25">
      <c r="B81">
        <v>527</v>
      </c>
      <c r="C81" t="s">
        <v>294</v>
      </c>
      <c r="D81" t="s">
        <v>1258</v>
      </c>
      <c r="E81" t="s">
        <v>295</v>
      </c>
      <c r="F81">
        <v>2</v>
      </c>
      <c r="G81" t="s">
        <v>61</v>
      </c>
      <c r="H81" t="s">
        <v>908</v>
      </c>
      <c r="I81" t="s">
        <v>909</v>
      </c>
      <c r="J81" t="s">
        <v>910</v>
      </c>
      <c r="K81" t="s">
        <v>299</v>
      </c>
      <c r="L81" t="s">
        <v>300</v>
      </c>
      <c r="M81" t="s">
        <v>301</v>
      </c>
      <c r="N81" s="4">
        <v>46125</v>
      </c>
    </row>
    <row r="82" spans="2:14" x14ac:dyDescent="0.25">
      <c r="F82">
        <f>SUBTOTAL(109,Table17[Kom.])</f>
        <v>242</v>
      </c>
      <c r="N82" s="4"/>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3"/>
  <sheetViews>
    <sheetView workbookViewId="0">
      <pane ySplit="4" topLeftCell="A107" activePane="bottomLeft" state="frozen"/>
      <selection pane="bottomLeft" activeCell="E127" sqref="E127"/>
    </sheetView>
  </sheetViews>
  <sheetFormatPr defaultColWidth="8.85546875" defaultRowHeight="15" x14ac:dyDescent="0.25"/>
  <cols>
    <col min="1" max="1" width="94" bestFit="1" customWidth="1"/>
    <col min="2" max="2" width="16.85546875" bestFit="1" customWidth="1"/>
    <col min="3" max="3" width="9.140625" bestFit="1" customWidth="1"/>
    <col min="4" max="4" width="8.140625" bestFit="1" customWidth="1"/>
    <col min="5" max="5" width="9.140625" bestFit="1" customWidth="1"/>
    <col min="8" max="8" width="8.140625" bestFit="1" customWidth="1"/>
    <col min="9" max="9" width="9.140625" bestFit="1" customWidth="1"/>
    <col min="10" max="10" width="7.28515625" bestFit="1" customWidth="1"/>
    <col min="11" max="11" width="8.140625" bestFit="1" customWidth="1"/>
    <col min="12" max="12" width="9.140625" bestFit="1" customWidth="1"/>
    <col min="13" max="14" width="11.28515625" bestFit="1" customWidth="1"/>
  </cols>
  <sheetData>
    <row r="1" spans="1:13" x14ac:dyDescent="0.25">
      <c r="A1" s="1" t="s">
        <v>6</v>
      </c>
      <c r="B1" t="s">
        <v>911</v>
      </c>
    </row>
    <row r="3" spans="1:13" x14ac:dyDescent="0.25">
      <c r="A3" s="1" t="s">
        <v>912</v>
      </c>
      <c r="B3" s="1" t="s">
        <v>913</v>
      </c>
    </row>
    <row r="4" spans="1:13" x14ac:dyDescent="0.25">
      <c r="A4" s="1" t="s">
        <v>914</v>
      </c>
      <c r="B4" s="4">
        <v>46104</v>
      </c>
      <c r="C4" s="4">
        <v>46111</v>
      </c>
      <c r="D4" s="4">
        <v>46119</v>
      </c>
      <c r="E4" s="4">
        <v>46125</v>
      </c>
      <c r="F4" s="4">
        <v>46132</v>
      </c>
      <c r="G4" s="4">
        <v>46139</v>
      </c>
      <c r="H4" s="4">
        <v>46146</v>
      </c>
      <c r="I4" s="4">
        <v>46153</v>
      </c>
      <c r="J4" t="s">
        <v>915</v>
      </c>
      <c r="K4" s="4">
        <v>46181</v>
      </c>
      <c r="L4" s="4">
        <v>46160</v>
      </c>
      <c r="M4" t="s">
        <v>916</v>
      </c>
    </row>
    <row r="5" spans="1:13" x14ac:dyDescent="0.25">
      <c r="A5" s="2" t="s">
        <v>637</v>
      </c>
      <c r="F5">
        <v>2</v>
      </c>
      <c r="G5">
        <v>3</v>
      </c>
      <c r="M5">
        <v>5</v>
      </c>
    </row>
    <row r="6" spans="1:13" x14ac:dyDescent="0.25">
      <c r="A6" s="3" t="s">
        <v>636</v>
      </c>
      <c r="F6">
        <v>2</v>
      </c>
      <c r="G6">
        <v>3</v>
      </c>
      <c r="M6">
        <v>5</v>
      </c>
    </row>
    <row r="7" spans="1:13" x14ac:dyDescent="0.25">
      <c r="A7" s="2" t="s">
        <v>813</v>
      </c>
      <c r="D7">
        <v>41</v>
      </c>
      <c r="E7">
        <v>2</v>
      </c>
      <c r="G7">
        <v>3</v>
      </c>
      <c r="I7">
        <v>51</v>
      </c>
      <c r="L7">
        <v>10</v>
      </c>
      <c r="M7">
        <v>107</v>
      </c>
    </row>
    <row r="8" spans="1:13" x14ac:dyDescent="0.25">
      <c r="A8" s="3" t="s">
        <v>812</v>
      </c>
      <c r="D8">
        <v>41</v>
      </c>
      <c r="E8">
        <v>2</v>
      </c>
      <c r="G8">
        <v>3</v>
      </c>
      <c r="I8">
        <v>51</v>
      </c>
      <c r="L8">
        <v>10</v>
      </c>
      <c r="M8">
        <v>107</v>
      </c>
    </row>
    <row r="9" spans="1:13" x14ac:dyDescent="0.25">
      <c r="A9" s="2" t="s">
        <v>784</v>
      </c>
      <c r="D9">
        <v>2</v>
      </c>
      <c r="E9">
        <v>1</v>
      </c>
      <c r="I9">
        <v>1</v>
      </c>
      <c r="M9">
        <v>4</v>
      </c>
    </row>
    <row r="10" spans="1:13" x14ac:dyDescent="0.25">
      <c r="A10" s="3" t="s">
        <v>783</v>
      </c>
      <c r="D10">
        <v>2</v>
      </c>
      <c r="E10">
        <v>1</v>
      </c>
      <c r="I10">
        <v>1</v>
      </c>
      <c r="M10">
        <v>4</v>
      </c>
    </row>
    <row r="11" spans="1:13" x14ac:dyDescent="0.25">
      <c r="A11" s="2" t="s">
        <v>717</v>
      </c>
      <c r="D11">
        <v>1</v>
      </c>
      <c r="G11">
        <v>1</v>
      </c>
      <c r="M11">
        <v>2</v>
      </c>
    </row>
    <row r="12" spans="1:13" x14ac:dyDescent="0.25">
      <c r="A12" s="3" t="s">
        <v>716</v>
      </c>
      <c r="D12">
        <v>1</v>
      </c>
      <c r="G12">
        <v>1</v>
      </c>
      <c r="M12">
        <v>2</v>
      </c>
    </row>
    <row r="13" spans="1:13" x14ac:dyDescent="0.25">
      <c r="A13" s="2" t="s">
        <v>573</v>
      </c>
      <c r="B13">
        <v>3</v>
      </c>
      <c r="C13">
        <v>2</v>
      </c>
      <c r="D13">
        <v>2</v>
      </c>
      <c r="E13">
        <v>2</v>
      </c>
      <c r="F13">
        <v>8</v>
      </c>
      <c r="G13">
        <v>2</v>
      </c>
      <c r="L13">
        <v>1</v>
      </c>
      <c r="M13">
        <v>20</v>
      </c>
    </row>
    <row r="14" spans="1:13" x14ac:dyDescent="0.25">
      <c r="A14" s="3" t="s">
        <v>572</v>
      </c>
      <c r="B14">
        <v>3</v>
      </c>
      <c r="C14">
        <v>2</v>
      </c>
      <c r="D14">
        <v>2</v>
      </c>
      <c r="E14">
        <v>2</v>
      </c>
      <c r="F14">
        <v>8</v>
      </c>
      <c r="G14">
        <v>2</v>
      </c>
      <c r="L14">
        <v>1</v>
      </c>
      <c r="M14">
        <v>20</v>
      </c>
    </row>
    <row r="15" spans="1:13" x14ac:dyDescent="0.25">
      <c r="A15" s="2" t="s">
        <v>736</v>
      </c>
      <c r="E15">
        <v>9</v>
      </c>
      <c r="F15">
        <v>1</v>
      </c>
      <c r="G15">
        <v>1</v>
      </c>
      <c r="M15">
        <v>11</v>
      </c>
    </row>
    <row r="16" spans="1:13" x14ac:dyDescent="0.25">
      <c r="A16" s="3" t="s">
        <v>735</v>
      </c>
      <c r="E16">
        <v>9</v>
      </c>
      <c r="F16">
        <v>1</v>
      </c>
      <c r="G16">
        <v>1</v>
      </c>
      <c r="M16">
        <v>11</v>
      </c>
    </row>
    <row r="17" spans="1:13" x14ac:dyDescent="0.25">
      <c r="A17" s="2" t="s">
        <v>901</v>
      </c>
      <c r="D17">
        <v>1</v>
      </c>
      <c r="F17">
        <v>1</v>
      </c>
      <c r="I17">
        <v>1</v>
      </c>
      <c r="M17">
        <v>3</v>
      </c>
    </row>
    <row r="18" spans="1:13" x14ac:dyDescent="0.25">
      <c r="A18" s="3" t="s">
        <v>900</v>
      </c>
      <c r="D18">
        <v>1</v>
      </c>
      <c r="F18">
        <v>1</v>
      </c>
      <c r="I18">
        <v>1</v>
      </c>
      <c r="M18">
        <v>3</v>
      </c>
    </row>
    <row r="19" spans="1:13" x14ac:dyDescent="0.25">
      <c r="A19" s="2" t="s">
        <v>804</v>
      </c>
      <c r="B19">
        <v>20</v>
      </c>
      <c r="C19">
        <v>1</v>
      </c>
      <c r="D19">
        <v>18</v>
      </c>
      <c r="E19">
        <v>17</v>
      </c>
      <c r="G19">
        <v>15</v>
      </c>
      <c r="I19">
        <v>3</v>
      </c>
      <c r="L19">
        <v>20</v>
      </c>
      <c r="M19">
        <v>94</v>
      </c>
    </row>
    <row r="20" spans="1:13" x14ac:dyDescent="0.25">
      <c r="A20" s="3" t="s">
        <v>803</v>
      </c>
      <c r="B20">
        <v>20</v>
      </c>
      <c r="C20">
        <v>1</v>
      </c>
      <c r="D20">
        <v>18</v>
      </c>
      <c r="E20">
        <v>17</v>
      </c>
      <c r="G20">
        <v>15</v>
      </c>
      <c r="I20">
        <v>3</v>
      </c>
      <c r="L20">
        <v>20</v>
      </c>
      <c r="M20">
        <v>94</v>
      </c>
    </row>
    <row r="21" spans="1:13" x14ac:dyDescent="0.25">
      <c r="A21" s="2" t="s">
        <v>727</v>
      </c>
      <c r="B21">
        <v>2</v>
      </c>
      <c r="G21">
        <v>1</v>
      </c>
      <c r="H21">
        <v>1</v>
      </c>
      <c r="L21">
        <v>1</v>
      </c>
      <c r="M21">
        <v>5</v>
      </c>
    </row>
    <row r="22" spans="1:13" x14ac:dyDescent="0.25">
      <c r="A22" s="3" t="s">
        <v>726</v>
      </c>
      <c r="B22">
        <v>2</v>
      </c>
      <c r="G22">
        <v>1</v>
      </c>
      <c r="H22">
        <v>1</v>
      </c>
      <c r="L22">
        <v>1</v>
      </c>
      <c r="M22">
        <v>5</v>
      </c>
    </row>
    <row r="23" spans="1:13" x14ac:dyDescent="0.25">
      <c r="A23" s="2" t="s">
        <v>417</v>
      </c>
      <c r="B23">
        <v>1</v>
      </c>
      <c r="D23">
        <v>4</v>
      </c>
      <c r="G23">
        <v>5</v>
      </c>
      <c r="L23">
        <v>5</v>
      </c>
      <c r="M23">
        <v>15</v>
      </c>
    </row>
    <row r="24" spans="1:13" x14ac:dyDescent="0.25">
      <c r="A24" s="3" t="s">
        <v>416</v>
      </c>
      <c r="B24">
        <v>1</v>
      </c>
      <c r="D24">
        <v>4</v>
      </c>
      <c r="G24">
        <v>5</v>
      </c>
      <c r="L24">
        <v>5</v>
      </c>
      <c r="M24">
        <v>15</v>
      </c>
    </row>
    <row r="25" spans="1:13" x14ac:dyDescent="0.25">
      <c r="A25" s="2" t="s">
        <v>152</v>
      </c>
      <c r="B25">
        <v>26</v>
      </c>
      <c r="C25">
        <v>8</v>
      </c>
      <c r="D25">
        <v>30</v>
      </c>
      <c r="E25">
        <v>13</v>
      </c>
      <c r="F25">
        <v>13</v>
      </c>
      <c r="G25">
        <v>47</v>
      </c>
      <c r="I25">
        <v>10</v>
      </c>
      <c r="L25">
        <v>20</v>
      </c>
      <c r="M25">
        <v>167</v>
      </c>
    </row>
    <row r="26" spans="1:13" x14ac:dyDescent="0.25">
      <c r="A26" s="3" t="s">
        <v>917</v>
      </c>
      <c r="D26">
        <v>1</v>
      </c>
      <c r="F26">
        <v>1</v>
      </c>
      <c r="G26">
        <v>2</v>
      </c>
      <c r="I26">
        <v>1</v>
      </c>
      <c r="M26">
        <v>5</v>
      </c>
    </row>
    <row r="27" spans="1:13" x14ac:dyDescent="0.25">
      <c r="A27" s="3" t="s">
        <v>311</v>
      </c>
      <c r="B27">
        <v>1</v>
      </c>
      <c r="D27">
        <v>2</v>
      </c>
      <c r="E27">
        <v>1</v>
      </c>
      <c r="F27">
        <v>1</v>
      </c>
      <c r="G27">
        <v>1</v>
      </c>
      <c r="I27">
        <v>1</v>
      </c>
      <c r="M27">
        <v>7</v>
      </c>
    </row>
    <row r="28" spans="1:13" x14ac:dyDescent="0.25">
      <c r="A28" s="3" t="s">
        <v>487</v>
      </c>
      <c r="B28">
        <v>2</v>
      </c>
      <c r="E28">
        <v>2</v>
      </c>
      <c r="G28">
        <v>3</v>
      </c>
      <c r="I28">
        <v>1</v>
      </c>
      <c r="M28">
        <v>8</v>
      </c>
    </row>
    <row r="29" spans="1:13" x14ac:dyDescent="0.25">
      <c r="A29" s="3" t="s">
        <v>464</v>
      </c>
      <c r="D29">
        <v>4</v>
      </c>
      <c r="G29">
        <v>2</v>
      </c>
      <c r="I29">
        <v>1</v>
      </c>
      <c r="L29">
        <v>1</v>
      </c>
      <c r="M29">
        <v>8</v>
      </c>
    </row>
    <row r="30" spans="1:13" x14ac:dyDescent="0.25">
      <c r="A30" s="3" t="s">
        <v>327</v>
      </c>
      <c r="B30">
        <v>1</v>
      </c>
      <c r="C30">
        <v>2</v>
      </c>
      <c r="D30">
        <v>3</v>
      </c>
      <c r="E30">
        <v>3</v>
      </c>
      <c r="F30">
        <v>1</v>
      </c>
      <c r="G30">
        <v>3</v>
      </c>
      <c r="I30">
        <v>1</v>
      </c>
      <c r="M30">
        <v>14</v>
      </c>
    </row>
    <row r="31" spans="1:13" x14ac:dyDescent="0.25">
      <c r="A31" s="3" t="s">
        <v>440</v>
      </c>
      <c r="B31">
        <v>2</v>
      </c>
      <c r="E31">
        <v>1</v>
      </c>
      <c r="F31">
        <v>1</v>
      </c>
      <c r="G31">
        <v>4</v>
      </c>
      <c r="L31">
        <v>1</v>
      </c>
      <c r="M31">
        <v>9</v>
      </c>
    </row>
    <row r="32" spans="1:13" x14ac:dyDescent="0.25">
      <c r="A32" s="3" t="s">
        <v>175</v>
      </c>
      <c r="C32">
        <v>1</v>
      </c>
      <c r="D32">
        <v>2</v>
      </c>
      <c r="E32">
        <v>1</v>
      </c>
      <c r="I32">
        <v>2</v>
      </c>
      <c r="M32">
        <v>6</v>
      </c>
    </row>
    <row r="33" spans="1:13" x14ac:dyDescent="0.25">
      <c r="A33" s="3" t="s">
        <v>351</v>
      </c>
      <c r="D33">
        <v>3</v>
      </c>
      <c r="E33">
        <v>1</v>
      </c>
      <c r="G33">
        <v>1</v>
      </c>
      <c r="I33">
        <v>1</v>
      </c>
      <c r="M33">
        <v>6</v>
      </c>
    </row>
    <row r="34" spans="1:13" x14ac:dyDescent="0.25">
      <c r="A34" s="3" t="s">
        <v>918</v>
      </c>
      <c r="B34">
        <v>4</v>
      </c>
      <c r="C34">
        <v>1</v>
      </c>
      <c r="F34">
        <v>1</v>
      </c>
      <c r="G34">
        <v>3</v>
      </c>
      <c r="L34">
        <v>2</v>
      </c>
      <c r="M34">
        <v>11</v>
      </c>
    </row>
    <row r="35" spans="1:13" x14ac:dyDescent="0.25">
      <c r="A35" s="3" t="s">
        <v>400</v>
      </c>
      <c r="B35">
        <v>2</v>
      </c>
      <c r="C35">
        <v>2</v>
      </c>
      <c r="D35">
        <v>1</v>
      </c>
      <c r="E35">
        <v>1</v>
      </c>
      <c r="F35">
        <v>1</v>
      </c>
      <c r="G35">
        <v>4</v>
      </c>
      <c r="L35">
        <v>3</v>
      </c>
      <c r="M35">
        <v>14</v>
      </c>
    </row>
    <row r="36" spans="1:13" x14ac:dyDescent="0.25">
      <c r="A36" s="3" t="s">
        <v>627</v>
      </c>
      <c r="D36">
        <v>4</v>
      </c>
      <c r="E36">
        <v>2</v>
      </c>
      <c r="F36">
        <v>1</v>
      </c>
      <c r="G36">
        <v>5</v>
      </c>
      <c r="L36">
        <v>1</v>
      </c>
      <c r="M36">
        <v>13</v>
      </c>
    </row>
    <row r="37" spans="1:13" x14ac:dyDescent="0.25">
      <c r="A37" s="3" t="s">
        <v>151</v>
      </c>
      <c r="B37">
        <v>2</v>
      </c>
      <c r="D37">
        <v>1</v>
      </c>
      <c r="F37">
        <v>1</v>
      </c>
      <c r="G37">
        <v>2</v>
      </c>
      <c r="L37">
        <v>2</v>
      </c>
      <c r="M37">
        <v>8</v>
      </c>
    </row>
    <row r="38" spans="1:13" x14ac:dyDescent="0.25">
      <c r="A38" s="3" t="s">
        <v>660</v>
      </c>
      <c r="D38">
        <v>1</v>
      </c>
      <c r="G38">
        <v>4</v>
      </c>
      <c r="L38">
        <v>1</v>
      </c>
      <c r="M38">
        <v>6</v>
      </c>
    </row>
    <row r="39" spans="1:13" x14ac:dyDescent="0.25">
      <c r="A39" s="3" t="s">
        <v>432</v>
      </c>
      <c r="B39">
        <v>12</v>
      </c>
      <c r="C39">
        <v>2</v>
      </c>
      <c r="D39">
        <v>8</v>
      </c>
      <c r="E39">
        <v>1</v>
      </c>
      <c r="F39">
        <v>5</v>
      </c>
      <c r="G39">
        <v>13</v>
      </c>
      <c r="I39">
        <v>2</v>
      </c>
      <c r="L39">
        <v>9</v>
      </c>
      <c r="M39">
        <v>52</v>
      </c>
    </row>
    <row r="40" spans="1:13" x14ac:dyDescent="0.25">
      <c r="A40" s="2" t="s">
        <v>87</v>
      </c>
      <c r="B40">
        <v>2</v>
      </c>
      <c r="D40">
        <v>1</v>
      </c>
      <c r="G40">
        <v>2</v>
      </c>
      <c r="L40">
        <v>1</v>
      </c>
      <c r="M40">
        <v>6</v>
      </c>
    </row>
    <row r="41" spans="1:13" x14ac:dyDescent="0.25">
      <c r="A41" s="3" t="s">
        <v>86</v>
      </c>
      <c r="B41">
        <v>2</v>
      </c>
      <c r="D41">
        <v>1</v>
      </c>
      <c r="G41">
        <v>2</v>
      </c>
      <c r="L41">
        <v>1</v>
      </c>
      <c r="M41">
        <v>6</v>
      </c>
    </row>
    <row r="42" spans="1:13" x14ac:dyDescent="0.25">
      <c r="A42" s="2" t="s">
        <v>368</v>
      </c>
      <c r="B42">
        <v>21</v>
      </c>
      <c r="C42">
        <v>1</v>
      </c>
      <c r="D42">
        <v>3</v>
      </c>
      <c r="E42">
        <v>2</v>
      </c>
      <c r="F42">
        <v>6</v>
      </c>
      <c r="G42">
        <v>9</v>
      </c>
      <c r="I42">
        <v>1</v>
      </c>
      <c r="K42">
        <v>1</v>
      </c>
      <c r="L42">
        <v>15</v>
      </c>
      <c r="M42">
        <v>59</v>
      </c>
    </row>
    <row r="43" spans="1:13" x14ac:dyDescent="0.25">
      <c r="A43" s="3" t="s">
        <v>367</v>
      </c>
      <c r="B43">
        <v>21</v>
      </c>
      <c r="C43">
        <v>1</v>
      </c>
      <c r="D43">
        <v>3</v>
      </c>
      <c r="E43">
        <v>2</v>
      </c>
      <c r="F43">
        <v>6</v>
      </c>
      <c r="G43">
        <v>9</v>
      </c>
      <c r="I43">
        <v>1</v>
      </c>
      <c r="K43">
        <v>1</v>
      </c>
      <c r="L43">
        <v>15</v>
      </c>
      <c r="M43">
        <v>59</v>
      </c>
    </row>
    <row r="44" spans="1:13" x14ac:dyDescent="0.25">
      <c r="A44" s="2" t="s">
        <v>111</v>
      </c>
      <c r="B44">
        <v>42</v>
      </c>
      <c r="C44">
        <v>10</v>
      </c>
      <c r="D44">
        <v>23</v>
      </c>
      <c r="E44">
        <v>17</v>
      </c>
      <c r="F44">
        <v>9</v>
      </c>
      <c r="G44">
        <v>59</v>
      </c>
      <c r="I44">
        <v>5</v>
      </c>
      <c r="L44">
        <v>26</v>
      </c>
      <c r="M44">
        <v>191</v>
      </c>
    </row>
    <row r="45" spans="1:13" x14ac:dyDescent="0.25">
      <c r="A45" s="3" t="s">
        <v>319</v>
      </c>
      <c r="B45">
        <v>3</v>
      </c>
      <c r="D45">
        <v>1</v>
      </c>
      <c r="E45">
        <v>4</v>
      </c>
      <c r="G45">
        <v>5</v>
      </c>
      <c r="I45">
        <v>1</v>
      </c>
      <c r="M45">
        <v>14</v>
      </c>
    </row>
    <row r="46" spans="1:13" x14ac:dyDescent="0.25">
      <c r="A46" s="3" t="s">
        <v>537</v>
      </c>
      <c r="B46">
        <v>1</v>
      </c>
      <c r="G46">
        <v>1</v>
      </c>
      <c r="L46">
        <v>1</v>
      </c>
      <c r="M46">
        <v>3</v>
      </c>
    </row>
    <row r="47" spans="1:13" x14ac:dyDescent="0.25">
      <c r="A47" s="3" t="s">
        <v>110</v>
      </c>
      <c r="C47">
        <v>2</v>
      </c>
      <c r="D47">
        <v>1</v>
      </c>
      <c r="E47">
        <v>1</v>
      </c>
      <c r="G47">
        <v>1</v>
      </c>
      <c r="M47">
        <v>5</v>
      </c>
    </row>
    <row r="48" spans="1:13" x14ac:dyDescent="0.25">
      <c r="A48" s="3" t="s">
        <v>392</v>
      </c>
      <c r="B48">
        <v>4</v>
      </c>
      <c r="D48">
        <v>1</v>
      </c>
      <c r="F48">
        <v>1</v>
      </c>
      <c r="G48">
        <v>1</v>
      </c>
      <c r="M48">
        <v>7</v>
      </c>
    </row>
    <row r="49" spans="1:13" x14ac:dyDescent="0.25">
      <c r="A49" s="3" t="s">
        <v>456</v>
      </c>
      <c r="B49">
        <v>2</v>
      </c>
      <c r="C49">
        <v>4</v>
      </c>
      <c r="D49">
        <v>1</v>
      </c>
      <c r="G49">
        <v>3</v>
      </c>
      <c r="L49">
        <v>2</v>
      </c>
      <c r="M49">
        <v>12</v>
      </c>
    </row>
    <row r="50" spans="1:13" x14ac:dyDescent="0.25">
      <c r="A50" s="3" t="s">
        <v>479</v>
      </c>
      <c r="C50">
        <v>1</v>
      </c>
      <c r="D50">
        <v>2</v>
      </c>
      <c r="E50">
        <v>1</v>
      </c>
      <c r="G50">
        <v>2</v>
      </c>
      <c r="I50">
        <v>1</v>
      </c>
      <c r="L50">
        <v>1</v>
      </c>
      <c r="M50">
        <v>8</v>
      </c>
    </row>
    <row r="51" spans="1:13" x14ac:dyDescent="0.25">
      <c r="A51" s="3" t="s">
        <v>425</v>
      </c>
      <c r="D51">
        <v>2</v>
      </c>
      <c r="E51">
        <v>4</v>
      </c>
      <c r="G51">
        <v>5</v>
      </c>
      <c r="M51">
        <v>11</v>
      </c>
    </row>
    <row r="52" spans="1:13" x14ac:dyDescent="0.25">
      <c r="A52" s="3" t="s">
        <v>652</v>
      </c>
      <c r="B52">
        <v>5</v>
      </c>
      <c r="D52">
        <v>3</v>
      </c>
      <c r="E52">
        <v>5</v>
      </c>
      <c r="G52">
        <v>7</v>
      </c>
      <c r="I52">
        <v>1</v>
      </c>
      <c r="M52">
        <v>21</v>
      </c>
    </row>
    <row r="53" spans="1:13" x14ac:dyDescent="0.25">
      <c r="A53" s="3" t="s">
        <v>376</v>
      </c>
      <c r="B53">
        <v>25</v>
      </c>
      <c r="C53">
        <v>2</v>
      </c>
      <c r="D53">
        <v>6</v>
      </c>
      <c r="E53">
        <v>1</v>
      </c>
      <c r="F53">
        <v>7</v>
      </c>
      <c r="G53">
        <v>27</v>
      </c>
      <c r="I53">
        <v>2</v>
      </c>
      <c r="L53">
        <v>16</v>
      </c>
      <c r="M53">
        <v>86</v>
      </c>
    </row>
    <row r="54" spans="1:13" x14ac:dyDescent="0.25">
      <c r="A54" s="3" t="s">
        <v>707</v>
      </c>
      <c r="D54">
        <v>3</v>
      </c>
      <c r="G54">
        <v>3</v>
      </c>
      <c r="L54">
        <v>5</v>
      </c>
      <c r="M54">
        <v>11</v>
      </c>
    </row>
    <row r="55" spans="1:13" x14ac:dyDescent="0.25">
      <c r="A55" s="3" t="s">
        <v>472</v>
      </c>
      <c r="B55">
        <v>2</v>
      </c>
      <c r="D55">
        <v>3</v>
      </c>
      <c r="F55">
        <v>1</v>
      </c>
      <c r="G55">
        <v>3</v>
      </c>
      <c r="L55">
        <v>1</v>
      </c>
      <c r="M55">
        <v>10</v>
      </c>
    </row>
    <row r="56" spans="1:13" x14ac:dyDescent="0.25">
      <c r="A56" s="3" t="s">
        <v>183</v>
      </c>
      <c r="C56">
        <v>1</v>
      </c>
      <c r="E56">
        <v>1</v>
      </c>
      <c r="G56">
        <v>1</v>
      </c>
      <c r="M56">
        <v>3</v>
      </c>
    </row>
    <row r="57" spans="1:13" x14ac:dyDescent="0.25">
      <c r="A57" s="2" t="s">
        <v>861</v>
      </c>
      <c r="B57">
        <v>2</v>
      </c>
      <c r="C57">
        <v>1</v>
      </c>
      <c r="F57">
        <v>1</v>
      </c>
      <c r="G57">
        <v>5</v>
      </c>
      <c r="L57">
        <v>4</v>
      </c>
      <c r="M57">
        <v>13</v>
      </c>
    </row>
    <row r="58" spans="1:13" x14ac:dyDescent="0.25">
      <c r="A58" s="3" t="s">
        <v>860</v>
      </c>
      <c r="B58">
        <v>2</v>
      </c>
      <c r="C58">
        <v>1</v>
      </c>
      <c r="F58">
        <v>1</v>
      </c>
      <c r="G58">
        <v>5</v>
      </c>
      <c r="L58">
        <v>4</v>
      </c>
      <c r="M58">
        <v>13</v>
      </c>
    </row>
    <row r="59" spans="1:13" x14ac:dyDescent="0.25">
      <c r="A59" s="2" t="s">
        <v>200</v>
      </c>
      <c r="B59">
        <v>19</v>
      </c>
      <c r="C59">
        <v>4</v>
      </c>
      <c r="D59">
        <v>11</v>
      </c>
      <c r="E59">
        <v>1</v>
      </c>
      <c r="F59">
        <v>3</v>
      </c>
      <c r="G59">
        <v>13</v>
      </c>
      <c r="I59">
        <v>1</v>
      </c>
      <c r="L59">
        <v>1</v>
      </c>
      <c r="M59">
        <v>53</v>
      </c>
    </row>
    <row r="60" spans="1:13" x14ac:dyDescent="0.25">
      <c r="A60" s="3" t="s">
        <v>199</v>
      </c>
      <c r="B60">
        <v>19</v>
      </c>
      <c r="C60">
        <v>4</v>
      </c>
      <c r="D60">
        <v>11</v>
      </c>
      <c r="E60">
        <v>1</v>
      </c>
      <c r="F60">
        <v>3</v>
      </c>
      <c r="G60">
        <v>13</v>
      </c>
      <c r="I60">
        <v>1</v>
      </c>
      <c r="L60">
        <v>1</v>
      </c>
      <c r="M60">
        <v>53</v>
      </c>
    </row>
    <row r="61" spans="1:13" x14ac:dyDescent="0.25">
      <c r="A61" s="2" t="s">
        <v>24</v>
      </c>
      <c r="B61">
        <v>68</v>
      </c>
      <c r="C61">
        <v>4</v>
      </c>
      <c r="D61">
        <v>30</v>
      </c>
      <c r="E61">
        <v>51</v>
      </c>
      <c r="F61">
        <v>6</v>
      </c>
      <c r="G61">
        <v>68</v>
      </c>
      <c r="I61">
        <v>16</v>
      </c>
      <c r="L61">
        <v>39</v>
      </c>
      <c r="M61">
        <v>282</v>
      </c>
    </row>
    <row r="62" spans="1:13" x14ac:dyDescent="0.25">
      <c r="A62" s="3" t="s">
        <v>448</v>
      </c>
      <c r="B62">
        <v>3</v>
      </c>
      <c r="D62">
        <v>1</v>
      </c>
      <c r="G62">
        <v>1</v>
      </c>
      <c r="I62">
        <v>1</v>
      </c>
      <c r="L62">
        <v>1</v>
      </c>
      <c r="M62">
        <v>7</v>
      </c>
    </row>
    <row r="63" spans="1:13" x14ac:dyDescent="0.25">
      <c r="A63" s="3" t="s">
        <v>22</v>
      </c>
      <c r="B63">
        <v>6</v>
      </c>
      <c r="D63">
        <v>2</v>
      </c>
      <c r="E63">
        <v>5</v>
      </c>
      <c r="G63">
        <v>6</v>
      </c>
      <c r="M63">
        <v>19</v>
      </c>
    </row>
    <row r="64" spans="1:13" x14ac:dyDescent="0.25">
      <c r="A64" s="3" t="s">
        <v>545</v>
      </c>
      <c r="B64">
        <v>1</v>
      </c>
      <c r="D64">
        <v>5</v>
      </c>
      <c r="G64">
        <v>2</v>
      </c>
      <c r="L64">
        <v>1</v>
      </c>
      <c r="M64">
        <v>9</v>
      </c>
    </row>
    <row r="65" spans="1:13" x14ac:dyDescent="0.25">
      <c r="A65" s="3" t="s">
        <v>589</v>
      </c>
      <c r="B65">
        <v>23</v>
      </c>
      <c r="D65">
        <v>1</v>
      </c>
      <c r="E65">
        <v>10</v>
      </c>
      <c r="G65">
        <v>3</v>
      </c>
      <c r="M65">
        <v>37</v>
      </c>
    </row>
    <row r="66" spans="1:13" x14ac:dyDescent="0.25">
      <c r="A66" s="3" t="s">
        <v>216</v>
      </c>
      <c r="C66">
        <v>1</v>
      </c>
      <c r="D66">
        <v>1</v>
      </c>
      <c r="E66">
        <v>1</v>
      </c>
      <c r="F66">
        <v>1</v>
      </c>
      <c r="G66">
        <v>10</v>
      </c>
      <c r="L66">
        <v>9</v>
      </c>
      <c r="M66">
        <v>23</v>
      </c>
    </row>
    <row r="67" spans="1:13" x14ac:dyDescent="0.25">
      <c r="A67" s="3" t="s">
        <v>612</v>
      </c>
      <c r="B67">
        <v>5</v>
      </c>
      <c r="G67">
        <v>8</v>
      </c>
      <c r="L67">
        <v>7</v>
      </c>
      <c r="M67">
        <v>20</v>
      </c>
    </row>
    <row r="68" spans="1:13" x14ac:dyDescent="0.25">
      <c r="A68" s="3" t="s">
        <v>343</v>
      </c>
      <c r="B68">
        <v>1</v>
      </c>
      <c r="C68">
        <v>1</v>
      </c>
      <c r="D68">
        <v>4</v>
      </c>
      <c r="E68">
        <v>1</v>
      </c>
      <c r="F68">
        <v>1</v>
      </c>
      <c r="G68">
        <v>5</v>
      </c>
      <c r="I68">
        <v>1</v>
      </c>
      <c r="L68">
        <v>4</v>
      </c>
      <c r="M68">
        <v>18</v>
      </c>
    </row>
    <row r="69" spans="1:13" x14ac:dyDescent="0.25">
      <c r="A69" s="3" t="s">
        <v>44</v>
      </c>
      <c r="B69">
        <v>6</v>
      </c>
      <c r="D69">
        <v>6</v>
      </c>
      <c r="E69">
        <v>4</v>
      </c>
      <c r="G69">
        <v>3</v>
      </c>
      <c r="I69">
        <v>3</v>
      </c>
      <c r="L69">
        <v>4</v>
      </c>
      <c r="M69">
        <v>26</v>
      </c>
    </row>
    <row r="70" spans="1:13" x14ac:dyDescent="0.25">
      <c r="A70" s="3" t="s">
        <v>135</v>
      </c>
      <c r="D70">
        <v>2</v>
      </c>
      <c r="E70">
        <v>2</v>
      </c>
      <c r="I70">
        <v>2</v>
      </c>
      <c r="M70">
        <v>6</v>
      </c>
    </row>
    <row r="71" spans="1:13" x14ac:dyDescent="0.25">
      <c r="A71" s="3" t="s">
        <v>52</v>
      </c>
      <c r="D71">
        <v>3</v>
      </c>
      <c r="E71">
        <v>6</v>
      </c>
      <c r="G71">
        <v>1</v>
      </c>
      <c r="I71">
        <v>6</v>
      </c>
      <c r="L71">
        <v>3</v>
      </c>
      <c r="M71">
        <v>19</v>
      </c>
    </row>
    <row r="72" spans="1:13" x14ac:dyDescent="0.25">
      <c r="A72" s="3" t="s">
        <v>118</v>
      </c>
      <c r="B72">
        <v>6</v>
      </c>
      <c r="E72">
        <v>1</v>
      </c>
      <c r="G72">
        <v>1</v>
      </c>
      <c r="I72">
        <v>1</v>
      </c>
      <c r="L72">
        <v>9</v>
      </c>
      <c r="M72">
        <v>18</v>
      </c>
    </row>
    <row r="73" spans="1:13" x14ac:dyDescent="0.25">
      <c r="A73" s="3" t="s">
        <v>191</v>
      </c>
      <c r="B73">
        <v>15</v>
      </c>
      <c r="C73">
        <v>2</v>
      </c>
      <c r="D73">
        <v>4</v>
      </c>
      <c r="E73">
        <v>21</v>
      </c>
      <c r="F73">
        <v>4</v>
      </c>
      <c r="G73">
        <v>27</v>
      </c>
      <c r="I73">
        <v>1</v>
      </c>
      <c r="M73">
        <v>74</v>
      </c>
    </row>
    <row r="74" spans="1:13" x14ac:dyDescent="0.25">
      <c r="A74" s="3" t="s">
        <v>240</v>
      </c>
      <c r="B74">
        <v>2</v>
      </c>
      <c r="D74">
        <v>1</v>
      </c>
      <c r="G74">
        <v>1</v>
      </c>
      <c r="I74">
        <v>1</v>
      </c>
      <c r="L74">
        <v>1</v>
      </c>
      <c r="M74">
        <v>6</v>
      </c>
    </row>
    <row r="75" spans="1:13" x14ac:dyDescent="0.25">
      <c r="A75" s="2" t="s">
        <v>359</v>
      </c>
      <c r="B75">
        <v>1</v>
      </c>
      <c r="G75">
        <v>2</v>
      </c>
      <c r="L75">
        <v>1</v>
      </c>
      <c r="M75">
        <v>4</v>
      </c>
    </row>
    <row r="76" spans="1:13" x14ac:dyDescent="0.25">
      <c r="A76" s="3" t="s">
        <v>358</v>
      </c>
      <c r="B76">
        <v>1</v>
      </c>
      <c r="G76">
        <v>2</v>
      </c>
      <c r="L76">
        <v>1</v>
      </c>
      <c r="M76">
        <v>4</v>
      </c>
    </row>
    <row r="77" spans="1:13" x14ac:dyDescent="0.25">
      <c r="A77" s="2" t="s">
        <v>36</v>
      </c>
      <c r="B77">
        <v>2</v>
      </c>
      <c r="C77">
        <v>1</v>
      </c>
      <c r="D77">
        <v>6</v>
      </c>
      <c r="F77">
        <v>5</v>
      </c>
      <c r="G77">
        <v>5</v>
      </c>
      <c r="I77">
        <v>1</v>
      </c>
      <c r="L77">
        <v>6</v>
      </c>
      <c r="M77">
        <v>26</v>
      </c>
    </row>
    <row r="78" spans="1:13" x14ac:dyDescent="0.25">
      <c r="A78" s="3" t="s">
        <v>35</v>
      </c>
      <c r="B78">
        <v>2</v>
      </c>
      <c r="C78">
        <v>1</v>
      </c>
      <c r="D78">
        <v>6</v>
      </c>
      <c r="F78">
        <v>5</v>
      </c>
      <c r="G78">
        <v>5</v>
      </c>
      <c r="I78">
        <v>1</v>
      </c>
      <c r="L78">
        <v>5</v>
      </c>
      <c r="M78">
        <v>25</v>
      </c>
    </row>
    <row r="79" spans="1:13" x14ac:dyDescent="0.25">
      <c r="A79" s="3" t="s">
        <v>95</v>
      </c>
      <c r="L79">
        <v>1</v>
      </c>
      <c r="M79">
        <v>1</v>
      </c>
    </row>
    <row r="80" spans="1:13" x14ac:dyDescent="0.25">
      <c r="A80" s="2" t="s">
        <v>745</v>
      </c>
      <c r="B80">
        <v>2</v>
      </c>
      <c r="C80">
        <v>1</v>
      </c>
      <c r="D80">
        <v>1</v>
      </c>
      <c r="G80">
        <v>2</v>
      </c>
      <c r="I80">
        <v>1</v>
      </c>
      <c r="L80">
        <v>3</v>
      </c>
      <c r="M80">
        <v>10</v>
      </c>
    </row>
    <row r="81" spans="1:13" x14ac:dyDescent="0.25">
      <c r="A81" s="3" t="s">
        <v>744</v>
      </c>
      <c r="B81">
        <v>2</v>
      </c>
      <c r="C81">
        <v>1</v>
      </c>
      <c r="D81">
        <v>1</v>
      </c>
      <c r="G81">
        <v>2</v>
      </c>
      <c r="I81">
        <v>1</v>
      </c>
      <c r="L81">
        <v>3</v>
      </c>
      <c r="M81">
        <v>10</v>
      </c>
    </row>
    <row r="82" spans="1:13" x14ac:dyDescent="0.25">
      <c r="A82" s="2" t="s">
        <v>127</v>
      </c>
      <c r="B82">
        <v>1</v>
      </c>
      <c r="C82">
        <v>1</v>
      </c>
      <c r="D82">
        <v>3</v>
      </c>
      <c r="E82">
        <v>1</v>
      </c>
      <c r="F82">
        <v>1</v>
      </c>
      <c r="G82">
        <v>1</v>
      </c>
      <c r="I82">
        <v>1</v>
      </c>
      <c r="M82">
        <v>9</v>
      </c>
    </row>
    <row r="83" spans="1:13" x14ac:dyDescent="0.25">
      <c r="A83" s="3" t="s">
        <v>126</v>
      </c>
      <c r="B83">
        <v>1</v>
      </c>
      <c r="C83">
        <v>1</v>
      </c>
      <c r="D83">
        <v>3</v>
      </c>
      <c r="E83">
        <v>1</v>
      </c>
      <c r="F83">
        <v>1</v>
      </c>
      <c r="G83">
        <v>1</v>
      </c>
      <c r="I83">
        <v>1</v>
      </c>
      <c r="M83">
        <v>9</v>
      </c>
    </row>
    <row r="84" spans="1:13" x14ac:dyDescent="0.25">
      <c r="A84" s="2" t="s">
        <v>77</v>
      </c>
      <c r="B84">
        <v>8</v>
      </c>
      <c r="C84">
        <v>11</v>
      </c>
      <c r="D84">
        <v>11</v>
      </c>
      <c r="F84">
        <v>2</v>
      </c>
      <c r="G84">
        <v>15</v>
      </c>
      <c r="I84">
        <v>4</v>
      </c>
      <c r="L84">
        <v>8</v>
      </c>
      <c r="M84">
        <v>59</v>
      </c>
    </row>
    <row r="85" spans="1:13" x14ac:dyDescent="0.25">
      <c r="A85" s="3" t="s">
        <v>76</v>
      </c>
      <c r="B85">
        <v>8</v>
      </c>
      <c r="C85">
        <v>11</v>
      </c>
      <c r="D85">
        <v>11</v>
      </c>
      <c r="F85">
        <v>2</v>
      </c>
      <c r="G85">
        <v>15</v>
      </c>
      <c r="I85">
        <v>4</v>
      </c>
      <c r="L85">
        <v>8</v>
      </c>
      <c r="M85">
        <v>59</v>
      </c>
    </row>
    <row r="86" spans="1:13" x14ac:dyDescent="0.25">
      <c r="A86" s="2" t="s">
        <v>61</v>
      </c>
      <c r="B86">
        <v>140</v>
      </c>
      <c r="C86">
        <v>9</v>
      </c>
      <c r="D86">
        <v>91</v>
      </c>
      <c r="E86">
        <v>126</v>
      </c>
      <c r="F86">
        <v>31</v>
      </c>
      <c r="G86">
        <v>194</v>
      </c>
      <c r="H86">
        <v>16</v>
      </c>
      <c r="I86">
        <v>35</v>
      </c>
      <c r="K86">
        <v>1</v>
      </c>
      <c r="L86">
        <v>77</v>
      </c>
      <c r="M86">
        <v>720</v>
      </c>
    </row>
    <row r="87" spans="1:13" x14ac:dyDescent="0.25">
      <c r="A87" s="3" t="s">
        <v>919</v>
      </c>
      <c r="E87">
        <v>1</v>
      </c>
      <c r="F87">
        <v>6</v>
      </c>
      <c r="G87">
        <v>1</v>
      </c>
      <c r="M87">
        <v>8</v>
      </c>
    </row>
    <row r="88" spans="1:13" x14ac:dyDescent="0.25">
      <c r="A88" s="3" t="s">
        <v>303</v>
      </c>
      <c r="D88">
        <v>2</v>
      </c>
      <c r="I88">
        <v>1</v>
      </c>
      <c r="L88">
        <v>2</v>
      </c>
      <c r="M88">
        <v>5</v>
      </c>
    </row>
    <row r="89" spans="1:13" x14ac:dyDescent="0.25">
      <c r="A89" s="3" t="s">
        <v>761</v>
      </c>
      <c r="B89">
        <v>9</v>
      </c>
      <c r="D89">
        <v>8</v>
      </c>
      <c r="G89">
        <v>2</v>
      </c>
      <c r="H89">
        <v>1</v>
      </c>
      <c r="I89">
        <v>6</v>
      </c>
      <c r="L89">
        <v>1</v>
      </c>
      <c r="M89">
        <v>27</v>
      </c>
    </row>
    <row r="90" spans="1:13" x14ac:dyDescent="0.25">
      <c r="A90" s="3" t="s">
        <v>248</v>
      </c>
      <c r="B90">
        <v>3</v>
      </c>
      <c r="D90">
        <v>3</v>
      </c>
      <c r="E90">
        <v>1</v>
      </c>
      <c r="G90">
        <v>4</v>
      </c>
      <c r="H90">
        <v>1</v>
      </c>
      <c r="I90">
        <v>1</v>
      </c>
      <c r="L90">
        <v>2</v>
      </c>
      <c r="M90">
        <v>15</v>
      </c>
    </row>
    <row r="91" spans="1:13" x14ac:dyDescent="0.25">
      <c r="A91" s="3" t="s">
        <v>208</v>
      </c>
      <c r="B91">
        <v>2</v>
      </c>
      <c r="D91">
        <v>2</v>
      </c>
      <c r="G91">
        <v>3</v>
      </c>
      <c r="H91">
        <v>1</v>
      </c>
      <c r="M91">
        <v>8</v>
      </c>
    </row>
    <row r="92" spans="1:13" x14ac:dyDescent="0.25">
      <c r="A92" s="3" t="s">
        <v>769</v>
      </c>
      <c r="D92">
        <v>7</v>
      </c>
      <c r="M92">
        <v>7</v>
      </c>
    </row>
    <row r="93" spans="1:13" x14ac:dyDescent="0.25">
      <c r="A93" s="3" t="s">
        <v>335</v>
      </c>
      <c r="B93">
        <v>1</v>
      </c>
      <c r="E93">
        <v>2</v>
      </c>
      <c r="F93">
        <v>3</v>
      </c>
      <c r="G93">
        <v>2</v>
      </c>
      <c r="L93">
        <v>1</v>
      </c>
      <c r="M93">
        <v>9</v>
      </c>
    </row>
    <row r="94" spans="1:13" x14ac:dyDescent="0.25">
      <c r="A94" s="3" t="s">
        <v>160</v>
      </c>
      <c r="B94">
        <v>1</v>
      </c>
      <c r="D94">
        <v>1</v>
      </c>
      <c r="E94">
        <v>3</v>
      </c>
      <c r="G94">
        <v>3</v>
      </c>
      <c r="H94">
        <v>1</v>
      </c>
      <c r="I94">
        <v>2</v>
      </c>
      <c r="M94">
        <v>11</v>
      </c>
    </row>
    <row r="95" spans="1:13" x14ac:dyDescent="0.25">
      <c r="A95" s="3" t="s">
        <v>495</v>
      </c>
      <c r="D95">
        <v>2</v>
      </c>
      <c r="E95">
        <v>1</v>
      </c>
      <c r="G95">
        <v>1</v>
      </c>
      <c r="H95">
        <v>1</v>
      </c>
      <c r="I95">
        <v>1</v>
      </c>
      <c r="M95">
        <v>6</v>
      </c>
    </row>
    <row r="96" spans="1:13" x14ac:dyDescent="0.25">
      <c r="A96" s="3" t="s">
        <v>408</v>
      </c>
      <c r="E96">
        <v>1</v>
      </c>
      <c r="F96">
        <v>1</v>
      </c>
      <c r="G96">
        <v>2</v>
      </c>
      <c r="M96">
        <v>4</v>
      </c>
    </row>
    <row r="97" spans="1:13" x14ac:dyDescent="0.25">
      <c r="A97" s="3" t="s">
        <v>167</v>
      </c>
      <c r="B97">
        <v>1</v>
      </c>
      <c r="C97">
        <v>2</v>
      </c>
      <c r="D97">
        <v>3</v>
      </c>
      <c r="E97">
        <v>1</v>
      </c>
      <c r="G97">
        <v>2</v>
      </c>
      <c r="I97">
        <v>3</v>
      </c>
      <c r="L97">
        <v>1</v>
      </c>
      <c r="M97">
        <v>13</v>
      </c>
    </row>
    <row r="98" spans="1:13" x14ac:dyDescent="0.25">
      <c r="A98" s="3" t="s">
        <v>555</v>
      </c>
      <c r="B98">
        <v>1</v>
      </c>
      <c r="D98">
        <v>2</v>
      </c>
      <c r="E98">
        <v>13</v>
      </c>
      <c r="G98">
        <v>2</v>
      </c>
      <c r="I98">
        <v>1</v>
      </c>
      <c r="M98">
        <v>19</v>
      </c>
    </row>
    <row r="99" spans="1:13" x14ac:dyDescent="0.25">
      <c r="A99" s="3" t="s">
        <v>920</v>
      </c>
      <c r="G99">
        <v>2</v>
      </c>
      <c r="M99">
        <v>2</v>
      </c>
    </row>
    <row r="100" spans="1:13" x14ac:dyDescent="0.25">
      <c r="A100" s="3" t="s">
        <v>563</v>
      </c>
      <c r="B100">
        <v>1</v>
      </c>
      <c r="G100">
        <v>2</v>
      </c>
      <c r="M100">
        <v>3</v>
      </c>
    </row>
    <row r="101" spans="1:13" x14ac:dyDescent="0.25">
      <c r="A101" s="3" t="s">
        <v>581</v>
      </c>
      <c r="B101">
        <v>2</v>
      </c>
      <c r="F101">
        <v>1</v>
      </c>
      <c r="G101">
        <v>1</v>
      </c>
      <c r="M101">
        <v>4</v>
      </c>
    </row>
    <row r="102" spans="1:13" x14ac:dyDescent="0.25">
      <c r="A102" s="3" t="s">
        <v>597</v>
      </c>
      <c r="B102">
        <v>1</v>
      </c>
      <c r="D102">
        <v>1</v>
      </c>
      <c r="E102">
        <v>30</v>
      </c>
      <c r="G102">
        <v>1</v>
      </c>
      <c r="I102">
        <v>1</v>
      </c>
      <c r="M102">
        <v>34</v>
      </c>
    </row>
    <row r="103" spans="1:13" x14ac:dyDescent="0.25">
      <c r="A103" s="3" t="s">
        <v>264</v>
      </c>
      <c r="B103">
        <v>3</v>
      </c>
      <c r="C103">
        <v>1</v>
      </c>
      <c r="D103">
        <v>3</v>
      </c>
      <c r="E103">
        <v>1</v>
      </c>
      <c r="F103">
        <v>1</v>
      </c>
      <c r="G103">
        <v>4</v>
      </c>
      <c r="I103">
        <v>2</v>
      </c>
      <c r="L103">
        <v>3</v>
      </c>
      <c r="M103">
        <v>18</v>
      </c>
    </row>
    <row r="104" spans="1:13" x14ac:dyDescent="0.25">
      <c r="A104" s="3" t="s">
        <v>605</v>
      </c>
      <c r="B104">
        <v>15</v>
      </c>
      <c r="D104">
        <v>1</v>
      </c>
      <c r="E104">
        <v>19</v>
      </c>
      <c r="G104">
        <v>18</v>
      </c>
      <c r="I104">
        <v>1</v>
      </c>
      <c r="M104">
        <v>54</v>
      </c>
    </row>
    <row r="105" spans="1:13" x14ac:dyDescent="0.25">
      <c r="A105" s="3" t="s">
        <v>143</v>
      </c>
      <c r="D105">
        <v>2</v>
      </c>
      <c r="E105">
        <v>1</v>
      </c>
      <c r="G105">
        <v>2</v>
      </c>
      <c r="H105">
        <v>1</v>
      </c>
      <c r="L105">
        <v>1</v>
      </c>
      <c r="M105">
        <v>7</v>
      </c>
    </row>
    <row r="106" spans="1:13" x14ac:dyDescent="0.25">
      <c r="A106" s="3" t="s">
        <v>60</v>
      </c>
      <c r="B106">
        <v>16</v>
      </c>
      <c r="C106">
        <v>2</v>
      </c>
      <c r="D106">
        <v>24</v>
      </c>
      <c r="E106">
        <v>8</v>
      </c>
      <c r="G106">
        <v>28</v>
      </c>
      <c r="H106">
        <v>1</v>
      </c>
      <c r="I106">
        <v>2</v>
      </c>
      <c r="K106">
        <v>1</v>
      </c>
      <c r="L106">
        <v>16</v>
      </c>
      <c r="M106">
        <v>98</v>
      </c>
    </row>
    <row r="107" spans="1:13" x14ac:dyDescent="0.25">
      <c r="A107" s="3" t="s">
        <v>287</v>
      </c>
      <c r="B107">
        <v>1</v>
      </c>
      <c r="D107">
        <v>1</v>
      </c>
      <c r="F107">
        <v>1</v>
      </c>
      <c r="G107">
        <v>1</v>
      </c>
      <c r="L107">
        <v>1</v>
      </c>
      <c r="M107">
        <v>5</v>
      </c>
    </row>
    <row r="108" spans="1:13" x14ac:dyDescent="0.25">
      <c r="A108" s="3" t="s">
        <v>619</v>
      </c>
      <c r="F108">
        <v>2</v>
      </c>
      <c r="G108">
        <v>9</v>
      </c>
      <c r="L108">
        <v>8</v>
      </c>
      <c r="M108">
        <v>19</v>
      </c>
    </row>
    <row r="109" spans="1:13" x14ac:dyDescent="0.25">
      <c r="A109" s="3" t="s">
        <v>271</v>
      </c>
      <c r="B109">
        <v>4</v>
      </c>
      <c r="D109">
        <v>1</v>
      </c>
      <c r="E109">
        <v>5</v>
      </c>
      <c r="F109">
        <v>1</v>
      </c>
      <c r="G109">
        <v>3</v>
      </c>
      <c r="I109">
        <v>1</v>
      </c>
      <c r="M109">
        <v>15</v>
      </c>
    </row>
    <row r="110" spans="1:13" x14ac:dyDescent="0.25">
      <c r="A110" s="3" t="s">
        <v>509</v>
      </c>
      <c r="B110">
        <v>35</v>
      </c>
      <c r="C110">
        <v>1</v>
      </c>
      <c r="D110">
        <v>1</v>
      </c>
      <c r="E110">
        <v>21</v>
      </c>
      <c r="F110">
        <v>1</v>
      </c>
      <c r="G110">
        <v>22</v>
      </c>
      <c r="H110">
        <v>2</v>
      </c>
      <c r="M110">
        <v>83</v>
      </c>
    </row>
    <row r="111" spans="1:13" x14ac:dyDescent="0.25">
      <c r="A111" s="3" t="s">
        <v>103</v>
      </c>
      <c r="B111">
        <v>5</v>
      </c>
      <c r="D111">
        <v>7</v>
      </c>
      <c r="F111">
        <v>1</v>
      </c>
      <c r="G111">
        <v>4</v>
      </c>
      <c r="L111">
        <v>3</v>
      </c>
      <c r="M111">
        <v>20</v>
      </c>
    </row>
    <row r="112" spans="1:13" x14ac:dyDescent="0.25">
      <c r="A112" s="3" t="s">
        <v>645</v>
      </c>
      <c r="B112">
        <v>4</v>
      </c>
      <c r="D112">
        <v>4</v>
      </c>
      <c r="E112">
        <v>3</v>
      </c>
      <c r="F112">
        <v>1</v>
      </c>
      <c r="G112">
        <v>4</v>
      </c>
      <c r="H112">
        <v>1</v>
      </c>
      <c r="I112">
        <v>2</v>
      </c>
      <c r="M112">
        <v>19</v>
      </c>
    </row>
    <row r="113" spans="1:13" x14ac:dyDescent="0.25">
      <c r="A113" s="3" t="s">
        <v>796</v>
      </c>
      <c r="B113">
        <v>16</v>
      </c>
      <c r="G113">
        <v>17</v>
      </c>
      <c r="L113">
        <v>16</v>
      </c>
      <c r="M113">
        <v>49</v>
      </c>
    </row>
    <row r="114" spans="1:13" x14ac:dyDescent="0.25">
      <c r="A114" s="3" t="s">
        <v>279</v>
      </c>
      <c r="B114">
        <v>7</v>
      </c>
      <c r="G114">
        <v>2</v>
      </c>
      <c r="M114">
        <v>9</v>
      </c>
    </row>
    <row r="115" spans="1:13" x14ac:dyDescent="0.25">
      <c r="A115" s="3" t="s">
        <v>668</v>
      </c>
      <c r="B115">
        <v>1</v>
      </c>
      <c r="D115">
        <v>3</v>
      </c>
      <c r="E115">
        <v>2</v>
      </c>
      <c r="F115">
        <v>2</v>
      </c>
      <c r="G115">
        <v>4</v>
      </c>
      <c r="H115">
        <v>1</v>
      </c>
      <c r="I115">
        <v>2</v>
      </c>
      <c r="L115">
        <v>3</v>
      </c>
      <c r="M115">
        <v>18</v>
      </c>
    </row>
    <row r="116" spans="1:13" x14ac:dyDescent="0.25">
      <c r="A116" s="3" t="s">
        <v>503</v>
      </c>
      <c r="C116">
        <v>1</v>
      </c>
      <c r="D116">
        <v>1</v>
      </c>
      <c r="E116">
        <v>1</v>
      </c>
      <c r="F116">
        <v>1</v>
      </c>
      <c r="G116">
        <v>2</v>
      </c>
      <c r="H116">
        <v>1</v>
      </c>
      <c r="M116">
        <v>7</v>
      </c>
    </row>
    <row r="117" spans="1:13" x14ac:dyDescent="0.25">
      <c r="A117" s="3" t="s">
        <v>384</v>
      </c>
      <c r="B117">
        <v>1</v>
      </c>
      <c r="C117">
        <v>2</v>
      </c>
      <c r="D117">
        <v>2</v>
      </c>
      <c r="E117">
        <v>3</v>
      </c>
      <c r="H117">
        <v>1</v>
      </c>
      <c r="I117">
        <v>1</v>
      </c>
      <c r="L117">
        <v>1</v>
      </c>
      <c r="M117">
        <v>11</v>
      </c>
    </row>
    <row r="118" spans="1:13" x14ac:dyDescent="0.25">
      <c r="A118" s="3" t="s">
        <v>517</v>
      </c>
      <c r="B118">
        <v>2</v>
      </c>
      <c r="D118">
        <v>1</v>
      </c>
      <c r="F118">
        <v>1</v>
      </c>
      <c r="G118">
        <v>6</v>
      </c>
      <c r="H118">
        <v>2</v>
      </c>
      <c r="L118">
        <v>2</v>
      </c>
      <c r="M118">
        <v>14</v>
      </c>
    </row>
    <row r="119" spans="1:13" x14ac:dyDescent="0.25">
      <c r="A119" s="3" t="s">
        <v>232</v>
      </c>
      <c r="B119">
        <v>7</v>
      </c>
      <c r="D119">
        <v>4</v>
      </c>
      <c r="E119">
        <v>2</v>
      </c>
      <c r="G119">
        <v>11</v>
      </c>
      <c r="H119">
        <v>1</v>
      </c>
      <c r="I119">
        <v>4</v>
      </c>
      <c r="L119">
        <v>5</v>
      </c>
      <c r="M119">
        <v>34</v>
      </c>
    </row>
    <row r="120" spans="1:13" x14ac:dyDescent="0.25">
      <c r="A120" s="3" t="s">
        <v>69</v>
      </c>
      <c r="F120">
        <v>5</v>
      </c>
      <c r="G120">
        <v>4</v>
      </c>
      <c r="M120">
        <v>9</v>
      </c>
    </row>
    <row r="121" spans="1:13" x14ac:dyDescent="0.25">
      <c r="A121" s="3" t="s">
        <v>256</v>
      </c>
      <c r="E121">
        <v>4</v>
      </c>
      <c r="G121">
        <v>5</v>
      </c>
      <c r="I121">
        <v>1</v>
      </c>
      <c r="M121">
        <v>10</v>
      </c>
    </row>
    <row r="122" spans="1:13" x14ac:dyDescent="0.25">
      <c r="A122" s="3" t="s">
        <v>893</v>
      </c>
      <c r="D122">
        <v>3</v>
      </c>
      <c r="G122">
        <v>3</v>
      </c>
      <c r="I122">
        <v>1</v>
      </c>
      <c r="M122">
        <v>7</v>
      </c>
    </row>
    <row r="123" spans="1:13" x14ac:dyDescent="0.25">
      <c r="A123" s="3" t="s">
        <v>224</v>
      </c>
      <c r="B123">
        <v>1</v>
      </c>
      <c r="D123">
        <v>1</v>
      </c>
      <c r="E123">
        <v>1</v>
      </c>
      <c r="F123">
        <v>1</v>
      </c>
      <c r="G123">
        <v>3</v>
      </c>
      <c r="I123">
        <v>1</v>
      </c>
      <c r="L123">
        <v>2</v>
      </c>
      <c r="M123">
        <v>10</v>
      </c>
    </row>
    <row r="124" spans="1:13" x14ac:dyDescent="0.25">
      <c r="A124" s="3" t="s">
        <v>295</v>
      </c>
      <c r="D124">
        <v>1</v>
      </c>
      <c r="E124">
        <v>2</v>
      </c>
      <c r="F124">
        <v>2</v>
      </c>
      <c r="G124">
        <v>14</v>
      </c>
      <c r="I124">
        <v>1</v>
      </c>
      <c r="L124">
        <v>9</v>
      </c>
      <c r="M124">
        <v>29</v>
      </c>
    </row>
    <row r="125" spans="1:13" x14ac:dyDescent="0.25">
      <c r="A125" s="2" t="s">
        <v>915</v>
      </c>
      <c r="J125">
        <v>1865</v>
      </c>
      <c r="M125">
        <v>1865</v>
      </c>
    </row>
    <row r="126" spans="1:13" x14ac:dyDescent="0.25">
      <c r="A126" s="3" t="s">
        <v>915</v>
      </c>
      <c r="J126">
        <v>1865</v>
      </c>
      <c r="M126">
        <v>1865</v>
      </c>
    </row>
    <row r="127" spans="1:13" x14ac:dyDescent="0.25">
      <c r="A127" s="2" t="s">
        <v>916</v>
      </c>
      <c r="B127">
        <v>360</v>
      </c>
      <c r="C127">
        <v>54</v>
      </c>
      <c r="D127">
        <v>279</v>
      </c>
      <c r="E127">
        <v>242</v>
      </c>
      <c r="F127">
        <v>89</v>
      </c>
      <c r="G127">
        <v>453</v>
      </c>
      <c r="H127">
        <v>17</v>
      </c>
      <c r="I127">
        <v>131</v>
      </c>
      <c r="J127">
        <v>1865</v>
      </c>
      <c r="K127">
        <v>2</v>
      </c>
      <c r="L127">
        <v>238</v>
      </c>
      <c r="M127">
        <v>3730</v>
      </c>
    </row>
    <row r="133" spans="5:6" x14ac:dyDescent="0.25">
      <c r="E133" s="87">
        <v>46125</v>
      </c>
      <c r="F133" s="88">
        <f>850/1865</f>
        <v>0.45576407506702415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XFB652"/>
  <sheetViews>
    <sheetView tabSelected="1" zoomScaleNormal="100" workbookViewId="0">
      <pane ySplit="2" topLeftCell="A364" activePane="bottomLeft" state="frozen"/>
      <selection pane="bottomLeft" activeCell="G653" sqref="G653"/>
    </sheetView>
  </sheetViews>
  <sheetFormatPr defaultColWidth="9.140625" defaultRowHeight="15" outlineLevelRow="1" x14ac:dyDescent="0.25"/>
  <cols>
    <col min="1" max="1" width="9.140625" style="16" customWidth="1"/>
    <col min="2" max="2" width="12.140625" style="16" customWidth="1"/>
    <col min="3" max="3" width="7.140625" style="16" bestFit="1" customWidth="1"/>
    <col min="4" max="4" width="9.42578125" style="16" customWidth="1"/>
    <col min="5" max="5" width="74" style="16" bestFit="1" customWidth="1"/>
    <col min="6" max="6" width="90.28515625" style="21" customWidth="1"/>
    <col min="7" max="7" width="13.42578125" style="17" customWidth="1"/>
    <col min="8" max="8" width="17.42578125" style="16" customWidth="1"/>
    <col min="9" max="9" width="35.85546875" style="18" hidden="1" customWidth="1"/>
    <col min="10" max="10" width="36.140625" style="37" hidden="1" customWidth="1"/>
    <col min="11" max="11" width="73.7109375" style="16" hidden="1" customWidth="1"/>
    <col min="12" max="12" width="31.28515625" style="16" hidden="1" customWidth="1"/>
    <col min="13" max="13" width="53.42578125" style="16" customWidth="1"/>
    <col min="14" max="14" width="12.28515625" style="20" customWidth="1"/>
    <col min="15" max="15" width="33.28515625" style="16" bestFit="1" customWidth="1"/>
    <col min="16" max="17" width="17.85546875" style="16" bestFit="1" customWidth="1"/>
    <col min="18" max="18" width="20.85546875" style="16" bestFit="1" customWidth="1"/>
    <col min="19" max="19" width="22.140625" style="16" bestFit="1" customWidth="1"/>
    <col min="20" max="20" width="93" style="16" bestFit="1" customWidth="1"/>
    <col min="21" max="21" width="9.140625" style="16" customWidth="1"/>
    <col min="22" max="16384" width="9.140625" style="16"/>
  </cols>
  <sheetData>
    <row r="2" spans="2:20" s="22" customFormat="1" ht="36" customHeight="1" x14ac:dyDescent="0.25">
      <c r="B2" s="23" t="s">
        <v>1</v>
      </c>
      <c r="C2" s="24" t="s">
        <v>753</v>
      </c>
      <c r="D2" s="23" t="s">
        <v>4</v>
      </c>
      <c r="E2" s="23" t="s">
        <v>6</v>
      </c>
      <c r="F2" s="23" t="s">
        <v>5</v>
      </c>
      <c r="G2" s="41" t="s">
        <v>7</v>
      </c>
      <c r="H2" s="23" t="s">
        <v>8</v>
      </c>
      <c r="I2" s="23" t="s">
        <v>9</v>
      </c>
      <c r="J2" s="23" t="s">
        <v>10</v>
      </c>
      <c r="K2" s="23" t="s">
        <v>11</v>
      </c>
      <c r="L2" s="23" t="s">
        <v>12</v>
      </c>
      <c r="M2" s="24" t="s">
        <v>13</v>
      </c>
      <c r="N2" s="23" t="s">
        <v>14</v>
      </c>
      <c r="O2" s="25" t="s">
        <v>16</v>
      </c>
      <c r="P2" s="23" t="s">
        <v>17</v>
      </c>
      <c r="Q2" s="23" t="s">
        <v>18</v>
      </c>
      <c r="R2" s="26" t="s">
        <v>19</v>
      </c>
      <c r="S2" s="26" t="s">
        <v>20</v>
      </c>
      <c r="T2" s="22" t="s">
        <v>921</v>
      </c>
    </row>
    <row r="3" spans="2:20" s="27" customFormat="1" x14ac:dyDescent="0.25">
      <c r="B3" s="46"/>
      <c r="C3" s="46"/>
      <c r="D3" s="46"/>
      <c r="E3" s="28" t="s">
        <v>1296</v>
      </c>
      <c r="F3" s="28"/>
      <c r="G3" s="29">
        <f>SUM(G4:G29)</f>
        <v>44</v>
      </c>
      <c r="H3" s="28"/>
      <c r="I3" s="47"/>
      <c r="J3" s="48"/>
      <c r="K3" s="46"/>
      <c r="L3" s="46"/>
      <c r="M3" s="46"/>
      <c r="N3" s="31"/>
      <c r="O3" s="30"/>
      <c r="P3" s="28"/>
      <c r="Q3" s="28"/>
      <c r="R3" s="32" t="s">
        <v>934</v>
      </c>
      <c r="S3" s="32"/>
    </row>
    <row r="4" spans="2:20" s="62" customFormat="1" outlineLevel="1" x14ac:dyDescent="0.25">
      <c r="B4" s="53"/>
      <c r="C4" s="54">
        <v>1</v>
      </c>
      <c r="D4" s="54" t="s">
        <v>51</v>
      </c>
      <c r="E4" s="55" t="s">
        <v>1296</v>
      </c>
      <c r="F4" s="53" t="s">
        <v>52</v>
      </c>
      <c r="G4" s="63">
        <v>1</v>
      </c>
      <c r="H4" s="57" t="s">
        <v>24</v>
      </c>
      <c r="I4" s="54" t="s">
        <v>53</v>
      </c>
      <c r="J4" s="54" t="s">
        <v>54</v>
      </c>
      <c r="K4" s="54" t="s">
        <v>55</v>
      </c>
      <c r="L4" s="54" t="s">
        <v>56</v>
      </c>
      <c r="M4" s="54" t="s">
        <v>57</v>
      </c>
      <c r="N4" s="54" t="s">
        <v>58</v>
      </c>
      <c r="O4" s="74">
        <v>46139</v>
      </c>
      <c r="P4" s="57"/>
      <c r="Q4" s="57"/>
      <c r="R4" s="61" t="s">
        <v>934</v>
      </c>
      <c r="S4" s="61" t="s">
        <v>31</v>
      </c>
    </row>
    <row r="5" spans="2:20" s="62" customFormat="1" outlineLevel="1" x14ac:dyDescent="0.25">
      <c r="B5" s="53"/>
      <c r="C5" s="54">
        <v>2</v>
      </c>
      <c r="D5" s="54" t="s">
        <v>59</v>
      </c>
      <c r="E5" s="55" t="s">
        <v>1296</v>
      </c>
      <c r="F5" s="53" t="s">
        <v>60</v>
      </c>
      <c r="G5" s="63">
        <v>4</v>
      </c>
      <c r="H5" s="57" t="s">
        <v>61</v>
      </c>
      <c r="I5" s="54" t="s">
        <v>62</v>
      </c>
      <c r="J5" s="54" t="s">
        <v>63</v>
      </c>
      <c r="K5" s="54" t="s">
        <v>64</v>
      </c>
      <c r="L5" s="54" t="s">
        <v>65</v>
      </c>
      <c r="M5" s="54" t="s">
        <v>66</v>
      </c>
      <c r="N5" s="54" t="s">
        <v>67</v>
      </c>
      <c r="O5" s="74">
        <v>46139</v>
      </c>
      <c r="P5" s="57"/>
      <c r="Q5" s="57"/>
      <c r="R5" s="61" t="s">
        <v>934</v>
      </c>
      <c r="S5" s="61" t="s">
        <v>31</v>
      </c>
    </row>
    <row r="6" spans="2:20" s="62" customFormat="1" ht="54" customHeight="1" outlineLevel="1" x14ac:dyDescent="0.25">
      <c r="B6" s="53"/>
      <c r="C6" s="54" t="s">
        <v>1297</v>
      </c>
      <c r="D6" s="54" t="s">
        <v>68</v>
      </c>
      <c r="E6" s="55" t="s">
        <v>1296</v>
      </c>
      <c r="F6" s="53" t="s">
        <v>69</v>
      </c>
      <c r="G6" s="66">
        <v>4</v>
      </c>
      <c r="H6" s="57" t="s">
        <v>61</v>
      </c>
      <c r="I6" s="54" t="s">
        <v>1298</v>
      </c>
      <c r="J6" s="54" t="s">
        <v>1299</v>
      </c>
      <c r="K6" s="54" t="s">
        <v>1300</v>
      </c>
      <c r="L6" s="54" t="s">
        <v>73</v>
      </c>
      <c r="M6" s="54" t="s">
        <v>1301</v>
      </c>
      <c r="N6" s="54" t="s">
        <v>74</v>
      </c>
      <c r="O6" s="74">
        <v>46139</v>
      </c>
      <c r="P6" s="57"/>
      <c r="Q6" s="57"/>
      <c r="R6" s="61" t="s">
        <v>934</v>
      </c>
      <c r="S6" s="61" t="s">
        <v>31</v>
      </c>
    </row>
    <row r="7" spans="2:20" s="62" customFormat="1" ht="72" customHeight="1" outlineLevel="1" x14ac:dyDescent="0.25">
      <c r="B7" s="53"/>
      <c r="C7" s="54" t="s">
        <v>1302</v>
      </c>
      <c r="D7" s="54" t="s">
        <v>75</v>
      </c>
      <c r="E7" s="55" t="s">
        <v>1296</v>
      </c>
      <c r="F7" s="53" t="s">
        <v>76</v>
      </c>
      <c r="G7" s="63">
        <v>4</v>
      </c>
      <c r="H7" s="57" t="s">
        <v>77</v>
      </c>
      <c r="I7" s="54" t="s">
        <v>1303</v>
      </c>
      <c r="J7" s="54" t="s">
        <v>1304</v>
      </c>
      <c r="K7" s="54" t="s">
        <v>1305</v>
      </c>
      <c r="L7" s="54" t="s">
        <v>81</v>
      </c>
      <c r="M7" s="54" t="s">
        <v>1306</v>
      </c>
      <c r="N7" s="54" t="s">
        <v>83</v>
      </c>
      <c r="O7" s="74">
        <v>46139</v>
      </c>
      <c r="P7" s="57"/>
      <c r="Q7" s="57"/>
      <c r="R7" s="61" t="s">
        <v>934</v>
      </c>
      <c r="S7" s="61" t="s">
        <v>84</v>
      </c>
    </row>
    <row r="8" spans="2:20" s="62" customFormat="1" outlineLevel="1" x14ac:dyDescent="0.25">
      <c r="B8" s="53"/>
      <c r="C8" s="54">
        <v>5</v>
      </c>
      <c r="D8" s="54" t="s">
        <v>626</v>
      </c>
      <c r="E8" s="55" t="s">
        <v>1296</v>
      </c>
      <c r="F8" s="53" t="s">
        <v>627</v>
      </c>
      <c r="G8" s="63">
        <v>2</v>
      </c>
      <c r="H8" s="57" t="s">
        <v>152</v>
      </c>
      <c r="I8" s="54" t="s">
        <v>628</v>
      </c>
      <c r="J8" s="54" t="s">
        <v>629</v>
      </c>
      <c r="K8" s="54" t="s">
        <v>630</v>
      </c>
      <c r="L8" s="54" t="s">
        <v>631</v>
      </c>
      <c r="M8" s="54" t="s">
        <v>1307</v>
      </c>
      <c r="N8" s="54" t="s">
        <v>633</v>
      </c>
      <c r="O8" s="74">
        <v>46139</v>
      </c>
      <c r="P8" s="57"/>
      <c r="Q8" s="57"/>
      <c r="R8" s="61" t="s">
        <v>934</v>
      </c>
      <c r="S8" s="61" t="s">
        <v>84</v>
      </c>
    </row>
    <row r="9" spans="2:20" s="62" customFormat="1" outlineLevel="1" x14ac:dyDescent="0.25">
      <c r="B9" s="53"/>
      <c r="C9" s="54">
        <v>6</v>
      </c>
      <c r="D9" s="54" t="s">
        <v>618</v>
      </c>
      <c r="E9" s="55" t="s">
        <v>1296</v>
      </c>
      <c r="F9" s="53" t="s">
        <v>619</v>
      </c>
      <c r="G9" s="66">
        <v>1</v>
      </c>
      <c r="H9" s="57" t="s">
        <v>61</v>
      </c>
      <c r="I9" s="54" t="s">
        <v>620</v>
      </c>
      <c r="J9" s="54" t="s">
        <v>621</v>
      </c>
      <c r="K9" s="54" t="s">
        <v>622</v>
      </c>
      <c r="L9" s="54" t="s">
        <v>623</v>
      </c>
      <c r="M9" s="54" t="s">
        <v>624</v>
      </c>
      <c r="N9" s="54" t="s">
        <v>625</v>
      </c>
      <c r="O9" s="74">
        <v>46139</v>
      </c>
      <c r="P9" s="57"/>
      <c r="Q9" s="57"/>
      <c r="R9" s="61" t="s">
        <v>934</v>
      </c>
      <c r="S9" s="61" t="s">
        <v>31</v>
      </c>
    </row>
    <row r="10" spans="2:20" s="62" customFormat="1" outlineLevel="1" x14ac:dyDescent="0.25">
      <c r="B10" s="53"/>
      <c r="C10" s="54">
        <v>7</v>
      </c>
      <c r="D10" s="54" t="s">
        <v>554</v>
      </c>
      <c r="E10" s="55" t="s">
        <v>1296</v>
      </c>
      <c r="F10" s="53" t="s">
        <v>555</v>
      </c>
      <c r="G10" s="63">
        <v>1</v>
      </c>
      <c r="H10" s="57" t="s">
        <v>61</v>
      </c>
      <c r="I10" s="54" t="s">
        <v>1308</v>
      </c>
      <c r="J10" s="54" t="s">
        <v>1309</v>
      </c>
      <c r="K10" s="54" t="s">
        <v>1310</v>
      </c>
      <c r="L10" s="54" t="s">
        <v>559</v>
      </c>
      <c r="M10" s="54" t="s">
        <v>1311</v>
      </c>
      <c r="N10" s="54" t="s">
        <v>561</v>
      </c>
      <c r="O10" s="74">
        <v>46139</v>
      </c>
      <c r="P10" s="57"/>
      <c r="Q10" s="57"/>
      <c r="R10" s="61" t="s">
        <v>934</v>
      </c>
      <c r="S10" s="61" t="s">
        <v>31</v>
      </c>
    </row>
    <row r="11" spans="2:20" s="62" customFormat="1" outlineLevel="1" x14ac:dyDescent="0.25">
      <c r="B11" s="53"/>
      <c r="C11" s="54">
        <v>8</v>
      </c>
      <c r="D11" s="54" t="s">
        <v>142</v>
      </c>
      <c r="E11" s="55" t="s">
        <v>1296</v>
      </c>
      <c r="F11" s="53" t="s">
        <v>143</v>
      </c>
      <c r="G11" s="63">
        <v>1</v>
      </c>
      <c r="H11" s="57" t="s">
        <v>61</v>
      </c>
      <c r="I11" s="54" t="s">
        <v>144</v>
      </c>
      <c r="J11" s="54" t="s">
        <v>145</v>
      </c>
      <c r="K11" s="54" t="s">
        <v>146</v>
      </c>
      <c r="L11" s="54" t="s">
        <v>147</v>
      </c>
      <c r="M11" s="54" t="s">
        <v>148</v>
      </c>
      <c r="N11" s="54" t="s">
        <v>149</v>
      </c>
      <c r="O11" s="74">
        <v>46139</v>
      </c>
      <c r="P11" s="57"/>
      <c r="Q11" s="57"/>
      <c r="R11" s="61" t="s">
        <v>934</v>
      </c>
      <c r="S11" s="61" t="s">
        <v>84</v>
      </c>
    </row>
    <row r="12" spans="2:20" s="62" customFormat="1" outlineLevel="1" x14ac:dyDescent="0.25">
      <c r="B12" s="53"/>
      <c r="C12" s="54">
        <v>9</v>
      </c>
      <c r="D12" s="54" t="s">
        <v>182</v>
      </c>
      <c r="E12" s="55" t="s">
        <v>1296</v>
      </c>
      <c r="F12" s="53" t="s">
        <v>183</v>
      </c>
      <c r="G12" s="63">
        <v>1</v>
      </c>
      <c r="H12" s="57" t="s">
        <v>111</v>
      </c>
      <c r="I12" s="54" t="s">
        <v>184</v>
      </c>
      <c r="J12" s="54" t="s">
        <v>185</v>
      </c>
      <c r="K12" s="54" t="s">
        <v>186</v>
      </c>
      <c r="L12" s="54" t="s">
        <v>187</v>
      </c>
      <c r="M12" s="54" t="s">
        <v>188</v>
      </c>
      <c r="N12" s="54" t="s">
        <v>189</v>
      </c>
      <c r="O12" s="74">
        <v>46139</v>
      </c>
      <c r="P12" s="57"/>
      <c r="Q12" s="57"/>
      <c r="R12" s="61" t="s">
        <v>934</v>
      </c>
      <c r="S12" s="61" t="s">
        <v>84</v>
      </c>
    </row>
    <row r="13" spans="2:20" s="62" customFormat="1" ht="36" customHeight="1" outlineLevel="1" x14ac:dyDescent="0.25">
      <c r="B13" s="53"/>
      <c r="C13" s="54" t="s">
        <v>1312</v>
      </c>
      <c r="D13" s="54" t="s">
        <v>190</v>
      </c>
      <c r="E13" s="55" t="s">
        <v>1296</v>
      </c>
      <c r="F13" s="53" t="s">
        <v>191</v>
      </c>
      <c r="G13" s="66">
        <v>2</v>
      </c>
      <c r="H13" s="57" t="s">
        <v>24</v>
      </c>
      <c r="I13" s="54" t="s">
        <v>1313</v>
      </c>
      <c r="J13" s="54" t="s">
        <v>1314</v>
      </c>
      <c r="K13" s="54" t="s">
        <v>1315</v>
      </c>
      <c r="L13" s="54" t="s">
        <v>195</v>
      </c>
      <c r="M13" s="54" t="s">
        <v>1316</v>
      </c>
      <c r="N13" s="54" t="s">
        <v>197</v>
      </c>
      <c r="O13" s="74">
        <v>46139</v>
      </c>
      <c r="P13" s="57"/>
      <c r="Q13" s="57"/>
      <c r="R13" s="61" t="s">
        <v>934</v>
      </c>
      <c r="S13" s="61" t="s">
        <v>31</v>
      </c>
    </row>
    <row r="14" spans="2:20" s="62" customFormat="1" outlineLevel="1" x14ac:dyDescent="0.25">
      <c r="B14" s="53"/>
      <c r="C14" s="54">
        <v>11</v>
      </c>
      <c r="D14" s="54" t="s">
        <v>198</v>
      </c>
      <c r="E14" s="55" t="s">
        <v>1296</v>
      </c>
      <c r="F14" s="53" t="s">
        <v>199</v>
      </c>
      <c r="G14" s="63">
        <v>1</v>
      </c>
      <c r="H14" s="57" t="s">
        <v>200</v>
      </c>
      <c r="I14" s="54" t="s">
        <v>201</v>
      </c>
      <c r="J14" s="54" t="s">
        <v>202</v>
      </c>
      <c r="K14" s="54" t="s">
        <v>203</v>
      </c>
      <c r="L14" s="54" t="s">
        <v>204</v>
      </c>
      <c r="M14" s="54" t="s">
        <v>205</v>
      </c>
      <c r="N14" s="54" t="s">
        <v>206</v>
      </c>
      <c r="O14" s="74">
        <v>46139</v>
      </c>
      <c r="P14" s="57"/>
      <c r="Q14" s="57"/>
      <c r="R14" s="61" t="s">
        <v>934</v>
      </c>
      <c r="S14" s="61" t="s">
        <v>84</v>
      </c>
    </row>
    <row r="15" spans="2:20" s="62" customFormat="1" outlineLevel="1" x14ac:dyDescent="0.25">
      <c r="B15" s="53"/>
      <c r="C15" s="54">
        <v>12</v>
      </c>
      <c r="D15" s="54" t="s">
        <v>215</v>
      </c>
      <c r="E15" s="55" t="s">
        <v>1296</v>
      </c>
      <c r="F15" s="53" t="s">
        <v>216</v>
      </c>
      <c r="G15" s="66">
        <v>1</v>
      </c>
      <c r="H15" s="57" t="s">
        <v>24</v>
      </c>
      <c r="I15" s="54" t="s">
        <v>217</v>
      </c>
      <c r="J15" s="54" t="s">
        <v>218</v>
      </c>
      <c r="K15" s="54" t="s">
        <v>219</v>
      </c>
      <c r="L15" s="54" t="s">
        <v>220</v>
      </c>
      <c r="M15" s="54" t="s">
        <v>221</v>
      </c>
      <c r="N15" s="54" t="s">
        <v>222</v>
      </c>
      <c r="O15" s="74">
        <v>46139</v>
      </c>
      <c r="P15" s="57"/>
      <c r="Q15" s="57"/>
      <c r="R15" s="61" t="s">
        <v>934</v>
      </c>
      <c r="S15" s="61" t="s">
        <v>31</v>
      </c>
    </row>
    <row r="16" spans="2:20" s="62" customFormat="1" outlineLevel="1" x14ac:dyDescent="0.25">
      <c r="B16" s="53"/>
      <c r="C16" s="54">
        <v>13</v>
      </c>
      <c r="D16" s="54" t="s">
        <v>223</v>
      </c>
      <c r="E16" s="55" t="s">
        <v>1296</v>
      </c>
      <c r="F16" s="53" t="s">
        <v>224</v>
      </c>
      <c r="G16" s="63">
        <v>1</v>
      </c>
      <c r="H16" s="57" t="s">
        <v>61</v>
      </c>
      <c r="I16" s="54" t="s">
        <v>225</v>
      </c>
      <c r="J16" s="54" t="s">
        <v>226</v>
      </c>
      <c r="K16" s="54" t="s">
        <v>227</v>
      </c>
      <c r="L16" s="54" t="s">
        <v>228</v>
      </c>
      <c r="M16" s="54" t="s">
        <v>229</v>
      </c>
      <c r="N16" s="54" t="s">
        <v>230</v>
      </c>
      <c r="O16" s="74">
        <v>46139</v>
      </c>
      <c r="P16" s="57"/>
      <c r="Q16" s="57"/>
      <c r="R16" s="61" t="s">
        <v>934</v>
      </c>
      <c r="S16" s="61" t="s">
        <v>31</v>
      </c>
    </row>
    <row r="17" spans="1:16382" s="62" customFormat="1" ht="30" customHeight="1" outlineLevel="1" x14ac:dyDescent="0.25">
      <c r="B17" s="53"/>
      <c r="C17" s="54">
        <v>14</v>
      </c>
      <c r="D17" s="54" t="s">
        <v>247</v>
      </c>
      <c r="E17" s="55" t="s">
        <v>1296</v>
      </c>
      <c r="F17" s="53" t="s">
        <v>248</v>
      </c>
      <c r="G17" s="63">
        <v>1</v>
      </c>
      <c r="H17" s="57" t="s">
        <v>61</v>
      </c>
      <c r="I17" s="54" t="s">
        <v>528</v>
      </c>
      <c r="J17" s="54" t="s">
        <v>1068</v>
      </c>
      <c r="K17" s="54" t="s">
        <v>530</v>
      </c>
      <c r="L17" s="54" t="s">
        <v>252</v>
      </c>
      <c r="M17" s="54" t="s">
        <v>531</v>
      </c>
      <c r="N17" s="54" t="s">
        <v>254</v>
      </c>
      <c r="O17" s="74">
        <v>46139</v>
      </c>
      <c r="P17" s="57"/>
      <c r="Q17" s="57"/>
      <c r="R17" s="61" t="s">
        <v>934</v>
      </c>
      <c r="S17" s="61" t="s">
        <v>84</v>
      </c>
    </row>
    <row r="18" spans="1:16382" s="62" customFormat="1" outlineLevel="1" x14ac:dyDescent="0.25">
      <c r="B18" s="53"/>
      <c r="C18" s="54">
        <v>15</v>
      </c>
      <c r="D18" s="54" t="s">
        <v>715</v>
      </c>
      <c r="E18" s="55" t="s">
        <v>1296</v>
      </c>
      <c r="F18" s="53" t="s">
        <v>716</v>
      </c>
      <c r="G18" s="63">
        <v>1</v>
      </c>
      <c r="H18" s="57" t="s">
        <v>717</v>
      </c>
      <c r="I18" s="54" t="s">
        <v>718</v>
      </c>
      <c r="J18" s="54" t="s">
        <v>719</v>
      </c>
      <c r="K18" s="54" t="s">
        <v>720</v>
      </c>
      <c r="L18" s="54" t="s">
        <v>721</v>
      </c>
      <c r="M18" s="54" t="s">
        <v>722</v>
      </c>
      <c r="N18" s="54" t="s">
        <v>723</v>
      </c>
      <c r="O18" s="74">
        <v>46139</v>
      </c>
      <c r="P18" s="57"/>
      <c r="Q18" s="57"/>
      <c r="R18" s="61" t="s">
        <v>934</v>
      </c>
      <c r="S18" s="61" t="s">
        <v>31</v>
      </c>
    </row>
    <row r="19" spans="1:16382" s="62" customFormat="1" ht="30" customHeight="1" outlineLevel="1" x14ac:dyDescent="0.25">
      <c r="B19" s="53"/>
      <c r="C19" s="54">
        <v>16</v>
      </c>
      <c r="D19" s="54" t="s">
        <v>255</v>
      </c>
      <c r="E19" s="55" t="s">
        <v>1296</v>
      </c>
      <c r="F19" s="53" t="s">
        <v>256</v>
      </c>
      <c r="G19" s="63">
        <v>1</v>
      </c>
      <c r="H19" s="57" t="s">
        <v>61</v>
      </c>
      <c r="I19" s="54" t="s">
        <v>257</v>
      </c>
      <c r="J19" s="54" t="s">
        <v>258</v>
      </c>
      <c r="K19" s="54" t="s">
        <v>259</v>
      </c>
      <c r="L19" s="54" t="s">
        <v>260</v>
      </c>
      <c r="M19" s="54" t="s">
        <v>847</v>
      </c>
      <c r="N19" s="54" t="s">
        <v>262</v>
      </c>
      <c r="O19" s="74">
        <v>46139</v>
      </c>
      <c r="P19" s="57"/>
      <c r="Q19" s="57"/>
      <c r="R19" s="61" t="s">
        <v>934</v>
      </c>
      <c r="S19" s="61" t="s">
        <v>84</v>
      </c>
    </row>
    <row r="20" spans="1:16382" s="62" customFormat="1" outlineLevel="1" x14ac:dyDescent="0.25">
      <c r="B20" s="53"/>
      <c r="C20" s="54">
        <v>17</v>
      </c>
      <c r="D20" s="54" t="s">
        <v>270</v>
      </c>
      <c r="E20" s="55" t="s">
        <v>1296</v>
      </c>
      <c r="F20" s="53" t="s">
        <v>271</v>
      </c>
      <c r="G20" s="63">
        <v>1</v>
      </c>
      <c r="H20" s="57" t="s">
        <v>61</v>
      </c>
      <c r="I20" s="54" t="s">
        <v>272</v>
      </c>
      <c r="J20" s="54" t="s">
        <v>273</v>
      </c>
      <c r="K20" s="54" t="s">
        <v>274</v>
      </c>
      <c r="L20" s="54" t="s">
        <v>275</v>
      </c>
      <c r="M20" s="54" t="s">
        <v>275</v>
      </c>
      <c r="N20" s="54" t="s">
        <v>277</v>
      </c>
      <c r="O20" s="74">
        <v>46139</v>
      </c>
      <c r="P20" s="57"/>
      <c r="Q20" s="57"/>
      <c r="R20" s="61" t="s">
        <v>934</v>
      </c>
      <c r="S20" s="61" t="s">
        <v>31</v>
      </c>
    </row>
    <row r="21" spans="1:16382" s="62" customFormat="1" outlineLevel="1" x14ac:dyDescent="0.25">
      <c r="B21" s="53"/>
      <c r="C21" s="54">
        <v>18</v>
      </c>
      <c r="D21" s="54" t="s">
        <v>318</v>
      </c>
      <c r="E21" s="55" t="s">
        <v>1296</v>
      </c>
      <c r="F21" s="53" t="s">
        <v>319</v>
      </c>
      <c r="G21" s="66">
        <v>1</v>
      </c>
      <c r="H21" s="57" t="s">
        <v>111</v>
      </c>
      <c r="I21" s="54" t="s">
        <v>320</v>
      </c>
      <c r="J21" s="54" t="s">
        <v>321</v>
      </c>
      <c r="K21" s="54" t="s">
        <v>322</v>
      </c>
      <c r="L21" s="54" t="s">
        <v>323</v>
      </c>
      <c r="M21" s="54" t="s">
        <v>324</v>
      </c>
      <c r="N21" s="54" t="s">
        <v>325</v>
      </c>
      <c r="O21" s="74">
        <v>46139</v>
      </c>
      <c r="P21" s="57"/>
      <c r="Q21" s="57"/>
      <c r="R21" s="61" t="s">
        <v>934</v>
      </c>
      <c r="S21" s="61" t="s">
        <v>84</v>
      </c>
    </row>
    <row r="22" spans="1:16382" s="62" customFormat="1" outlineLevel="1" x14ac:dyDescent="0.25">
      <c r="B22" s="53"/>
      <c r="C22" s="54">
        <v>19</v>
      </c>
      <c r="D22" s="54" t="s">
        <v>334</v>
      </c>
      <c r="E22" s="55" t="s">
        <v>1296</v>
      </c>
      <c r="F22" s="53" t="s">
        <v>335</v>
      </c>
      <c r="G22" s="63">
        <v>1</v>
      </c>
      <c r="H22" s="57" t="s">
        <v>61</v>
      </c>
      <c r="I22" s="54" t="s">
        <v>336</v>
      </c>
      <c r="J22" s="54" t="s">
        <v>337</v>
      </c>
      <c r="K22" s="54" t="s">
        <v>338</v>
      </c>
      <c r="L22" s="54" t="s">
        <v>339</v>
      </c>
      <c r="M22" s="54" t="s">
        <v>543</v>
      </c>
      <c r="N22" s="54" t="s">
        <v>341</v>
      </c>
      <c r="O22" s="74">
        <v>46139</v>
      </c>
      <c r="P22" s="57"/>
      <c r="Q22" s="57"/>
      <c r="R22" s="61" t="s">
        <v>934</v>
      </c>
      <c r="S22" s="61" t="s">
        <v>84</v>
      </c>
    </row>
    <row r="23" spans="1:16382" s="62" customFormat="1" ht="36" customHeight="1" outlineLevel="1" x14ac:dyDescent="0.25">
      <c r="B23" s="53"/>
      <c r="C23" s="54" t="s">
        <v>1317</v>
      </c>
      <c r="D23" s="54" t="s">
        <v>802</v>
      </c>
      <c r="E23" s="55" t="s">
        <v>1296</v>
      </c>
      <c r="F23" s="53" t="s">
        <v>803</v>
      </c>
      <c r="G23" s="63">
        <v>4</v>
      </c>
      <c r="H23" s="57" t="s">
        <v>804</v>
      </c>
      <c r="I23" s="54" t="s">
        <v>874</v>
      </c>
      <c r="J23" s="54" t="s">
        <v>875</v>
      </c>
      <c r="K23" s="54" t="s">
        <v>876</v>
      </c>
      <c r="L23" s="54" t="s">
        <v>808</v>
      </c>
      <c r="M23" s="54" t="s">
        <v>1318</v>
      </c>
      <c r="N23" s="54" t="s">
        <v>810</v>
      </c>
      <c r="O23" s="74">
        <v>46139</v>
      </c>
      <c r="P23" s="57"/>
      <c r="Q23" s="57"/>
      <c r="R23" s="61" t="s">
        <v>934</v>
      </c>
      <c r="S23" s="61" t="s">
        <v>84</v>
      </c>
    </row>
    <row r="24" spans="1:16382" s="62" customFormat="1" ht="36" customHeight="1" outlineLevel="1" x14ac:dyDescent="0.25">
      <c r="B24" s="53"/>
      <c r="C24" s="54" t="s">
        <v>1319</v>
      </c>
      <c r="D24" s="54" t="s">
        <v>366</v>
      </c>
      <c r="E24" s="55" t="s">
        <v>1296</v>
      </c>
      <c r="F24" s="53" t="s">
        <v>367</v>
      </c>
      <c r="G24" s="63">
        <v>2</v>
      </c>
      <c r="H24" s="57" t="s">
        <v>368</v>
      </c>
      <c r="I24" s="54" t="s">
        <v>369</v>
      </c>
      <c r="J24" s="54" t="s">
        <v>370</v>
      </c>
      <c r="K24" s="54" t="s">
        <v>371</v>
      </c>
      <c r="L24" s="54" t="s">
        <v>372</v>
      </c>
      <c r="M24" s="54" t="s">
        <v>1320</v>
      </c>
      <c r="N24" s="54" t="s">
        <v>374</v>
      </c>
      <c r="O24" s="74">
        <v>46139</v>
      </c>
      <c r="P24" s="57"/>
      <c r="Q24" s="57"/>
      <c r="R24" s="61" t="s">
        <v>934</v>
      </c>
      <c r="S24" s="61" t="s">
        <v>84</v>
      </c>
    </row>
    <row r="25" spans="1:16382" s="62" customFormat="1" outlineLevel="1" x14ac:dyDescent="0.25">
      <c r="B25" s="53"/>
      <c r="C25" s="54">
        <v>22</v>
      </c>
      <c r="D25" s="54" t="s">
        <v>391</v>
      </c>
      <c r="E25" s="55" t="s">
        <v>1296</v>
      </c>
      <c r="F25" s="53" t="s">
        <v>392</v>
      </c>
      <c r="G25" s="63">
        <v>1</v>
      </c>
      <c r="H25" s="57" t="s">
        <v>111</v>
      </c>
      <c r="I25" s="54" t="s">
        <v>393</v>
      </c>
      <c r="J25" s="54" t="s">
        <v>394</v>
      </c>
      <c r="K25" s="54" t="s">
        <v>395</v>
      </c>
      <c r="L25" s="54" t="s">
        <v>396</v>
      </c>
      <c r="M25" s="54" t="s">
        <v>397</v>
      </c>
      <c r="N25" s="54" t="s">
        <v>398</v>
      </c>
      <c r="O25" s="74">
        <v>46139</v>
      </c>
      <c r="P25" s="57"/>
      <c r="Q25" s="57"/>
      <c r="R25" s="61" t="s">
        <v>934</v>
      </c>
      <c r="S25" s="61" t="s">
        <v>84</v>
      </c>
    </row>
    <row r="26" spans="1:16382" s="62" customFormat="1" outlineLevel="1" x14ac:dyDescent="0.25">
      <c r="B26" s="53"/>
      <c r="C26" s="54">
        <v>23</v>
      </c>
      <c r="D26" s="54" t="s">
        <v>407</v>
      </c>
      <c r="E26" s="55" t="s">
        <v>1296</v>
      </c>
      <c r="F26" s="53" t="s">
        <v>408</v>
      </c>
      <c r="G26" s="66">
        <v>1</v>
      </c>
      <c r="H26" s="57" t="s">
        <v>61</v>
      </c>
      <c r="I26" s="54" t="s">
        <v>409</v>
      </c>
      <c r="J26" s="54" t="s">
        <v>410</v>
      </c>
      <c r="K26" s="54" t="s">
        <v>411</v>
      </c>
      <c r="L26" s="54" t="s">
        <v>412</v>
      </c>
      <c r="M26" s="54" t="s">
        <v>552</v>
      </c>
      <c r="N26" s="54" t="s">
        <v>414</v>
      </c>
      <c r="O26" s="74">
        <v>46139</v>
      </c>
      <c r="P26" s="57"/>
      <c r="Q26" s="57"/>
      <c r="R26" s="61" t="s">
        <v>934</v>
      </c>
      <c r="S26" s="61" t="s">
        <v>84</v>
      </c>
    </row>
    <row r="27" spans="1:16382" s="62" customFormat="1" ht="54" customHeight="1" outlineLevel="1" x14ac:dyDescent="0.25">
      <c r="B27" s="53"/>
      <c r="C27" s="54" t="s">
        <v>1321</v>
      </c>
      <c r="D27" s="54" t="s">
        <v>892</v>
      </c>
      <c r="E27" s="55" t="s">
        <v>1296</v>
      </c>
      <c r="F27" s="53" t="s">
        <v>893</v>
      </c>
      <c r="G27" s="63">
        <v>3</v>
      </c>
      <c r="H27" s="57" t="s">
        <v>61</v>
      </c>
      <c r="I27" s="54" t="s">
        <v>1251</v>
      </c>
      <c r="J27" s="54" t="s">
        <v>1252</v>
      </c>
      <c r="K27" s="54" t="s">
        <v>1253</v>
      </c>
      <c r="L27" s="54" t="s">
        <v>991</v>
      </c>
      <c r="M27" s="54" t="s">
        <v>1322</v>
      </c>
      <c r="N27" s="54" t="s">
        <v>898</v>
      </c>
      <c r="O27" s="74">
        <v>46139</v>
      </c>
      <c r="P27" s="57"/>
      <c r="Q27" s="57"/>
      <c r="R27" s="61" t="s">
        <v>934</v>
      </c>
      <c r="S27" s="61" t="s">
        <v>84</v>
      </c>
    </row>
    <row r="28" spans="1:16382" s="62" customFormat="1" outlineLevel="1" x14ac:dyDescent="0.25">
      <c r="B28" s="53"/>
      <c r="C28" s="54">
        <v>25</v>
      </c>
      <c r="D28" s="54" t="s">
        <v>494</v>
      </c>
      <c r="E28" s="55" t="s">
        <v>1296</v>
      </c>
      <c r="F28" s="53" t="s">
        <v>495</v>
      </c>
      <c r="G28" s="63">
        <v>1</v>
      </c>
      <c r="H28" s="57" t="s">
        <v>61</v>
      </c>
      <c r="I28" s="54" t="s">
        <v>496</v>
      </c>
      <c r="J28" s="54" t="s">
        <v>497</v>
      </c>
      <c r="K28" s="54" t="s">
        <v>498</v>
      </c>
      <c r="L28" s="54" t="s">
        <v>499</v>
      </c>
      <c r="M28" s="54" t="s">
        <v>500</v>
      </c>
      <c r="N28" s="54" t="s">
        <v>501</v>
      </c>
      <c r="O28" s="74">
        <v>46139</v>
      </c>
      <c r="P28" s="57"/>
      <c r="Q28" s="57"/>
      <c r="R28" s="61" t="s">
        <v>934</v>
      </c>
      <c r="S28" s="61" t="s">
        <v>84</v>
      </c>
    </row>
    <row r="29" spans="1:16382" s="62" customFormat="1" outlineLevel="1" x14ac:dyDescent="0.25">
      <c r="B29" s="53"/>
      <c r="C29" s="54">
        <v>26</v>
      </c>
      <c r="D29" s="54" t="s">
        <v>508</v>
      </c>
      <c r="E29" s="55" t="s">
        <v>1296</v>
      </c>
      <c r="F29" s="53" t="s">
        <v>509</v>
      </c>
      <c r="G29" s="63">
        <v>2</v>
      </c>
      <c r="H29" s="57" t="s">
        <v>61</v>
      </c>
      <c r="I29" s="54" t="s">
        <v>510</v>
      </c>
      <c r="J29" s="54" t="s">
        <v>511</v>
      </c>
      <c r="K29" s="54" t="s">
        <v>512</v>
      </c>
      <c r="L29" s="54" t="s">
        <v>513</v>
      </c>
      <c r="M29" s="54" t="s">
        <v>514</v>
      </c>
      <c r="N29" s="54" t="s">
        <v>515</v>
      </c>
      <c r="O29" s="74">
        <v>46139</v>
      </c>
      <c r="P29" s="57"/>
      <c r="Q29" s="57"/>
      <c r="R29" s="61" t="s">
        <v>934</v>
      </c>
      <c r="S29" s="61" t="s">
        <v>31</v>
      </c>
    </row>
    <row r="30" spans="1:16382" x14ac:dyDescent="0.25">
      <c r="A30" s="27"/>
      <c r="B30" s="46"/>
      <c r="C30" s="31"/>
      <c r="D30" s="46"/>
      <c r="E30" s="28" t="s">
        <v>1323</v>
      </c>
      <c r="F30" s="28"/>
      <c r="G30" s="29">
        <f>SUM(G31:G71)</f>
        <v>68</v>
      </c>
      <c r="H30" s="47"/>
      <c r="I30" s="48"/>
      <c r="J30" s="46"/>
      <c r="K30" s="46"/>
      <c r="L30" s="46"/>
      <c r="M30" s="31"/>
      <c r="N30" s="30"/>
      <c r="O30" s="28"/>
      <c r="P30" s="28"/>
      <c r="Q30" s="31"/>
      <c r="R30" s="32" t="s">
        <v>84</v>
      </c>
      <c r="S30" s="46"/>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27"/>
      <c r="FF30" s="27"/>
      <c r="FG30" s="27"/>
      <c r="FH30" s="27"/>
      <c r="FI30" s="27"/>
      <c r="FJ30" s="27"/>
      <c r="FK30" s="27"/>
      <c r="FL30" s="27"/>
      <c r="FM30" s="27"/>
      <c r="FN30" s="27"/>
      <c r="FO30" s="27"/>
      <c r="FP30" s="27"/>
      <c r="FQ30" s="27"/>
      <c r="FR30" s="27"/>
      <c r="FS30" s="27"/>
      <c r="FT30" s="27"/>
      <c r="FU30" s="27"/>
      <c r="FV30" s="27"/>
      <c r="FW30" s="27"/>
      <c r="FX30" s="27"/>
      <c r="FY30" s="27"/>
      <c r="FZ30" s="27"/>
      <c r="GA30" s="27"/>
      <c r="GB30" s="27"/>
      <c r="GC30" s="27"/>
      <c r="GD30" s="27"/>
      <c r="GE30" s="27"/>
      <c r="GF30" s="27"/>
      <c r="GG30" s="27"/>
      <c r="GH30" s="27"/>
      <c r="GI30" s="27"/>
      <c r="GJ30" s="27"/>
      <c r="GK30" s="27"/>
      <c r="GL30" s="27"/>
      <c r="GM30" s="27"/>
      <c r="GN30" s="27"/>
      <c r="GO30" s="27"/>
      <c r="GP30" s="27"/>
      <c r="GQ30" s="27"/>
      <c r="GR30" s="27"/>
      <c r="GS30" s="27"/>
      <c r="GT30" s="27"/>
      <c r="GU30" s="27"/>
      <c r="GV30" s="27"/>
      <c r="GW30" s="27"/>
      <c r="GX30" s="27"/>
      <c r="GY30" s="27"/>
      <c r="GZ30" s="27"/>
      <c r="HA30" s="27"/>
      <c r="HB30" s="27"/>
      <c r="HC30" s="27"/>
      <c r="HD30" s="27"/>
      <c r="HE30" s="27"/>
      <c r="HF30" s="27"/>
      <c r="HG30" s="27"/>
      <c r="HH30" s="27"/>
      <c r="HI30" s="27"/>
      <c r="HJ30" s="27"/>
      <c r="HK30" s="27"/>
      <c r="HL30" s="27"/>
      <c r="HM30" s="27"/>
      <c r="HN30" s="27"/>
      <c r="HO30" s="27"/>
      <c r="HP30" s="27"/>
      <c r="HQ30" s="27"/>
      <c r="HR30" s="27"/>
      <c r="HS30" s="27"/>
      <c r="HT30" s="27"/>
      <c r="HU30" s="27"/>
      <c r="HV30" s="27"/>
      <c r="HW30" s="27"/>
      <c r="HX30" s="27"/>
      <c r="HY30" s="27"/>
      <c r="HZ30" s="27"/>
      <c r="IA30" s="27"/>
      <c r="IB30" s="27"/>
      <c r="IC30" s="27"/>
      <c r="ID30" s="27"/>
      <c r="IE30" s="27"/>
      <c r="IF30" s="27"/>
      <c r="IG30" s="27"/>
      <c r="IH30" s="27"/>
      <c r="II30" s="27"/>
      <c r="IJ30" s="27"/>
      <c r="IK30" s="27"/>
      <c r="IL30" s="27"/>
      <c r="IM30" s="27"/>
      <c r="IN30" s="27"/>
      <c r="IO30" s="27"/>
      <c r="IP30" s="27"/>
      <c r="IQ30" s="27"/>
      <c r="IR30" s="27"/>
      <c r="IS30" s="27"/>
      <c r="IT30" s="27"/>
      <c r="IU30" s="27"/>
      <c r="IV30" s="27"/>
      <c r="IW30" s="27"/>
      <c r="IX30" s="27"/>
      <c r="IY30" s="27"/>
      <c r="IZ30" s="27"/>
      <c r="JA30" s="27"/>
      <c r="JB30" s="27"/>
      <c r="JC30" s="27"/>
      <c r="JD30" s="27"/>
      <c r="JE30" s="27"/>
      <c r="JF30" s="27"/>
      <c r="JG30" s="27"/>
      <c r="JH30" s="27"/>
      <c r="JI30" s="27"/>
      <c r="JJ30" s="27"/>
      <c r="JK30" s="27"/>
      <c r="JL30" s="27"/>
      <c r="JM30" s="27"/>
      <c r="JN30" s="27"/>
      <c r="JO30" s="27"/>
      <c r="JP30" s="27"/>
      <c r="JQ30" s="27"/>
      <c r="JR30" s="27"/>
      <c r="JS30" s="27"/>
      <c r="JT30" s="27"/>
      <c r="JU30" s="27"/>
      <c r="JV30" s="27"/>
      <c r="JW30" s="27"/>
      <c r="JX30" s="27"/>
      <c r="JY30" s="27"/>
      <c r="JZ30" s="27"/>
      <c r="KA30" s="27"/>
      <c r="KB30" s="27"/>
      <c r="KC30" s="27"/>
      <c r="KD30" s="27"/>
      <c r="KE30" s="27"/>
      <c r="KF30" s="27"/>
      <c r="KG30" s="27"/>
      <c r="KH30" s="27"/>
      <c r="KI30" s="27"/>
      <c r="KJ30" s="27"/>
      <c r="KK30" s="27"/>
      <c r="KL30" s="27"/>
      <c r="KM30" s="27"/>
      <c r="KN30" s="27"/>
      <c r="KO30" s="27"/>
      <c r="KP30" s="27"/>
      <c r="KQ30" s="27"/>
      <c r="KR30" s="27"/>
      <c r="KS30" s="27"/>
      <c r="KT30" s="27"/>
      <c r="KU30" s="27"/>
      <c r="KV30" s="27"/>
      <c r="KW30" s="27"/>
      <c r="KX30" s="27"/>
      <c r="KY30" s="27"/>
      <c r="KZ30" s="27"/>
      <c r="LA30" s="27"/>
      <c r="LB30" s="27"/>
      <c r="LC30" s="27"/>
      <c r="LD30" s="27"/>
      <c r="LE30" s="27"/>
      <c r="LF30" s="27"/>
      <c r="LG30" s="27"/>
      <c r="LH30" s="27"/>
      <c r="LI30" s="27"/>
      <c r="LJ30" s="27"/>
      <c r="LK30" s="27"/>
      <c r="LL30" s="27"/>
      <c r="LM30" s="27"/>
      <c r="LN30" s="27"/>
      <c r="LO30" s="27"/>
      <c r="LP30" s="27"/>
      <c r="LQ30" s="27"/>
      <c r="LR30" s="27"/>
      <c r="LS30" s="27"/>
      <c r="LT30" s="27"/>
      <c r="LU30" s="27"/>
      <c r="LV30" s="27"/>
      <c r="LW30" s="27"/>
      <c r="LX30" s="27"/>
      <c r="LY30" s="27"/>
      <c r="LZ30" s="27"/>
      <c r="MA30" s="27"/>
      <c r="MB30" s="27"/>
      <c r="MC30" s="27"/>
      <c r="MD30" s="27"/>
      <c r="ME30" s="27"/>
      <c r="MF30" s="27"/>
      <c r="MG30" s="27"/>
      <c r="MH30" s="27"/>
      <c r="MI30" s="27"/>
      <c r="MJ30" s="27"/>
      <c r="MK30" s="27"/>
      <c r="ML30" s="27"/>
      <c r="MM30" s="27"/>
      <c r="MN30" s="27"/>
      <c r="MO30" s="27"/>
      <c r="MP30" s="27"/>
      <c r="MQ30" s="27"/>
      <c r="MR30" s="27"/>
      <c r="MS30" s="27"/>
      <c r="MT30" s="27"/>
      <c r="MU30" s="27"/>
      <c r="MV30" s="27"/>
      <c r="MW30" s="27"/>
      <c r="MX30" s="27"/>
      <c r="MY30" s="27"/>
      <c r="MZ30" s="27"/>
      <c r="NA30" s="27"/>
      <c r="NB30" s="27"/>
      <c r="NC30" s="27"/>
      <c r="ND30" s="27"/>
      <c r="NE30" s="27"/>
      <c r="NF30" s="27"/>
      <c r="NG30" s="27"/>
      <c r="NH30" s="27"/>
      <c r="NI30" s="27"/>
      <c r="NJ30" s="27"/>
      <c r="NK30" s="27"/>
      <c r="NL30" s="27"/>
      <c r="NM30" s="27"/>
      <c r="NN30" s="27"/>
      <c r="NO30" s="27"/>
      <c r="NP30" s="27"/>
      <c r="NQ30" s="27"/>
      <c r="NR30" s="27"/>
      <c r="NS30" s="27"/>
      <c r="NT30" s="27"/>
      <c r="NU30" s="27"/>
      <c r="NV30" s="27"/>
      <c r="NW30" s="27"/>
      <c r="NX30" s="27"/>
      <c r="NY30" s="27"/>
      <c r="NZ30" s="27"/>
      <c r="OA30" s="27"/>
      <c r="OB30" s="27"/>
      <c r="OC30" s="27"/>
      <c r="OD30" s="27"/>
      <c r="OE30" s="27"/>
      <c r="OF30" s="27"/>
      <c r="OG30" s="27"/>
      <c r="OH30" s="27"/>
      <c r="OI30" s="27"/>
      <c r="OJ30" s="27"/>
      <c r="OK30" s="27"/>
      <c r="OL30" s="27"/>
      <c r="OM30" s="27"/>
      <c r="ON30" s="27"/>
      <c r="OO30" s="27"/>
      <c r="OP30" s="27"/>
      <c r="OQ30" s="27"/>
      <c r="OR30" s="27"/>
      <c r="OS30" s="27"/>
      <c r="OT30" s="27"/>
      <c r="OU30" s="27"/>
      <c r="OV30" s="27"/>
      <c r="OW30" s="27"/>
      <c r="OX30" s="27"/>
      <c r="OY30" s="27"/>
      <c r="OZ30" s="27"/>
      <c r="PA30" s="27"/>
      <c r="PB30" s="27"/>
      <c r="PC30" s="27"/>
      <c r="PD30" s="27"/>
      <c r="PE30" s="27"/>
      <c r="PF30" s="27"/>
      <c r="PG30" s="27"/>
      <c r="PH30" s="27"/>
      <c r="PI30" s="27"/>
      <c r="PJ30" s="27"/>
      <c r="PK30" s="27"/>
      <c r="PL30" s="27"/>
      <c r="PM30" s="27"/>
      <c r="PN30" s="27"/>
      <c r="PO30" s="27"/>
      <c r="PP30" s="27"/>
      <c r="PQ30" s="27"/>
      <c r="PR30" s="27"/>
      <c r="PS30" s="27"/>
      <c r="PT30" s="27"/>
      <c r="PU30" s="27"/>
      <c r="PV30" s="27"/>
      <c r="PW30" s="27"/>
      <c r="PX30" s="27"/>
      <c r="PY30" s="27"/>
      <c r="PZ30" s="27"/>
      <c r="QA30" s="27"/>
      <c r="QB30" s="27"/>
      <c r="QC30" s="27"/>
      <c r="QD30" s="27"/>
      <c r="QE30" s="27"/>
      <c r="QF30" s="27"/>
      <c r="QG30" s="27"/>
      <c r="QH30" s="27"/>
      <c r="QI30" s="27"/>
      <c r="QJ30" s="27"/>
      <c r="QK30" s="27"/>
      <c r="QL30" s="27"/>
      <c r="QM30" s="27"/>
      <c r="QN30" s="27"/>
      <c r="QO30" s="27"/>
      <c r="QP30" s="27"/>
      <c r="QQ30" s="27"/>
      <c r="QR30" s="27"/>
      <c r="QS30" s="27"/>
      <c r="QT30" s="27"/>
      <c r="QU30" s="27"/>
      <c r="QV30" s="27"/>
      <c r="QW30" s="27"/>
      <c r="QX30" s="27"/>
      <c r="QY30" s="27"/>
      <c r="QZ30" s="27"/>
      <c r="RA30" s="27"/>
      <c r="RB30" s="27"/>
      <c r="RC30" s="27"/>
      <c r="RD30" s="27"/>
      <c r="RE30" s="27"/>
      <c r="RF30" s="27"/>
      <c r="RG30" s="27"/>
      <c r="RH30" s="27"/>
      <c r="RI30" s="27"/>
      <c r="RJ30" s="27"/>
      <c r="RK30" s="27"/>
      <c r="RL30" s="27"/>
      <c r="RM30" s="27"/>
      <c r="RN30" s="27"/>
      <c r="RO30" s="27"/>
      <c r="RP30" s="27"/>
      <c r="RQ30" s="27"/>
      <c r="RR30" s="27"/>
      <c r="RS30" s="27"/>
      <c r="RT30" s="27"/>
      <c r="RU30" s="27"/>
      <c r="RV30" s="27"/>
      <c r="RW30" s="27"/>
      <c r="RX30" s="27"/>
      <c r="RY30" s="27"/>
      <c r="RZ30" s="27"/>
      <c r="SA30" s="27"/>
      <c r="SB30" s="27"/>
      <c r="SC30" s="27"/>
      <c r="SD30" s="27"/>
      <c r="SE30" s="27"/>
      <c r="SF30" s="27"/>
      <c r="SG30" s="27"/>
      <c r="SH30" s="27"/>
      <c r="SI30" s="27"/>
      <c r="SJ30" s="27"/>
      <c r="SK30" s="27"/>
      <c r="SL30" s="27"/>
      <c r="SM30" s="27"/>
      <c r="SN30" s="27"/>
      <c r="SO30" s="27"/>
      <c r="SP30" s="27"/>
      <c r="SQ30" s="27"/>
      <c r="SR30" s="27"/>
      <c r="SS30" s="27"/>
      <c r="ST30" s="27"/>
      <c r="SU30" s="27"/>
      <c r="SV30" s="27"/>
      <c r="SW30" s="27"/>
      <c r="SX30" s="27"/>
      <c r="SY30" s="27"/>
      <c r="SZ30" s="27"/>
      <c r="TA30" s="27"/>
      <c r="TB30" s="27"/>
      <c r="TC30" s="27"/>
      <c r="TD30" s="27"/>
      <c r="TE30" s="27"/>
      <c r="TF30" s="27"/>
      <c r="TG30" s="27"/>
      <c r="TH30" s="27"/>
      <c r="TI30" s="27"/>
      <c r="TJ30" s="27"/>
      <c r="TK30" s="27"/>
      <c r="TL30" s="27"/>
      <c r="TM30" s="27"/>
      <c r="TN30" s="27"/>
      <c r="TO30" s="27"/>
      <c r="TP30" s="27"/>
      <c r="TQ30" s="27"/>
      <c r="TR30" s="27"/>
      <c r="TS30" s="27"/>
      <c r="TT30" s="27"/>
      <c r="TU30" s="27"/>
      <c r="TV30" s="27"/>
      <c r="TW30" s="27"/>
      <c r="TX30" s="27"/>
      <c r="TY30" s="27"/>
      <c r="TZ30" s="27"/>
      <c r="UA30" s="27"/>
      <c r="UB30" s="27"/>
      <c r="UC30" s="27"/>
      <c r="UD30" s="27"/>
      <c r="UE30" s="27"/>
      <c r="UF30" s="27"/>
      <c r="UG30" s="27"/>
      <c r="UH30" s="27"/>
      <c r="UI30" s="27"/>
      <c r="UJ30" s="27"/>
      <c r="UK30" s="27"/>
      <c r="UL30" s="27"/>
      <c r="UM30" s="27"/>
      <c r="UN30" s="27"/>
      <c r="UO30" s="27"/>
      <c r="UP30" s="27"/>
      <c r="UQ30" s="27"/>
      <c r="UR30" s="27"/>
      <c r="US30" s="27"/>
      <c r="UT30" s="27"/>
      <c r="UU30" s="27"/>
      <c r="UV30" s="27"/>
      <c r="UW30" s="27"/>
      <c r="UX30" s="27"/>
      <c r="UY30" s="27"/>
      <c r="UZ30" s="27"/>
      <c r="VA30" s="27"/>
      <c r="VB30" s="27"/>
      <c r="VC30" s="27"/>
      <c r="VD30" s="27"/>
      <c r="VE30" s="27"/>
      <c r="VF30" s="27"/>
      <c r="VG30" s="27"/>
      <c r="VH30" s="27"/>
      <c r="VI30" s="27"/>
      <c r="VJ30" s="27"/>
      <c r="VK30" s="27"/>
      <c r="VL30" s="27"/>
      <c r="VM30" s="27"/>
      <c r="VN30" s="27"/>
      <c r="VO30" s="27"/>
      <c r="VP30" s="27"/>
      <c r="VQ30" s="27"/>
      <c r="VR30" s="27"/>
      <c r="VS30" s="27"/>
      <c r="VT30" s="27"/>
      <c r="VU30" s="27"/>
      <c r="VV30" s="27"/>
      <c r="VW30" s="27"/>
      <c r="VX30" s="27"/>
      <c r="VY30" s="27"/>
      <c r="VZ30" s="27"/>
      <c r="WA30" s="27"/>
      <c r="WB30" s="27"/>
      <c r="WC30" s="27"/>
      <c r="WD30" s="27"/>
      <c r="WE30" s="27"/>
      <c r="WF30" s="27"/>
      <c r="WG30" s="27"/>
      <c r="WH30" s="27"/>
      <c r="WI30" s="27"/>
      <c r="WJ30" s="27"/>
      <c r="WK30" s="27"/>
      <c r="WL30" s="27"/>
      <c r="WM30" s="27"/>
      <c r="WN30" s="27"/>
      <c r="WO30" s="27"/>
      <c r="WP30" s="27"/>
      <c r="WQ30" s="27"/>
      <c r="WR30" s="27"/>
      <c r="WS30" s="27"/>
      <c r="WT30" s="27"/>
      <c r="WU30" s="27"/>
      <c r="WV30" s="27"/>
      <c r="WW30" s="27"/>
      <c r="WX30" s="27"/>
      <c r="WY30" s="27"/>
      <c r="WZ30" s="27"/>
      <c r="XA30" s="27"/>
      <c r="XB30" s="27"/>
      <c r="XC30" s="27"/>
      <c r="XD30" s="27"/>
      <c r="XE30" s="27"/>
      <c r="XF30" s="27"/>
      <c r="XG30" s="27"/>
      <c r="XH30" s="27"/>
      <c r="XI30" s="27"/>
      <c r="XJ30" s="27"/>
      <c r="XK30" s="27"/>
      <c r="XL30" s="27"/>
      <c r="XM30" s="27"/>
      <c r="XN30" s="27"/>
      <c r="XO30" s="27"/>
      <c r="XP30" s="27"/>
      <c r="XQ30" s="27"/>
      <c r="XR30" s="27"/>
      <c r="XS30" s="27"/>
      <c r="XT30" s="27"/>
      <c r="XU30" s="27"/>
      <c r="XV30" s="27"/>
      <c r="XW30" s="27"/>
      <c r="XX30" s="27"/>
      <c r="XY30" s="27"/>
      <c r="XZ30" s="27"/>
      <c r="YA30" s="27"/>
      <c r="YB30" s="27"/>
      <c r="YC30" s="27"/>
      <c r="YD30" s="27"/>
      <c r="YE30" s="27"/>
      <c r="YF30" s="27"/>
      <c r="YG30" s="27"/>
      <c r="YH30" s="27"/>
      <c r="YI30" s="27"/>
      <c r="YJ30" s="27"/>
      <c r="YK30" s="27"/>
      <c r="YL30" s="27"/>
      <c r="YM30" s="27"/>
      <c r="YN30" s="27"/>
      <c r="YO30" s="27"/>
      <c r="YP30" s="27"/>
      <c r="YQ30" s="27"/>
      <c r="YR30" s="27"/>
      <c r="YS30" s="27"/>
      <c r="YT30" s="27"/>
      <c r="YU30" s="27"/>
      <c r="YV30" s="27"/>
      <c r="YW30" s="27"/>
      <c r="YX30" s="27"/>
      <c r="YY30" s="27"/>
      <c r="YZ30" s="27"/>
      <c r="ZA30" s="27"/>
      <c r="ZB30" s="27"/>
      <c r="ZC30" s="27"/>
      <c r="ZD30" s="27"/>
      <c r="ZE30" s="27"/>
      <c r="ZF30" s="27"/>
      <c r="ZG30" s="27"/>
      <c r="ZH30" s="27"/>
      <c r="ZI30" s="27"/>
      <c r="ZJ30" s="27"/>
      <c r="ZK30" s="27"/>
      <c r="ZL30" s="27"/>
      <c r="ZM30" s="27"/>
      <c r="ZN30" s="27"/>
      <c r="ZO30" s="27"/>
      <c r="ZP30" s="27"/>
      <c r="ZQ30" s="27"/>
      <c r="ZR30" s="27"/>
      <c r="ZS30" s="27"/>
      <c r="ZT30" s="27"/>
      <c r="ZU30" s="27"/>
      <c r="ZV30" s="27"/>
      <c r="ZW30" s="27"/>
      <c r="ZX30" s="27"/>
      <c r="ZY30" s="27"/>
      <c r="ZZ30" s="27"/>
      <c r="AAA30" s="27"/>
      <c r="AAB30" s="27"/>
      <c r="AAC30" s="27"/>
      <c r="AAD30" s="27"/>
      <c r="AAE30" s="27"/>
      <c r="AAF30" s="27"/>
      <c r="AAG30" s="27"/>
      <c r="AAH30" s="27"/>
      <c r="AAI30" s="27"/>
      <c r="AAJ30" s="27"/>
      <c r="AAK30" s="27"/>
      <c r="AAL30" s="27"/>
      <c r="AAM30" s="27"/>
      <c r="AAN30" s="27"/>
      <c r="AAO30" s="27"/>
      <c r="AAP30" s="27"/>
      <c r="AAQ30" s="27"/>
      <c r="AAR30" s="27"/>
      <c r="AAS30" s="27"/>
      <c r="AAT30" s="27"/>
      <c r="AAU30" s="27"/>
      <c r="AAV30" s="27"/>
      <c r="AAW30" s="27"/>
      <c r="AAX30" s="27"/>
      <c r="AAY30" s="27"/>
      <c r="AAZ30" s="27"/>
      <c r="ABA30" s="27"/>
      <c r="ABB30" s="27"/>
      <c r="ABC30" s="27"/>
      <c r="ABD30" s="27"/>
      <c r="ABE30" s="27"/>
      <c r="ABF30" s="27"/>
      <c r="ABG30" s="27"/>
      <c r="ABH30" s="27"/>
      <c r="ABI30" s="27"/>
      <c r="ABJ30" s="27"/>
      <c r="ABK30" s="27"/>
      <c r="ABL30" s="27"/>
      <c r="ABM30" s="27"/>
      <c r="ABN30" s="27"/>
      <c r="ABO30" s="27"/>
      <c r="ABP30" s="27"/>
      <c r="ABQ30" s="27"/>
      <c r="ABR30" s="27"/>
      <c r="ABS30" s="27"/>
      <c r="ABT30" s="27"/>
      <c r="ABU30" s="27"/>
      <c r="ABV30" s="27"/>
      <c r="ABW30" s="27"/>
      <c r="ABX30" s="27"/>
      <c r="ABY30" s="27"/>
      <c r="ABZ30" s="27"/>
      <c r="ACA30" s="27"/>
      <c r="ACB30" s="27"/>
      <c r="ACC30" s="27"/>
      <c r="ACD30" s="27"/>
      <c r="ACE30" s="27"/>
      <c r="ACF30" s="27"/>
      <c r="ACG30" s="27"/>
      <c r="ACH30" s="27"/>
      <c r="ACI30" s="27"/>
      <c r="ACJ30" s="27"/>
      <c r="ACK30" s="27"/>
      <c r="ACL30" s="27"/>
      <c r="ACM30" s="27"/>
      <c r="ACN30" s="27"/>
      <c r="ACO30" s="27"/>
      <c r="ACP30" s="27"/>
      <c r="ACQ30" s="27"/>
      <c r="ACR30" s="27"/>
      <c r="ACS30" s="27"/>
      <c r="ACT30" s="27"/>
      <c r="ACU30" s="27"/>
      <c r="ACV30" s="27"/>
      <c r="ACW30" s="27"/>
      <c r="ACX30" s="27"/>
      <c r="ACY30" s="27"/>
      <c r="ACZ30" s="27"/>
      <c r="ADA30" s="27"/>
      <c r="ADB30" s="27"/>
      <c r="ADC30" s="27"/>
      <c r="ADD30" s="27"/>
      <c r="ADE30" s="27"/>
      <c r="ADF30" s="27"/>
      <c r="ADG30" s="27"/>
      <c r="ADH30" s="27"/>
      <c r="ADI30" s="27"/>
      <c r="ADJ30" s="27"/>
      <c r="ADK30" s="27"/>
      <c r="ADL30" s="27"/>
      <c r="ADM30" s="27"/>
      <c r="ADN30" s="27"/>
      <c r="ADO30" s="27"/>
      <c r="ADP30" s="27"/>
      <c r="ADQ30" s="27"/>
      <c r="ADR30" s="27"/>
      <c r="ADS30" s="27"/>
      <c r="ADT30" s="27"/>
      <c r="ADU30" s="27"/>
      <c r="ADV30" s="27"/>
      <c r="ADW30" s="27"/>
      <c r="ADX30" s="27"/>
      <c r="ADY30" s="27"/>
      <c r="ADZ30" s="27"/>
      <c r="AEA30" s="27"/>
      <c r="AEB30" s="27"/>
      <c r="AEC30" s="27"/>
      <c r="AED30" s="27"/>
      <c r="AEE30" s="27"/>
      <c r="AEF30" s="27"/>
      <c r="AEG30" s="27"/>
      <c r="AEH30" s="27"/>
      <c r="AEI30" s="27"/>
      <c r="AEJ30" s="27"/>
      <c r="AEK30" s="27"/>
      <c r="AEL30" s="27"/>
      <c r="AEM30" s="27"/>
      <c r="AEN30" s="27"/>
      <c r="AEO30" s="27"/>
      <c r="AEP30" s="27"/>
      <c r="AEQ30" s="27"/>
      <c r="AER30" s="27"/>
      <c r="AES30" s="27"/>
      <c r="AET30" s="27"/>
      <c r="AEU30" s="27"/>
      <c r="AEV30" s="27"/>
      <c r="AEW30" s="27"/>
      <c r="AEX30" s="27"/>
      <c r="AEY30" s="27"/>
      <c r="AEZ30" s="27"/>
      <c r="AFA30" s="27"/>
      <c r="AFB30" s="27"/>
      <c r="AFC30" s="27"/>
      <c r="AFD30" s="27"/>
      <c r="AFE30" s="27"/>
      <c r="AFF30" s="27"/>
      <c r="AFG30" s="27"/>
      <c r="AFH30" s="27"/>
      <c r="AFI30" s="27"/>
      <c r="AFJ30" s="27"/>
      <c r="AFK30" s="27"/>
      <c r="AFL30" s="27"/>
      <c r="AFM30" s="27"/>
      <c r="AFN30" s="27"/>
      <c r="AFO30" s="27"/>
      <c r="AFP30" s="27"/>
      <c r="AFQ30" s="27"/>
      <c r="AFR30" s="27"/>
      <c r="AFS30" s="27"/>
      <c r="AFT30" s="27"/>
      <c r="AFU30" s="27"/>
      <c r="AFV30" s="27"/>
      <c r="AFW30" s="27"/>
      <c r="AFX30" s="27"/>
      <c r="AFY30" s="27"/>
      <c r="AFZ30" s="27"/>
      <c r="AGA30" s="27"/>
      <c r="AGB30" s="27"/>
      <c r="AGC30" s="27"/>
      <c r="AGD30" s="27"/>
      <c r="AGE30" s="27"/>
      <c r="AGF30" s="27"/>
      <c r="AGG30" s="27"/>
      <c r="AGH30" s="27"/>
      <c r="AGI30" s="27"/>
      <c r="AGJ30" s="27"/>
      <c r="AGK30" s="27"/>
      <c r="AGL30" s="27"/>
      <c r="AGM30" s="27"/>
      <c r="AGN30" s="27"/>
      <c r="AGO30" s="27"/>
      <c r="AGP30" s="27"/>
      <c r="AGQ30" s="27"/>
      <c r="AGR30" s="27"/>
      <c r="AGS30" s="27"/>
      <c r="AGT30" s="27"/>
      <c r="AGU30" s="27"/>
      <c r="AGV30" s="27"/>
      <c r="AGW30" s="27"/>
      <c r="AGX30" s="27"/>
      <c r="AGY30" s="27"/>
      <c r="AGZ30" s="27"/>
      <c r="AHA30" s="27"/>
      <c r="AHB30" s="27"/>
      <c r="AHC30" s="27"/>
      <c r="AHD30" s="27"/>
      <c r="AHE30" s="27"/>
      <c r="AHF30" s="27"/>
      <c r="AHG30" s="27"/>
      <c r="AHH30" s="27"/>
      <c r="AHI30" s="27"/>
      <c r="AHJ30" s="27"/>
      <c r="AHK30" s="27"/>
      <c r="AHL30" s="27"/>
      <c r="AHM30" s="27"/>
      <c r="AHN30" s="27"/>
      <c r="AHO30" s="27"/>
      <c r="AHP30" s="27"/>
      <c r="AHQ30" s="27"/>
      <c r="AHR30" s="27"/>
      <c r="AHS30" s="27"/>
      <c r="AHT30" s="27"/>
      <c r="AHU30" s="27"/>
      <c r="AHV30" s="27"/>
      <c r="AHW30" s="27"/>
      <c r="AHX30" s="27"/>
      <c r="AHY30" s="27"/>
      <c r="AHZ30" s="27"/>
      <c r="AIA30" s="27"/>
      <c r="AIB30" s="27"/>
      <c r="AIC30" s="27"/>
      <c r="AID30" s="27"/>
      <c r="AIE30" s="27"/>
      <c r="AIF30" s="27"/>
      <c r="AIG30" s="27"/>
      <c r="AIH30" s="27"/>
      <c r="AII30" s="27"/>
      <c r="AIJ30" s="27"/>
      <c r="AIK30" s="27"/>
      <c r="AIL30" s="27"/>
      <c r="AIM30" s="27"/>
      <c r="AIN30" s="27"/>
      <c r="AIO30" s="27"/>
      <c r="AIP30" s="27"/>
      <c r="AIQ30" s="27"/>
      <c r="AIR30" s="27"/>
      <c r="AIS30" s="27"/>
      <c r="AIT30" s="27"/>
      <c r="AIU30" s="27"/>
      <c r="AIV30" s="27"/>
      <c r="AIW30" s="27"/>
      <c r="AIX30" s="27"/>
      <c r="AIY30" s="27"/>
      <c r="AIZ30" s="27"/>
      <c r="AJA30" s="27"/>
      <c r="AJB30" s="27"/>
      <c r="AJC30" s="27"/>
      <c r="AJD30" s="27"/>
      <c r="AJE30" s="27"/>
      <c r="AJF30" s="27"/>
      <c r="AJG30" s="27"/>
      <c r="AJH30" s="27"/>
      <c r="AJI30" s="27"/>
      <c r="AJJ30" s="27"/>
      <c r="AJK30" s="27"/>
      <c r="AJL30" s="27"/>
      <c r="AJM30" s="27"/>
      <c r="AJN30" s="27"/>
      <c r="AJO30" s="27"/>
      <c r="AJP30" s="27"/>
      <c r="AJQ30" s="27"/>
      <c r="AJR30" s="27"/>
      <c r="AJS30" s="27"/>
      <c r="AJT30" s="27"/>
      <c r="AJU30" s="27"/>
      <c r="AJV30" s="27"/>
      <c r="AJW30" s="27"/>
      <c r="AJX30" s="27"/>
      <c r="AJY30" s="27"/>
      <c r="AJZ30" s="27"/>
      <c r="AKA30" s="27"/>
      <c r="AKB30" s="27"/>
      <c r="AKC30" s="27"/>
      <c r="AKD30" s="27"/>
      <c r="AKE30" s="27"/>
      <c r="AKF30" s="27"/>
      <c r="AKG30" s="27"/>
      <c r="AKH30" s="27"/>
      <c r="AKI30" s="27"/>
      <c r="AKJ30" s="27"/>
      <c r="AKK30" s="27"/>
      <c r="AKL30" s="27"/>
      <c r="AKM30" s="27"/>
      <c r="AKN30" s="27"/>
      <c r="AKO30" s="27"/>
      <c r="AKP30" s="27"/>
      <c r="AKQ30" s="27"/>
      <c r="AKR30" s="27"/>
      <c r="AKS30" s="27"/>
      <c r="AKT30" s="27"/>
      <c r="AKU30" s="27"/>
      <c r="AKV30" s="27"/>
      <c r="AKW30" s="27"/>
      <c r="AKX30" s="27"/>
      <c r="AKY30" s="27"/>
      <c r="AKZ30" s="27"/>
      <c r="ALA30" s="27"/>
      <c r="ALB30" s="27"/>
      <c r="ALC30" s="27"/>
      <c r="ALD30" s="27"/>
      <c r="ALE30" s="27"/>
      <c r="ALF30" s="27"/>
      <c r="ALG30" s="27"/>
      <c r="ALH30" s="27"/>
      <c r="ALI30" s="27"/>
      <c r="ALJ30" s="27"/>
      <c r="ALK30" s="27"/>
      <c r="ALL30" s="27"/>
      <c r="ALM30" s="27"/>
      <c r="ALN30" s="27"/>
      <c r="ALO30" s="27"/>
      <c r="ALP30" s="27"/>
      <c r="ALQ30" s="27"/>
      <c r="ALR30" s="27"/>
      <c r="ALS30" s="27"/>
      <c r="ALT30" s="27"/>
      <c r="ALU30" s="27"/>
      <c r="ALV30" s="27"/>
      <c r="ALW30" s="27"/>
      <c r="ALX30" s="27"/>
      <c r="ALY30" s="27"/>
      <c r="ALZ30" s="27"/>
      <c r="AMA30" s="27"/>
      <c r="AMB30" s="27"/>
      <c r="AMC30" s="27"/>
      <c r="AMD30" s="27"/>
      <c r="AME30" s="27"/>
      <c r="AMF30" s="27"/>
      <c r="AMG30" s="27"/>
      <c r="AMH30" s="27"/>
      <c r="AMI30" s="27"/>
      <c r="AMJ30" s="27"/>
      <c r="AMK30" s="27"/>
      <c r="AML30" s="27"/>
      <c r="AMM30" s="27"/>
      <c r="AMN30" s="27"/>
      <c r="AMO30" s="27"/>
      <c r="AMP30" s="27"/>
      <c r="AMQ30" s="27"/>
      <c r="AMR30" s="27"/>
      <c r="AMS30" s="27"/>
      <c r="AMT30" s="27"/>
      <c r="AMU30" s="27"/>
      <c r="AMV30" s="27"/>
      <c r="AMW30" s="27"/>
      <c r="AMX30" s="27"/>
      <c r="AMY30" s="27"/>
      <c r="AMZ30" s="27"/>
      <c r="ANA30" s="27"/>
      <c r="ANB30" s="27"/>
      <c r="ANC30" s="27"/>
      <c r="AND30" s="27"/>
      <c r="ANE30" s="27"/>
      <c r="ANF30" s="27"/>
      <c r="ANG30" s="27"/>
      <c r="ANH30" s="27"/>
      <c r="ANI30" s="27"/>
      <c r="ANJ30" s="27"/>
      <c r="ANK30" s="27"/>
      <c r="ANL30" s="27"/>
      <c r="ANM30" s="27"/>
      <c r="ANN30" s="27"/>
      <c r="ANO30" s="27"/>
      <c r="ANP30" s="27"/>
      <c r="ANQ30" s="27"/>
      <c r="ANR30" s="27"/>
      <c r="ANS30" s="27"/>
      <c r="ANT30" s="27"/>
      <c r="ANU30" s="27"/>
      <c r="ANV30" s="27"/>
      <c r="ANW30" s="27"/>
      <c r="ANX30" s="27"/>
      <c r="ANY30" s="27"/>
      <c r="ANZ30" s="27"/>
      <c r="AOA30" s="27"/>
      <c r="AOB30" s="27"/>
      <c r="AOC30" s="27"/>
      <c r="AOD30" s="27"/>
      <c r="AOE30" s="27"/>
      <c r="AOF30" s="27"/>
      <c r="AOG30" s="27"/>
      <c r="AOH30" s="27"/>
      <c r="AOI30" s="27"/>
      <c r="AOJ30" s="27"/>
      <c r="AOK30" s="27"/>
      <c r="AOL30" s="27"/>
      <c r="AOM30" s="27"/>
      <c r="AON30" s="27"/>
      <c r="AOO30" s="27"/>
      <c r="AOP30" s="27"/>
      <c r="AOQ30" s="27"/>
      <c r="AOR30" s="27"/>
      <c r="AOS30" s="27"/>
      <c r="AOT30" s="27"/>
      <c r="AOU30" s="27"/>
      <c r="AOV30" s="27"/>
      <c r="AOW30" s="27"/>
      <c r="AOX30" s="27"/>
      <c r="AOY30" s="27"/>
      <c r="AOZ30" s="27"/>
      <c r="APA30" s="27"/>
      <c r="APB30" s="27"/>
      <c r="APC30" s="27"/>
      <c r="APD30" s="27"/>
      <c r="APE30" s="27"/>
      <c r="APF30" s="27"/>
      <c r="APG30" s="27"/>
      <c r="APH30" s="27"/>
      <c r="API30" s="27"/>
      <c r="APJ30" s="27"/>
      <c r="APK30" s="27"/>
      <c r="APL30" s="27"/>
      <c r="APM30" s="27"/>
      <c r="APN30" s="27"/>
      <c r="APO30" s="27"/>
      <c r="APP30" s="27"/>
      <c r="APQ30" s="27"/>
      <c r="APR30" s="27"/>
      <c r="APS30" s="27"/>
      <c r="APT30" s="27"/>
      <c r="APU30" s="27"/>
      <c r="APV30" s="27"/>
      <c r="APW30" s="27"/>
      <c r="APX30" s="27"/>
      <c r="APY30" s="27"/>
      <c r="APZ30" s="27"/>
      <c r="AQA30" s="27"/>
      <c r="AQB30" s="27"/>
      <c r="AQC30" s="27"/>
      <c r="AQD30" s="27"/>
      <c r="AQE30" s="27"/>
      <c r="AQF30" s="27"/>
      <c r="AQG30" s="27"/>
      <c r="AQH30" s="27"/>
      <c r="AQI30" s="27"/>
      <c r="AQJ30" s="27"/>
      <c r="AQK30" s="27"/>
      <c r="AQL30" s="27"/>
      <c r="AQM30" s="27"/>
      <c r="AQN30" s="27"/>
      <c r="AQO30" s="27"/>
      <c r="AQP30" s="27"/>
      <c r="AQQ30" s="27"/>
      <c r="AQR30" s="27"/>
      <c r="AQS30" s="27"/>
      <c r="AQT30" s="27"/>
      <c r="AQU30" s="27"/>
      <c r="AQV30" s="27"/>
      <c r="AQW30" s="27"/>
      <c r="AQX30" s="27"/>
      <c r="AQY30" s="27"/>
      <c r="AQZ30" s="27"/>
      <c r="ARA30" s="27"/>
      <c r="ARB30" s="27"/>
      <c r="ARC30" s="27"/>
      <c r="ARD30" s="27"/>
      <c r="ARE30" s="27"/>
      <c r="ARF30" s="27"/>
      <c r="ARG30" s="27"/>
      <c r="ARH30" s="27"/>
      <c r="ARI30" s="27"/>
      <c r="ARJ30" s="27"/>
      <c r="ARK30" s="27"/>
      <c r="ARL30" s="27"/>
      <c r="ARM30" s="27"/>
      <c r="ARN30" s="27"/>
      <c r="ARO30" s="27"/>
      <c r="ARP30" s="27"/>
      <c r="ARQ30" s="27"/>
      <c r="ARR30" s="27"/>
      <c r="ARS30" s="27"/>
      <c r="ART30" s="27"/>
      <c r="ARU30" s="27"/>
      <c r="ARV30" s="27"/>
      <c r="ARW30" s="27"/>
      <c r="ARX30" s="27"/>
      <c r="ARY30" s="27"/>
      <c r="ARZ30" s="27"/>
      <c r="ASA30" s="27"/>
      <c r="ASB30" s="27"/>
      <c r="ASC30" s="27"/>
      <c r="ASD30" s="27"/>
      <c r="ASE30" s="27"/>
      <c r="ASF30" s="27"/>
      <c r="ASG30" s="27"/>
      <c r="ASH30" s="27"/>
      <c r="ASI30" s="27"/>
      <c r="ASJ30" s="27"/>
      <c r="ASK30" s="27"/>
      <c r="ASL30" s="27"/>
      <c r="ASM30" s="27"/>
      <c r="ASN30" s="27"/>
      <c r="ASO30" s="27"/>
      <c r="ASP30" s="27"/>
      <c r="ASQ30" s="27"/>
      <c r="ASR30" s="27"/>
      <c r="ASS30" s="27"/>
      <c r="AST30" s="27"/>
      <c r="ASU30" s="27"/>
      <c r="ASV30" s="27"/>
      <c r="ASW30" s="27"/>
      <c r="ASX30" s="27"/>
      <c r="ASY30" s="27"/>
      <c r="ASZ30" s="27"/>
      <c r="ATA30" s="27"/>
      <c r="ATB30" s="27"/>
      <c r="ATC30" s="27"/>
      <c r="ATD30" s="27"/>
      <c r="ATE30" s="27"/>
      <c r="ATF30" s="27"/>
      <c r="ATG30" s="27"/>
      <c r="ATH30" s="27"/>
      <c r="ATI30" s="27"/>
      <c r="ATJ30" s="27"/>
      <c r="ATK30" s="27"/>
      <c r="ATL30" s="27"/>
      <c r="ATM30" s="27"/>
      <c r="ATN30" s="27"/>
      <c r="ATO30" s="27"/>
      <c r="ATP30" s="27"/>
      <c r="ATQ30" s="27"/>
      <c r="ATR30" s="27"/>
      <c r="ATS30" s="27"/>
      <c r="ATT30" s="27"/>
      <c r="ATU30" s="27"/>
      <c r="ATV30" s="27"/>
      <c r="ATW30" s="27"/>
      <c r="ATX30" s="27"/>
      <c r="ATY30" s="27"/>
      <c r="ATZ30" s="27"/>
      <c r="AUA30" s="27"/>
      <c r="AUB30" s="27"/>
      <c r="AUC30" s="27"/>
      <c r="AUD30" s="27"/>
      <c r="AUE30" s="27"/>
      <c r="AUF30" s="27"/>
      <c r="AUG30" s="27"/>
      <c r="AUH30" s="27"/>
      <c r="AUI30" s="27"/>
      <c r="AUJ30" s="27"/>
      <c r="AUK30" s="27"/>
      <c r="AUL30" s="27"/>
      <c r="AUM30" s="27"/>
      <c r="AUN30" s="27"/>
      <c r="AUO30" s="27"/>
      <c r="AUP30" s="27"/>
      <c r="AUQ30" s="27"/>
      <c r="AUR30" s="27"/>
      <c r="AUS30" s="27"/>
      <c r="AUT30" s="27"/>
      <c r="AUU30" s="27"/>
      <c r="AUV30" s="27"/>
      <c r="AUW30" s="27"/>
      <c r="AUX30" s="27"/>
      <c r="AUY30" s="27"/>
      <c r="AUZ30" s="27"/>
      <c r="AVA30" s="27"/>
      <c r="AVB30" s="27"/>
      <c r="AVC30" s="27"/>
      <c r="AVD30" s="27"/>
      <c r="AVE30" s="27"/>
      <c r="AVF30" s="27"/>
      <c r="AVG30" s="27"/>
      <c r="AVH30" s="27"/>
      <c r="AVI30" s="27"/>
      <c r="AVJ30" s="27"/>
      <c r="AVK30" s="27"/>
      <c r="AVL30" s="27"/>
      <c r="AVM30" s="27"/>
      <c r="AVN30" s="27"/>
      <c r="AVO30" s="27"/>
      <c r="AVP30" s="27"/>
      <c r="AVQ30" s="27"/>
      <c r="AVR30" s="27"/>
      <c r="AVS30" s="27"/>
      <c r="AVT30" s="27"/>
      <c r="AVU30" s="27"/>
      <c r="AVV30" s="27"/>
      <c r="AVW30" s="27"/>
      <c r="AVX30" s="27"/>
      <c r="AVY30" s="27"/>
      <c r="AVZ30" s="27"/>
      <c r="AWA30" s="27"/>
      <c r="AWB30" s="27"/>
      <c r="AWC30" s="27"/>
      <c r="AWD30" s="27"/>
      <c r="AWE30" s="27"/>
      <c r="AWF30" s="27"/>
      <c r="AWG30" s="27"/>
      <c r="AWH30" s="27"/>
      <c r="AWI30" s="27"/>
      <c r="AWJ30" s="27"/>
      <c r="AWK30" s="27"/>
      <c r="AWL30" s="27"/>
      <c r="AWM30" s="27"/>
      <c r="AWN30" s="27"/>
      <c r="AWO30" s="27"/>
      <c r="AWP30" s="27"/>
      <c r="AWQ30" s="27"/>
      <c r="AWR30" s="27"/>
      <c r="AWS30" s="27"/>
      <c r="AWT30" s="27"/>
      <c r="AWU30" s="27"/>
      <c r="AWV30" s="27"/>
      <c r="AWW30" s="27"/>
      <c r="AWX30" s="27"/>
      <c r="AWY30" s="27"/>
      <c r="AWZ30" s="27"/>
      <c r="AXA30" s="27"/>
      <c r="AXB30" s="27"/>
      <c r="AXC30" s="27"/>
      <c r="AXD30" s="27"/>
      <c r="AXE30" s="27"/>
      <c r="AXF30" s="27"/>
      <c r="AXG30" s="27"/>
      <c r="AXH30" s="27"/>
      <c r="AXI30" s="27"/>
      <c r="AXJ30" s="27"/>
      <c r="AXK30" s="27"/>
      <c r="AXL30" s="27"/>
      <c r="AXM30" s="27"/>
      <c r="AXN30" s="27"/>
      <c r="AXO30" s="27"/>
      <c r="AXP30" s="27"/>
      <c r="AXQ30" s="27"/>
      <c r="AXR30" s="27"/>
      <c r="AXS30" s="27"/>
      <c r="AXT30" s="27"/>
      <c r="AXU30" s="27"/>
      <c r="AXV30" s="27"/>
      <c r="AXW30" s="27"/>
      <c r="AXX30" s="27"/>
      <c r="AXY30" s="27"/>
      <c r="AXZ30" s="27"/>
      <c r="AYA30" s="27"/>
      <c r="AYB30" s="27"/>
      <c r="AYC30" s="27"/>
      <c r="AYD30" s="27"/>
      <c r="AYE30" s="27"/>
      <c r="AYF30" s="27"/>
      <c r="AYG30" s="27"/>
      <c r="AYH30" s="27"/>
      <c r="AYI30" s="27"/>
      <c r="AYJ30" s="27"/>
      <c r="AYK30" s="27"/>
      <c r="AYL30" s="27"/>
      <c r="AYM30" s="27"/>
      <c r="AYN30" s="27"/>
      <c r="AYO30" s="27"/>
      <c r="AYP30" s="27"/>
      <c r="AYQ30" s="27"/>
      <c r="AYR30" s="27"/>
      <c r="AYS30" s="27"/>
      <c r="AYT30" s="27"/>
      <c r="AYU30" s="27"/>
      <c r="AYV30" s="27"/>
      <c r="AYW30" s="27"/>
      <c r="AYX30" s="27"/>
      <c r="AYY30" s="27"/>
      <c r="AYZ30" s="27"/>
      <c r="AZA30" s="27"/>
      <c r="AZB30" s="27"/>
      <c r="AZC30" s="27"/>
      <c r="AZD30" s="27"/>
      <c r="AZE30" s="27"/>
      <c r="AZF30" s="27"/>
      <c r="AZG30" s="27"/>
      <c r="AZH30" s="27"/>
      <c r="AZI30" s="27"/>
      <c r="AZJ30" s="27"/>
      <c r="AZK30" s="27"/>
      <c r="AZL30" s="27"/>
      <c r="AZM30" s="27"/>
      <c r="AZN30" s="27"/>
      <c r="AZO30" s="27"/>
      <c r="AZP30" s="27"/>
      <c r="AZQ30" s="27"/>
      <c r="AZR30" s="27"/>
      <c r="AZS30" s="27"/>
      <c r="AZT30" s="27"/>
      <c r="AZU30" s="27"/>
      <c r="AZV30" s="27"/>
      <c r="AZW30" s="27"/>
      <c r="AZX30" s="27"/>
      <c r="AZY30" s="27"/>
      <c r="AZZ30" s="27"/>
      <c r="BAA30" s="27"/>
      <c r="BAB30" s="27"/>
      <c r="BAC30" s="27"/>
      <c r="BAD30" s="27"/>
      <c r="BAE30" s="27"/>
      <c r="BAF30" s="27"/>
      <c r="BAG30" s="27"/>
      <c r="BAH30" s="27"/>
      <c r="BAI30" s="27"/>
      <c r="BAJ30" s="27"/>
      <c r="BAK30" s="27"/>
      <c r="BAL30" s="27"/>
      <c r="BAM30" s="27"/>
      <c r="BAN30" s="27"/>
      <c r="BAO30" s="27"/>
      <c r="BAP30" s="27"/>
      <c r="BAQ30" s="27"/>
      <c r="BAR30" s="27"/>
      <c r="BAS30" s="27"/>
      <c r="BAT30" s="27"/>
      <c r="BAU30" s="27"/>
      <c r="BAV30" s="27"/>
      <c r="BAW30" s="27"/>
      <c r="BAX30" s="27"/>
      <c r="BAY30" s="27"/>
      <c r="BAZ30" s="27"/>
      <c r="BBA30" s="27"/>
      <c r="BBB30" s="27"/>
      <c r="BBC30" s="27"/>
      <c r="BBD30" s="27"/>
      <c r="BBE30" s="27"/>
      <c r="BBF30" s="27"/>
      <c r="BBG30" s="27"/>
      <c r="BBH30" s="27"/>
      <c r="BBI30" s="27"/>
      <c r="BBJ30" s="27"/>
      <c r="BBK30" s="27"/>
      <c r="BBL30" s="27"/>
      <c r="BBM30" s="27"/>
      <c r="BBN30" s="27"/>
      <c r="BBO30" s="27"/>
      <c r="BBP30" s="27"/>
      <c r="BBQ30" s="27"/>
      <c r="BBR30" s="27"/>
      <c r="BBS30" s="27"/>
      <c r="BBT30" s="27"/>
      <c r="BBU30" s="27"/>
      <c r="BBV30" s="27"/>
      <c r="BBW30" s="27"/>
      <c r="BBX30" s="27"/>
      <c r="BBY30" s="27"/>
      <c r="BBZ30" s="27"/>
      <c r="BCA30" s="27"/>
      <c r="BCB30" s="27"/>
      <c r="BCC30" s="27"/>
      <c r="BCD30" s="27"/>
      <c r="BCE30" s="27"/>
      <c r="BCF30" s="27"/>
      <c r="BCG30" s="27"/>
      <c r="BCH30" s="27"/>
      <c r="BCI30" s="27"/>
      <c r="BCJ30" s="27"/>
      <c r="BCK30" s="27"/>
      <c r="BCL30" s="27"/>
      <c r="BCM30" s="27"/>
      <c r="BCN30" s="27"/>
      <c r="BCO30" s="27"/>
      <c r="BCP30" s="27"/>
      <c r="BCQ30" s="27"/>
      <c r="BCR30" s="27"/>
      <c r="BCS30" s="27"/>
      <c r="BCT30" s="27"/>
      <c r="BCU30" s="27"/>
      <c r="BCV30" s="27"/>
      <c r="BCW30" s="27"/>
      <c r="BCX30" s="27"/>
      <c r="BCY30" s="27"/>
      <c r="BCZ30" s="27"/>
      <c r="BDA30" s="27"/>
      <c r="BDB30" s="27"/>
      <c r="BDC30" s="27"/>
      <c r="BDD30" s="27"/>
      <c r="BDE30" s="27"/>
      <c r="BDF30" s="27"/>
      <c r="BDG30" s="27"/>
      <c r="BDH30" s="27"/>
      <c r="BDI30" s="27"/>
      <c r="BDJ30" s="27"/>
      <c r="BDK30" s="27"/>
      <c r="BDL30" s="27"/>
      <c r="BDM30" s="27"/>
      <c r="BDN30" s="27"/>
      <c r="BDO30" s="27"/>
      <c r="BDP30" s="27"/>
      <c r="BDQ30" s="27"/>
      <c r="BDR30" s="27"/>
      <c r="BDS30" s="27"/>
      <c r="BDT30" s="27"/>
      <c r="BDU30" s="27"/>
      <c r="BDV30" s="27"/>
      <c r="BDW30" s="27"/>
      <c r="BDX30" s="27"/>
      <c r="BDY30" s="27"/>
      <c r="BDZ30" s="27"/>
      <c r="BEA30" s="27"/>
      <c r="BEB30" s="27"/>
      <c r="BEC30" s="27"/>
      <c r="BED30" s="27"/>
      <c r="BEE30" s="27"/>
      <c r="BEF30" s="27"/>
      <c r="BEG30" s="27"/>
      <c r="BEH30" s="27"/>
      <c r="BEI30" s="27"/>
      <c r="BEJ30" s="27"/>
      <c r="BEK30" s="27"/>
      <c r="BEL30" s="27"/>
      <c r="BEM30" s="27"/>
      <c r="BEN30" s="27"/>
      <c r="BEO30" s="27"/>
      <c r="BEP30" s="27"/>
      <c r="BEQ30" s="27"/>
      <c r="BER30" s="27"/>
      <c r="BES30" s="27"/>
      <c r="BET30" s="27"/>
      <c r="BEU30" s="27"/>
      <c r="BEV30" s="27"/>
      <c r="BEW30" s="27"/>
      <c r="BEX30" s="27"/>
      <c r="BEY30" s="27"/>
      <c r="BEZ30" s="27"/>
      <c r="BFA30" s="27"/>
      <c r="BFB30" s="27"/>
      <c r="BFC30" s="27"/>
      <c r="BFD30" s="27"/>
      <c r="BFE30" s="27"/>
      <c r="BFF30" s="27"/>
      <c r="BFG30" s="27"/>
      <c r="BFH30" s="27"/>
      <c r="BFI30" s="27"/>
      <c r="BFJ30" s="27"/>
      <c r="BFK30" s="27"/>
      <c r="BFL30" s="27"/>
      <c r="BFM30" s="27"/>
      <c r="BFN30" s="27"/>
      <c r="BFO30" s="27"/>
      <c r="BFP30" s="27"/>
      <c r="BFQ30" s="27"/>
      <c r="BFR30" s="27"/>
      <c r="BFS30" s="27"/>
      <c r="BFT30" s="27"/>
      <c r="BFU30" s="27"/>
      <c r="BFV30" s="27"/>
      <c r="BFW30" s="27"/>
      <c r="BFX30" s="27"/>
      <c r="BFY30" s="27"/>
      <c r="BFZ30" s="27"/>
      <c r="BGA30" s="27"/>
      <c r="BGB30" s="27"/>
      <c r="BGC30" s="27"/>
      <c r="BGD30" s="27"/>
      <c r="BGE30" s="27"/>
      <c r="BGF30" s="27"/>
      <c r="BGG30" s="27"/>
      <c r="BGH30" s="27"/>
      <c r="BGI30" s="27"/>
      <c r="BGJ30" s="27"/>
      <c r="BGK30" s="27"/>
      <c r="BGL30" s="27"/>
      <c r="BGM30" s="27"/>
      <c r="BGN30" s="27"/>
      <c r="BGO30" s="27"/>
      <c r="BGP30" s="27"/>
      <c r="BGQ30" s="27"/>
      <c r="BGR30" s="27"/>
      <c r="BGS30" s="27"/>
      <c r="BGT30" s="27"/>
      <c r="BGU30" s="27"/>
      <c r="BGV30" s="27"/>
      <c r="BGW30" s="27"/>
      <c r="BGX30" s="27"/>
      <c r="BGY30" s="27"/>
      <c r="BGZ30" s="27"/>
      <c r="BHA30" s="27"/>
      <c r="BHB30" s="27"/>
      <c r="BHC30" s="27"/>
      <c r="BHD30" s="27"/>
      <c r="BHE30" s="27"/>
      <c r="BHF30" s="27"/>
      <c r="BHG30" s="27"/>
      <c r="BHH30" s="27"/>
      <c r="BHI30" s="27"/>
      <c r="BHJ30" s="27"/>
      <c r="BHK30" s="27"/>
      <c r="BHL30" s="27"/>
      <c r="BHM30" s="27"/>
      <c r="BHN30" s="27"/>
      <c r="BHO30" s="27"/>
      <c r="BHP30" s="27"/>
      <c r="BHQ30" s="27"/>
      <c r="BHR30" s="27"/>
      <c r="BHS30" s="27"/>
      <c r="BHT30" s="27"/>
      <c r="BHU30" s="27"/>
      <c r="BHV30" s="27"/>
      <c r="BHW30" s="27"/>
      <c r="BHX30" s="27"/>
      <c r="BHY30" s="27"/>
      <c r="BHZ30" s="27"/>
      <c r="BIA30" s="27"/>
      <c r="BIB30" s="27"/>
      <c r="BIC30" s="27"/>
      <c r="BID30" s="27"/>
      <c r="BIE30" s="27"/>
      <c r="BIF30" s="27"/>
      <c r="BIG30" s="27"/>
      <c r="BIH30" s="27"/>
      <c r="BII30" s="27"/>
      <c r="BIJ30" s="27"/>
      <c r="BIK30" s="27"/>
      <c r="BIL30" s="27"/>
      <c r="BIM30" s="27"/>
      <c r="BIN30" s="27"/>
      <c r="BIO30" s="27"/>
      <c r="BIP30" s="27"/>
      <c r="BIQ30" s="27"/>
      <c r="BIR30" s="27"/>
      <c r="BIS30" s="27"/>
      <c r="BIT30" s="27"/>
      <c r="BIU30" s="27"/>
      <c r="BIV30" s="27"/>
      <c r="BIW30" s="27"/>
      <c r="BIX30" s="27"/>
      <c r="BIY30" s="27"/>
      <c r="BIZ30" s="27"/>
      <c r="BJA30" s="27"/>
      <c r="BJB30" s="27"/>
      <c r="BJC30" s="27"/>
      <c r="BJD30" s="27"/>
      <c r="BJE30" s="27"/>
      <c r="BJF30" s="27"/>
      <c r="BJG30" s="27"/>
      <c r="BJH30" s="27"/>
      <c r="BJI30" s="27"/>
      <c r="BJJ30" s="27"/>
      <c r="BJK30" s="27"/>
      <c r="BJL30" s="27"/>
      <c r="BJM30" s="27"/>
      <c r="BJN30" s="27"/>
      <c r="BJO30" s="27"/>
      <c r="BJP30" s="27"/>
      <c r="BJQ30" s="27"/>
      <c r="BJR30" s="27"/>
      <c r="BJS30" s="27"/>
      <c r="BJT30" s="27"/>
      <c r="BJU30" s="27"/>
      <c r="BJV30" s="27"/>
      <c r="BJW30" s="27"/>
      <c r="BJX30" s="27"/>
      <c r="BJY30" s="27"/>
      <c r="BJZ30" s="27"/>
      <c r="BKA30" s="27"/>
      <c r="BKB30" s="27"/>
      <c r="BKC30" s="27"/>
      <c r="BKD30" s="27"/>
      <c r="BKE30" s="27"/>
      <c r="BKF30" s="27"/>
      <c r="BKG30" s="27"/>
      <c r="BKH30" s="27"/>
      <c r="BKI30" s="27"/>
      <c r="BKJ30" s="27"/>
      <c r="BKK30" s="27"/>
      <c r="BKL30" s="27"/>
      <c r="BKM30" s="27"/>
      <c r="BKN30" s="27"/>
      <c r="BKO30" s="27"/>
      <c r="BKP30" s="27"/>
      <c r="BKQ30" s="27"/>
      <c r="BKR30" s="27"/>
      <c r="BKS30" s="27"/>
      <c r="BKT30" s="27"/>
      <c r="BKU30" s="27"/>
      <c r="BKV30" s="27"/>
      <c r="BKW30" s="27"/>
      <c r="BKX30" s="27"/>
      <c r="BKY30" s="27"/>
      <c r="BKZ30" s="27"/>
      <c r="BLA30" s="27"/>
      <c r="BLB30" s="27"/>
      <c r="BLC30" s="27"/>
      <c r="BLD30" s="27"/>
      <c r="BLE30" s="27"/>
      <c r="BLF30" s="27"/>
      <c r="BLG30" s="27"/>
      <c r="BLH30" s="27"/>
      <c r="BLI30" s="27"/>
      <c r="BLJ30" s="27"/>
      <c r="BLK30" s="27"/>
      <c r="BLL30" s="27"/>
      <c r="BLM30" s="27"/>
      <c r="BLN30" s="27"/>
      <c r="BLO30" s="27"/>
      <c r="BLP30" s="27"/>
      <c r="BLQ30" s="27"/>
      <c r="BLR30" s="27"/>
      <c r="BLS30" s="27"/>
      <c r="BLT30" s="27"/>
      <c r="BLU30" s="27"/>
      <c r="BLV30" s="27"/>
      <c r="BLW30" s="27"/>
      <c r="BLX30" s="27"/>
      <c r="BLY30" s="27"/>
      <c r="BLZ30" s="27"/>
      <c r="BMA30" s="27"/>
      <c r="BMB30" s="27"/>
      <c r="BMC30" s="27"/>
      <c r="BMD30" s="27"/>
      <c r="BME30" s="27"/>
      <c r="BMF30" s="27"/>
      <c r="BMG30" s="27"/>
      <c r="BMH30" s="27"/>
      <c r="BMI30" s="27"/>
      <c r="BMJ30" s="27"/>
      <c r="BMK30" s="27"/>
      <c r="BML30" s="27"/>
      <c r="BMM30" s="27"/>
      <c r="BMN30" s="27"/>
      <c r="BMO30" s="27"/>
      <c r="BMP30" s="27"/>
      <c r="BMQ30" s="27"/>
      <c r="BMR30" s="27"/>
      <c r="BMS30" s="27"/>
      <c r="BMT30" s="27"/>
      <c r="BMU30" s="27"/>
      <c r="BMV30" s="27"/>
      <c r="BMW30" s="27"/>
      <c r="BMX30" s="27"/>
      <c r="BMY30" s="27"/>
      <c r="BMZ30" s="27"/>
      <c r="BNA30" s="27"/>
      <c r="BNB30" s="27"/>
      <c r="BNC30" s="27"/>
      <c r="BND30" s="27"/>
      <c r="BNE30" s="27"/>
      <c r="BNF30" s="27"/>
      <c r="BNG30" s="27"/>
      <c r="BNH30" s="27"/>
      <c r="BNI30" s="27"/>
      <c r="BNJ30" s="27"/>
      <c r="BNK30" s="27"/>
      <c r="BNL30" s="27"/>
      <c r="BNM30" s="27"/>
      <c r="BNN30" s="27"/>
      <c r="BNO30" s="27"/>
      <c r="BNP30" s="27"/>
      <c r="BNQ30" s="27"/>
      <c r="BNR30" s="27"/>
      <c r="BNS30" s="27"/>
      <c r="BNT30" s="27"/>
      <c r="BNU30" s="27"/>
      <c r="BNV30" s="27"/>
      <c r="BNW30" s="27"/>
      <c r="BNX30" s="27"/>
      <c r="BNY30" s="27"/>
      <c r="BNZ30" s="27"/>
      <c r="BOA30" s="27"/>
      <c r="BOB30" s="27"/>
      <c r="BOC30" s="27"/>
      <c r="BOD30" s="27"/>
      <c r="BOE30" s="27"/>
      <c r="BOF30" s="27"/>
      <c r="BOG30" s="27"/>
      <c r="BOH30" s="27"/>
      <c r="BOI30" s="27"/>
      <c r="BOJ30" s="27"/>
      <c r="BOK30" s="27"/>
      <c r="BOL30" s="27"/>
      <c r="BOM30" s="27"/>
      <c r="BON30" s="27"/>
      <c r="BOO30" s="27"/>
      <c r="BOP30" s="27"/>
      <c r="BOQ30" s="27"/>
      <c r="BOR30" s="27"/>
      <c r="BOS30" s="27"/>
      <c r="BOT30" s="27"/>
      <c r="BOU30" s="27"/>
      <c r="BOV30" s="27"/>
      <c r="BOW30" s="27"/>
      <c r="BOX30" s="27"/>
      <c r="BOY30" s="27"/>
      <c r="BOZ30" s="27"/>
      <c r="BPA30" s="27"/>
      <c r="BPB30" s="27"/>
      <c r="BPC30" s="27"/>
      <c r="BPD30" s="27"/>
      <c r="BPE30" s="27"/>
      <c r="BPF30" s="27"/>
      <c r="BPG30" s="27"/>
      <c r="BPH30" s="27"/>
      <c r="BPI30" s="27"/>
      <c r="BPJ30" s="27"/>
      <c r="BPK30" s="27"/>
      <c r="BPL30" s="27"/>
      <c r="BPM30" s="27"/>
      <c r="BPN30" s="27"/>
      <c r="BPO30" s="27"/>
      <c r="BPP30" s="27"/>
      <c r="BPQ30" s="27"/>
      <c r="BPR30" s="27"/>
      <c r="BPS30" s="27"/>
      <c r="BPT30" s="27"/>
      <c r="BPU30" s="27"/>
      <c r="BPV30" s="27"/>
      <c r="BPW30" s="27"/>
      <c r="BPX30" s="27"/>
      <c r="BPY30" s="27"/>
      <c r="BPZ30" s="27"/>
      <c r="BQA30" s="27"/>
      <c r="BQB30" s="27"/>
      <c r="BQC30" s="27"/>
      <c r="BQD30" s="27"/>
      <c r="BQE30" s="27"/>
      <c r="BQF30" s="27"/>
      <c r="BQG30" s="27"/>
      <c r="BQH30" s="27"/>
      <c r="BQI30" s="27"/>
      <c r="BQJ30" s="27"/>
      <c r="BQK30" s="27"/>
      <c r="BQL30" s="27"/>
      <c r="BQM30" s="27"/>
      <c r="BQN30" s="27"/>
      <c r="BQO30" s="27"/>
      <c r="BQP30" s="27"/>
      <c r="BQQ30" s="27"/>
      <c r="BQR30" s="27"/>
      <c r="BQS30" s="27"/>
      <c r="BQT30" s="27"/>
      <c r="BQU30" s="27"/>
      <c r="BQV30" s="27"/>
      <c r="BQW30" s="27"/>
      <c r="BQX30" s="27"/>
      <c r="BQY30" s="27"/>
      <c r="BQZ30" s="27"/>
      <c r="BRA30" s="27"/>
      <c r="BRB30" s="27"/>
      <c r="BRC30" s="27"/>
      <c r="BRD30" s="27"/>
      <c r="BRE30" s="27"/>
      <c r="BRF30" s="27"/>
      <c r="BRG30" s="27"/>
      <c r="BRH30" s="27"/>
      <c r="BRI30" s="27"/>
      <c r="BRJ30" s="27"/>
      <c r="BRK30" s="27"/>
      <c r="BRL30" s="27"/>
      <c r="BRM30" s="27"/>
      <c r="BRN30" s="27"/>
      <c r="BRO30" s="27"/>
      <c r="BRP30" s="27"/>
      <c r="BRQ30" s="27"/>
      <c r="BRR30" s="27"/>
      <c r="BRS30" s="27"/>
      <c r="BRT30" s="27"/>
      <c r="BRU30" s="27"/>
      <c r="BRV30" s="27"/>
      <c r="BRW30" s="27"/>
      <c r="BRX30" s="27"/>
      <c r="BRY30" s="27"/>
      <c r="BRZ30" s="27"/>
      <c r="BSA30" s="27"/>
      <c r="BSB30" s="27"/>
      <c r="BSC30" s="27"/>
      <c r="BSD30" s="27"/>
      <c r="BSE30" s="27"/>
      <c r="BSF30" s="27"/>
      <c r="BSG30" s="27"/>
      <c r="BSH30" s="27"/>
      <c r="BSI30" s="27"/>
      <c r="BSJ30" s="27"/>
      <c r="BSK30" s="27"/>
      <c r="BSL30" s="27"/>
      <c r="BSM30" s="27"/>
      <c r="BSN30" s="27"/>
      <c r="BSO30" s="27"/>
      <c r="BSP30" s="27"/>
      <c r="BSQ30" s="27"/>
      <c r="BSR30" s="27"/>
      <c r="BSS30" s="27"/>
      <c r="BST30" s="27"/>
      <c r="BSU30" s="27"/>
      <c r="BSV30" s="27"/>
      <c r="BSW30" s="27"/>
      <c r="BSX30" s="27"/>
      <c r="BSY30" s="27"/>
      <c r="BSZ30" s="27"/>
      <c r="BTA30" s="27"/>
      <c r="BTB30" s="27"/>
      <c r="BTC30" s="27"/>
      <c r="BTD30" s="27"/>
      <c r="BTE30" s="27"/>
      <c r="BTF30" s="27"/>
      <c r="BTG30" s="27"/>
      <c r="BTH30" s="27"/>
      <c r="BTI30" s="27"/>
      <c r="BTJ30" s="27"/>
      <c r="BTK30" s="27"/>
      <c r="BTL30" s="27"/>
      <c r="BTM30" s="27"/>
      <c r="BTN30" s="27"/>
      <c r="BTO30" s="27"/>
      <c r="BTP30" s="27"/>
      <c r="BTQ30" s="27"/>
      <c r="BTR30" s="27"/>
      <c r="BTS30" s="27"/>
      <c r="BTT30" s="27"/>
      <c r="BTU30" s="27"/>
      <c r="BTV30" s="27"/>
      <c r="BTW30" s="27"/>
      <c r="BTX30" s="27"/>
      <c r="BTY30" s="27"/>
      <c r="BTZ30" s="27"/>
      <c r="BUA30" s="27"/>
      <c r="BUB30" s="27"/>
      <c r="BUC30" s="27"/>
      <c r="BUD30" s="27"/>
      <c r="BUE30" s="27"/>
      <c r="BUF30" s="27"/>
      <c r="BUG30" s="27"/>
      <c r="BUH30" s="27"/>
      <c r="BUI30" s="27"/>
      <c r="BUJ30" s="27"/>
      <c r="BUK30" s="27"/>
      <c r="BUL30" s="27"/>
      <c r="BUM30" s="27"/>
      <c r="BUN30" s="27"/>
      <c r="BUO30" s="27"/>
      <c r="BUP30" s="27"/>
      <c r="BUQ30" s="27"/>
      <c r="BUR30" s="27"/>
      <c r="BUS30" s="27"/>
      <c r="BUT30" s="27"/>
      <c r="BUU30" s="27"/>
      <c r="BUV30" s="27"/>
      <c r="BUW30" s="27"/>
      <c r="BUX30" s="27"/>
      <c r="BUY30" s="27"/>
      <c r="BUZ30" s="27"/>
      <c r="BVA30" s="27"/>
      <c r="BVB30" s="27"/>
      <c r="BVC30" s="27"/>
      <c r="BVD30" s="27"/>
      <c r="BVE30" s="27"/>
      <c r="BVF30" s="27"/>
      <c r="BVG30" s="27"/>
      <c r="BVH30" s="27"/>
      <c r="BVI30" s="27"/>
      <c r="BVJ30" s="27"/>
      <c r="BVK30" s="27"/>
      <c r="BVL30" s="27"/>
      <c r="BVM30" s="27"/>
      <c r="BVN30" s="27"/>
      <c r="BVO30" s="27"/>
      <c r="BVP30" s="27"/>
      <c r="BVQ30" s="27"/>
      <c r="BVR30" s="27"/>
      <c r="BVS30" s="27"/>
      <c r="BVT30" s="27"/>
      <c r="BVU30" s="27"/>
      <c r="BVV30" s="27"/>
      <c r="BVW30" s="27"/>
      <c r="BVX30" s="27"/>
      <c r="BVY30" s="27"/>
      <c r="BVZ30" s="27"/>
      <c r="BWA30" s="27"/>
      <c r="BWB30" s="27"/>
      <c r="BWC30" s="27"/>
      <c r="BWD30" s="27"/>
      <c r="BWE30" s="27"/>
      <c r="BWF30" s="27"/>
      <c r="BWG30" s="27"/>
      <c r="BWH30" s="27"/>
      <c r="BWI30" s="27"/>
      <c r="BWJ30" s="27"/>
      <c r="BWK30" s="27"/>
      <c r="BWL30" s="27"/>
      <c r="BWM30" s="27"/>
      <c r="BWN30" s="27"/>
      <c r="BWO30" s="27"/>
      <c r="BWP30" s="27"/>
      <c r="BWQ30" s="27"/>
      <c r="BWR30" s="27"/>
      <c r="BWS30" s="27"/>
      <c r="BWT30" s="27"/>
      <c r="BWU30" s="27"/>
      <c r="BWV30" s="27"/>
      <c r="BWW30" s="27"/>
      <c r="BWX30" s="27"/>
      <c r="BWY30" s="27"/>
      <c r="BWZ30" s="27"/>
      <c r="BXA30" s="27"/>
      <c r="BXB30" s="27"/>
      <c r="BXC30" s="27"/>
      <c r="BXD30" s="27"/>
      <c r="BXE30" s="27"/>
      <c r="BXF30" s="27"/>
      <c r="BXG30" s="27"/>
      <c r="BXH30" s="27"/>
      <c r="BXI30" s="27"/>
      <c r="BXJ30" s="27"/>
      <c r="BXK30" s="27"/>
      <c r="BXL30" s="27"/>
      <c r="BXM30" s="27"/>
      <c r="BXN30" s="27"/>
      <c r="BXO30" s="27"/>
      <c r="BXP30" s="27"/>
      <c r="BXQ30" s="27"/>
      <c r="BXR30" s="27"/>
      <c r="BXS30" s="27"/>
      <c r="BXT30" s="27"/>
      <c r="BXU30" s="27"/>
      <c r="BXV30" s="27"/>
      <c r="BXW30" s="27"/>
      <c r="BXX30" s="27"/>
      <c r="BXY30" s="27"/>
      <c r="BXZ30" s="27"/>
      <c r="BYA30" s="27"/>
      <c r="BYB30" s="27"/>
      <c r="BYC30" s="27"/>
      <c r="BYD30" s="27"/>
      <c r="BYE30" s="27"/>
      <c r="BYF30" s="27"/>
      <c r="BYG30" s="27"/>
      <c r="BYH30" s="27"/>
      <c r="BYI30" s="27"/>
      <c r="BYJ30" s="27"/>
      <c r="BYK30" s="27"/>
      <c r="BYL30" s="27"/>
      <c r="BYM30" s="27"/>
      <c r="BYN30" s="27"/>
      <c r="BYO30" s="27"/>
      <c r="BYP30" s="27"/>
      <c r="BYQ30" s="27"/>
      <c r="BYR30" s="27"/>
      <c r="BYS30" s="27"/>
      <c r="BYT30" s="27"/>
      <c r="BYU30" s="27"/>
      <c r="BYV30" s="27"/>
      <c r="BYW30" s="27"/>
      <c r="BYX30" s="27"/>
      <c r="BYY30" s="27"/>
      <c r="BYZ30" s="27"/>
      <c r="BZA30" s="27"/>
      <c r="BZB30" s="27"/>
      <c r="BZC30" s="27"/>
      <c r="BZD30" s="27"/>
      <c r="BZE30" s="27"/>
      <c r="BZF30" s="27"/>
      <c r="BZG30" s="27"/>
      <c r="BZH30" s="27"/>
      <c r="BZI30" s="27"/>
      <c r="BZJ30" s="27"/>
      <c r="BZK30" s="27"/>
      <c r="BZL30" s="27"/>
      <c r="BZM30" s="27"/>
      <c r="BZN30" s="27"/>
      <c r="BZO30" s="27"/>
      <c r="BZP30" s="27"/>
      <c r="BZQ30" s="27"/>
      <c r="BZR30" s="27"/>
      <c r="BZS30" s="27"/>
      <c r="BZT30" s="27"/>
      <c r="BZU30" s="27"/>
      <c r="BZV30" s="27"/>
      <c r="BZW30" s="27"/>
      <c r="BZX30" s="27"/>
      <c r="BZY30" s="27"/>
      <c r="BZZ30" s="27"/>
      <c r="CAA30" s="27"/>
      <c r="CAB30" s="27"/>
      <c r="CAC30" s="27"/>
      <c r="CAD30" s="27"/>
      <c r="CAE30" s="27"/>
      <c r="CAF30" s="27"/>
      <c r="CAG30" s="27"/>
      <c r="CAH30" s="27"/>
      <c r="CAI30" s="27"/>
      <c r="CAJ30" s="27"/>
      <c r="CAK30" s="27"/>
      <c r="CAL30" s="27"/>
      <c r="CAM30" s="27"/>
      <c r="CAN30" s="27"/>
      <c r="CAO30" s="27"/>
      <c r="CAP30" s="27"/>
      <c r="CAQ30" s="27"/>
      <c r="CAR30" s="27"/>
      <c r="CAS30" s="27"/>
      <c r="CAT30" s="27"/>
      <c r="CAU30" s="27"/>
      <c r="CAV30" s="27"/>
      <c r="CAW30" s="27"/>
      <c r="CAX30" s="27"/>
      <c r="CAY30" s="27"/>
      <c r="CAZ30" s="27"/>
      <c r="CBA30" s="27"/>
      <c r="CBB30" s="27"/>
      <c r="CBC30" s="27"/>
      <c r="CBD30" s="27"/>
      <c r="CBE30" s="27"/>
      <c r="CBF30" s="27"/>
      <c r="CBG30" s="27"/>
      <c r="CBH30" s="27"/>
      <c r="CBI30" s="27"/>
      <c r="CBJ30" s="27"/>
      <c r="CBK30" s="27"/>
      <c r="CBL30" s="27"/>
      <c r="CBM30" s="27"/>
      <c r="CBN30" s="27"/>
      <c r="CBO30" s="27"/>
      <c r="CBP30" s="27"/>
      <c r="CBQ30" s="27"/>
      <c r="CBR30" s="27"/>
      <c r="CBS30" s="27"/>
      <c r="CBT30" s="27"/>
      <c r="CBU30" s="27"/>
      <c r="CBV30" s="27"/>
      <c r="CBW30" s="27"/>
      <c r="CBX30" s="27"/>
      <c r="CBY30" s="27"/>
      <c r="CBZ30" s="27"/>
      <c r="CCA30" s="27"/>
      <c r="CCB30" s="27"/>
      <c r="CCC30" s="27"/>
      <c r="CCD30" s="27"/>
      <c r="CCE30" s="27"/>
      <c r="CCF30" s="27"/>
      <c r="CCG30" s="27"/>
      <c r="CCH30" s="27"/>
      <c r="CCI30" s="27"/>
      <c r="CCJ30" s="27"/>
      <c r="CCK30" s="27"/>
      <c r="CCL30" s="27"/>
      <c r="CCM30" s="27"/>
      <c r="CCN30" s="27"/>
      <c r="CCO30" s="27"/>
      <c r="CCP30" s="27"/>
      <c r="CCQ30" s="27"/>
      <c r="CCR30" s="27"/>
      <c r="CCS30" s="27"/>
      <c r="CCT30" s="27"/>
      <c r="CCU30" s="27"/>
      <c r="CCV30" s="27"/>
      <c r="CCW30" s="27"/>
      <c r="CCX30" s="27"/>
      <c r="CCY30" s="27"/>
      <c r="CCZ30" s="27"/>
      <c r="CDA30" s="27"/>
      <c r="CDB30" s="27"/>
      <c r="CDC30" s="27"/>
      <c r="CDD30" s="27"/>
      <c r="CDE30" s="27"/>
      <c r="CDF30" s="27"/>
      <c r="CDG30" s="27"/>
      <c r="CDH30" s="27"/>
      <c r="CDI30" s="27"/>
      <c r="CDJ30" s="27"/>
      <c r="CDK30" s="27"/>
      <c r="CDL30" s="27"/>
      <c r="CDM30" s="27"/>
      <c r="CDN30" s="27"/>
      <c r="CDO30" s="27"/>
      <c r="CDP30" s="27"/>
      <c r="CDQ30" s="27"/>
      <c r="CDR30" s="27"/>
      <c r="CDS30" s="27"/>
      <c r="CDT30" s="27"/>
      <c r="CDU30" s="27"/>
      <c r="CDV30" s="27"/>
      <c r="CDW30" s="27"/>
      <c r="CDX30" s="27"/>
      <c r="CDY30" s="27"/>
      <c r="CDZ30" s="27"/>
      <c r="CEA30" s="27"/>
      <c r="CEB30" s="27"/>
      <c r="CEC30" s="27"/>
      <c r="CED30" s="27"/>
      <c r="CEE30" s="27"/>
      <c r="CEF30" s="27"/>
      <c r="CEG30" s="27"/>
      <c r="CEH30" s="27"/>
      <c r="CEI30" s="27"/>
      <c r="CEJ30" s="27"/>
      <c r="CEK30" s="27"/>
      <c r="CEL30" s="27"/>
      <c r="CEM30" s="27"/>
      <c r="CEN30" s="27"/>
      <c r="CEO30" s="27"/>
      <c r="CEP30" s="27"/>
      <c r="CEQ30" s="27"/>
      <c r="CER30" s="27"/>
      <c r="CES30" s="27"/>
      <c r="CET30" s="27"/>
      <c r="CEU30" s="27"/>
      <c r="CEV30" s="27"/>
      <c r="CEW30" s="27"/>
      <c r="CEX30" s="27"/>
      <c r="CEY30" s="27"/>
      <c r="CEZ30" s="27"/>
      <c r="CFA30" s="27"/>
      <c r="CFB30" s="27"/>
      <c r="CFC30" s="27"/>
      <c r="CFD30" s="27"/>
      <c r="CFE30" s="27"/>
      <c r="CFF30" s="27"/>
      <c r="CFG30" s="27"/>
      <c r="CFH30" s="27"/>
      <c r="CFI30" s="27"/>
      <c r="CFJ30" s="27"/>
      <c r="CFK30" s="27"/>
      <c r="CFL30" s="27"/>
      <c r="CFM30" s="27"/>
      <c r="CFN30" s="27"/>
      <c r="CFO30" s="27"/>
      <c r="CFP30" s="27"/>
      <c r="CFQ30" s="27"/>
      <c r="CFR30" s="27"/>
      <c r="CFS30" s="27"/>
      <c r="CFT30" s="27"/>
      <c r="CFU30" s="27"/>
      <c r="CFV30" s="27"/>
      <c r="CFW30" s="27"/>
      <c r="CFX30" s="27"/>
      <c r="CFY30" s="27"/>
      <c r="CFZ30" s="27"/>
      <c r="CGA30" s="27"/>
      <c r="CGB30" s="27"/>
      <c r="CGC30" s="27"/>
      <c r="CGD30" s="27"/>
      <c r="CGE30" s="27"/>
      <c r="CGF30" s="27"/>
      <c r="CGG30" s="27"/>
      <c r="CGH30" s="27"/>
      <c r="CGI30" s="27"/>
      <c r="CGJ30" s="27"/>
      <c r="CGK30" s="27"/>
      <c r="CGL30" s="27"/>
      <c r="CGM30" s="27"/>
      <c r="CGN30" s="27"/>
      <c r="CGO30" s="27"/>
      <c r="CGP30" s="27"/>
      <c r="CGQ30" s="27"/>
      <c r="CGR30" s="27"/>
      <c r="CGS30" s="27"/>
      <c r="CGT30" s="27"/>
      <c r="CGU30" s="27"/>
      <c r="CGV30" s="27"/>
      <c r="CGW30" s="27"/>
      <c r="CGX30" s="27"/>
      <c r="CGY30" s="27"/>
      <c r="CGZ30" s="27"/>
      <c r="CHA30" s="27"/>
      <c r="CHB30" s="27"/>
      <c r="CHC30" s="27"/>
      <c r="CHD30" s="27"/>
      <c r="CHE30" s="27"/>
      <c r="CHF30" s="27"/>
      <c r="CHG30" s="27"/>
      <c r="CHH30" s="27"/>
      <c r="CHI30" s="27"/>
      <c r="CHJ30" s="27"/>
      <c r="CHK30" s="27"/>
      <c r="CHL30" s="27"/>
      <c r="CHM30" s="27"/>
      <c r="CHN30" s="27"/>
      <c r="CHO30" s="27"/>
      <c r="CHP30" s="27"/>
      <c r="CHQ30" s="27"/>
      <c r="CHR30" s="27"/>
      <c r="CHS30" s="27"/>
      <c r="CHT30" s="27"/>
      <c r="CHU30" s="27"/>
      <c r="CHV30" s="27"/>
      <c r="CHW30" s="27"/>
      <c r="CHX30" s="27"/>
      <c r="CHY30" s="27"/>
      <c r="CHZ30" s="27"/>
      <c r="CIA30" s="27"/>
      <c r="CIB30" s="27"/>
      <c r="CIC30" s="27"/>
      <c r="CID30" s="27"/>
      <c r="CIE30" s="27"/>
      <c r="CIF30" s="27"/>
      <c r="CIG30" s="27"/>
      <c r="CIH30" s="27"/>
      <c r="CII30" s="27"/>
      <c r="CIJ30" s="27"/>
      <c r="CIK30" s="27"/>
      <c r="CIL30" s="27"/>
      <c r="CIM30" s="27"/>
      <c r="CIN30" s="27"/>
      <c r="CIO30" s="27"/>
      <c r="CIP30" s="27"/>
      <c r="CIQ30" s="27"/>
      <c r="CIR30" s="27"/>
      <c r="CIS30" s="27"/>
      <c r="CIT30" s="27"/>
      <c r="CIU30" s="27"/>
      <c r="CIV30" s="27"/>
      <c r="CIW30" s="27"/>
      <c r="CIX30" s="27"/>
      <c r="CIY30" s="27"/>
      <c r="CIZ30" s="27"/>
      <c r="CJA30" s="27"/>
      <c r="CJB30" s="27"/>
      <c r="CJC30" s="27"/>
      <c r="CJD30" s="27"/>
      <c r="CJE30" s="27"/>
      <c r="CJF30" s="27"/>
      <c r="CJG30" s="27"/>
      <c r="CJH30" s="27"/>
      <c r="CJI30" s="27"/>
      <c r="CJJ30" s="27"/>
      <c r="CJK30" s="27"/>
      <c r="CJL30" s="27"/>
      <c r="CJM30" s="27"/>
      <c r="CJN30" s="27"/>
      <c r="CJO30" s="27"/>
      <c r="CJP30" s="27"/>
      <c r="CJQ30" s="27"/>
      <c r="CJR30" s="27"/>
      <c r="CJS30" s="27"/>
      <c r="CJT30" s="27"/>
      <c r="CJU30" s="27"/>
      <c r="CJV30" s="27"/>
      <c r="CJW30" s="27"/>
      <c r="CJX30" s="27"/>
      <c r="CJY30" s="27"/>
      <c r="CJZ30" s="27"/>
      <c r="CKA30" s="27"/>
      <c r="CKB30" s="27"/>
      <c r="CKC30" s="27"/>
      <c r="CKD30" s="27"/>
      <c r="CKE30" s="27"/>
      <c r="CKF30" s="27"/>
      <c r="CKG30" s="27"/>
      <c r="CKH30" s="27"/>
      <c r="CKI30" s="27"/>
      <c r="CKJ30" s="27"/>
      <c r="CKK30" s="27"/>
      <c r="CKL30" s="27"/>
      <c r="CKM30" s="27"/>
      <c r="CKN30" s="27"/>
      <c r="CKO30" s="27"/>
      <c r="CKP30" s="27"/>
      <c r="CKQ30" s="27"/>
      <c r="CKR30" s="27"/>
      <c r="CKS30" s="27"/>
      <c r="CKT30" s="27"/>
      <c r="CKU30" s="27"/>
      <c r="CKV30" s="27"/>
      <c r="CKW30" s="27"/>
      <c r="CKX30" s="27"/>
      <c r="CKY30" s="27"/>
      <c r="CKZ30" s="27"/>
      <c r="CLA30" s="27"/>
      <c r="CLB30" s="27"/>
      <c r="CLC30" s="27"/>
      <c r="CLD30" s="27"/>
      <c r="CLE30" s="27"/>
      <c r="CLF30" s="27"/>
      <c r="CLG30" s="27"/>
      <c r="CLH30" s="27"/>
      <c r="CLI30" s="27"/>
      <c r="CLJ30" s="27"/>
      <c r="CLK30" s="27"/>
      <c r="CLL30" s="27"/>
      <c r="CLM30" s="27"/>
      <c r="CLN30" s="27"/>
      <c r="CLO30" s="27"/>
      <c r="CLP30" s="27"/>
      <c r="CLQ30" s="27"/>
      <c r="CLR30" s="27"/>
      <c r="CLS30" s="27"/>
      <c r="CLT30" s="27"/>
      <c r="CLU30" s="27"/>
      <c r="CLV30" s="27"/>
      <c r="CLW30" s="27"/>
      <c r="CLX30" s="27"/>
      <c r="CLY30" s="27"/>
      <c r="CLZ30" s="27"/>
      <c r="CMA30" s="27"/>
      <c r="CMB30" s="27"/>
      <c r="CMC30" s="27"/>
      <c r="CMD30" s="27"/>
      <c r="CME30" s="27"/>
      <c r="CMF30" s="27"/>
      <c r="CMG30" s="27"/>
      <c r="CMH30" s="27"/>
      <c r="CMI30" s="27"/>
      <c r="CMJ30" s="27"/>
      <c r="CMK30" s="27"/>
      <c r="CML30" s="27"/>
      <c r="CMM30" s="27"/>
      <c r="CMN30" s="27"/>
      <c r="CMO30" s="27"/>
      <c r="CMP30" s="27"/>
      <c r="CMQ30" s="27"/>
      <c r="CMR30" s="27"/>
      <c r="CMS30" s="27"/>
      <c r="CMT30" s="27"/>
      <c r="CMU30" s="27"/>
      <c r="CMV30" s="27"/>
      <c r="CMW30" s="27"/>
      <c r="CMX30" s="27"/>
      <c r="CMY30" s="27"/>
      <c r="CMZ30" s="27"/>
      <c r="CNA30" s="27"/>
      <c r="CNB30" s="27"/>
      <c r="CNC30" s="27"/>
      <c r="CND30" s="27"/>
      <c r="CNE30" s="27"/>
      <c r="CNF30" s="27"/>
      <c r="CNG30" s="27"/>
      <c r="CNH30" s="27"/>
      <c r="CNI30" s="27"/>
      <c r="CNJ30" s="27"/>
      <c r="CNK30" s="27"/>
      <c r="CNL30" s="27"/>
      <c r="CNM30" s="27"/>
      <c r="CNN30" s="27"/>
      <c r="CNO30" s="27"/>
      <c r="CNP30" s="27"/>
      <c r="CNQ30" s="27"/>
      <c r="CNR30" s="27"/>
      <c r="CNS30" s="27"/>
      <c r="CNT30" s="27"/>
      <c r="CNU30" s="27"/>
      <c r="CNV30" s="27"/>
      <c r="CNW30" s="27"/>
      <c r="CNX30" s="27"/>
      <c r="CNY30" s="27"/>
      <c r="CNZ30" s="27"/>
      <c r="COA30" s="27"/>
      <c r="COB30" s="27"/>
      <c r="COC30" s="27"/>
      <c r="COD30" s="27"/>
      <c r="COE30" s="27"/>
      <c r="COF30" s="27"/>
      <c r="COG30" s="27"/>
      <c r="COH30" s="27"/>
      <c r="COI30" s="27"/>
      <c r="COJ30" s="27"/>
      <c r="COK30" s="27"/>
      <c r="COL30" s="27"/>
      <c r="COM30" s="27"/>
      <c r="CON30" s="27"/>
      <c r="COO30" s="27"/>
      <c r="COP30" s="27"/>
      <c r="COQ30" s="27"/>
      <c r="COR30" s="27"/>
      <c r="COS30" s="27"/>
      <c r="COT30" s="27"/>
      <c r="COU30" s="27"/>
      <c r="COV30" s="27"/>
      <c r="COW30" s="27"/>
      <c r="COX30" s="27"/>
      <c r="COY30" s="27"/>
      <c r="COZ30" s="27"/>
      <c r="CPA30" s="27"/>
      <c r="CPB30" s="27"/>
      <c r="CPC30" s="27"/>
      <c r="CPD30" s="27"/>
      <c r="CPE30" s="27"/>
      <c r="CPF30" s="27"/>
      <c r="CPG30" s="27"/>
      <c r="CPH30" s="27"/>
      <c r="CPI30" s="27"/>
      <c r="CPJ30" s="27"/>
      <c r="CPK30" s="27"/>
      <c r="CPL30" s="27"/>
      <c r="CPM30" s="27"/>
      <c r="CPN30" s="27"/>
      <c r="CPO30" s="27"/>
      <c r="CPP30" s="27"/>
      <c r="CPQ30" s="27"/>
      <c r="CPR30" s="27"/>
      <c r="CPS30" s="27"/>
      <c r="CPT30" s="27"/>
      <c r="CPU30" s="27"/>
      <c r="CPV30" s="27"/>
      <c r="CPW30" s="27"/>
      <c r="CPX30" s="27"/>
      <c r="CPY30" s="27"/>
      <c r="CPZ30" s="27"/>
      <c r="CQA30" s="27"/>
      <c r="CQB30" s="27"/>
      <c r="CQC30" s="27"/>
      <c r="CQD30" s="27"/>
      <c r="CQE30" s="27"/>
      <c r="CQF30" s="27"/>
      <c r="CQG30" s="27"/>
      <c r="CQH30" s="27"/>
      <c r="CQI30" s="27"/>
      <c r="CQJ30" s="27"/>
      <c r="CQK30" s="27"/>
      <c r="CQL30" s="27"/>
      <c r="CQM30" s="27"/>
      <c r="CQN30" s="27"/>
      <c r="CQO30" s="27"/>
      <c r="CQP30" s="27"/>
      <c r="CQQ30" s="27"/>
      <c r="CQR30" s="27"/>
      <c r="CQS30" s="27"/>
      <c r="CQT30" s="27"/>
      <c r="CQU30" s="27"/>
      <c r="CQV30" s="27"/>
      <c r="CQW30" s="27"/>
      <c r="CQX30" s="27"/>
      <c r="CQY30" s="27"/>
      <c r="CQZ30" s="27"/>
      <c r="CRA30" s="27"/>
      <c r="CRB30" s="27"/>
      <c r="CRC30" s="27"/>
      <c r="CRD30" s="27"/>
      <c r="CRE30" s="27"/>
      <c r="CRF30" s="27"/>
      <c r="CRG30" s="27"/>
      <c r="CRH30" s="27"/>
      <c r="CRI30" s="27"/>
      <c r="CRJ30" s="27"/>
      <c r="CRK30" s="27"/>
      <c r="CRL30" s="27"/>
      <c r="CRM30" s="27"/>
      <c r="CRN30" s="27"/>
      <c r="CRO30" s="27"/>
      <c r="CRP30" s="27"/>
      <c r="CRQ30" s="27"/>
      <c r="CRR30" s="27"/>
      <c r="CRS30" s="27"/>
      <c r="CRT30" s="27"/>
      <c r="CRU30" s="27"/>
      <c r="CRV30" s="27"/>
      <c r="CRW30" s="27"/>
      <c r="CRX30" s="27"/>
      <c r="CRY30" s="27"/>
      <c r="CRZ30" s="27"/>
      <c r="CSA30" s="27"/>
      <c r="CSB30" s="27"/>
      <c r="CSC30" s="27"/>
      <c r="CSD30" s="27"/>
      <c r="CSE30" s="27"/>
      <c r="CSF30" s="27"/>
      <c r="CSG30" s="27"/>
      <c r="CSH30" s="27"/>
      <c r="CSI30" s="27"/>
      <c r="CSJ30" s="27"/>
      <c r="CSK30" s="27"/>
      <c r="CSL30" s="27"/>
      <c r="CSM30" s="27"/>
      <c r="CSN30" s="27"/>
      <c r="CSO30" s="27"/>
      <c r="CSP30" s="27"/>
      <c r="CSQ30" s="27"/>
      <c r="CSR30" s="27"/>
      <c r="CSS30" s="27"/>
      <c r="CST30" s="27"/>
      <c r="CSU30" s="27"/>
      <c r="CSV30" s="27"/>
      <c r="CSW30" s="27"/>
      <c r="CSX30" s="27"/>
      <c r="CSY30" s="27"/>
      <c r="CSZ30" s="27"/>
      <c r="CTA30" s="27"/>
      <c r="CTB30" s="27"/>
      <c r="CTC30" s="27"/>
      <c r="CTD30" s="27"/>
      <c r="CTE30" s="27"/>
      <c r="CTF30" s="27"/>
      <c r="CTG30" s="27"/>
      <c r="CTH30" s="27"/>
      <c r="CTI30" s="27"/>
      <c r="CTJ30" s="27"/>
      <c r="CTK30" s="27"/>
      <c r="CTL30" s="27"/>
      <c r="CTM30" s="27"/>
      <c r="CTN30" s="27"/>
      <c r="CTO30" s="27"/>
      <c r="CTP30" s="27"/>
      <c r="CTQ30" s="27"/>
      <c r="CTR30" s="27"/>
      <c r="CTS30" s="27"/>
      <c r="CTT30" s="27"/>
      <c r="CTU30" s="27"/>
      <c r="CTV30" s="27"/>
      <c r="CTW30" s="27"/>
      <c r="CTX30" s="27"/>
      <c r="CTY30" s="27"/>
      <c r="CTZ30" s="27"/>
      <c r="CUA30" s="27"/>
      <c r="CUB30" s="27"/>
      <c r="CUC30" s="27"/>
      <c r="CUD30" s="27"/>
      <c r="CUE30" s="27"/>
      <c r="CUF30" s="27"/>
      <c r="CUG30" s="27"/>
      <c r="CUH30" s="27"/>
      <c r="CUI30" s="27"/>
      <c r="CUJ30" s="27"/>
      <c r="CUK30" s="27"/>
      <c r="CUL30" s="27"/>
      <c r="CUM30" s="27"/>
      <c r="CUN30" s="27"/>
      <c r="CUO30" s="27"/>
      <c r="CUP30" s="27"/>
      <c r="CUQ30" s="27"/>
      <c r="CUR30" s="27"/>
      <c r="CUS30" s="27"/>
      <c r="CUT30" s="27"/>
      <c r="CUU30" s="27"/>
      <c r="CUV30" s="27"/>
      <c r="CUW30" s="27"/>
      <c r="CUX30" s="27"/>
      <c r="CUY30" s="27"/>
      <c r="CUZ30" s="27"/>
      <c r="CVA30" s="27"/>
      <c r="CVB30" s="27"/>
      <c r="CVC30" s="27"/>
      <c r="CVD30" s="27"/>
      <c r="CVE30" s="27"/>
      <c r="CVF30" s="27"/>
      <c r="CVG30" s="27"/>
      <c r="CVH30" s="27"/>
      <c r="CVI30" s="27"/>
      <c r="CVJ30" s="27"/>
      <c r="CVK30" s="27"/>
      <c r="CVL30" s="27"/>
      <c r="CVM30" s="27"/>
      <c r="CVN30" s="27"/>
      <c r="CVO30" s="27"/>
      <c r="CVP30" s="27"/>
      <c r="CVQ30" s="27"/>
      <c r="CVR30" s="27"/>
      <c r="CVS30" s="27"/>
      <c r="CVT30" s="27"/>
      <c r="CVU30" s="27"/>
      <c r="CVV30" s="27"/>
      <c r="CVW30" s="27"/>
      <c r="CVX30" s="27"/>
      <c r="CVY30" s="27"/>
      <c r="CVZ30" s="27"/>
      <c r="CWA30" s="27"/>
      <c r="CWB30" s="27"/>
      <c r="CWC30" s="27"/>
      <c r="CWD30" s="27"/>
      <c r="CWE30" s="27"/>
      <c r="CWF30" s="27"/>
      <c r="CWG30" s="27"/>
      <c r="CWH30" s="27"/>
      <c r="CWI30" s="27"/>
      <c r="CWJ30" s="27"/>
      <c r="CWK30" s="27"/>
      <c r="CWL30" s="27"/>
      <c r="CWM30" s="27"/>
      <c r="CWN30" s="27"/>
      <c r="CWO30" s="27"/>
      <c r="CWP30" s="27"/>
      <c r="CWQ30" s="27"/>
      <c r="CWR30" s="27"/>
      <c r="CWS30" s="27"/>
      <c r="CWT30" s="27"/>
      <c r="CWU30" s="27"/>
      <c r="CWV30" s="27"/>
      <c r="CWW30" s="27"/>
      <c r="CWX30" s="27"/>
      <c r="CWY30" s="27"/>
      <c r="CWZ30" s="27"/>
      <c r="CXA30" s="27"/>
      <c r="CXB30" s="27"/>
      <c r="CXC30" s="27"/>
      <c r="CXD30" s="27"/>
      <c r="CXE30" s="27"/>
      <c r="CXF30" s="27"/>
      <c r="CXG30" s="27"/>
      <c r="CXH30" s="27"/>
      <c r="CXI30" s="27"/>
      <c r="CXJ30" s="27"/>
      <c r="CXK30" s="27"/>
      <c r="CXL30" s="27"/>
      <c r="CXM30" s="27"/>
      <c r="CXN30" s="27"/>
      <c r="CXO30" s="27"/>
      <c r="CXP30" s="27"/>
      <c r="CXQ30" s="27"/>
      <c r="CXR30" s="27"/>
      <c r="CXS30" s="27"/>
      <c r="CXT30" s="27"/>
      <c r="CXU30" s="27"/>
      <c r="CXV30" s="27"/>
      <c r="CXW30" s="27"/>
      <c r="CXX30" s="27"/>
      <c r="CXY30" s="27"/>
      <c r="CXZ30" s="27"/>
      <c r="CYA30" s="27"/>
      <c r="CYB30" s="27"/>
      <c r="CYC30" s="27"/>
      <c r="CYD30" s="27"/>
      <c r="CYE30" s="27"/>
      <c r="CYF30" s="27"/>
      <c r="CYG30" s="27"/>
      <c r="CYH30" s="27"/>
      <c r="CYI30" s="27"/>
      <c r="CYJ30" s="27"/>
      <c r="CYK30" s="27"/>
      <c r="CYL30" s="27"/>
      <c r="CYM30" s="27"/>
      <c r="CYN30" s="27"/>
      <c r="CYO30" s="27"/>
      <c r="CYP30" s="27"/>
      <c r="CYQ30" s="27"/>
      <c r="CYR30" s="27"/>
      <c r="CYS30" s="27"/>
      <c r="CYT30" s="27"/>
      <c r="CYU30" s="27"/>
      <c r="CYV30" s="27"/>
      <c r="CYW30" s="27"/>
      <c r="CYX30" s="27"/>
      <c r="CYY30" s="27"/>
      <c r="CYZ30" s="27"/>
      <c r="CZA30" s="27"/>
      <c r="CZB30" s="27"/>
      <c r="CZC30" s="27"/>
      <c r="CZD30" s="27"/>
      <c r="CZE30" s="27"/>
      <c r="CZF30" s="27"/>
      <c r="CZG30" s="27"/>
      <c r="CZH30" s="27"/>
      <c r="CZI30" s="27"/>
      <c r="CZJ30" s="27"/>
      <c r="CZK30" s="27"/>
      <c r="CZL30" s="27"/>
      <c r="CZM30" s="27"/>
      <c r="CZN30" s="27"/>
      <c r="CZO30" s="27"/>
      <c r="CZP30" s="27"/>
      <c r="CZQ30" s="27"/>
      <c r="CZR30" s="27"/>
      <c r="CZS30" s="27"/>
      <c r="CZT30" s="27"/>
      <c r="CZU30" s="27"/>
      <c r="CZV30" s="27"/>
      <c r="CZW30" s="27"/>
      <c r="CZX30" s="27"/>
      <c r="CZY30" s="27"/>
      <c r="CZZ30" s="27"/>
      <c r="DAA30" s="27"/>
      <c r="DAB30" s="27"/>
      <c r="DAC30" s="27"/>
      <c r="DAD30" s="27"/>
      <c r="DAE30" s="27"/>
      <c r="DAF30" s="27"/>
      <c r="DAG30" s="27"/>
      <c r="DAH30" s="27"/>
      <c r="DAI30" s="27"/>
      <c r="DAJ30" s="27"/>
      <c r="DAK30" s="27"/>
      <c r="DAL30" s="27"/>
      <c r="DAM30" s="27"/>
      <c r="DAN30" s="27"/>
      <c r="DAO30" s="27"/>
      <c r="DAP30" s="27"/>
      <c r="DAQ30" s="27"/>
      <c r="DAR30" s="27"/>
      <c r="DAS30" s="27"/>
      <c r="DAT30" s="27"/>
      <c r="DAU30" s="27"/>
      <c r="DAV30" s="27"/>
      <c r="DAW30" s="27"/>
      <c r="DAX30" s="27"/>
      <c r="DAY30" s="27"/>
      <c r="DAZ30" s="27"/>
      <c r="DBA30" s="27"/>
      <c r="DBB30" s="27"/>
      <c r="DBC30" s="27"/>
      <c r="DBD30" s="27"/>
      <c r="DBE30" s="27"/>
      <c r="DBF30" s="27"/>
      <c r="DBG30" s="27"/>
      <c r="DBH30" s="27"/>
      <c r="DBI30" s="27"/>
      <c r="DBJ30" s="27"/>
      <c r="DBK30" s="27"/>
      <c r="DBL30" s="27"/>
      <c r="DBM30" s="27"/>
      <c r="DBN30" s="27"/>
      <c r="DBO30" s="27"/>
      <c r="DBP30" s="27"/>
      <c r="DBQ30" s="27"/>
      <c r="DBR30" s="27"/>
      <c r="DBS30" s="27"/>
      <c r="DBT30" s="27"/>
      <c r="DBU30" s="27"/>
      <c r="DBV30" s="27"/>
      <c r="DBW30" s="27"/>
      <c r="DBX30" s="27"/>
      <c r="DBY30" s="27"/>
      <c r="DBZ30" s="27"/>
      <c r="DCA30" s="27"/>
      <c r="DCB30" s="27"/>
      <c r="DCC30" s="27"/>
      <c r="DCD30" s="27"/>
      <c r="DCE30" s="27"/>
      <c r="DCF30" s="27"/>
      <c r="DCG30" s="27"/>
      <c r="DCH30" s="27"/>
      <c r="DCI30" s="27"/>
      <c r="DCJ30" s="27"/>
      <c r="DCK30" s="27"/>
      <c r="DCL30" s="27"/>
      <c r="DCM30" s="27"/>
      <c r="DCN30" s="27"/>
      <c r="DCO30" s="27"/>
      <c r="DCP30" s="27"/>
      <c r="DCQ30" s="27"/>
      <c r="DCR30" s="27"/>
      <c r="DCS30" s="27"/>
      <c r="DCT30" s="27"/>
      <c r="DCU30" s="27"/>
      <c r="DCV30" s="27"/>
      <c r="DCW30" s="27"/>
      <c r="DCX30" s="27"/>
      <c r="DCY30" s="27"/>
      <c r="DCZ30" s="27"/>
      <c r="DDA30" s="27"/>
      <c r="DDB30" s="27"/>
      <c r="DDC30" s="27"/>
      <c r="DDD30" s="27"/>
      <c r="DDE30" s="27"/>
      <c r="DDF30" s="27"/>
      <c r="DDG30" s="27"/>
      <c r="DDH30" s="27"/>
      <c r="DDI30" s="27"/>
      <c r="DDJ30" s="27"/>
      <c r="DDK30" s="27"/>
      <c r="DDL30" s="27"/>
      <c r="DDM30" s="27"/>
      <c r="DDN30" s="27"/>
      <c r="DDO30" s="27"/>
      <c r="DDP30" s="27"/>
      <c r="DDQ30" s="27"/>
      <c r="DDR30" s="27"/>
      <c r="DDS30" s="27"/>
      <c r="DDT30" s="27"/>
      <c r="DDU30" s="27"/>
      <c r="DDV30" s="27"/>
      <c r="DDW30" s="27"/>
      <c r="DDX30" s="27"/>
      <c r="DDY30" s="27"/>
      <c r="DDZ30" s="27"/>
      <c r="DEA30" s="27"/>
      <c r="DEB30" s="27"/>
      <c r="DEC30" s="27"/>
      <c r="DED30" s="27"/>
      <c r="DEE30" s="27"/>
      <c r="DEF30" s="27"/>
      <c r="DEG30" s="27"/>
      <c r="DEH30" s="27"/>
      <c r="DEI30" s="27"/>
      <c r="DEJ30" s="27"/>
      <c r="DEK30" s="27"/>
      <c r="DEL30" s="27"/>
      <c r="DEM30" s="27"/>
      <c r="DEN30" s="27"/>
      <c r="DEO30" s="27"/>
      <c r="DEP30" s="27"/>
      <c r="DEQ30" s="27"/>
      <c r="DER30" s="27"/>
      <c r="DES30" s="27"/>
      <c r="DET30" s="27"/>
      <c r="DEU30" s="27"/>
      <c r="DEV30" s="27"/>
      <c r="DEW30" s="27"/>
      <c r="DEX30" s="27"/>
      <c r="DEY30" s="27"/>
      <c r="DEZ30" s="27"/>
      <c r="DFA30" s="27"/>
      <c r="DFB30" s="27"/>
      <c r="DFC30" s="27"/>
      <c r="DFD30" s="27"/>
      <c r="DFE30" s="27"/>
      <c r="DFF30" s="27"/>
      <c r="DFG30" s="27"/>
      <c r="DFH30" s="27"/>
      <c r="DFI30" s="27"/>
      <c r="DFJ30" s="27"/>
      <c r="DFK30" s="27"/>
      <c r="DFL30" s="27"/>
      <c r="DFM30" s="27"/>
      <c r="DFN30" s="27"/>
      <c r="DFO30" s="27"/>
      <c r="DFP30" s="27"/>
      <c r="DFQ30" s="27"/>
      <c r="DFR30" s="27"/>
      <c r="DFS30" s="27"/>
      <c r="DFT30" s="27"/>
      <c r="DFU30" s="27"/>
      <c r="DFV30" s="27"/>
      <c r="DFW30" s="27"/>
      <c r="DFX30" s="27"/>
      <c r="DFY30" s="27"/>
      <c r="DFZ30" s="27"/>
      <c r="DGA30" s="27"/>
      <c r="DGB30" s="27"/>
      <c r="DGC30" s="27"/>
      <c r="DGD30" s="27"/>
      <c r="DGE30" s="27"/>
      <c r="DGF30" s="27"/>
      <c r="DGG30" s="27"/>
      <c r="DGH30" s="27"/>
      <c r="DGI30" s="27"/>
      <c r="DGJ30" s="27"/>
      <c r="DGK30" s="27"/>
      <c r="DGL30" s="27"/>
      <c r="DGM30" s="27"/>
      <c r="DGN30" s="27"/>
      <c r="DGO30" s="27"/>
      <c r="DGP30" s="27"/>
      <c r="DGQ30" s="27"/>
      <c r="DGR30" s="27"/>
      <c r="DGS30" s="27"/>
      <c r="DGT30" s="27"/>
      <c r="DGU30" s="27"/>
      <c r="DGV30" s="27"/>
      <c r="DGW30" s="27"/>
      <c r="DGX30" s="27"/>
      <c r="DGY30" s="27"/>
      <c r="DGZ30" s="27"/>
      <c r="DHA30" s="27"/>
      <c r="DHB30" s="27"/>
      <c r="DHC30" s="27"/>
      <c r="DHD30" s="27"/>
      <c r="DHE30" s="27"/>
      <c r="DHF30" s="27"/>
      <c r="DHG30" s="27"/>
      <c r="DHH30" s="27"/>
      <c r="DHI30" s="27"/>
      <c r="DHJ30" s="27"/>
      <c r="DHK30" s="27"/>
      <c r="DHL30" s="27"/>
      <c r="DHM30" s="27"/>
      <c r="DHN30" s="27"/>
      <c r="DHO30" s="27"/>
      <c r="DHP30" s="27"/>
      <c r="DHQ30" s="27"/>
      <c r="DHR30" s="27"/>
      <c r="DHS30" s="27"/>
      <c r="DHT30" s="27"/>
      <c r="DHU30" s="27"/>
      <c r="DHV30" s="27"/>
      <c r="DHW30" s="27"/>
      <c r="DHX30" s="27"/>
      <c r="DHY30" s="27"/>
      <c r="DHZ30" s="27"/>
      <c r="DIA30" s="27"/>
      <c r="DIB30" s="27"/>
      <c r="DIC30" s="27"/>
      <c r="DID30" s="27"/>
      <c r="DIE30" s="27"/>
      <c r="DIF30" s="27"/>
      <c r="DIG30" s="27"/>
      <c r="DIH30" s="27"/>
      <c r="DII30" s="27"/>
      <c r="DIJ30" s="27"/>
      <c r="DIK30" s="27"/>
      <c r="DIL30" s="27"/>
      <c r="DIM30" s="27"/>
      <c r="DIN30" s="27"/>
      <c r="DIO30" s="27"/>
      <c r="DIP30" s="27"/>
      <c r="DIQ30" s="27"/>
      <c r="DIR30" s="27"/>
      <c r="DIS30" s="27"/>
      <c r="DIT30" s="27"/>
      <c r="DIU30" s="27"/>
      <c r="DIV30" s="27"/>
      <c r="DIW30" s="27"/>
      <c r="DIX30" s="27"/>
      <c r="DIY30" s="27"/>
      <c r="DIZ30" s="27"/>
      <c r="DJA30" s="27"/>
      <c r="DJB30" s="27"/>
      <c r="DJC30" s="27"/>
      <c r="DJD30" s="27"/>
      <c r="DJE30" s="27"/>
      <c r="DJF30" s="27"/>
      <c r="DJG30" s="27"/>
      <c r="DJH30" s="27"/>
      <c r="DJI30" s="27"/>
      <c r="DJJ30" s="27"/>
      <c r="DJK30" s="27"/>
      <c r="DJL30" s="27"/>
      <c r="DJM30" s="27"/>
      <c r="DJN30" s="27"/>
      <c r="DJO30" s="27"/>
      <c r="DJP30" s="27"/>
      <c r="DJQ30" s="27"/>
      <c r="DJR30" s="27"/>
      <c r="DJS30" s="27"/>
      <c r="DJT30" s="27"/>
      <c r="DJU30" s="27"/>
      <c r="DJV30" s="27"/>
      <c r="DJW30" s="27"/>
      <c r="DJX30" s="27"/>
      <c r="DJY30" s="27"/>
      <c r="DJZ30" s="27"/>
      <c r="DKA30" s="27"/>
      <c r="DKB30" s="27"/>
      <c r="DKC30" s="27"/>
      <c r="DKD30" s="27"/>
      <c r="DKE30" s="27"/>
      <c r="DKF30" s="27"/>
      <c r="DKG30" s="27"/>
      <c r="DKH30" s="27"/>
      <c r="DKI30" s="27"/>
      <c r="DKJ30" s="27"/>
      <c r="DKK30" s="27"/>
      <c r="DKL30" s="27"/>
      <c r="DKM30" s="27"/>
      <c r="DKN30" s="27"/>
      <c r="DKO30" s="27"/>
      <c r="DKP30" s="27"/>
      <c r="DKQ30" s="27"/>
      <c r="DKR30" s="27"/>
      <c r="DKS30" s="27"/>
      <c r="DKT30" s="27"/>
      <c r="DKU30" s="27"/>
      <c r="DKV30" s="27"/>
      <c r="DKW30" s="27"/>
      <c r="DKX30" s="27"/>
      <c r="DKY30" s="27"/>
      <c r="DKZ30" s="27"/>
      <c r="DLA30" s="27"/>
      <c r="DLB30" s="27"/>
      <c r="DLC30" s="27"/>
      <c r="DLD30" s="27"/>
      <c r="DLE30" s="27"/>
      <c r="DLF30" s="27"/>
      <c r="DLG30" s="27"/>
      <c r="DLH30" s="27"/>
      <c r="DLI30" s="27"/>
      <c r="DLJ30" s="27"/>
      <c r="DLK30" s="27"/>
      <c r="DLL30" s="27"/>
      <c r="DLM30" s="27"/>
      <c r="DLN30" s="27"/>
      <c r="DLO30" s="27"/>
      <c r="DLP30" s="27"/>
      <c r="DLQ30" s="27"/>
      <c r="DLR30" s="27"/>
      <c r="DLS30" s="27"/>
      <c r="DLT30" s="27"/>
      <c r="DLU30" s="27"/>
      <c r="DLV30" s="27"/>
      <c r="DLW30" s="27"/>
      <c r="DLX30" s="27"/>
      <c r="DLY30" s="27"/>
      <c r="DLZ30" s="27"/>
      <c r="DMA30" s="27"/>
      <c r="DMB30" s="27"/>
      <c r="DMC30" s="27"/>
      <c r="DMD30" s="27"/>
      <c r="DME30" s="27"/>
      <c r="DMF30" s="27"/>
      <c r="DMG30" s="27"/>
      <c r="DMH30" s="27"/>
      <c r="DMI30" s="27"/>
      <c r="DMJ30" s="27"/>
      <c r="DMK30" s="27"/>
      <c r="DML30" s="27"/>
      <c r="DMM30" s="27"/>
      <c r="DMN30" s="27"/>
      <c r="DMO30" s="27"/>
      <c r="DMP30" s="27"/>
      <c r="DMQ30" s="27"/>
      <c r="DMR30" s="27"/>
      <c r="DMS30" s="27"/>
      <c r="DMT30" s="27"/>
      <c r="DMU30" s="27"/>
      <c r="DMV30" s="27"/>
      <c r="DMW30" s="27"/>
      <c r="DMX30" s="27"/>
      <c r="DMY30" s="27"/>
      <c r="DMZ30" s="27"/>
      <c r="DNA30" s="27"/>
      <c r="DNB30" s="27"/>
      <c r="DNC30" s="27"/>
      <c r="DND30" s="27"/>
      <c r="DNE30" s="27"/>
      <c r="DNF30" s="27"/>
      <c r="DNG30" s="27"/>
      <c r="DNH30" s="27"/>
      <c r="DNI30" s="27"/>
      <c r="DNJ30" s="27"/>
      <c r="DNK30" s="27"/>
      <c r="DNL30" s="27"/>
      <c r="DNM30" s="27"/>
      <c r="DNN30" s="27"/>
      <c r="DNO30" s="27"/>
      <c r="DNP30" s="27"/>
      <c r="DNQ30" s="27"/>
      <c r="DNR30" s="27"/>
      <c r="DNS30" s="27"/>
      <c r="DNT30" s="27"/>
      <c r="DNU30" s="27"/>
      <c r="DNV30" s="27"/>
      <c r="DNW30" s="27"/>
      <c r="DNX30" s="27"/>
      <c r="DNY30" s="27"/>
      <c r="DNZ30" s="27"/>
      <c r="DOA30" s="27"/>
      <c r="DOB30" s="27"/>
      <c r="DOC30" s="27"/>
      <c r="DOD30" s="27"/>
      <c r="DOE30" s="27"/>
      <c r="DOF30" s="27"/>
      <c r="DOG30" s="27"/>
      <c r="DOH30" s="27"/>
      <c r="DOI30" s="27"/>
      <c r="DOJ30" s="27"/>
      <c r="DOK30" s="27"/>
      <c r="DOL30" s="27"/>
      <c r="DOM30" s="27"/>
      <c r="DON30" s="27"/>
      <c r="DOO30" s="27"/>
      <c r="DOP30" s="27"/>
      <c r="DOQ30" s="27"/>
      <c r="DOR30" s="27"/>
      <c r="DOS30" s="27"/>
      <c r="DOT30" s="27"/>
      <c r="DOU30" s="27"/>
      <c r="DOV30" s="27"/>
      <c r="DOW30" s="27"/>
      <c r="DOX30" s="27"/>
      <c r="DOY30" s="27"/>
      <c r="DOZ30" s="27"/>
      <c r="DPA30" s="27"/>
      <c r="DPB30" s="27"/>
      <c r="DPC30" s="27"/>
      <c r="DPD30" s="27"/>
      <c r="DPE30" s="27"/>
      <c r="DPF30" s="27"/>
      <c r="DPG30" s="27"/>
      <c r="DPH30" s="27"/>
      <c r="DPI30" s="27"/>
      <c r="DPJ30" s="27"/>
      <c r="DPK30" s="27"/>
      <c r="DPL30" s="27"/>
      <c r="DPM30" s="27"/>
      <c r="DPN30" s="27"/>
      <c r="DPO30" s="27"/>
      <c r="DPP30" s="27"/>
      <c r="DPQ30" s="27"/>
      <c r="DPR30" s="27"/>
      <c r="DPS30" s="27"/>
      <c r="DPT30" s="27"/>
      <c r="DPU30" s="27"/>
      <c r="DPV30" s="27"/>
      <c r="DPW30" s="27"/>
      <c r="DPX30" s="27"/>
      <c r="DPY30" s="27"/>
      <c r="DPZ30" s="27"/>
      <c r="DQA30" s="27"/>
      <c r="DQB30" s="27"/>
      <c r="DQC30" s="27"/>
      <c r="DQD30" s="27"/>
      <c r="DQE30" s="27"/>
      <c r="DQF30" s="27"/>
      <c r="DQG30" s="27"/>
      <c r="DQH30" s="27"/>
      <c r="DQI30" s="27"/>
      <c r="DQJ30" s="27"/>
      <c r="DQK30" s="27"/>
      <c r="DQL30" s="27"/>
      <c r="DQM30" s="27"/>
      <c r="DQN30" s="27"/>
      <c r="DQO30" s="27"/>
      <c r="DQP30" s="27"/>
      <c r="DQQ30" s="27"/>
      <c r="DQR30" s="27"/>
      <c r="DQS30" s="27"/>
      <c r="DQT30" s="27"/>
      <c r="DQU30" s="27"/>
      <c r="DQV30" s="27"/>
      <c r="DQW30" s="27"/>
      <c r="DQX30" s="27"/>
      <c r="DQY30" s="27"/>
      <c r="DQZ30" s="27"/>
      <c r="DRA30" s="27"/>
      <c r="DRB30" s="27"/>
      <c r="DRC30" s="27"/>
      <c r="DRD30" s="27"/>
      <c r="DRE30" s="27"/>
      <c r="DRF30" s="27"/>
      <c r="DRG30" s="27"/>
      <c r="DRH30" s="27"/>
      <c r="DRI30" s="27"/>
      <c r="DRJ30" s="27"/>
      <c r="DRK30" s="27"/>
      <c r="DRL30" s="27"/>
      <c r="DRM30" s="27"/>
      <c r="DRN30" s="27"/>
      <c r="DRO30" s="27"/>
      <c r="DRP30" s="27"/>
      <c r="DRQ30" s="27"/>
      <c r="DRR30" s="27"/>
      <c r="DRS30" s="27"/>
      <c r="DRT30" s="27"/>
      <c r="DRU30" s="27"/>
      <c r="DRV30" s="27"/>
      <c r="DRW30" s="27"/>
      <c r="DRX30" s="27"/>
      <c r="DRY30" s="27"/>
      <c r="DRZ30" s="27"/>
      <c r="DSA30" s="27"/>
      <c r="DSB30" s="27"/>
      <c r="DSC30" s="27"/>
      <c r="DSD30" s="27"/>
      <c r="DSE30" s="27"/>
      <c r="DSF30" s="27"/>
      <c r="DSG30" s="27"/>
      <c r="DSH30" s="27"/>
      <c r="DSI30" s="27"/>
      <c r="DSJ30" s="27"/>
      <c r="DSK30" s="27"/>
      <c r="DSL30" s="27"/>
      <c r="DSM30" s="27"/>
      <c r="DSN30" s="27"/>
      <c r="DSO30" s="27"/>
      <c r="DSP30" s="27"/>
      <c r="DSQ30" s="27"/>
      <c r="DSR30" s="27"/>
      <c r="DSS30" s="27"/>
      <c r="DST30" s="27"/>
      <c r="DSU30" s="27"/>
      <c r="DSV30" s="27"/>
      <c r="DSW30" s="27"/>
      <c r="DSX30" s="27"/>
      <c r="DSY30" s="27"/>
      <c r="DSZ30" s="27"/>
      <c r="DTA30" s="27"/>
      <c r="DTB30" s="27"/>
      <c r="DTC30" s="27"/>
      <c r="DTD30" s="27"/>
      <c r="DTE30" s="27"/>
      <c r="DTF30" s="27"/>
      <c r="DTG30" s="27"/>
      <c r="DTH30" s="27"/>
      <c r="DTI30" s="27"/>
      <c r="DTJ30" s="27"/>
      <c r="DTK30" s="27"/>
      <c r="DTL30" s="27"/>
      <c r="DTM30" s="27"/>
      <c r="DTN30" s="27"/>
      <c r="DTO30" s="27"/>
      <c r="DTP30" s="27"/>
      <c r="DTQ30" s="27"/>
      <c r="DTR30" s="27"/>
      <c r="DTS30" s="27"/>
      <c r="DTT30" s="27"/>
      <c r="DTU30" s="27"/>
      <c r="DTV30" s="27"/>
      <c r="DTW30" s="27"/>
      <c r="DTX30" s="27"/>
      <c r="DTY30" s="27"/>
      <c r="DTZ30" s="27"/>
      <c r="DUA30" s="27"/>
      <c r="DUB30" s="27"/>
      <c r="DUC30" s="27"/>
      <c r="DUD30" s="27"/>
      <c r="DUE30" s="27"/>
      <c r="DUF30" s="27"/>
      <c r="DUG30" s="27"/>
      <c r="DUH30" s="27"/>
      <c r="DUI30" s="27"/>
      <c r="DUJ30" s="27"/>
      <c r="DUK30" s="27"/>
      <c r="DUL30" s="27"/>
      <c r="DUM30" s="27"/>
      <c r="DUN30" s="27"/>
      <c r="DUO30" s="27"/>
      <c r="DUP30" s="27"/>
      <c r="DUQ30" s="27"/>
      <c r="DUR30" s="27"/>
      <c r="DUS30" s="27"/>
      <c r="DUT30" s="27"/>
      <c r="DUU30" s="27"/>
      <c r="DUV30" s="27"/>
      <c r="DUW30" s="27"/>
      <c r="DUX30" s="27"/>
      <c r="DUY30" s="27"/>
      <c r="DUZ30" s="27"/>
      <c r="DVA30" s="27"/>
      <c r="DVB30" s="27"/>
      <c r="DVC30" s="27"/>
      <c r="DVD30" s="27"/>
      <c r="DVE30" s="27"/>
      <c r="DVF30" s="27"/>
      <c r="DVG30" s="27"/>
      <c r="DVH30" s="27"/>
      <c r="DVI30" s="27"/>
      <c r="DVJ30" s="27"/>
      <c r="DVK30" s="27"/>
      <c r="DVL30" s="27"/>
      <c r="DVM30" s="27"/>
      <c r="DVN30" s="27"/>
      <c r="DVO30" s="27"/>
      <c r="DVP30" s="27"/>
      <c r="DVQ30" s="27"/>
      <c r="DVR30" s="27"/>
      <c r="DVS30" s="27"/>
      <c r="DVT30" s="27"/>
      <c r="DVU30" s="27"/>
      <c r="DVV30" s="27"/>
      <c r="DVW30" s="27"/>
      <c r="DVX30" s="27"/>
      <c r="DVY30" s="27"/>
      <c r="DVZ30" s="27"/>
      <c r="DWA30" s="27"/>
      <c r="DWB30" s="27"/>
      <c r="DWC30" s="27"/>
      <c r="DWD30" s="27"/>
      <c r="DWE30" s="27"/>
      <c r="DWF30" s="27"/>
      <c r="DWG30" s="27"/>
      <c r="DWH30" s="27"/>
      <c r="DWI30" s="27"/>
      <c r="DWJ30" s="27"/>
      <c r="DWK30" s="27"/>
      <c r="DWL30" s="27"/>
      <c r="DWM30" s="27"/>
      <c r="DWN30" s="27"/>
      <c r="DWO30" s="27"/>
      <c r="DWP30" s="27"/>
      <c r="DWQ30" s="27"/>
      <c r="DWR30" s="27"/>
      <c r="DWS30" s="27"/>
      <c r="DWT30" s="27"/>
      <c r="DWU30" s="27"/>
      <c r="DWV30" s="27"/>
      <c r="DWW30" s="27"/>
      <c r="DWX30" s="27"/>
      <c r="DWY30" s="27"/>
      <c r="DWZ30" s="27"/>
      <c r="DXA30" s="27"/>
      <c r="DXB30" s="27"/>
      <c r="DXC30" s="27"/>
      <c r="DXD30" s="27"/>
      <c r="DXE30" s="27"/>
      <c r="DXF30" s="27"/>
      <c r="DXG30" s="27"/>
      <c r="DXH30" s="27"/>
      <c r="DXI30" s="27"/>
      <c r="DXJ30" s="27"/>
      <c r="DXK30" s="27"/>
      <c r="DXL30" s="27"/>
      <c r="DXM30" s="27"/>
      <c r="DXN30" s="27"/>
      <c r="DXO30" s="27"/>
      <c r="DXP30" s="27"/>
      <c r="DXQ30" s="27"/>
      <c r="DXR30" s="27"/>
      <c r="DXS30" s="27"/>
      <c r="DXT30" s="27"/>
      <c r="DXU30" s="27"/>
      <c r="DXV30" s="27"/>
      <c r="DXW30" s="27"/>
      <c r="DXX30" s="27"/>
      <c r="DXY30" s="27"/>
      <c r="DXZ30" s="27"/>
      <c r="DYA30" s="27"/>
      <c r="DYB30" s="27"/>
      <c r="DYC30" s="27"/>
      <c r="DYD30" s="27"/>
      <c r="DYE30" s="27"/>
      <c r="DYF30" s="27"/>
      <c r="DYG30" s="27"/>
      <c r="DYH30" s="27"/>
      <c r="DYI30" s="27"/>
      <c r="DYJ30" s="27"/>
      <c r="DYK30" s="27"/>
      <c r="DYL30" s="27"/>
      <c r="DYM30" s="27"/>
      <c r="DYN30" s="27"/>
      <c r="DYO30" s="27"/>
      <c r="DYP30" s="27"/>
      <c r="DYQ30" s="27"/>
      <c r="DYR30" s="27"/>
      <c r="DYS30" s="27"/>
      <c r="DYT30" s="27"/>
      <c r="DYU30" s="27"/>
      <c r="DYV30" s="27"/>
      <c r="DYW30" s="27"/>
      <c r="DYX30" s="27"/>
      <c r="DYY30" s="27"/>
      <c r="DYZ30" s="27"/>
      <c r="DZA30" s="27"/>
      <c r="DZB30" s="27"/>
      <c r="DZC30" s="27"/>
      <c r="DZD30" s="27"/>
      <c r="DZE30" s="27"/>
      <c r="DZF30" s="27"/>
      <c r="DZG30" s="27"/>
      <c r="DZH30" s="27"/>
      <c r="DZI30" s="27"/>
      <c r="DZJ30" s="27"/>
      <c r="DZK30" s="27"/>
      <c r="DZL30" s="27"/>
      <c r="DZM30" s="27"/>
      <c r="DZN30" s="27"/>
      <c r="DZO30" s="27"/>
      <c r="DZP30" s="27"/>
      <c r="DZQ30" s="27"/>
      <c r="DZR30" s="27"/>
      <c r="DZS30" s="27"/>
      <c r="DZT30" s="27"/>
      <c r="DZU30" s="27"/>
      <c r="DZV30" s="27"/>
      <c r="DZW30" s="27"/>
      <c r="DZX30" s="27"/>
      <c r="DZY30" s="27"/>
      <c r="DZZ30" s="27"/>
      <c r="EAA30" s="27"/>
      <c r="EAB30" s="27"/>
      <c r="EAC30" s="27"/>
      <c r="EAD30" s="27"/>
      <c r="EAE30" s="27"/>
      <c r="EAF30" s="27"/>
      <c r="EAG30" s="27"/>
      <c r="EAH30" s="27"/>
      <c r="EAI30" s="27"/>
      <c r="EAJ30" s="27"/>
      <c r="EAK30" s="27"/>
      <c r="EAL30" s="27"/>
      <c r="EAM30" s="27"/>
      <c r="EAN30" s="27"/>
      <c r="EAO30" s="27"/>
      <c r="EAP30" s="27"/>
      <c r="EAQ30" s="27"/>
      <c r="EAR30" s="27"/>
      <c r="EAS30" s="27"/>
      <c r="EAT30" s="27"/>
      <c r="EAU30" s="27"/>
      <c r="EAV30" s="27"/>
      <c r="EAW30" s="27"/>
      <c r="EAX30" s="27"/>
      <c r="EAY30" s="27"/>
      <c r="EAZ30" s="27"/>
      <c r="EBA30" s="27"/>
      <c r="EBB30" s="27"/>
      <c r="EBC30" s="27"/>
      <c r="EBD30" s="27"/>
      <c r="EBE30" s="27"/>
      <c r="EBF30" s="27"/>
      <c r="EBG30" s="27"/>
      <c r="EBH30" s="27"/>
      <c r="EBI30" s="27"/>
      <c r="EBJ30" s="27"/>
      <c r="EBK30" s="27"/>
      <c r="EBL30" s="27"/>
      <c r="EBM30" s="27"/>
      <c r="EBN30" s="27"/>
      <c r="EBO30" s="27"/>
      <c r="EBP30" s="27"/>
      <c r="EBQ30" s="27"/>
      <c r="EBR30" s="27"/>
      <c r="EBS30" s="27"/>
      <c r="EBT30" s="27"/>
      <c r="EBU30" s="27"/>
      <c r="EBV30" s="27"/>
      <c r="EBW30" s="27"/>
      <c r="EBX30" s="27"/>
      <c r="EBY30" s="27"/>
      <c r="EBZ30" s="27"/>
      <c r="ECA30" s="27"/>
      <c r="ECB30" s="27"/>
      <c r="ECC30" s="27"/>
      <c r="ECD30" s="27"/>
      <c r="ECE30" s="27"/>
      <c r="ECF30" s="27"/>
      <c r="ECG30" s="27"/>
      <c r="ECH30" s="27"/>
      <c r="ECI30" s="27"/>
      <c r="ECJ30" s="27"/>
      <c r="ECK30" s="27"/>
      <c r="ECL30" s="27"/>
      <c r="ECM30" s="27"/>
      <c r="ECN30" s="27"/>
      <c r="ECO30" s="27"/>
      <c r="ECP30" s="27"/>
      <c r="ECQ30" s="27"/>
      <c r="ECR30" s="27"/>
      <c r="ECS30" s="27"/>
      <c r="ECT30" s="27"/>
      <c r="ECU30" s="27"/>
      <c r="ECV30" s="27"/>
      <c r="ECW30" s="27"/>
      <c r="ECX30" s="27"/>
      <c r="ECY30" s="27"/>
      <c r="ECZ30" s="27"/>
      <c r="EDA30" s="27"/>
      <c r="EDB30" s="27"/>
      <c r="EDC30" s="27"/>
      <c r="EDD30" s="27"/>
      <c r="EDE30" s="27"/>
      <c r="EDF30" s="27"/>
      <c r="EDG30" s="27"/>
      <c r="EDH30" s="27"/>
      <c r="EDI30" s="27"/>
      <c r="EDJ30" s="27"/>
      <c r="EDK30" s="27"/>
      <c r="EDL30" s="27"/>
      <c r="EDM30" s="27"/>
      <c r="EDN30" s="27"/>
      <c r="EDO30" s="27"/>
      <c r="EDP30" s="27"/>
      <c r="EDQ30" s="27"/>
      <c r="EDR30" s="27"/>
      <c r="EDS30" s="27"/>
      <c r="EDT30" s="27"/>
      <c r="EDU30" s="27"/>
      <c r="EDV30" s="27"/>
      <c r="EDW30" s="27"/>
      <c r="EDX30" s="27"/>
      <c r="EDY30" s="27"/>
      <c r="EDZ30" s="27"/>
      <c r="EEA30" s="27"/>
      <c r="EEB30" s="27"/>
      <c r="EEC30" s="27"/>
      <c r="EED30" s="27"/>
      <c r="EEE30" s="27"/>
      <c r="EEF30" s="27"/>
      <c r="EEG30" s="27"/>
      <c r="EEH30" s="27"/>
      <c r="EEI30" s="27"/>
      <c r="EEJ30" s="27"/>
      <c r="EEK30" s="27"/>
      <c r="EEL30" s="27"/>
      <c r="EEM30" s="27"/>
      <c r="EEN30" s="27"/>
      <c r="EEO30" s="27"/>
      <c r="EEP30" s="27"/>
      <c r="EEQ30" s="27"/>
      <c r="EER30" s="27"/>
      <c r="EES30" s="27"/>
      <c r="EET30" s="27"/>
      <c r="EEU30" s="27"/>
      <c r="EEV30" s="27"/>
      <c r="EEW30" s="27"/>
      <c r="EEX30" s="27"/>
      <c r="EEY30" s="27"/>
      <c r="EEZ30" s="27"/>
      <c r="EFA30" s="27"/>
      <c r="EFB30" s="27"/>
      <c r="EFC30" s="27"/>
      <c r="EFD30" s="27"/>
      <c r="EFE30" s="27"/>
      <c r="EFF30" s="27"/>
      <c r="EFG30" s="27"/>
      <c r="EFH30" s="27"/>
      <c r="EFI30" s="27"/>
      <c r="EFJ30" s="27"/>
      <c r="EFK30" s="27"/>
      <c r="EFL30" s="27"/>
      <c r="EFM30" s="27"/>
      <c r="EFN30" s="27"/>
      <c r="EFO30" s="27"/>
      <c r="EFP30" s="27"/>
      <c r="EFQ30" s="27"/>
      <c r="EFR30" s="27"/>
      <c r="EFS30" s="27"/>
      <c r="EFT30" s="27"/>
      <c r="EFU30" s="27"/>
      <c r="EFV30" s="27"/>
      <c r="EFW30" s="27"/>
      <c r="EFX30" s="27"/>
      <c r="EFY30" s="27"/>
      <c r="EFZ30" s="27"/>
      <c r="EGA30" s="27"/>
      <c r="EGB30" s="27"/>
      <c r="EGC30" s="27"/>
      <c r="EGD30" s="27"/>
      <c r="EGE30" s="27"/>
      <c r="EGF30" s="27"/>
      <c r="EGG30" s="27"/>
      <c r="EGH30" s="27"/>
      <c r="EGI30" s="27"/>
      <c r="EGJ30" s="27"/>
      <c r="EGK30" s="27"/>
      <c r="EGL30" s="27"/>
      <c r="EGM30" s="27"/>
      <c r="EGN30" s="27"/>
      <c r="EGO30" s="27"/>
      <c r="EGP30" s="27"/>
      <c r="EGQ30" s="27"/>
      <c r="EGR30" s="27"/>
      <c r="EGS30" s="27"/>
      <c r="EGT30" s="27"/>
      <c r="EGU30" s="27"/>
      <c r="EGV30" s="27"/>
      <c r="EGW30" s="27"/>
      <c r="EGX30" s="27"/>
      <c r="EGY30" s="27"/>
      <c r="EGZ30" s="27"/>
      <c r="EHA30" s="27"/>
      <c r="EHB30" s="27"/>
      <c r="EHC30" s="27"/>
      <c r="EHD30" s="27"/>
      <c r="EHE30" s="27"/>
      <c r="EHF30" s="27"/>
      <c r="EHG30" s="27"/>
      <c r="EHH30" s="27"/>
      <c r="EHI30" s="27"/>
      <c r="EHJ30" s="27"/>
      <c r="EHK30" s="27"/>
      <c r="EHL30" s="27"/>
      <c r="EHM30" s="27"/>
      <c r="EHN30" s="27"/>
      <c r="EHO30" s="27"/>
      <c r="EHP30" s="27"/>
      <c r="EHQ30" s="27"/>
      <c r="EHR30" s="27"/>
      <c r="EHS30" s="27"/>
      <c r="EHT30" s="27"/>
      <c r="EHU30" s="27"/>
      <c r="EHV30" s="27"/>
      <c r="EHW30" s="27"/>
      <c r="EHX30" s="27"/>
      <c r="EHY30" s="27"/>
      <c r="EHZ30" s="27"/>
      <c r="EIA30" s="27"/>
      <c r="EIB30" s="27"/>
      <c r="EIC30" s="27"/>
      <c r="EID30" s="27"/>
      <c r="EIE30" s="27"/>
      <c r="EIF30" s="27"/>
      <c r="EIG30" s="27"/>
      <c r="EIH30" s="27"/>
      <c r="EII30" s="27"/>
      <c r="EIJ30" s="27"/>
      <c r="EIK30" s="27"/>
      <c r="EIL30" s="27"/>
      <c r="EIM30" s="27"/>
      <c r="EIN30" s="27"/>
      <c r="EIO30" s="27"/>
      <c r="EIP30" s="27"/>
      <c r="EIQ30" s="27"/>
      <c r="EIR30" s="27"/>
      <c r="EIS30" s="27"/>
      <c r="EIT30" s="27"/>
      <c r="EIU30" s="27"/>
      <c r="EIV30" s="27"/>
      <c r="EIW30" s="27"/>
      <c r="EIX30" s="27"/>
      <c r="EIY30" s="27"/>
      <c r="EIZ30" s="27"/>
      <c r="EJA30" s="27"/>
      <c r="EJB30" s="27"/>
      <c r="EJC30" s="27"/>
      <c r="EJD30" s="27"/>
      <c r="EJE30" s="27"/>
      <c r="EJF30" s="27"/>
      <c r="EJG30" s="27"/>
      <c r="EJH30" s="27"/>
      <c r="EJI30" s="27"/>
      <c r="EJJ30" s="27"/>
      <c r="EJK30" s="27"/>
      <c r="EJL30" s="27"/>
      <c r="EJM30" s="27"/>
      <c r="EJN30" s="27"/>
      <c r="EJO30" s="27"/>
      <c r="EJP30" s="27"/>
      <c r="EJQ30" s="27"/>
      <c r="EJR30" s="27"/>
      <c r="EJS30" s="27"/>
      <c r="EJT30" s="27"/>
      <c r="EJU30" s="27"/>
      <c r="EJV30" s="27"/>
      <c r="EJW30" s="27"/>
      <c r="EJX30" s="27"/>
      <c r="EJY30" s="27"/>
      <c r="EJZ30" s="27"/>
      <c r="EKA30" s="27"/>
      <c r="EKB30" s="27"/>
      <c r="EKC30" s="27"/>
      <c r="EKD30" s="27"/>
      <c r="EKE30" s="27"/>
      <c r="EKF30" s="27"/>
      <c r="EKG30" s="27"/>
      <c r="EKH30" s="27"/>
      <c r="EKI30" s="27"/>
      <c r="EKJ30" s="27"/>
      <c r="EKK30" s="27"/>
      <c r="EKL30" s="27"/>
      <c r="EKM30" s="27"/>
      <c r="EKN30" s="27"/>
      <c r="EKO30" s="27"/>
      <c r="EKP30" s="27"/>
      <c r="EKQ30" s="27"/>
      <c r="EKR30" s="27"/>
      <c r="EKS30" s="27"/>
      <c r="EKT30" s="27"/>
      <c r="EKU30" s="27"/>
      <c r="EKV30" s="27"/>
      <c r="EKW30" s="27"/>
      <c r="EKX30" s="27"/>
      <c r="EKY30" s="27"/>
      <c r="EKZ30" s="27"/>
      <c r="ELA30" s="27"/>
      <c r="ELB30" s="27"/>
      <c r="ELC30" s="27"/>
      <c r="ELD30" s="27"/>
      <c r="ELE30" s="27"/>
      <c r="ELF30" s="27"/>
      <c r="ELG30" s="27"/>
      <c r="ELH30" s="27"/>
      <c r="ELI30" s="27"/>
      <c r="ELJ30" s="27"/>
      <c r="ELK30" s="27"/>
      <c r="ELL30" s="27"/>
      <c r="ELM30" s="27"/>
      <c r="ELN30" s="27"/>
      <c r="ELO30" s="27"/>
      <c r="ELP30" s="27"/>
      <c r="ELQ30" s="27"/>
      <c r="ELR30" s="27"/>
      <c r="ELS30" s="27"/>
      <c r="ELT30" s="27"/>
      <c r="ELU30" s="27"/>
      <c r="ELV30" s="27"/>
      <c r="ELW30" s="27"/>
      <c r="ELX30" s="27"/>
      <c r="ELY30" s="27"/>
      <c r="ELZ30" s="27"/>
      <c r="EMA30" s="27"/>
      <c r="EMB30" s="27"/>
      <c r="EMC30" s="27"/>
      <c r="EMD30" s="27"/>
      <c r="EME30" s="27"/>
      <c r="EMF30" s="27"/>
      <c r="EMG30" s="27"/>
      <c r="EMH30" s="27"/>
      <c r="EMI30" s="27"/>
      <c r="EMJ30" s="27"/>
      <c r="EMK30" s="27"/>
      <c r="EML30" s="27"/>
      <c r="EMM30" s="27"/>
      <c r="EMN30" s="27"/>
      <c r="EMO30" s="27"/>
      <c r="EMP30" s="27"/>
      <c r="EMQ30" s="27"/>
      <c r="EMR30" s="27"/>
      <c r="EMS30" s="27"/>
      <c r="EMT30" s="27"/>
      <c r="EMU30" s="27"/>
      <c r="EMV30" s="27"/>
      <c r="EMW30" s="27"/>
      <c r="EMX30" s="27"/>
      <c r="EMY30" s="27"/>
      <c r="EMZ30" s="27"/>
      <c r="ENA30" s="27"/>
      <c r="ENB30" s="27"/>
      <c r="ENC30" s="27"/>
      <c r="END30" s="27"/>
      <c r="ENE30" s="27"/>
      <c r="ENF30" s="27"/>
      <c r="ENG30" s="27"/>
      <c r="ENH30" s="27"/>
      <c r="ENI30" s="27"/>
      <c r="ENJ30" s="27"/>
      <c r="ENK30" s="27"/>
      <c r="ENL30" s="27"/>
      <c r="ENM30" s="27"/>
      <c r="ENN30" s="27"/>
      <c r="ENO30" s="27"/>
      <c r="ENP30" s="27"/>
      <c r="ENQ30" s="27"/>
      <c r="ENR30" s="27"/>
      <c r="ENS30" s="27"/>
      <c r="ENT30" s="27"/>
      <c r="ENU30" s="27"/>
      <c r="ENV30" s="27"/>
      <c r="ENW30" s="27"/>
      <c r="ENX30" s="27"/>
      <c r="ENY30" s="27"/>
      <c r="ENZ30" s="27"/>
      <c r="EOA30" s="27"/>
      <c r="EOB30" s="27"/>
      <c r="EOC30" s="27"/>
      <c r="EOD30" s="27"/>
      <c r="EOE30" s="27"/>
      <c r="EOF30" s="27"/>
      <c r="EOG30" s="27"/>
      <c r="EOH30" s="27"/>
      <c r="EOI30" s="27"/>
      <c r="EOJ30" s="27"/>
      <c r="EOK30" s="27"/>
      <c r="EOL30" s="27"/>
      <c r="EOM30" s="27"/>
      <c r="EON30" s="27"/>
      <c r="EOO30" s="27"/>
      <c r="EOP30" s="27"/>
      <c r="EOQ30" s="27"/>
      <c r="EOR30" s="27"/>
      <c r="EOS30" s="27"/>
      <c r="EOT30" s="27"/>
      <c r="EOU30" s="27"/>
      <c r="EOV30" s="27"/>
      <c r="EOW30" s="27"/>
      <c r="EOX30" s="27"/>
      <c r="EOY30" s="27"/>
      <c r="EOZ30" s="27"/>
      <c r="EPA30" s="27"/>
      <c r="EPB30" s="27"/>
      <c r="EPC30" s="27"/>
      <c r="EPD30" s="27"/>
      <c r="EPE30" s="27"/>
      <c r="EPF30" s="27"/>
      <c r="EPG30" s="27"/>
      <c r="EPH30" s="27"/>
      <c r="EPI30" s="27"/>
      <c r="EPJ30" s="27"/>
      <c r="EPK30" s="27"/>
      <c r="EPL30" s="27"/>
      <c r="EPM30" s="27"/>
      <c r="EPN30" s="27"/>
      <c r="EPO30" s="27"/>
      <c r="EPP30" s="27"/>
      <c r="EPQ30" s="27"/>
      <c r="EPR30" s="27"/>
      <c r="EPS30" s="27"/>
      <c r="EPT30" s="27"/>
      <c r="EPU30" s="27"/>
      <c r="EPV30" s="27"/>
      <c r="EPW30" s="27"/>
      <c r="EPX30" s="27"/>
      <c r="EPY30" s="27"/>
      <c r="EPZ30" s="27"/>
      <c r="EQA30" s="27"/>
      <c r="EQB30" s="27"/>
      <c r="EQC30" s="27"/>
      <c r="EQD30" s="27"/>
      <c r="EQE30" s="27"/>
      <c r="EQF30" s="27"/>
      <c r="EQG30" s="27"/>
      <c r="EQH30" s="27"/>
      <c r="EQI30" s="27"/>
      <c r="EQJ30" s="27"/>
      <c r="EQK30" s="27"/>
      <c r="EQL30" s="27"/>
      <c r="EQM30" s="27"/>
      <c r="EQN30" s="27"/>
      <c r="EQO30" s="27"/>
      <c r="EQP30" s="27"/>
      <c r="EQQ30" s="27"/>
      <c r="EQR30" s="27"/>
      <c r="EQS30" s="27"/>
      <c r="EQT30" s="27"/>
      <c r="EQU30" s="27"/>
      <c r="EQV30" s="27"/>
      <c r="EQW30" s="27"/>
      <c r="EQX30" s="27"/>
      <c r="EQY30" s="27"/>
      <c r="EQZ30" s="27"/>
      <c r="ERA30" s="27"/>
      <c r="ERB30" s="27"/>
      <c r="ERC30" s="27"/>
      <c r="ERD30" s="27"/>
      <c r="ERE30" s="27"/>
      <c r="ERF30" s="27"/>
      <c r="ERG30" s="27"/>
      <c r="ERH30" s="27"/>
      <c r="ERI30" s="27"/>
      <c r="ERJ30" s="27"/>
      <c r="ERK30" s="27"/>
      <c r="ERL30" s="27"/>
      <c r="ERM30" s="27"/>
      <c r="ERN30" s="27"/>
      <c r="ERO30" s="27"/>
      <c r="ERP30" s="27"/>
      <c r="ERQ30" s="27"/>
      <c r="ERR30" s="27"/>
      <c r="ERS30" s="27"/>
      <c r="ERT30" s="27"/>
      <c r="ERU30" s="27"/>
      <c r="ERV30" s="27"/>
      <c r="ERW30" s="27"/>
      <c r="ERX30" s="27"/>
      <c r="ERY30" s="27"/>
      <c r="ERZ30" s="27"/>
      <c r="ESA30" s="27"/>
      <c r="ESB30" s="27"/>
      <c r="ESC30" s="27"/>
      <c r="ESD30" s="27"/>
      <c r="ESE30" s="27"/>
      <c r="ESF30" s="27"/>
      <c r="ESG30" s="27"/>
      <c r="ESH30" s="27"/>
      <c r="ESI30" s="27"/>
      <c r="ESJ30" s="27"/>
      <c r="ESK30" s="27"/>
      <c r="ESL30" s="27"/>
      <c r="ESM30" s="27"/>
      <c r="ESN30" s="27"/>
      <c r="ESO30" s="27"/>
      <c r="ESP30" s="27"/>
      <c r="ESQ30" s="27"/>
      <c r="ESR30" s="27"/>
      <c r="ESS30" s="27"/>
      <c r="EST30" s="27"/>
      <c r="ESU30" s="27"/>
      <c r="ESV30" s="27"/>
      <c r="ESW30" s="27"/>
      <c r="ESX30" s="27"/>
      <c r="ESY30" s="27"/>
      <c r="ESZ30" s="27"/>
      <c r="ETA30" s="27"/>
      <c r="ETB30" s="27"/>
      <c r="ETC30" s="27"/>
      <c r="ETD30" s="27"/>
      <c r="ETE30" s="27"/>
      <c r="ETF30" s="27"/>
      <c r="ETG30" s="27"/>
      <c r="ETH30" s="27"/>
      <c r="ETI30" s="27"/>
      <c r="ETJ30" s="27"/>
      <c r="ETK30" s="27"/>
      <c r="ETL30" s="27"/>
      <c r="ETM30" s="27"/>
      <c r="ETN30" s="27"/>
      <c r="ETO30" s="27"/>
      <c r="ETP30" s="27"/>
      <c r="ETQ30" s="27"/>
      <c r="ETR30" s="27"/>
      <c r="ETS30" s="27"/>
      <c r="ETT30" s="27"/>
      <c r="ETU30" s="27"/>
      <c r="ETV30" s="27"/>
      <c r="ETW30" s="27"/>
      <c r="ETX30" s="27"/>
      <c r="ETY30" s="27"/>
      <c r="ETZ30" s="27"/>
      <c r="EUA30" s="27"/>
      <c r="EUB30" s="27"/>
      <c r="EUC30" s="27"/>
      <c r="EUD30" s="27"/>
      <c r="EUE30" s="27"/>
      <c r="EUF30" s="27"/>
      <c r="EUG30" s="27"/>
      <c r="EUH30" s="27"/>
      <c r="EUI30" s="27"/>
      <c r="EUJ30" s="27"/>
      <c r="EUK30" s="27"/>
      <c r="EUL30" s="27"/>
      <c r="EUM30" s="27"/>
      <c r="EUN30" s="27"/>
      <c r="EUO30" s="27"/>
      <c r="EUP30" s="27"/>
      <c r="EUQ30" s="27"/>
      <c r="EUR30" s="27"/>
      <c r="EUS30" s="27"/>
      <c r="EUT30" s="27"/>
      <c r="EUU30" s="27"/>
      <c r="EUV30" s="27"/>
      <c r="EUW30" s="27"/>
      <c r="EUX30" s="27"/>
      <c r="EUY30" s="27"/>
      <c r="EUZ30" s="27"/>
      <c r="EVA30" s="27"/>
      <c r="EVB30" s="27"/>
      <c r="EVC30" s="27"/>
      <c r="EVD30" s="27"/>
      <c r="EVE30" s="27"/>
      <c r="EVF30" s="27"/>
      <c r="EVG30" s="27"/>
      <c r="EVH30" s="27"/>
      <c r="EVI30" s="27"/>
      <c r="EVJ30" s="27"/>
      <c r="EVK30" s="27"/>
      <c r="EVL30" s="27"/>
      <c r="EVM30" s="27"/>
      <c r="EVN30" s="27"/>
      <c r="EVO30" s="27"/>
      <c r="EVP30" s="27"/>
      <c r="EVQ30" s="27"/>
      <c r="EVR30" s="27"/>
      <c r="EVS30" s="27"/>
      <c r="EVT30" s="27"/>
      <c r="EVU30" s="27"/>
      <c r="EVV30" s="27"/>
      <c r="EVW30" s="27"/>
      <c r="EVX30" s="27"/>
      <c r="EVY30" s="27"/>
      <c r="EVZ30" s="27"/>
      <c r="EWA30" s="27"/>
      <c r="EWB30" s="27"/>
      <c r="EWC30" s="27"/>
      <c r="EWD30" s="27"/>
      <c r="EWE30" s="27"/>
      <c r="EWF30" s="27"/>
      <c r="EWG30" s="27"/>
      <c r="EWH30" s="27"/>
      <c r="EWI30" s="27"/>
      <c r="EWJ30" s="27"/>
      <c r="EWK30" s="27"/>
      <c r="EWL30" s="27"/>
      <c r="EWM30" s="27"/>
      <c r="EWN30" s="27"/>
      <c r="EWO30" s="27"/>
      <c r="EWP30" s="27"/>
      <c r="EWQ30" s="27"/>
      <c r="EWR30" s="27"/>
      <c r="EWS30" s="27"/>
      <c r="EWT30" s="27"/>
      <c r="EWU30" s="27"/>
      <c r="EWV30" s="27"/>
      <c r="EWW30" s="27"/>
      <c r="EWX30" s="27"/>
      <c r="EWY30" s="27"/>
      <c r="EWZ30" s="27"/>
      <c r="EXA30" s="27"/>
      <c r="EXB30" s="27"/>
      <c r="EXC30" s="27"/>
      <c r="EXD30" s="27"/>
      <c r="EXE30" s="27"/>
      <c r="EXF30" s="27"/>
      <c r="EXG30" s="27"/>
      <c r="EXH30" s="27"/>
      <c r="EXI30" s="27"/>
      <c r="EXJ30" s="27"/>
      <c r="EXK30" s="27"/>
      <c r="EXL30" s="27"/>
      <c r="EXM30" s="27"/>
      <c r="EXN30" s="27"/>
      <c r="EXO30" s="27"/>
      <c r="EXP30" s="27"/>
      <c r="EXQ30" s="27"/>
      <c r="EXR30" s="27"/>
      <c r="EXS30" s="27"/>
      <c r="EXT30" s="27"/>
      <c r="EXU30" s="27"/>
      <c r="EXV30" s="27"/>
      <c r="EXW30" s="27"/>
      <c r="EXX30" s="27"/>
      <c r="EXY30" s="27"/>
      <c r="EXZ30" s="27"/>
      <c r="EYA30" s="27"/>
      <c r="EYB30" s="27"/>
      <c r="EYC30" s="27"/>
      <c r="EYD30" s="27"/>
      <c r="EYE30" s="27"/>
      <c r="EYF30" s="27"/>
      <c r="EYG30" s="27"/>
      <c r="EYH30" s="27"/>
      <c r="EYI30" s="27"/>
      <c r="EYJ30" s="27"/>
      <c r="EYK30" s="27"/>
      <c r="EYL30" s="27"/>
      <c r="EYM30" s="27"/>
      <c r="EYN30" s="27"/>
      <c r="EYO30" s="27"/>
      <c r="EYP30" s="27"/>
      <c r="EYQ30" s="27"/>
      <c r="EYR30" s="27"/>
      <c r="EYS30" s="27"/>
      <c r="EYT30" s="27"/>
      <c r="EYU30" s="27"/>
      <c r="EYV30" s="27"/>
      <c r="EYW30" s="27"/>
      <c r="EYX30" s="27"/>
      <c r="EYY30" s="27"/>
      <c r="EYZ30" s="27"/>
      <c r="EZA30" s="27"/>
      <c r="EZB30" s="27"/>
      <c r="EZC30" s="27"/>
      <c r="EZD30" s="27"/>
      <c r="EZE30" s="27"/>
      <c r="EZF30" s="27"/>
      <c r="EZG30" s="27"/>
      <c r="EZH30" s="27"/>
      <c r="EZI30" s="27"/>
      <c r="EZJ30" s="27"/>
      <c r="EZK30" s="27"/>
      <c r="EZL30" s="27"/>
      <c r="EZM30" s="27"/>
      <c r="EZN30" s="27"/>
      <c r="EZO30" s="27"/>
      <c r="EZP30" s="27"/>
      <c r="EZQ30" s="27"/>
      <c r="EZR30" s="27"/>
      <c r="EZS30" s="27"/>
      <c r="EZT30" s="27"/>
      <c r="EZU30" s="27"/>
      <c r="EZV30" s="27"/>
      <c r="EZW30" s="27"/>
      <c r="EZX30" s="27"/>
      <c r="EZY30" s="27"/>
      <c r="EZZ30" s="27"/>
      <c r="FAA30" s="27"/>
      <c r="FAB30" s="27"/>
      <c r="FAC30" s="27"/>
      <c r="FAD30" s="27"/>
      <c r="FAE30" s="27"/>
      <c r="FAF30" s="27"/>
      <c r="FAG30" s="27"/>
      <c r="FAH30" s="27"/>
      <c r="FAI30" s="27"/>
      <c r="FAJ30" s="27"/>
      <c r="FAK30" s="27"/>
      <c r="FAL30" s="27"/>
      <c r="FAM30" s="27"/>
      <c r="FAN30" s="27"/>
      <c r="FAO30" s="27"/>
      <c r="FAP30" s="27"/>
      <c r="FAQ30" s="27"/>
      <c r="FAR30" s="27"/>
      <c r="FAS30" s="27"/>
      <c r="FAT30" s="27"/>
      <c r="FAU30" s="27"/>
      <c r="FAV30" s="27"/>
      <c r="FAW30" s="27"/>
      <c r="FAX30" s="27"/>
      <c r="FAY30" s="27"/>
      <c r="FAZ30" s="27"/>
      <c r="FBA30" s="27"/>
      <c r="FBB30" s="27"/>
      <c r="FBC30" s="27"/>
      <c r="FBD30" s="27"/>
      <c r="FBE30" s="27"/>
      <c r="FBF30" s="27"/>
      <c r="FBG30" s="27"/>
      <c r="FBH30" s="27"/>
      <c r="FBI30" s="27"/>
      <c r="FBJ30" s="27"/>
      <c r="FBK30" s="27"/>
      <c r="FBL30" s="27"/>
      <c r="FBM30" s="27"/>
      <c r="FBN30" s="27"/>
      <c r="FBO30" s="27"/>
      <c r="FBP30" s="27"/>
      <c r="FBQ30" s="27"/>
      <c r="FBR30" s="27"/>
      <c r="FBS30" s="27"/>
      <c r="FBT30" s="27"/>
      <c r="FBU30" s="27"/>
      <c r="FBV30" s="27"/>
      <c r="FBW30" s="27"/>
      <c r="FBX30" s="27"/>
      <c r="FBY30" s="27"/>
      <c r="FBZ30" s="27"/>
      <c r="FCA30" s="27"/>
      <c r="FCB30" s="27"/>
      <c r="FCC30" s="27"/>
      <c r="FCD30" s="27"/>
      <c r="FCE30" s="27"/>
      <c r="FCF30" s="27"/>
      <c r="FCG30" s="27"/>
      <c r="FCH30" s="27"/>
      <c r="FCI30" s="27"/>
      <c r="FCJ30" s="27"/>
      <c r="FCK30" s="27"/>
      <c r="FCL30" s="27"/>
      <c r="FCM30" s="27"/>
      <c r="FCN30" s="27"/>
      <c r="FCO30" s="27"/>
      <c r="FCP30" s="27"/>
      <c r="FCQ30" s="27"/>
      <c r="FCR30" s="27"/>
      <c r="FCS30" s="27"/>
      <c r="FCT30" s="27"/>
      <c r="FCU30" s="27"/>
      <c r="FCV30" s="27"/>
      <c r="FCW30" s="27"/>
      <c r="FCX30" s="27"/>
      <c r="FCY30" s="27"/>
      <c r="FCZ30" s="27"/>
      <c r="FDA30" s="27"/>
      <c r="FDB30" s="27"/>
      <c r="FDC30" s="27"/>
      <c r="FDD30" s="27"/>
      <c r="FDE30" s="27"/>
      <c r="FDF30" s="27"/>
      <c r="FDG30" s="27"/>
      <c r="FDH30" s="27"/>
      <c r="FDI30" s="27"/>
      <c r="FDJ30" s="27"/>
      <c r="FDK30" s="27"/>
      <c r="FDL30" s="27"/>
      <c r="FDM30" s="27"/>
      <c r="FDN30" s="27"/>
      <c r="FDO30" s="27"/>
      <c r="FDP30" s="27"/>
      <c r="FDQ30" s="27"/>
      <c r="FDR30" s="27"/>
      <c r="FDS30" s="27"/>
      <c r="FDT30" s="27"/>
      <c r="FDU30" s="27"/>
      <c r="FDV30" s="27"/>
      <c r="FDW30" s="27"/>
      <c r="FDX30" s="27"/>
      <c r="FDY30" s="27"/>
      <c r="FDZ30" s="27"/>
      <c r="FEA30" s="27"/>
      <c r="FEB30" s="27"/>
      <c r="FEC30" s="27"/>
      <c r="FED30" s="27"/>
      <c r="FEE30" s="27"/>
      <c r="FEF30" s="27"/>
      <c r="FEG30" s="27"/>
      <c r="FEH30" s="27"/>
      <c r="FEI30" s="27"/>
      <c r="FEJ30" s="27"/>
      <c r="FEK30" s="27"/>
      <c r="FEL30" s="27"/>
      <c r="FEM30" s="27"/>
      <c r="FEN30" s="27"/>
      <c r="FEO30" s="27"/>
      <c r="FEP30" s="27"/>
      <c r="FEQ30" s="27"/>
      <c r="FER30" s="27"/>
      <c r="FES30" s="27"/>
      <c r="FET30" s="27"/>
      <c r="FEU30" s="27"/>
      <c r="FEV30" s="27"/>
      <c r="FEW30" s="27"/>
      <c r="FEX30" s="27"/>
      <c r="FEY30" s="27"/>
      <c r="FEZ30" s="27"/>
      <c r="FFA30" s="27"/>
      <c r="FFB30" s="27"/>
      <c r="FFC30" s="27"/>
      <c r="FFD30" s="27"/>
      <c r="FFE30" s="27"/>
      <c r="FFF30" s="27"/>
      <c r="FFG30" s="27"/>
      <c r="FFH30" s="27"/>
      <c r="FFI30" s="27"/>
      <c r="FFJ30" s="27"/>
      <c r="FFK30" s="27"/>
      <c r="FFL30" s="27"/>
      <c r="FFM30" s="27"/>
      <c r="FFN30" s="27"/>
      <c r="FFO30" s="27"/>
      <c r="FFP30" s="27"/>
      <c r="FFQ30" s="27"/>
      <c r="FFR30" s="27"/>
      <c r="FFS30" s="27"/>
      <c r="FFT30" s="27"/>
      <c r="FFU30" s="27"/>
      <c r="FFV30" s="27"/>
      <c r="FFW30" s="27"/>
      <c r="FFX30" s="27"/>
      <c r="FFY30" s="27"/>
      <c r="FFZ30" s="27"/>
      <c r="FGA30" s="27"/>
      <c r="FGB30" s="27"/>
      <c r="FGC30" s="27"/>
      <c r="FGD30" s="27"/>
      <c r="FGE30" s="27"/>
      <c r="FGF30" s="27"/>
      <c r="FGG30" s="27"/>
      <c r="FGH30" s="27"/>
      <c r="FGI30" s="27"/>
      <c r="FGJ30" s="27"/>
      <c r="FGK30" s="27"/>
      <c r="FGL30" s="27"/>
      <c r="FGM30" s="27"/>
      <c r="FGN30" s="27"/>
      <c r="FGO30" s="27"/>
      <c r="FGP30" s="27"/>
      <c r="FGQ30" s="27"/>
      <c r="FGR30" s="27"/>
      <c r="FGS30" s="27"/>
      <c r="FGT30" s="27"/>
      <c r="FGU30" s="27"/>
      <c r="FGV30" s="27"/>
      <c r="FGW30" s="27"/>
      <c r="FGX30" s="27"/>
      <c r="FGY30" s="27"/>
      <c r="FGZ30" s="27"/>
      <c r="FHA30" s="27"/>
      <c r="FHB30" s="27"/>
      <c r="FHC30" s="27"/>
      <c r="FHD30" s="27"/>
      <c r="FHE30" s="27"/>
      <c r="FHF30" s="27"/>
      <c r="FHG30" s="27"/>
      <c r="FHH30" s="27"/>
      <c r="FHI30" s="27"/>
      <c r="FHJ30" s="27"/>
      <c r="FHK30" s="27"/>
      <c r="FHL30" s="27"/>
      <c r="FHM30" s="27"/>
      <c r="FHN30" s="27"/>
      <c r="FHO30" s="27"/>
      <c r="FHP30" s="27"/>
      <c r="FHQ30" s="27"/>
      <c r="FHR30" s="27"/>
      <c r="FHS30" s="27"/>
      <c r="FHT30" s="27"/>
      <c r="FHU30" s="27"/>
      <c r="FHV30" s="27"/>
      <c r="FHW30" s="27"/>
      <c r="FHX30" s="27"/>
      <c r="FHY30" s="27"/>
      <c r="FHZ30" s="27"/>
      <c r="FIA30" s="27"/>
      <c r="FIB30" s="27"/>
      <c r="FIC30" s="27"/>
      <c r="FID30" s="27"/>
      <c r="FIE30" s="27"/>
      <c r="FIF30" s="27"/>
      <c r="FIG30" s="27"/>
      <c r="FIH30" s="27"/>
      <c r="FII30" s="27"/>
      <c r="FIJ30" s="27"/>
      <c r="FIK30" s="27"/>
      <c r="FIL30" s="27"/>
      <c r="FIM30" s="27"/>
      <c r="FIN30" s="27"/>
      <c r="FIO30" s="27"/>
      <c r="FIP30" s="27"/>
      <c r="FIQ30" s="27"/>
      <c r="FIR30" s="27"/>
      <c r="FIS30" s="27"/>
      <c r="FIT30" s="27"/>
      <c r="FIU30" s="27"/>
      <c r="FIV30" s="27"/>
      <c r="FIW30" s="27"/>
      <c r="FIX30" s="27"/>
      <c r="FIY30" s="27"/>
      <c r="FIZ30" s="27"/>
      <c r="FJA30" s="27"/>
      <c r="FJB30" s="27"/>
      <c r="FJC30" s="27"/>
      <c r="FJD30" s="27"/>
      <c r="FJE30" s="27"/>
      <c r="FJF30" s="27"/>
      <c r="FJG30" s="27"/>
      <c r="FJH30" s="27"/>
      <c r="FJI30" s="27"/>
      <c r="FJJ30" s="27"/>
      <c r="FJK30" s="27"/>
      <c r="FJL30" s="27"/>
      <c r="FJM30" s="27"/>
      <c r="FJN30" s="27"/>
      <c r="FJO30" s="27"/>
      <c r="FJP30" s="27"/>
      <c r="FJQ30" s="27"/>
      <c r="FJR30" s="27"/>
      <c r="FJS30" s="27"/>
      <c r="FJT30" s="27"/>
      <c r="FJU30" s="27"/>
      <c r="FJV30" s="27"/>
      <c r="FJW30" s="27"/>
      <c r="FJX30" s="27"/>
      <c r="FJY30" s="27"/>
      <c r="FJZ30" s="27"/>
      <c r="FKA30" s="27"/>
      <c r="FKB30" s="27"/>
      <c r="FKC30" s="27"/>
      <c r="FKD30" s="27"/>
      <c r="FKE30" s="27"/>
      <c r="FKF30" s="27"/>
      <c r="FKG30" s="27"/>
      <c r="FKH30" s="27"/>
      <c r="FKI30" s="27"/>
      <c r="FKJ30" s="27"/>
      <c r="FKK30" s="27"/>
      <c r="FKL30" s="27"/>
      <c r="FKM30" s="27"/>
      <c r="FKN30" s="27"/>
      <c r="FKO30" s="27"/>
      <c r="FKP30" s="27"/>
      <c r="FKQ30" s="27"/>
      <c r="FKR30" s="27"/>
      <c r="FKS30" s="27"/>
      <c r="FKT30" s="27"/>
      <c r="FKU30" s="27"/>
      <c r="FKV30" s="27"/>
      <c r="FKW30" s="27"/>
      <c r="FKX30" s="27"/>
      <c r="FKY30" s="27"/>
      <c r="FKZ30" s="27"/>
      <c r="FLA30" s="27"/>
      <c r="FLB30" s="27"/>
      <c r="FLC30" s="27"/>
      <c r="FLD30" s="27"/>
      <c r="FLE30" s="27"/>
      <c r="FLF30" s="27"/>
      <c r="FLG30" s="27"/>
      <c r="FLH30" s="27"/>
      <c r="FLI30" s="27"/>
      <c r="FLJ30" s="27"/>
      <c r="FLK30" s="27"/>
      <c r="FLL30" s="27"/>
      <c r="FLM30" s="27"/>
      <c r="FLN30" s="27"/>
      <c r="FLO30" s="27"/>
      <c r="FLP30" s="27"/>
      <c r="FLQ30" s="27"/>
      <c r="FLR30" s="27"/>
      <c r="FLS30" s="27"/>
      <c r="FLT30" s="27"/>
      <c r="FLU30" s="27"/>
      <c r="FLV30" s="27"/>
      <c r="FLW30" s="27"/>
      <c r="FLX30" s="27"/>
      <c r="FLY30" s="27"/>
      <c r="FLZ30" s="27"/>
      <c r="FMA30" s="27"/>
      <c r="FMB30" s="27"/>
      <c r="FMC30" s="27"/>
      <c r="FMD30" s="27"/>
      <c r="FME30" s="27"/>
      <c r="FMF30" s="27"/>
      <c r="FMG30" s="27"/>
      <c r="FMH30" s="27"/>
      <c r="FMI30" s="27"/>
      <c r="FMJ30" s="27"/>
      <c r="FMK30" s="27"/>
      <c r="FML30" s="27"/>
      <c r="FMM30" s="27"/>
      <c r="FMN30" s="27"/>
      <c r="FMO30" s="27"/>
      <c r="FMP30" s="27"/>
      <c r="FMQ30" s="27"/>
      <c r="FMR30" s="27"/>
      <c r="FMS30" s="27"/>
      <c r="FMT30" s="27"/>
      <c r="FMU30" s="27"/>
      <c r="FMV30" s="27"/>
      <c r="FMW30" s="27"/>
      <c r="FMX30" s="27"/>
      <c r="FMY30" s="27"/>
      <c r="FMZ30" s="27"/>
      <c r="FNA30" s="27"/>
      <c r="FNB30" s="27"/>
      <c r="FNC30" s="27"/>
      <c r="FND30" s="27"/>
      <c r="FNE30" s="27"/>
      <c r="FNF30" s="27"/>
      <c r="FNG30" s="27"/>
      <c r="FNH30" s="27"/>
      <c r="FNI30" s="27"/>
      <c r="FNJ30" s="27"/>
      <c r="FNK30" s="27"/>
      <c r="FNL30" s="27"/>
      <c r="FNM30" s="27"/>
      <c r="FNN30" s="27"/>
      <c r="FNO30" s="27"/>
      <c r="FNP30" s="27"/>
      <c r="FNQ30" s="27"/>
      <c r="FNR30" s="27"/>
      <c r="FNS30" s="27"/>
      <c r="FNT30" s="27"/>
      <c r="FNU30" s="27"/>
      <c r="FNV30" s="27"/>
      <c r="FNW30" s="27"/>
      <c r="FNX30" s="27"/>
      <c r="FNY30" s="27"/>
      <c r="FNZ30" s="27"/>
      <c r="FOA30" s="27"/>
      <c r="FOB30" s="27"/>
      <c r="FOC30" s="27"/>
      <c r="FOD30" s="27"/>
      <c r="FOE30" s="27"/>
      <c r="FOF30" s="27"/>
      <c r="FOG30" s="27"/>
      <c r="FOH30" s="27"/>
      <c r="FOI30" s="27"/>
      <c r="FOJ30" s="27"/>
      <c r="FOK30" s="27"/>
      <c r="FOL30" s="27"/>
      <c r="FOM30" s="27"/>
      <c r="FON30" s="27"/>
      <c r="FOO30" s="27"/>
      <c r="FOP30" s="27"/>
      <c r="FOQ30" s="27"/>
      <c r="FOR30" s="27"/>
      <c r="FOS30" s="27"/>
      <c r="FOT30" s="27"/>
      <c r="FOU30" s="27"/>
      <c r="FOV30" s="27"/>
      <c r="FOW30" s="27"/>
      <c r="FOX30" s="27"/>
      <c r="FOY30" s="27"/>
      <c r="FOZ30" s="27"/>
      <c r="FPA30" s="27"/>
      <c r="FPB30" s="27"/>
      <c r="FPC30" s="27"/>
      <c r="FPD30" s="27"/>
      <c r="FPE30" s="27"/>
      <c r="FPF30" s="27"/>
      <c r="FPG30" s="27"/>
      <c r="FPH30" s="27"/>
      <c r="FPI30" s="27"/>
      <c r="FPJ30" s="27"/>
      <c r="FPK30" s="27"/>
      <c r="FPL30" s="27"/>
      <c r="FPM30" s="27"/>
      <c r="FPN30" s="27"/>
      <c r="FPO30" s="27"/>
      <c r="FPP30" s="27"/>
      <c r="FPQ30" s="27"/>
      <c r="FPR30" s="27"/>
      <c r="FPS30" s="27"/>
      <c r="FPT30" s="27"/>
      <c r="FPU30" s="27"/>
      <c r="FPV30" s="27"/>
      <c r="FPW30" s="27"/>
      <c r="FPX30" s="27"/>
      <c r="FPY30" s="27"/>
      <c r="FPZ30" s="27"/>
      <c r="FQA30" s="27"/>
      <c r="FQB30" s="27"/>
      <c r="FQC30" s="27"/>
      <c r="FQD30" s="27"/>
      <c r="FQE30" s="27"/>
      <c r="FQF30" s="27"/>
      <c r="FQG30" s="27"/>
      <c r="FQH30" s="27"/>
      <c r="FQI30" s="27"/>
      <c r="FQJ30" s="27"/>
      <c r="FQK30" s="27"/>
      <c r="FQL30" s="27"/>
      <c r="FQM30" s="27"/>
      <c r="FQN30" s="27"/>
      <c r="FQO30" s="27"/>
      <c r="FQP30" s="27"/>
      <c r="FQQ30" s="27"/>
      <c r="FQR30" s="27"/>
      <c r="FQS30" s="27"/>
      <c r="FQT30" s="27"/>
      <c r="FQU30" s="27"/>
      <c r="FQV30" s="27"/>
      <c r="FQW30" s="27"/>
      <c r="FQX30" s="27"/>
      <c r="FQY30" s="27"/>
      <c r="FQZ30" s="27"/>
      <c r="FRA30" s="27"/>
      <c r="FRB30" s="27"/>
      <c r="FRC30" s="27"/>
      <c r="FRD30" s="27"/>
      <c r="FRE30" s="27"/>
      <c r="FRF30" s="27"/>
      <c r="FRG30" s="27"/>
      <c r="FRH30" s="27"/>
      <c r="FRI30" s="27"/>
      <c r="FRJ30" s="27"/>
      <c r="FRK30" s="27"/>
      <c r="FRL30" s="27"/>
      <c r="FRM30" s="27"/>
      <c r="FRN30" s="27"/>
      <c r="FRO30" s="27"/>
      <c r="FRP30" s="27"/>
      <c r="FRQ30" s="27"/>
      <c r="FRR30" s="27"/>
      <c r="FRS30" s="27"/>
      <c r="FRT30" s="27"/>
      <c r="FRU30" s="27"/>
      <c r="FRV30" s="27"/>
      <c r="FRW30" s="27"/>
      <c r="FRX30" s="27"/>
      <c r="FRY30" s="27"/>
      <c r="FRZ30" s="27"/>
      <c r="FSA30" s="27"/>
      <c r="FSB30" s="27"/>
      <c r="FSC30" s="27"/>
      <c r="FSD30" s="27"/>
      <c r="FSE30" s="27"/>
      <c r="FSF30" s="27"/>
      <c r="FSG30" s="27"/>
      <c r="FSH30" s="27"/>
      <c r="FSI30" s="27"/>
      <c r="FSJ30" s="27"/>
      <c r="FSK30" s="27"/>
      <c r="FSL30" s="27"/>
      <c r="FSM30" s="27"/>
      <c r="FSN30" s="27"/>
      <c r="FSO30" s="27"/>
      <c r="FSP30" s="27"/>
      <c r="FSQ30" s="27"/>
      <c r="FSR30" s="27"/>
      <c r="FSS30" s="27"/>
      <c r="FST30" s="27"/>
      <c r="FSU30" s="27"/>
      <c r="FSV30" s="27"/>
      <c r="FSW30" s="27"/>
      <c r="FSX30" s="27"/>
      <c r="FSY30" s="27"/>
      <c r="FSZ30" s="27"/>
      <c r="FTA30" s="27"/>
      <c r="FTB30" s="27"/>
      <c r="FTC30" s="27"/>
      <c r="FTD30" s="27"/>
      <c r="FTE30" s="27"/>
      <c r="FTF30" s="27"/>
      <c r="FTG30" s="27"/>
      <c r="FTH30" s="27"/>
      <c r="FTI30" s="27"/>
      <c r="FTJ30" s="27"/>
      <c r="FTK30" s="27"/>
      <c r="FTL30" s="27"/>
      <c r="FTM30" s="27"/>
      <c r="FTN30" s="27"/>
      <c r="FTO30" s="27"/>
      <c r="FTP30" s="27"/>
      <c r="FTQ30" s="27"/>
      <c r="FTR30" s="27"/>
      <c r="FTS30" s="27"/>
      <c r="FTT30" s="27"/>
      <c r="FTU30" s="27"/>
      <c r="FTV30" s="27"/>
      <c r="FTW30" s="27"/>
      <c r="FTX30" s="27"/>
      <c r="FTY30" s="27"/>
      <c r="FTZ30" s="27"/>
      <c r="FUA30" s="27"/>
      <c r="FUB30" s="27"/>
      <c r="FUC30" s="27"/>
      <c r="FUD30" s="27"/>
      <c r="FUE30" s="27"/>
      <c r="FUF30" s="27"/>
      <c r="FUG30" s="27"/>
      <c r="FUH30" s="27"/>
      <c r="FUI30" s="27"/>
      <c r="FUJ30" s="27"/>
      <c r="FUK30" s="27"/>
      <c r="FUL30" s="27"/>
      <c r="FUM30" s="27"/>
      <c r="FUN30" s="27"/>
      <c r="FUO30" s="27"/>
      <c r="FUP30" s="27"/>
      <c r="FUQ30" s="27"/>
      <c r="FUR30" s="27"/>
      <c r="FUS30" s="27"/>
      <c r="FUT30" s="27"/>
      <c r="FUU30" s="27"/>
      <c r="FUV30" s="27"/>
      <c r="FUW30" s="27"/>
      <c r="FUX30" s="27"/>
      <c r="FUY30" s="27"/>
      <c r="FUZ30" s="27"/>
      <c r="FVA30" s="27"/>
      <c r="FVB30" s="27"/>
      <c r="FVC30" s="27"/>
      <c r="FVD30" s="27"/>
      <c r="FVE30" s="27"/>
      <c r="FVF30" s="27"/>
      <c r="FVG30" s="27"/>
      <c r="FVH30" s="27"/>
      <c r="FVI30" s="27"/>
      <c r="FVJ30" s="27"/>
      <c r="FVK30" s="27"/>
      <c r="FVL30" s="27"/>
      <c r="FVM30" s="27"/>
      <c r="FVN30" s="27"/>
      <c r="FVO30" s="27"/>
      <c r="FVP30" s="27"/>
      <c r="FVQ30" s="27"/>
      <c r="FVR30" s="27"/>
      <c r="FVS30" s="27"/>
      <c r="FVT30" s="27"/>
      <c r="FVU30" s="27"/>
      <c r="FVV30" s="27"/>
      <c r="FVW30" s="27"/>
      <c r="FVX30" s="27"/>
      <c r="FVY30" s="27"/>
      <c r="FVZ30" s="27"/>
      <c r="FWA30" s="27"/>
      <c r="FWB30" s="27"/>
      <c r="FWC30" s="27"/>
      <c r="FWD30" s="27"/>
      <c r="FWE30" s="27"/>
      <c r="FWF30" s="27"/>
      <c r="FWG30" s="27"/>
      <c r="FWH30" s="27"/>
      <c r="FWI30" s="27"/>
      <c r="FWJ30" s="27"/>
      <c r="FWK30" s="27"/>
      <c r="FWL30" s="27"/>
      <c r="FWM30" s="27"/>
      <c r="FWN30" s="27"/>
      <c r="FWO30" s="27"/>
      <c r="FWP30" s="27"/>
      <c r="FWQ30" s="27"/>
      <c r="FWR30" s="27"/>
      <c r="FWS30" s="27"/>
      <c r="FWT30" s="27"/>
      <c r="FWU30" s="27"/>
      <c r="FWV30" s="27"/>
      <c r="FWW30" s="27"/>
      <c r="FWX30" s="27"/>
      <c r="FWY30" s="27"/>
      <c r="FWZ30" s="27"/>
      <c r="FXA30" s="27"/>
      <c r="FXB30" s="27"/>
      <c r="FXC30" s="27"/>
      <c r="FXD30" s="27"/>
      <c r="FXE30" s="27"/>
      <c r="FXF30" s="27"/>
      <c r="FXG30" s="27"/>
      <c r="FXH30" s="27"/>
      <c r="FXI30" s="27"/>
      <c r="FXJ30" s="27"/>
      <c r="FXK30" s="27"/>
      <c r="FXL30" s="27"/>
      <c r="FXM30" s="27"/>
      <c r="FXN30" s="27"/>
      <c r="FXO30" s="27"/>
      <c r="FXP30" s="27"/>
      <c r="FXQ30" s="27"/>
      <c r="FXR30" s="27"/>
      <c r="FXS30" s="27"/>
      <c r="FXT30" s="27"/>
      <c r="FXU30" s="27"/>
      <c r="FXV30" s="27"/>
      <c r="FXW30" s="27"/>
      <c r="FXX30" s="27"/>
      <c r="FXY30" s="27"/>
      <c r="FXZ30" s="27"/>
      <c r="FYA30" s="27"/>
      <c r="FYB30" s="27"/>
      <c r="FYC30" s="27"/>
      <c r="FYD30" s="27"/>
      <c r="FYE30" s="27"/>
      <c r="FYF30" s="27"/>
      <c r="FYG30" s="27"/>
      <c r="FYH30" s="27"/>
      <c r="FYI30" s="27"/>
      <c r="FYJ30" s="27"/>
      <c r="FYK30" s="27"/>
      <c r="FYL30" s="27"/>
      <c r="FYM30" s="27"/>
      <c r="FYN30" s="27"/>
      <c r="FYO30" s="27"/>
      <c r="FYP30" s="27"/>
      <c r="FYQ30" s="27"/>
      <c r="FYR30" s="27"/>
      <c r="FYS30" s="27"/>
      <c r="FYT30" s="27"/>
      <c r="FYU30" s="27"/>
      <c r="FYV30" s="27"/>
      <c r="FYW30" s="27"/>
      <c r="FYX30" s="27"/>
      <c r="FYY30" s="27"/>
      <c r="FYZ30" s="27"/>
      <c r="FZA30" s="27"/>
      <c r="FZB30" s="27"/>
      <c r="FZC30" s="27"/>
      <c r="FZD30" s="27"/>
      <c r="FZE30" s="27"/>
      <c r="FZF30" s="27"/>
      <c r="FZG30" s="27"/>
      <c r="FZH30" s="27"/>
      <c r="FZI30" s="27"/>
      <c r="FZJ30" s="27"/>
      <c r="FZK30" s="27"/>
      <c r="FZL30" s="27"/>
      <c r="FZM30" s="27"/>
      <c r="FZN30" s="27"/>
      <c r="FZO30" s="27"/>
      <c r="FZP30" s="27"/>
      <c r="FZQ30" s="27"/>
      <c r="FZR30" s="27"/>
      <c r="FZS30" s="27"/>
      <c r="FZT30" s="27"/>
      <c r="FZU30" s="27"/>
      <c r="FZV30" s="27"/>
      <c r="FZW30" s="27"/>
      <c r="FZX30" s="27"/>
      <c r="FZY30" s="27"/>
      <c r="FZZ30" s="27"/>
      <c r="GAA30" s="27"/>
      <c r="GAB30" s="27"/>
      <c r="GAC30" s="27"/>
      <c r="GAD30" s="27"/>
      <c r="GAE30" s="27"/>
      <c r="GAF30" s="27"/>
      <c r="GAG30" s="27"/>
      <c r="GAH30" s="27"/>
      <c r="GAI30" s="27"/>
      <c r="GAJ30" s="27"/>
      <c r="GAK30" s="27"/>
      <c r="GAL30" s="27"/>
      <c r="GAM30" s="27"/>
      <c r="GAN30" s="27"/>
      <c r="GAO30" s="27"/>
      <c r="GAP30" s="27"/>
      <c r="GAQ30" s="27"/>
      <c r="GAR30" s="27"/>
      <c r="GAS30" s="27"/>
      <c r="GAT30" s="27"/>
      <c r="GAU30" s="27"/>
      <c r="GAV30" s="27"/>
      <c r="GAW30" s="27"/>
      <c r="GAX30" s="27"/>
      <c r="GAY30" s="27"/>
      <c r="GAZ30" s="27"/>
      <c r="GBA30" s="27"/>
      <c r="GBB30" s="27"/>
      <c r="GBC30" s="27"/>
      <c r="GBD30" s="27"/>
      <c r="GBE30" s="27"/>
      <c r="GBF30" s="27"/>
      <c r="GBG30" s="27"/>
      <c r="GBH30" s="27"/>
      <c r="GBI30" s="27"/>
      <c r="GBJ30" s="27"/>
      <c r="GBK30" s="27"/>
      <c r="GBL30" s="27"/>
      <c r="GBM30" s="27"/>
      <c r="GBN30" s="27"/>
      <c r="GBO30" s="27"/>
      <c r="GBP30" s="27"/>
      <c r="GBQ30" s="27"/>
      <c r="GBR30" s="27"/>
      <c r="GBS30" s="27"/>
      <c r="GBT30" s="27"/>
      <c r="GBU30" s="27"/>
      <c r="GBV30" s="27"/>
      <c r="GBW30" s="27"/>
      <c r="GBX30" s="27"/>
      <c r="GBY30" s="27"/>
      <c r="GBZ30" s="27"/>
      <c r="GCA30" s="27"/>
      <c r="GCB30" s="27"/>
      <c r="GCC30" s="27"/>
      <c r="GCD30" s="27"/>
      <c r="GCE30" s="27"/>
      <c r="GCF30" s="27"/>
      <c r="GCG30" s="27"/>
      <c r="GCH30" s="27"/>
      <c r="GCI30" s="27"/>
      <c r="GCJ30" s="27"/>
      <c r="GCK30" s="27"/>
      <c r="GCL30" s="27"/>
      <c r="GCM30" s="27"/>
      <c r="GCN30" s="27"/>
      <c r="GCO30" s="27"/>
      <c r="GCP30" s="27"/>
      <c r="GCQ30" s="27"/>
      <c r="GCR30" s="27"/>
      <c r="GCS30" s="27"/>
      <c r="GCT30" s="27"/>
      <c r="GCU30" s="27"/>
      <c r="GCV30" s="27"/>
      <c r="GCW30" s="27"/>
      <c r="GCX30" s="27"/>
      <c r="GCY30" s="27"/>
      <c r="GCZ30" s="27"/>
      <c r="GDA30" s="27"/>
      <c r="GDB30" s="27"/>
      <c r="GDC30" s="27"/>
      <c r="GDD30" s="27"/>
      <c r="GDE30" s="27"/>
      <c r="GDF30" s="27"/>
      <c r="GDG30" s="27"/>
      <c r="GDH30" s="27"/>
      <c r="GDI30" s="27"/>
      <c r="GDJ30" s="27"/>
      <c r="GDK30" s="27"/>
      <c r="GDL30" s="27"/>
      <c r="GDM30" s="27"/>
      <c r="GDN30" s="27"/>
      <c r="GDO30" s="27"/>
      <c r="GDP30" s="27"/>
      <c r="GDQ30" s="27"/>
      <c r="GDR30" s="27"/>
      <c r="GDS30" s="27"/>
      <c r="GDT30" s="27"/>
      <c r="GDU30" s="27"/>
      <c r="GDV30" s="27"/>
      <c r="GDW30" s="27"/>
      <c r="GDX30" s="27"/>
      <c r="GDY30" s="27"/>
      <c r="GDZ30" s="27"/>
      <c r="GEA30" s="27"/>
      <c r="GEB30" s="27"/>
      <c r="GEC30" s="27"/>
      <c r="GED30" s="27"/>
      <c r="GEE30" s="27"/>
      <c r="GEF30" s="27"/>
      <c r="GEG30" s="27"/>
      <c r="GEH30" s="27"/>
      <c r="GEI30" s="27"/>
      <c r="GEJ30" s="27"/>
      <c r="GEK30" s="27"/>
      <c r="GEL30" s="27"/>
      <c r="GEM30" s="27"/>
      <c r="GEN30" s="27"/>
      <c r="GEO30" s="27"/>
      <c r="GEP30" s="27"/>
      <c r="GEQ30" s="27"/>
      <c r="GER30" s="27"/>
      <c r="GES30" s="27"/>
      <c r="GET30" s="27"/>
      <c r="GEU30" s="27"/>
      <c r="GEV30" s="27"/>
      <c r="GEW30" s="27"/>
      <c r="GEX30" s="27"/>
      <c r="GEY30" s="27"/>
      <c r="GEZ30" s="27"/>
      <c r="GFA30" s="27"/>
      <c r="GFB30" s="27"/>
      <c r="GFC30" s="27"/>
      <c r="GFD30" s="27"/>
      <c r="GFE30" s="27"/>
      <c r="GFF30" s="27"/>
      <c r="GFG30" s="27"/>
      <c r="GFH30" s="27"/>
      <c r="GFI30" s="27"/>
      <c r="GFJ30" s="27"/>
      <c r="GFK30" s="27"/>
      <c r="GFL30" s="27"/>
      <c r="GFM30" s="27"/>
      <c r="GFN30" s="27"/>
      <c r="GFO30" s="27"/>
      <c r="GFP30" s="27"/>
      <c r="GFQ30" s="27"/>
      <c r="GFR30" s="27"/>
      <c r="GFS30" s="27"/>
      <c r="GFT30" s="27"/>
      <c r="GFU30" s="27"/>
      <c r="GFV30" s="27"/>
      <c r="GFW30" s="27"/>
      <c r="GFX30" s="27"/>
      <c r="GFY30" s="27"/>
      <c r="GFZ30" s="27"/>
      <c r="GGA30" s="27"/>
      <c r="GGB30" s="27"/>
      <c r="GGC30" s="27"/>
      <c r="GGD30" s="27"/>
      <c r="GGE30" s="27"/>
      <c r="GGF30" s="27"/>
      <c r="GGG30" s="27"/>
      <c r="GGH30" s="27"/>
      <c r="GGI30" s="27"/>
      <c r="GGJ30" s="27"/>
      <c r="GGK30" s="27"/>
      <c r="GGL30" s="27"/>
      <c r="GGM30" s="27"/>
      <c r="GGN30" s="27"/>
      <c r="GGO30" s="27"/>
      <c r="GGP30" s="27"/>
      <c r="GGQ30" s="27"/>
      <c r="GGR30" s="27"/>
      <c r="GGS30" s="27"/>
      <c r="GGT30" s="27"/>
      <c r="GGU30" s="27"/>
      <c r="GGV30" s="27"/>
      <c r="GGW30" s="27"/>
      <c r="GGX30" s="27"/>
      <c r="GGY30" s="27"/>
      <c r="GGZ30" s="27"/>
      <c r="GHA30" s="27"/>
      <c r="GHB30" s="27"/>
      <c r="GHC30" s="27"/>
      <c r="GHD30" s="27"/>
      <c r="GHE30" s="27"/>
      <c r="GHF30" s="27"/>
      <c r="GHG30" s="27"/>
      <c r="GHH30" s="27"/>
      <c r="GHI30" s="27"/>
      <c r="GHJ30" s="27"/>
      <c r="GHK30" s="27"/>
      <c r="GHL30" s="27"/>
      <c r="GHM30" s="27"/>
      <c r="GHN30" s="27"/>
      <c r="GHO30" s="27"/>
      <c r="GHP30" s="27"/>
      <c r="GHQ30" s="27"/>
      <c r="GHR30" s="27"/>
      <c r="GHS30" s="27"/>
      <c r="GHT30" s="27"/>
      <c r="GHU30" s="27"/>
      <c r="GHV30" s="27"/>
      <c r="GHW30" s="27"/>
      <c r="GHX30" s="27"/>
      <c r="GHY30" s="27"/>
      <c r="GHZ30" s="27"/>
      <c r="GIA30" s="27"/>
      <c r="GIB30" s="27"/>
      <c r="GIC30" s="27"/>
      <c r="GID30" s="27"/>
      <c r="GIE30" s="27"/>
      <c r="GIF30" s="27"/>
      <c r="GIG30" s="27"/>
      <c r="GIH30" s="27"/>
      <c r="GII30" s="27"/>
      <c r="GIJ30" s="27"/>
      <c r="GIK30" s="27"/>
      <c r="GIL30" s="27"/>
      <c r="GIM30" s="27"/>
      <c r="GIN30" s="27"/>
      <c r="GIO30" s="27"/>
      <c r="GIP30" s="27"/>
      <c r="GIQ30" s="27"/>
      <c r="GIR30" s="27"/>
      <c r="GIS30" s="27"/>
      <c r="GIT30" s="27"/>
      <c r="GIU30" s="27"/>
      <c r="GIV30" s="27"/>
      <c r="GIW30" s="27"/>
      <c r="GIX30" s="27"/>
      <c r="GIY30" s="27"/>
      <c r="GIZ30" s="27"/>
      <c r="GJA30" s="27"/>
      <c r="GJB30" s="27"/>
      <c r="GJC30" s="27"/>
      <c r="GJD30" s="27"/>
      <c r="GJE30" s="27"/>
      <c r="GJF30" s="27"/>
      <c r="GJG30" s="27"/>
      <c r="GJH30" s="27"/>
      <c r="GJI30" s="27"/>
      <c r="GJJ30" s="27"/>
      <c r="GJK30" s="27"/>
      <c r="GJL30" s="27"/>
      <c r="GJM30" s="27"/>
      <c r="GJN30" s="27"/>
      <c r="GJO30" s="27"/>
      <c r="GJP30" s="27"/>
      <c r="GJQ30" s="27"/>
      <c r="GJR30" s="27"/>
      <c r="GJS30" s="27"/>
      <c r="GJT30" s="27"/>
      <c r="GJU30" s="27"/>
      <c r="GJV30" s="27"/>
      <c r="GJW30" s="27"/>
      <c r="GJX30" s="27"/>
      <c r="GJY30" s="27"/>
      <c r="GJZ30" s="27"/>
      <c r="GKA30" s="27"/>
      <c r="GKB30" s="27"/>
      <c r="GKC30" s="27"/>
      <c r="GKD30" s="27"/>
      <c r="GKE30" s="27"/>
      <c r="GKF30" s="27"/>
      <c r="GKG30" s="27"/>
      <c r="GKH30" s="27"/>
      <c r="GKI30" s="27"/>
      <c r="GKJ30" s="27"/>
      <c r="GKK30" s="27"/>
      <c r="GKL30" s="27"/>
      <c r="GKM30" s="27"/>
      <c r="GKN30" s="27"/>
      <c r="GKO30" s="27"/>
      <c r="GKP30" s="27"/>
      <c r="GKQ30" s="27"/>
      <c r="GKR30" s="27"/>
      <c r="GKS30" s="27"/>
      <c r="GKT30" s="27"/>
      <c r="GKU30" s="27"/>
      <c r="GKV30" s="27"/>
      <c r="GKW30" s="27"/>
      <c r="GKX30" s="27"/>
      <c r="GKY30" s="27"/>
      <c r="GKZ30" s="27"/>
      <c r="GLA30" s="27"/>
      <c r="GLB30" s="27"/>
      <c r="GLC30" s="27"/>
      <c r="GLD30" s="27"/>
      <c r="GLE30" s="27"/>
      <c r="GLF30" s="27"/>
      <c r="GLG30" s="27"/>
      <c r="GLH30" s="27"/>
      <c r="GLI30" s="27"/>
      <c r="GLJ30" s="27"/>
      <c r="GLK30" s="27"/>
      <c r="GLL30" s="27"/>
      <c r="GLM30" s="27"/>
      <c r="GLN30" s="27"/>
      <c r="GLO30" s="27"/>
      <c r="GLP30" s="27"/>
      <c r="GLQ30" s="27"/>
      <c r="GLR30" s="27"/>
      <c r="GLS30" s="27"/>
      <c r="GLT30" s="27"/>
      <c r="GLU30" s="27"/>
      <c r="GLV30" s="27"/>
      <c r="GLW30" s="27"/>
      <c r="GLX30" s="27"/>
      <c r="GLY30" s="27"/>
      <c r="GLZ30" s="27"/>
      <c r="GMA30" s="27"/>
      <c r="GMB30" s="27"/>
      <c r="GMC30" s="27"/>
      <c r="GMD30" s="27"/>
      <c r="GME30" s="27"/>
      <c r="GMF30" s="27"/>
      <c r="GMG30" s="27"/>
      <c r="GMH30" s="27"/>
      <c r="GMI30" s="27"/>
      <c r="GMJ30" s="27"/>
      <c r="GMK30" s="27"/>
      <c r="GML30" s="27"/>
      <c r="GMM30" s="27"/>
      <c r="GMN30" s="27"/>
      <c r="GMO30" s="27"/>
      <c r="GMP30" s="27"/>
      <c r="GMQ30" s="27"/>
      <c r="GMR30" s="27"/>
      <c r="GMS30" s="27"/>
      <c r="GMT30" s="27"/>
      <c r="GMU30" s="27"/>
      <c r="GMV30" s="27"/>
      <c r="GMW30" s="27"/>
      <c r="GMX30" s="27"/>
      <c r="GMY30" s="27"/>
      <c r="GMZ30" s="27"/>
      <c r="GNA30" s="27"/>
      <c r="GNB30" s="27"/>
      <c r="GNC30" s="27"/>
      <c r="GND30" s="27"/>
      <c r="GNE30" s="27"/>
      <c r="GNF30" s="27"/>
      <c r="GNG30" s="27"/>
      <c r="GNH30" s="27"/>
      <c r="GNI30" s="27"/>
      <c r="GNJ30" s="27"/>
      <c r="GNK30" s="27"/>
      <c r="GNL30" s="27"/>
      <c r="GNM30" s="27"/>
      <c r="GNN30" s="27"/>
      <c r="GNO30" s="27"/>
      <c r="GNP30" s="27"/>
      <c r="GNQ30" s="27"/>
      <c r="GNR30" s="27"/>
      <c r="GNS30" s="27"/>
      <c r="GNT30" s="27"/>
      <c r="GNU30" s="27"/>
      <c r="GNV30" s="27"/>
      <c r="GNW30" s="27"/>
      <c r="GNX30" s="27"/>
      <c r="GNY30" s="27"/>
      <c r="GNZ30" s="27"/>
      <c r="GOA30" s="27"/>
      <c r="GOB30" s="27"/>
      <c r="GOC30" s="27"/>
      <c r="GOD30" s="27"/>
      <c r="GOE30" s="27"/>
      <c r="GOF30" s="27"/>
      <c r="GOG30" s="27"/>
      <c r="GOH30" s="27"/>
      <c r="GOI30" s="27"/>
      <c r="GOJ30" s="27"/>
      <c r="GOK30" s="27"/>
      <c r="GOL30" s="27"/>
      <c r="GOM30" s="27"/>
      <c r="GON30" s="27"/>
      <c r="GOO30" s="27"/>
      <c r="GOP30" s="27"/>
      <c r="GOQ30" s="27"/>
      <c r="GOR30" s="27"/>
      <c r="GOS30" s="27"/>
      <c r="GOT30" s="27"/>
      <c r="GOU30" s="27"/>
      <c r="GOV30" s="27"/>
      <c r="GOW30" s="27"/>
      <c r="GOX30" s="27"/>
      <c r="GOY30" s="27"/>
      <c r="GOZ30" s="27"/>
      <c r="GPA30" s="27"/>
      <c r="GPB30" s="27"/>
      <c r="GPC30" s="27"/>
      <c r="GPD30" s="27"/>
      <c r="GPE30" s="27"/>
      <c r="GPF30" s="27"/>
      <c r="GPG30" s="27"/>
      <c r="GPH30" s="27"/>
      <c r="GPI30" s="27"/>
      <c r="GPJ30" s="27"/>
      <c r="GPK30" s="27"/>
      <c r="GPL30" s="27"/>
      <c r="GPM30" s="27"/>
      <c r="GPN30" s="27"/>
      <c r="GPO30" s="27"/>
      <c r="GPP30" s="27"/>
      <c r="GPQ30" s="27"/>
      <c r="GPR30" s="27"/>
      <c r="GPS30" s="27"/>
      <c r="GPT30" s="27"/>
      <c r="GPU30" s="27"/>
      <c r="GPV30" s="27"/>
      <c r="GPW30" s="27"/>
      <c r="GPX30" s="27"/>
      <c r="GPY30" s="27"/>
      <c r="GPZ30" s="27"/>
      <c r="GQA30" s="27"/>
      <c r="GQB30" s="27"/>
      <c r="GQC30" s="27"/>
      <c r="GQD30" s="27"/>
      <c r="GQE30" s="27"/>
      <c r="GQF30" s="27"/>
      <c r="GQG30" s="27"/>
      <c r="GQH30" s="27"/>
      <c r="GQI30" s="27"/>
      <c r="GQJ30" s="27"/>
      <c r="GQK30" s="27"/>
      <c r="GQL30" s="27"/>
      <c r="GQM30" s="27"/>
      <c r="GQN30" s="27"/>
      <c r="GQO30" s="27"/>
      <c r="GQP30" s="27"/>
      <c r="GQQ30" s="27"/>
      <c r="GQR30" s="27"/>
      <c r="GQS30" s="27"/>
      <c r="GQT30" s="27"/>
      <c r="GQU30" s="27"/>
      <c r="GQV30" s="27"/>
      <c r="GQW30" s="27"/>
      <c r="GQX30" s="27"/>
      <c r="GQY30" s="27"/>
      <c r="GQZ30" s="27"/>
      <c r="GRA30" s="27"/>
      <c r="GRB30" s="27"/>
      <c r="GRC30" s="27"/>
      <c r="GRD30" s="27"/>
      <c r="GRE30" s="27"/>
      <c r="GRF30" s="27"/>
      <c r="GRG30" s="27"/>
      <c r="GRH30" s="27"/>
      <c r="GRI30" s="27"/>
      <c r="GRJ30" s="27"/>
      <c r="GRK30" s="27"/>
      <c r="GRL30" s="27"/>
      <c r="GRM30" s="27"/>
      <c r="GRN30" s="27"/>
      <c r="GRO30" s="27"/>
      <c r="GRP30" s="27"/>
      <c r="GRQ30" s="27"/>
      <c r="GRR30" s="27"/>
      <c r="GRS30" s="27"/>
      <c r="GRT30" s="27"/>
      <c r="GRU30" s="27"/>
      <c r="GRV30" s="27"/>
      <c r="GRW30" s="27"/>
      <c r="GRX30" s="27"/>
      <c r="GRY30" s="27"/>
      <c r="GRZ30" s="27"/>
      <c r="GSA30" s="27"/>
      <c r="GSB30" s="27"/>
      <c r="GSC30" s="27"/>
      <c r="GSD30" s="27"/>
      <c r="GSE30" s="27"/>
      <c r="GSF30" s="27"/>
      <c r="GSG30" s="27"/>
      <c r="GSH30" s="27"/>
      <c r="GSI30" s="27"/>
      <c r="GSJ30" s="27"/>
      <c r="GSK30" s="27"/>
      <c r="GSL30" s="27"/>
      <c r="GSM30" s="27"/>
      <c r="GSN30" s="27"/>
      <c r="GSO30" s="27"/>
      <c r="GSP30" s="27"/>
      <c r="GSQ30" s="27"/>
      <c r="GSR30" s="27"/>
      <c r="GSS30" s="27"/>
      <c r="GST30" s="27"/>
      <c r="GSU30" s="27"/>
      <c r="GSV30" s="27"/>
      <c r="GSW30" s="27"/>
      <c r="GSX30" s="27"/>
      <c r="GSY30" s="27"/>
      <c r="GSZ30" s="27"/>
      <c r="GTA30" s="27"/>
      <c r="GTB30" s="27"/>
      <c r="GTC30" s="27"/>
      <c r="GTD30" s="27"/>
      <c r="GTE30" s="27"/>
      <c r="GTF30" s="27"/>
      <c r="GTG30" s="27"/>
      <c r="GTH30" s="27"/>
      <c r="GTI30" s="27"/>
      <c r="GTJ30" s="27"/>
      <c r="GTK30" s="27"/>
      <c r="GTL30" s="27"/>
      <c r="GTM30" s="27"/>
      <c r="GTN30" s="27"/>
      <c r="GTO30" s="27"/>
      <c r="GTP30" s="27"/>
      <c r="GTQ30" s="27"/>
      <c r="GTR30" s="27"/>
      <c r="GTS30" s="27"/>
      <c r="GTT30" s="27"/>
      <c r="GTU30" s="27"/>
      <c r="GTV30" s="27"/>
      <c r="GTW30" s="27"/>
      <c r="GTX30" s="27"/>
      <c r="GTY30" s="27"/>
      <c r="GTZ30" s="27"/>
      <c r="GUA30" s="27"/>
      <c r="GUB30" s="27"/>
      <c r="GUC30" s="27"/>
      <c r="GUD30" s="27"/>
      <c r="GUE30" s="27"/>
      <c r="GUF30" s="27"/>
      <c r="GUG30" s="27"/>
      <c r="GUH30" s="27"/>
      <c r="GUI30" s="27"/>
      <c r="GUJ30" s="27"/>
      <c r="GUK30" s="27"/>
      <c r="GUL30" s="27"/>
      <c r="GUM30" s="27"/>
      <c r="GUN30" s="27"/>
      <c r="GUO30" s="27"/>
      <c r="GUP30" s="27"/>
      <c r="GUQ30" s="27"/>
      <c r="GUR30" s="27"/>
      <c r="GUS30" s="27"/>
      <c r="GUT30" s="27"/>
      <c r="GUU30" s="27"/>
      <c r="GUV30" s="27"/>
      <c r="GUW30" s="27"/>
      <c r="GUX30" s="27"/>
      <c r="GUY30" s="27"/>
      <c r="GUZ30" s="27"/>
      <c r="GVA30" s="27"/>
      <c r="GVB30" s="27"/>
      <c r="GVC30" s="27"/>
      <c r="GVD30" s="27"/>
      <c r="GVE30" s="27"/>
      <c r="GVF30" s="27"/>
      <c r="GVG30" s="27"/>
      <c r="GVH30" s="27"/>
      <c r="GVI30" s="27"/>
      <c r="GVJ30" s="27"/>
      <c r="GVK30" s="27"/>
      <c r="GVL30" s="27"/>
      <c r="GVM30" s="27"/>
      <c r="GVN30" s="27"/>
      <c r="GVO30" s="27"/>
      <c r="GVP30" s="27"/>
      <c r="GVQ30" s="27"/>
      <c r="GVR30" s="27"/>
      <c r="GVS30" s="27"/>
      <c r="GVT30" s="27"/>
      <c r="GVU30" s="27"/>
      <c r="GVV30" s="27"/>
      <c r="GVW30" s="27"/>
      <c r="GVX30" s="27"/>
      <c r="GVY30" s="27"/>
      <c r="GVZ30" s="27"/>
      <c r="GWA30" s="27"/>
      <c r="GWB30" s="27"/>
      <c r="GWC30" s="27"/>
      <c r="GWD30" s="27"/>
      <c r="GWE30" s="27"/>
      <c r="GWF30" s="27"/>
      <c r="GWG30" s="27"/>
      <c r="GWH30" s="27"/>
      <c r="GWI30" s="27"/>
      <c r="GWJ30" s="27"/>
      <c r="GWK30" s="27"/>
      <c r="GWL30" s="27"/>
      <c r="GWM30" s="27"/>
      <c r="GWN30" s="27"/>
      <c r="GWO30" s="27"/>
      <c r="GWP30" s="27"/>
      <c r="GWQ30" s="27"/>
      <c r="GWR30" s="27"/>
      <c r="GWS30" s="27"/>
      <c r="GWT30" s="27"/>
      <c r="GWU30" s="27"/>
      <c r="GWV30" s="27"/>
      <c r="GWW30" s="27"/>
      <c r="GWX30" s="27"/>
      <c r="GWY30" s="27"/>
      <c r="GWZ30" s="27"/>
      <c r="GXA30" s="27"/>
      <c r="GXB30" s="27"/>
      <c r="GXC30" s="27"/>
      <c r="GXD30" s="27"/>
      <c r="GXE30" s="27"/>
      <c r="GXF30" s="27"/>
      <c r="GXG30" s="27"/>
      <c r="GXH30" s="27"/>
      <c r="GXI30" s="27"/>
      <c r="GXJ30" s="27"/>
      <c r="GXK30" s="27"/>
      <c r="GXL30" s="27"/>
      <c r="GXM30" s="27"/>
      <c r="GXN30" s="27"/>
      <c r="GXO30" s="27"/>
      <c r="GXP30" s="27"/>
      <c r="GXQ30" s="27"/>
      <c r="GXR30" s="27"/>
      <c r="GXS30" s="27"/>
      <c r="GXT30" s="27"/>
      <c r="GXU30" s="27"/>
      <c r="GXV30" s="27"/>
      <c r="GXW30" s="27"/>
      <c r="GXX30" s="27"/>
      <c r="GXY30" s="27"/>
      <c r="GXZ30" s="27"/>
      <c r="GYA30" s="27"/>
      <c r="GYB30" s="27"/>
      <c r="GYC30" s="27"/>
      <c r="GYD30" s="27"/>
      <c r="GYE30" s="27"/>
      <c r="GYF30" s="27"/>
      <c r="GYG30" s="27"/>
      <c r="GYH30" s="27"/>
      <c r="GYI30" s="27"/>
      <c r="GYJ30" s="27"/>
      <c r="GYK30" s="27"/>
      <c r="GYL30" s="27"/>
      <c r="GYM30" s="27"/>
      <c r="GYN30" s="27"/>
      <c r="GYO30" s="27"/>
      <c r="GYP30" s="27"/>
      <c r="GYQ30" s="27"/>
      <c r="GYR30" s="27"/>
      <c r="GYS30" s="27"/>
      <c r="GYT30" s="27"/>
      <c r="GYU30" s="27"/>
      <c r="GYV30" s="27"/>
      <c r="GYW30" s="27"/>
      <c r="GYX30" s="27"/>
      <c r="GYY30" s="27"/>
      <c r="GYZ30" s="27"/>
      <c r="GZA30" s="27"/>
      <c r="GZB30" s="27"/>
      <c r="GZC30" s="27"/>
      <c r="GZD30" s="27"/>
      <c r="GZE30" s="27"/>
      <c r="GZF30" s="27"/>
      <c r="GZG30" s="27"/>
      <c r="GZH30" s="27"/>
      <c r="GZI30" s="27"/>
      <c r="GZJ30" s="27"/>
      <c r="GZK30" s="27"/>
      <c r="GZL30" s="27"/>
      <c r="GZM30" s="27"/>
      <c r="GZN30" s="27"/>
      <c r="GZO30" s="27"/>
      <c r="GZP30" s="27"/>
      <c r="GZQ30" s="27"/>
      <c r="GZR30" s="27"/>
      <c r="GZS30" s="27"/>
      <c r="GZT30" s="27"/>
      <c r="GZU30" s="27"/>
      <c r="GZV30" s="27"/>
      <c r="GZW30" s="27"/>
      <c r="GZX30" s="27"/>
      <c r="GZY30" s="27"/>
      <c r="GZZ30" s="27"/>
      <c r="HAA30" s="27"/>
      <c r="HAB30" s="27"/>
      <c r="HAC30" s="27"/>
      <c r="HAD30" s="27"/>
      <c r="HAE30" s="27"/>
      <c r="HAF30" s="27"/>
      <c r="HAG30" s="27"/>
      <c r="HAH30" s="27"/>
      <c r="HAI30" s="27"/>
      <c r="HAJ30" s="27"/>
      <c r="HAK30" s="27"/>
      <c r="HAL30" s="27"/>
      <c r="HAM30" s="27"/>
      <c r="HAN30" s="27"/>
      <c r="HAO30" s="27"/>
      <c r="HAP30" s="27"/>
      <c r="HAQ30" s="27"/>
      <c r="HAR30" s="27"/>
      <c r="HAS30" s="27"/>
      <c r="HAT30" s="27"/>
      <c r="HAU30" s="27"/>
      <c r="HAV30" s="27"/>
      <c r="HAW30" s="27"/>
      <c r="HAX30" s="27"/>
      <c r="HAY30" s="27"/>
      <c r="HAZ30" s="27"/>
      <c r="HBA30" s="27"/>
      <c r="HBB30" s="27"/>
      <c r="HBC30" s="27"/>
      <c r="HBD30" s="27"/>
      <c r="HBE30" s="27"/>
      <c r="HBF30" s="27"/>
      <c r="HBG30" s="27"/>
      <c r="HBH30" s="27"/>
      <c r="HBI30" s="27"/>
      <c r="HBJ30" s="27"/>
      <c r="HBK30" s="27"/>
      <c r="HBL30" s="27"/>
      <c r="HBM30" s="27"/>
      <c r="HBN30" s="27"/>
      <c r="HBO30" s="27"/>
      <c r="HBP30" s="27"/>
      <c r="HBQ30" s="27"/>
      <c r="HBR30" s="27"/>
      <c r="HBS30" s="27"/>
      <c r="HBT30" s="27"/>
      <c r="HBU30" s="27"/>
      <c r="HBV30" s="27"/>
      <c r="HBW30" s="27"/>
      <c r="HBX30" s="27"/>
      <c r="HBY30" s="27"/>
      <c r="HBZ30" s="27"/>
      <c r="HCA30" s="27"/>
      <c r="HCB30" s="27"/>
      <c r="HCC30" s="27"/>
      <c r="HCD30" s="27"/>
      <c r="HCE30" s="27"/>
      <c r="HCF30" s="27"/>
      <c r="HCG30" s="27"/>
      <c r="HCH30" s="27"/>
      <c r="HCI30" s="27"/>
      <c r="HCJ30" s="27"/>
      <c r="HCK30" s="27"/>
      <c r="HCL30" s="27"/>
      <c r="HCM30" s="27"/>
      <c r="HCN30" s="27"/>
      <c r="HCO30" s="27"/>
      <c r="HCP30" s="27"/>
      <c r="HCQ30" s="27"/>
      <c r="HCR30" s="27"/>
      <c r="HCS30" s="27"/>
      <c r="HCT30" s="27"/>
      <c r="HCU30" s="27"/>
      <c r="HCV30" s="27"/>
      <c r="HCW30" s="27"/>
      <c r="HCX30" s="27"/>
      <c r="HCY30" s="27"/>
      <c r="HCZ30" s="27"/>
      <c r="HDA30" s="27"/>
      <c r="HDB30" s="27"/>
      <c r="HDC30" s="27"/>
      <c r="HDD30" s="27"/>
      <c r="HDE30" s="27"/>
      <c r="HDF30" s="27"/>
      <c r="HDG30" s="27"/>
      <c r="HDH30" s="27"/>
      <c r="HDI30" s="27"/>
      <c r="HDJ30" s="27"/>
      <c r="HDK30" s="27"/>
      <c r="HDL30" s="27"/>
      <c r="HDM30" s="27"/>
      <c r="HDN30" s="27"/>
      <c r="HDO30" s="27"/>
      <c r="HDP30" s="27"/>
      <c r="HDQ30" s="27"/>
      <c r="HDR30" s="27"/>
      <c r="HDS30" s="27"/>
      <c r="HDT30" s="27"/>
      <c r="HDU30" s="27"/>
      <c r="HDV30" s="27"/>
      <c r="HDW30" s="27"/>
      <c r="HDX30" s="27"/>
      <c r="HDY30" s="27"/>
      <c r="HDZ30" s="27"/>
      <c r="HEA30" s="27"/>
      <c r="HEB30" s="27"/>
      <c r="HEC30" s="27"/>
      <c r="HED30" s="27"/>
      <c r="HEE30" s="27"/>
      <c r="HEF30" s="27"/>
      <c r="HEG30" s="27"/>
      <c r="HEH30" s="27"/>
      <c r="HEI30" s="27"/>
      <c r="HEJ30" s="27"/>
      <c r="HEK30" s="27"/>
      <c r="HEL30" s="27"/>
      <c r="HEM30" s="27"/>
      <c r="HEN30" s="27"/>
      <c r="HEO30" s="27"/>
      <c r="HEP30" s="27"/>
      <c r="HEQ30" s="27"/>
      <c r="HER30" s="27"/>
      <c r="HES30" s="27"/>
      <c r="HET30" s="27"/>
      <c r="HEU30" s="27"/>
      <c r="HEV30" s="27"/>
      <c r="HEW30" s="27"/>
      <c r="HEX30" s="27"/>
      <c r="HEY30" s="27"/>
      <c r="HEZ30" s="27"/>
      <c r="HFA30" s="27"/>
      <c r="HFB30" s="27"/>
      <c r="HFC30" s="27"/>
      <c r="HFD30" s="27"/>
      <c r="HFE30" s="27"/>
      <c r="HFF30" s="27"/>
      <c r="HFG30" s="27"/>
      <c r="HFH30" s="27"/>
      <c r="HFI30" s="27"/>
      <c r="HFJ30" s="27"/>
      <c r="HFK30" s="27"/>
      <c r="HFL30" s="27"/>
      <c r="HFM30" s="27"/>
      <c r="HFN30" s="27"/>
      <c r="HFO30" s="27"/>
      <c r="HFP30" s="27"/>
      <c r="HFQ30" s="27"/>
      <c r="HFR30" s="27"/>
      <c r="HFS30" s="27"/>
      <c r="HFT30" s="27"/>
      <c r="HFU30" s="27"/>
      <c r="HFV30" s="27"/>
      <c r="HFW30" s="27"/>
      <c r="HFX30" s="27"/>
      <c r="HFY30" s="27"/>
      <c r="HFZ30" s="27"/>
      <c r="HGA30" s="27"/>
      <c r="HGB30" s="27"/>
      <c r="HGC30" s="27"/>
      <c r="HGD30" s="27"/>
      <c r="HGE30" s="27"/>
      <c r="HGF30" s="27"/>
      <c r="HGG30" s="27"/>
      <c r="HGH30" s="27"/>
      <c r="HGI30" s="27"/>
      <c r="HGJ30" s="27"/>
      <c r="HGK30" s="27"/>
      <c r="HGL30" s="27"/>
      <c r="HGM30" s="27"/>
      <c r="HGN30" s="27"/>
      <c r="HGO30" s="27"/>
      <c r="HGP30" s="27"/>
      <c r="HGQ30" s="27"/>
      <c r="HGR30" s="27"/>
      <c r="HGS30" s="27"/>
      <c r="HGT30" s="27"/>
      <c r="HGU30" s="27"/>
      <c r="HGV30" s="27"/>
      <c r="HGW30" s="27"/>
      <c r="HGX30" s="27"/>
      <c r="HGY30" s="27"/>
      <c r="HGZ30" s="27"/>
      <c r="HHA30" s="27"/>
      <c r="HHB30" s="27"/>
      <c r="HHC30" s="27"/>
      <c r="HHD30" s="27"/>
      <c r="HHE30" s="27"/>
      <c r="HHF30" s="27"/>
      <c r="HHG30" s="27"/>
      <c r="HHH30" s="27"/>
      <c r="HHI30" s="27"/>
      <c r="HHJ30" s="27"/>
      <c r="HHK30" s="27"/>
      <c r="HHL30" s="27"/>
      <c r="HHM30" s="27"/>
      <c r="HHN30" s="27"/>
      <c r="HHO30" s="27"/>
      <c r="HHP30" s="27"/>
      <c r="HHQ30" s="27"/>
      <c r="HHR30" s="27"/>
      <c r="HHS30" s="27"/>
      <c r="HHT30" s="27"/>
      <c r="HHU30" s="27"/>
      <c r="HHV30" s="27"/>
      <c r="HHW30" s="27"/>
      <c r="HHX30" s="27"/>
      <c r="HHY30" s="27"/>
      <c r="HHZ30" s="27"/>
      <c r="HIA30" s="27"/>
      <c r="HIB30" s="27"/>
      <c r="HIC30" s="27"/>
      <c r="HID30" s="27"/>
      <c r="HIE30" s="27"/>
      <c r="HIF30" s="27"/>
      <c r="HIG30" s="27"/>
      <c r="HIH30" s="27"/>
      <c r="HII30" s="27"/>
      <c r="HIJ30" s="27"/>
      <c r="HIK30" s="27"/>
      <c r="HIL30" s="27"/>
      <c r="HIM30" s="27"/>
      <c r="HIN30" s="27"/>
      <c r="HIO30" s="27"/>
      <c r="HIP30" s="27"/>
      <c r="HIQ30" s="27"/>
      <c r="HIR30" s="27"/>
      <c r="HIS30" s="27"/>
      <c r="HIT30" s="27"/>
      <c r="HIU30" s="27"/>
      <c r="HIV30" s="27"/>
      <c r="HIW30" s="27"/>
      <c r="HIX30" s="27"/>
      <c r="HIY30" s="27"/>
      <c r="HIZ30" s="27"/>
      <c r="HJA30" s="27"/>
      <c r="HJB30" s="27"/>
      <c r="HJC30" s="27"/>
      <c r="HJD30" s="27"/>
      <c r="HJE30" s="27"/>
      <c r="HJF30" s="27"/>
      <c r="HJG30" s="27"/>
      <c r="HJH30" s="27"/>
      <c r="HJI30" s="27"/>
      <c r="HJJ30" s="27"/>
      <c r="HJK30" s="27"/>
      <c r="HJL30" s="27"/>
      <c r="HJM30" s="27"/>
      <c r="HJN30" s="27"/>
      <c r="HJO30" s="27"/>
      <c r="HJP30" s="27"/>
      <c r="HJQ30" s="27"/>
      <c r="HJR30" s="27"/>
      <c r="HJS30" s="27"/>
      <c r="HJT30" s="27"/>
      <c r="HJU30" s="27"/>
      <c r="HJV30" s="27"/>
      <c r="HJW30" s="27"/>
      <c r="HJX30" s="27"/>
      <c r="HJY30" s="27"/>
      <c r="HJZ30" s="27"/>
      <c r="HKA30" s="27"/>
      <c r="HKB30" s="27"/>
      <c r="HKC30" s="27"/>
      <c r="HKD30" s="27"/>
      <c r="HKE30" s="27"/>
      <c r="HKF30" s="27"/>
      <c r="HKG30" s="27"/>
      <c r="HKH30" s="27"/>
      <c r="HKI30" s="27"/>
      <c r="HKJ30" s="27"/>
      <c r="HKK30" s="27"/>
      <c r="HKL30" s="27"/>
      <c r="HKM30" s="27"/>
      <c r="HKN30" s="27"/>
      <c r="HKO30" s="27"/>
      <c r="HKP30" s="27"/>
      <c r="HKQ30" s="27"/>
      <c r="HKR30" s="27"/>
      <c r="HKS30" s="27"/>
      <c r="HKT30" s="27"/>
      <c r="HKU30" s="27"/>
      <c r="HKV30" s="27"/>
      <c r="HKW30" s="27"/>
      <c r="HKX30" s="27"/>
      <c r="HKY30" s="27"/>
      <c r="HKZ30" s="27"/>
      <c r="HLA30" s="27"/>
      <c r="HLB30" s="27"/>
      <c r="HLC30" s="27"/>
      <c r="HLD30" s="27"/>
      <c r="HLE30" s="27"/>
      <c r="HLF30" s="27"/>
      <c r="HLG30" s="27"/>
      <c r="HLH30" s="27"/>
      <c r="HLI30" s="27"/>
      <c r="HLJ30" s="27"/>
      <c r="HLK30" s="27"/>
      <c r="HLL30" s="27"/>
      <c r="HLM30" s="27"/>
      <c r="HLN30" s="27"/>
      <c r="HLO30" s="27"/>
      <c r="HLP30" s="27"/>
      <c r="HLQ30" s="27"/>
      <c r="HLR30" s="27"/>
      <c r="HLS30" s="27"/>
      <c r="HLT30" s="27"/>
      <c r="HLU30" s="27"/>
      <c r="HLV30" s="27"/>
      <c r="HLW30" s="27"/>
      <c r="HLX30" s="27"/>
      <c r="HLY30" s="27"/>
      <c r="HLZ30" s="27"/>
      <c r="HMA30" s="27"/>
      <c r="HMB30" s="27"/>
      <c r="HMC30" s="27"/>
      <c r="HMD30" s="27"/>
      <c r="HME30" s="27"/>
      <c r="HMF30" s="27"/>
      <c r="HMG30" s="27"/>
      <c r="HMH30" s="27"/>
      <c r="HMI30" s="27"/>
      <c r="HMJ30" s="27"/>
      <c r="HMK30" s="27"/>
      <c r="HML30" s="27"/>
      <c r="HMM30" s="27"/>
      <c r="HMN30" s="27"/>
      <c r="HMO30" s="27"/>
      <c r="HMP30" s="27"/>
      <c r="HMQ30" s="27"/>
      <c r="HMR30" s="27"/>
      <c r="HMS30" s="27"/>
      <c r="HMT30" s="27"/>
      <c r="HMU30" s="27"/>
      <c r="HMV30" s="27"/>
      <c r="HMW30" s="27"/>
      <c r="HMX30" s="27"/>
      <c r="HMY30" s="27"/>
      <c r="HMZ30" s="27"/>
      <c r="HNA30" s="27"/>
      <c r="HNB30" s="27"/>
      <c r="HNC30" s="27"/>
      <c r="HND30" s="27"/>
      <c r="HNE30" s="27"/>
      <c r="HNF30" s="27"/>
      <c r="HNG30" s="27"/>
      <c r="HNH30" s="27"/>
      <c r="HNI30" s="27"/>
      <c r="HNJ30" s="27"/>
      <c r="HNK30" s="27"/>
      <c r="HNL30" s="27"/>
      <c r="HNM30" s="27"/>
      <c r="HNN30" s="27"/>
      <c r="HNO30" s="27"/>
      <c r="HNP30" s="27"/>
      <c r="HNQ30" s="27"/>
      <c r="HNR30" s="27"/>
      <c r="HNS30" s="27"/>
      <c r="HNT30" s="27"/>
      <c r="HNU30" s="27"/>
      <c r="HNV30" s="27"/>
      <c r="HNW30" s="27"/>
      <c r="HNX30" s="27"/>
      <c r="HNY30" s="27"/>
      <c r="HNZ30" s="27"/>
      <c r="HOA30" s="27"/>
      <c r="HOB30" s="27"/>
      <c r="HOC30" s="27"/>
      <c r="HOD30" s="27"/>
      <c r="HOE30" s="27"/>
      <c r="HOF30" s="27"/>
      <c r="HOG30" s="27"/>
      <c r="HOH30" s="27"/>
      <c r="HOI30" s="27"/>
      <c r="HOJ30" s="27"/>
      <c r="HOK30" s="27"/>
      <c r="HOL30" s="27"/>
      <c r="HOM30" s="27"/>
      <c r="HON30" s="27"/>
      <c r="HOO30" s="27"/>
      <c r="HOP30" s="27"/>
      <c r="HOQ30" s="27"/>
      <c r="HOR30" s="27"/>
      <c r="HOS30" s="27"/>
      <c r="HOT30" s="27"/>
      <c r="HOU30" s="27"/>
      <c r="HOV30" s="27"/>
      <c r="HOW30" s="27"/>
      <c r="HOX30" s="27"/>
      <c r="HOY30" s="27"/>
      <c r="HOZ30" s="27"/>
      <c r="HPA30" s="27"/>
      <c r="HPB30" s="27"/>
      <c r="HPC30" s="27"/>
      <c r="HPD30" s="27"/>
      <c r="HPE30" s="27"/>
      <c r="HPF30" s="27"/>
      <c r="HPG30" s="27"/>
      <c r="HPH30" s="27"/>
      <c r="HPI30" s="27"/>
      <c r="HPJ30" s="27"/>
      <c r="HPK30" s="27"/>
      <c r="HPL30" s="27"/>
      <c r="HPM30" s="27"/>
      <c r="HPN30" s="27"/>
      <c r="HPO30" s="27"/>
      <c r="HPP30" s="27"/>
      <c r="HPQ30" s="27"/>
      <c r="HPR30" s="27"/>
      <c r="HPS30" s="27"/>
      <c r="HPT30" s="27"/>
      <c r="HPU30" s="27"/>
      <c r="HPV30" s="27"/>
      <c r="HPW30" s="27"/>
      <c r="HPX30" s="27"/>
      <c r="HPY30" s="27"/>
      <c r="HPZ30" s="27"/>
      <c r="HQA30" s="27"/>
      <c r="HQB30" s="27"/>
      <c r="HQC30" s="27"/>
      <c r="HQD30" s="27"/>
      <c r="HQE30" s="27"/>
      <c r="HQF30" s="27"/>
      <c r="HQG30" s="27"/>
      <c r="HQH30" s="27"/>
      <c r="HQI30" s="27"/>
      <c r="HQJ30" s="27"/>
      <c r="HQK30" s="27"/>
      <c r="HQL30" s="27"/>
      <c r="HQM30" s="27"/>
      <c r="HQN30" s="27"/>
      <c r="HQO30" s="27"/>
      <c r="HQP30" s="27"/>
      <c r="HQQ30" s="27"/>
      <c r="HQR30" s="27"/>
      <c r="HQS30" s="27"/>
      <c r="HQT30" s="27"/>
      <c r="HQU30" s="27"/>
      <c r="HQV30" s="27"/>
      <c r="HQW30" s="27"/>
      <c r="HQX30" s="27"/>
      <c r="HQY30" s="27"/>
      <c r="HQZ30" s="27"/>
      <c r="HRA30" s="27"/>
      <c r="HRB30" s="27"/>
      <c r="HRC30" s="27"/>
      <c r="HRD30" s="27"/>
      <c r="HRE30" s="27"/>
      <c r="HRF30" s="27"/>
      <c r="HRG30" s="27"/>
      <c r="HRH30" s="27"/>
      <c r="HRI30" s="27"/>
      <c r="HRJ30" s="27"/>
      <c r="HRK30" s="27"/>
      <c r="HRL30" s="27"/>
      <c r="HRM30" s="27"/>
      <c r="HRN30" s="27"/>
      <c r="HRO30" s="27"/>
      <c r="HRP30" s="27"/>
      <c r="HRQ30" s="27"/>
      <c r="HRR30" s="27"/>
      <c r="HRS30" s="27"/>
      <c r="HRT30" s="27"/>
      <c r="HRU30" s="27"/>
      <c r="HRV30" s="27"/>
      <c r="HRW30" s="27"/>
      <c r="HRX30" s="27"/>
      <c r="HRY30" s="27"/>
      <c r="HRZ30" s="27"/>
      <c r="HSA30" s="27"/>
      <c r="HSB30" s="27"/>
      <c r="HSC30" s="27"/>
      <c r="HSD30" s="27"/>
      <c r="HSE30" s="27"/>
      <c r="HSF30" s="27"/>
      <c r="HSG30" s="27"/>
      <c r="HSH30" s="27"/>
      <c r="HSI30" s="27"/>
      <c r="HSJ30" s="27"/>
      <c r="HSK30" s="27"/>
      <c r="HSL30" s="27"/>
      <c r="HSM30" s="27"/>
      <c r="HSN30" s="27"/>
      <c r="HSO30" s="27"/>
      <c r="HSP30" s="27"/>
      <c r="HSQ30" s="27"/>
      <c r="HSR30" s="27"/>
      <c r="HSS30" s="27"/>
      <c r="HST30" s="27"/>
      <c r="HSU30" s="27"/>
      <c r="HSV30" s="27"/>
      <c r="HSW30" s="27"/>
      <c r="HSX30" s="27"/>
      <c r="HSY30" s="27"/>
      <c r="HSZ30" s="27"/>
      <c r="HTA30" s="27"/>
      <c r="HTB30" s="27"/>
      <c r="HTC30" s="27"/>
      <c r="HTD30" s="27"/>
      <c r="HTE30" s="27"/>
      <c r="HTF30" s="27"/>
      <c r="HTG30" s="27"/>
      <c r="HTH30" s="27"/>
      <c r="HTI30" s="27"/>
      <c r="HTJ30" s="27"/>
      <c r="HTK30" s="27"/>
      <c r="HTL30" s="27"/>
      <c r="HTM30" s="27"/>
      <c r="HTN30" s="27"/>
      <c r="HTO30" s="27"/>
      <c r="HTP30" s="27"/>
      <c r="HTQ30" s="27"/>
      <c r="HTR30" s="27"/>
      <c r="HTS30" s="27"/>
      <c r="HTT30" s="27"/>
      <c r="HTU30" s="27"/>
      <c r="HTV30" s="27"/>
      <c r="HTW30" s="27"/>
      <c r="HTX30" s="27"/>
      <c r="HTY30" s="27"/>
      <c r="HTZ30" s="27"/>
      <c r="HUA30" s="27"/>
      <c r="HUB30" s="27"/>
      <c r="HUC30" s="27"/>
      <c r="HUD30" s="27"/>
      <c r="HUE30" s="27"/>
      <c r="HUF30" s="27"/>
      <c r="HUG30" s="27"/>
      <c r="HUH30" s="27"/>
      <c r="HUI30" s="27"/>
      <c r="HUJ30" s="27"/>
      <c r="HUK30" s="27"/>
      <c r="HUL30" s="27"/>
      <c r="HUM30" s="27"/>
      <c r="HUN30" s="27"/>
      <c r="HUO30" s="27"/>
      <c r="HUP30" s="27"/>
      <c r="HUQ30" s="27"/>
      <c r="HUR30" s="27"/>
      <c r="HUS30" s="27"/>
      <c r="HUT30" s="27"/>
      <c r="HUU30" s="27"/>
      <c r="HUV30" s="27"/>
      <c r="HUW30" s="27"/>
      <c r="HUX30" s="27"/>
      <c r="HUY30" s="27"/>
      <c r="HUZ30" s="27"/>
      <c r="HVA30" s="27"/>
      <c r="HVB30" s="27"/>
      <c r="HVC30" s="27"/>
      <c r="HVD30" s="27"/>
      <c r="HVE30" s="27"/>
      <c r="HVF30" s="27"/>
      <c r="HVG30" s="27"/>
      <c r="HVH30" s="27"/>
      <c r="HVI30" s="27"/>
      <c r="HVJ30" s="27"/>
      <c r="HVK30" s="27"/>
      <c r="HVL30" s="27"/>
      <c r="HVM30" s="27"/>
      <c r="HVN30" s="27"/>
      <c r="HVO30" s="27"/>
      <c r="HVP30" s="27"/>
      <c r="HVQ30" s="27"/>
      <c r="HVR30" s="27"/>
      <c r="HVS30" s="27"/>
      <c r="HVT30" s="27"/>
      <c r="HVU30" s="27"/>
      <c r="HVV30" s="27"/>
      <c r="HVW30" s="27"/>
      <c r="HVX30" s="27"/>
      <c r="HVY30" s="27"/>
      <c r="HVZ30" s="27"/>
      <c r="HWA30" s="27"/>
      <c r="HWB30" s="27"/>
      <c r="HWC30" s="27"/>
      <c r="HWD30" s="27"/>
      <c r="HWE30" s="27"/>
      <c r="HWF30" s="27"/>
      <c r="HWG30" s="27"/>
      <c r="HWH30" s="27"/>
      <c r="HWI30" s="27"/>
      <c r="HWJ30" s="27"/>
      <c r="HWK30" s="27"/>
      <c r="HWL30" s="27"/>
      <c r="HWM30" s="27"/>
      <c r="HWN30" s="27"/>
      <c r="HWO30" s="27"/>
      <c r="HWP30" s="27"/>
      <c r="HWQ30" s="27"/>
      <c r="HWR30" s="27"/>
      <c r="HWS30" s="27"/>
      <c r="HWT30" s="27"/>
      <c r="HWU30" s="27"/>
      <c r="HWV30" s="27"/>
      <c r="HWW30" s="27"/>
      <c r="HWX30" s="27"/>
      <c r="HWY30" s="27"/>
      <c r="HWZ30" s="27"/>
      <c r="HXA30" s="27"/>
      <c r="HXB30" s="27"/>
      <c r="HXC30" s="27"/>
      <c r="HXD30" s="27"/>
      <c r="HXE30" s="27"/>
      <c r="HXF30" s="27"/>
      <c r="HXG30" s="27"/>
      <c r="HXH30" s="27"/>
      <c r="HXI30" s="27"/>
      <c r="HXJ30" s="27"/>
      <c r="HXK30" s="27"/>
      <c r="HXL30" s="27"/>
      <c r="HXM30" s="27"/>
      <c r="HXN30" s="27"/>
      <c r="HXO30" s="27"/>
      <c r="HXP30" s="27"/>
      <c r="HXQ30" s="27"/>
      <c r="HXR30" s="27"/>
      <c r="HXS30" s="27"/>
      <c r="HXT30" s="27"/>
      <c r="HXU30" s="27"/>
      <c r="HXV30" s="27"/>
      <c r="HXW30" s="27"/>
      <c r="HXX30" s="27"/>
      <c r="HXY30" s="27"/>
      <c r="HXZ30" s="27"/>
      <c r="HYA30" s="27"/>
      <c r="HYB30" s="27"/>
      <c r="HYC30" s="27"/>
      <c r="HYD30" s="27"/>
      <c r="HYE30" s="27"/>
      <c r="HYF30" s="27"/>
      <c r="HYG30" s="27"/>
      <c r="HYH30" s="27"/>
      <c r="HYI30" s="27"/>
      <c r="HYJ30" s="27"/>
      <c r="HYK30" s="27"/>
      <c r="HYL30" s="27"/>
      <c r="HYM30" s="27"/>
      <c r="HYN30" s="27"/>
      <c r="HYO30" s="27"/>
      <c r="HYP30" s="27"/>
      <c r="HYQ30" s="27"/>
      <c r="HYR30" s="27"/>
      <c r="HYS30" s="27"/>
      <c r="HYT30" s="27"/>
      <c r="HYU30" s="27"/>
      <c r="HYV30" s="27"/>
      <c r="HYW30" s="27"/>
      <c r="HYX30" s="27"/>
      <c r="HYY30" s="27"/>
      <c r="HYZ30" s="27"/>
      <c r="HZA30" s="27"/>
      <c r="HZB30" s="27"/>
      <c r="HZC30" s="27"/>
      <c r="HZD30" s="27"/>
      <c r="HZE30" s="27"/>
      <c r="HZF30" s="27"/>
      <c r="HZG30" s="27"/>
      <c r="HZH30" s="27"/>
      <c r="HZI30" s="27"/>
      <c r="HZJ30" s="27"/>
      <c r="HZK30" s="27"/>
      <c r="HZL30" s="27"/>
      <c r="HZM30" s="27"/>
      <c r="HZN30" s="27"/>
      <c r="HZO30" s="27"/>
      <c r="HZP30" s="27"/>
      <c r="HZQ30" s="27"/>
      <c r="HZR30" s="27"/>
      <c r="HZS30" s="27"/>
      <c r="HZT30" s="27"/>
      <c r="HZU30" s="27"/>
      <c r="HZV30" s="27"/>
      <c r="HZW30" s="27"/>
      <c r="HZX30" s="27"/>
      <c r="HZY30" s="27"/>
      <c r="HZZ30" s="27"/>
      <c r="IAA30" s="27"/>
      <c r="IAB30" s="27"/>
      <c r="IAC30" s="27"/>
      <c r="IAD30" s="27"/>
      <c r="IAE30" s="27"/>
      <c r="IAF30" s="27"/>
      <c r="IAG30" s="27"/>
      <c r="IAH30" s="27"/>
      <c r="IAI30" s="27"/>
      <c r="IAJ30" s="27"/>
      <c r="IAK30" s="27"/>
      <c r="IAL30" s="27"/>
      <c r="IAM30" s="27"/>
      <c r="IAN30" s="27"/>
      <c r="IAO30" s="27"/>
      <c r="IAP30" s="27"/>
      <c r="IAQ30" s="27"/>
      <c r="IAR30" s="27"/>
      <c r="IAS30" s="27"/>
      <c r="IAT30" s="27"/>
      <c r="IAU30" s="27"/>
      <c r="IAV30" s="27"/>
      <c r="IAW30" s="27"/>
      <c r="IAX30" s="27"/>
      <c r="IAY30" s="27"/>
      <c r="IAZ30" s="27"/>
      <c r="IBA30" s="27"/>
      <c r="IBB30" s="27"/>
      <c r="IBC30" s="27"/>
      <c r="IBD30" s="27"/>
      <c r="IBE30" s="27"/>
      <c r="IBF30" s="27"/>
      <c r="IBG30" s="27"/>
      <c r="IBH30" s="27"/>
      <c r="IBI30" s="27"/>
      <c r="IBJ30" s="27"/>
      <c r="IBK30" s="27"/>
      <c r="IBL30" s="27"/>
      <c r="IBM30" s="27"/>
      <c r="IBN30" s="27"/>
      <c r="IBO30" s="27"/>
      <c r="IBP30" s="27"/>
      <c r="IBQ30" s="27"/>
      <c r="IBR30" s="27"/>
      <c r="IBS30" s="27"/>
      <c r="IBT30" s="27"/>
      <c r="IBU30" s="27"/>
      <c r="IBV30" s="27"/>
      <c r="IBW30" s="27"/>
      <c r="IBX30" s="27"/>
      <c r="IBY30" s="27"/>
      <c r="IBZ30" s="27"/>
      <c r="ICA30" s="27"/>
      <c r="ICB30" s="27"/>
      <c r="ICC30" s="27"/>
      <c r="ICD30" s="27"/>
      <c r="ICE30" s="27"/>
      <c r="ICF30" s="27"/>
      <c r="ICG30" s="27"/>
      <c r="ICH30" s="27"/>
      <c r="ICI30" s="27"/>
      <c r="ICJ30" s="27"/>
      <c r="ICK30" s="27"/>
      <c r="ICL30" s="27"/>
      <c r="ICM30" s="27"/>
      <c r="ICN30" s="27"/>
      <c r="ICO30" s="27"/>
      <c r="ICP30" s="27"/>
      <c r="ICQ30" s="27"/>
      <c r="ICR30" s="27"/>
      <c r="ICS30" s="27"/>
      <c r="ICT30" s="27"/>
      <c r="ICU30" s="27"/>
      <c r="ICV30" s="27"/>
      <c r="ICW30" s="27"/>
      <c r="ICX30" s="27"/>
      <c r="ICY30" s="27"/>
      <c r="ICZ30" s="27"/>
      <c r="IDA30" s="27"/>
      <c r="IDB30" s="27"/>
      <c r="IDC30" s="27"/>
      <c r="IDD30" s="27"/>
      <c r="IDE30" s="27"/>
      <c r="IDF30" s="27"/>
      <c r="IDG30" s="27"/>
      <c r="IDH30" s="27"/>
      <c r="IDI30" s="27"/>
      <c r="IDJ30" s="27"/>
      <c r="IDK30" s="27"/>
      <c r="IDL30" s="27"/>
      <c r="IDM30" s="27"/>
      <c r="IDN30" s="27"/>
      <c r="IDO30" s="27"/>
      <c r="IDP30" s="27"/>
      <c r="IDQ30" s="27"/>
      <c r="IDR30" s="27"/>
      <c r="IDS30" s="27"/>
      <c r="IDT30" s="27"/>
      <c r="IDU30" s="27"/>
      <c r="IDV30" s="27"/>
      <c r="IDW30" s="27"/>
      <c r="IDX30" s="27"/>
      <c r="IDY30" s="27"/>
      <c r="IDZ30" s="27"/>
      <c r="IEA30" s="27"/>
      <c r="IEB30" s="27"/>
      <c r="IEC30" s="27"/>
      <c r="IED30" s="27"/>
      <c r="IEE30" s="27"/>
      <c r="IEF30" s="27"/>
      <c r="IEG30" s="27"/>
      <c r="IEH30" s="27"/>
      <c r="IEI30" s="27"/>
      <c r="IEJ30" s="27"/>
      <c r="IEK30" s="27"/>
      <c r="IEL30" s="27"/>
      <c r="IEM30" s="27"/>
      <c r="IEN30" s="27"/>
      <c r="IEO30" s="27"/>
      <c r="IEP30" s="27"/>
      <c r="IEQ30" s="27"/>
      <c r="IER30" s="27"/>
      <c r="IES30" s="27"/>
      <c r="IET30" s="27"/>
      <c r="IEU30" s="27"/>
      <c r="IEV30" s="27"/>
      <c r="IEW30" s="27"/>
      <c r="IEX30" s="27"/>
      <c r="IEY30" s="27"/>
      <c r="IEZ30" s="27"/>
      <c r="IFA30" s="27"/>
      <c r="IFB30" s="27"/>
      <c r="IFC30" s="27"/>
      <c r="IFD30" s="27"/>
      <c r="IFE30" s="27"/>
      <c r="IFF30" s="27"/>
      <c r="IFG30" s="27"/>
      <c r="IFH30" s="27"/>
      <c r="IFI30" s="27"/>
      <c r="IFJ30" s="27"/>
      <c r="IFK30" s="27"/>
      <c r="IFL30" s="27"/>
      <c r="IFM30" s="27"/>
      <c r="IFN30" s="27"/>
      <c r="IFO30" s="27"/>
      <c r="IFP30" s="27"/>
      <c r="IFQ30" s="27"/>
      <c r="IFR30" s="27"/>
      <c r="IFS30" s="27"/>
      <c r="IFT30" s="27"/>
      <c r="IFU30" s="27"/>
      <c r="IFV30" s="27"/>
      <c r="IFW30" s="27"/>
      <c r="IFX30" s="27"/>
      <c r="IFY30" s="27"/>
      <c r="IFZ30" s="27"/>
      <c r="IGA30" s="27"/>
      <c r="IGB30" s="27"/>
      <c r="IGC30" s="27"/>
      <c r="IGD30" s="27"/>
      <c r="IGE30" s="27"/>
      <c r="IGF30" s="27"/>
      <c r="IGG30" s="27"/>
      <c r="IGH30" s="27"/>
      <c r="IGI30" s="27"/>
      <c r="IGJ30" s="27"/>
      <c r="IGK30" s="27"/>
      <c r="IGL30" s="27"/>
      <c r="IGM30" s="27"/>
      <c r="IGN30" s="27"/>
      <c r="IGO30" s="27"/>
      <c r="IGP30" s="27"/>
      <c r="IGQ30" s="27"/>
      <c r="IGR30" s="27"/>
      <c r="IGS30" s="27"/>
      <c r="IGT30" s="27"/>
      <c r="IGU30" s="27"/>
      <c r="IGV30" s="27"/>
      <c r="IGW30" s="27"/>
      <c r="IGX30" s="27"/>
      <c r="IGY30" s="27"/>
      <c r="IGZ30" s="27"/>
      <c r="IHA30" s="27"/>
      <c r="IHB30" s="27"/>
      <c r="IHC30" s="27"/>
      <c r="IHD30" s="27"/>
      <c r="IHE30" s="27"/>
      <c r="IHF30" s="27"/>
      <c r="IHG30" s="27"/>
      <c r="IHH30" s="27"/>
      <c r="IHI30" s="27"/>
      <c r="IHJ30" s="27"/>
      <c r="IHK30" s="27"/>
      <c r="IHL30" s="27"/>
      <c r="IHM30" s="27"/>
      <c r="IHN30" s="27"/>
      <c r="IHO30" s="27"/>
      <c r="IHP30" s="27"/>
      <c r="IHQ30" s="27"/>
      <c r="IHR30" s="27"/>
      <c r="IHS30" s="27"/>
      <c r="IHT30" s="27"/>
      <c r="IHU30" s="27"/>
      <c r="IHV30" s="27"/>
      <c r="IHW30" s="27"/>
      <c r="IHX30" s="27"/>
      <c r="IHY30" s="27"/>
      <c r="IHZ30" s="27"/>
      <c r="IIA30" s="27"/>
      <c r="IIB30" s="27"/>
      <c r="IIC30" s="27"/>
      <c r="IID30" s="27"/>
      <c r="IIE30" s="27"/>
      <c r="IIF30" s="27"/>
      <c r="IIG30" s="27"/>
      <c r="IIH30" s="27"/>
      <c r="III30" s="27"/>
      <c r="IIJ30" s="27"/>
      <c r="IIK30" s="27"/>
      <c r="IIL30" s="27"/>
      <c r="IIM30" s="27"/>
      <c r="IIN30" s="27"/>
      <c r="IIO30" s="27"/>
      <c r="IIP30" s="27"/>
      <c r="IIQ30" s="27"/>
      <c r="IIR30" s="27"/>
      <c r="IIS30" s="27"/>
      <c r="IIT30" s="27"/>
      <c r="IIU30" s="27"/>
      <c r="IIV30" s="27"/>
      <c r="IIW30" s="27"/>
      <c r="IIX30" s="27"/>
      <c r="IIY30" s="27"/>
      <c r="IIZ30" s="27"/>
      <c r="IJA30" s="27"/>
      <c r="IJB30" s="27"/>
      <c r="IJC30" s="27"/>
      <c r="IJD30" s="27"/>
      <c r="IJE30" s="27"/>
      <c r="IJF30" s="27"/>
      <c r="IJG30" s="27"/>
      <c r="IJH30" s="27"/>
      <c r="IJI30" s="27"/>
      <c r="IJJ30" s="27"/>
      <c r="IJK30" s="27"/>
      <c r="IJL30" s="27"/>
      <c r="IJM30" s="27"/>
      <c r="IJN30" s="27"/>
      <c r="IJO30" s="27"/>
      <c r="IJP30" s="27"/>
      <c r="IJQ30" s="27"/>
      <c r="IJR30" s="27"/>
      <c r="IJS30" s="27"/>
      <c r="IJT30" s="27"/>
      <c r="IJU30" s="27"/>
      <c r="IJV30" s="27"/>
      <c r="IJW30" s="27"/>
      <c r="IJX30" s="27"/>
      <c r="IJY30" s="27"/>
      <c r="IJZ30" s="27"/>
      <c r="IKA30" s="27"/>
      <c r="IKB30" s="27"/>
      <c r="IKC30" s="27"/>
      <c r="IKD30" s="27"/>
      <c r="IKE30" s="27"/>
      <c r="IKF30" s="27"/>
      <c r="IKG30" s="27"/>
      <c r="IKH30" s="27"/>
      <c r="IKI30" s="27"/>
      <c r="IKJ30" s="27"/>
      <c r="IKK30" s="27"/>
      <c r="IKL30" s="27"/>
      <c r="IKM30" s="27"/>
      <c r="IKN30" s="27"/>
      <c r="IKO30" s="27"/>
      <c r="IKP30" s="27"/>
      <c r="IKQ30" s="27"/>
      <c r="IKR30" s="27"/>
      <c r="IKS30" s="27"/>
      <c r="IKT30" s="27"/>
      <c r="IKU30" s="27"/>
      <c r="IKV30" s="27"/>
      <c r="IKW30" s="27"/>
      <c r="IKX30" s="27"/>
      <c r="IKY30" s="27"/>
      <c r="IKZ30" s="27"/>
      <c r="ILA30" s="27"/>
      <c r="ILB30" s="27"/>
      <c r="ILC30" s="27"/>
      <c r="ILD30" s="27"/>
      <c r="ILE30" s="27"/>
      <c r="ILF30" s="27"/>
      <c r="ILG30" s="27"/>
      <c r="ILH30" s="27"/>
      <c r="ILI30" s="27"/>
      <c r="ILJ30" s="27"/>
      <c r="ILK30" s="27"/>
      <c r="ILL30" s="27"/>
      <c r="ILM30" s="27"/>
      <c r="ILN30" s="27"/>
      <c r="ILO30" s="27"/>
      <c r="ILP30" s="27"/>
      <c r="ILQ30" s="27"/>
      <c r="ILR30" s="27"/>
      <c r="ILS30" s="27"/>
      <c r="ILT30" s="27"/>
      <c r="ILU30" s="27"/>
      <c r="ILV30" s="27"/>
      <c r="ILW30" s="27"/>
      <c r="ILX30" s="27"/>
      <c r="ILY30" s="27"/>
      <c r="ILZ30" s="27"/>
      <c r="IMA30" s="27"/>
      <c r="IMB30" s="27"/>
      <c r="IMC30" s="27"/>
      <c r="IMD30" s="27"/>
      <c r="IME30" s="27"/>
      <c r="IMF30" s="27"/>
      <c r="IMG30" s="27"/>
      <c r="IMH30" s="27"/>
      <c r="IMI30" s="27"/>
      <c r="IMJ30" s="27"/>
      <c r="IMK30" s="27"/>
      <c r="IML30" s="27"/>
      <c r="IMM30" s="27"/>
      <c r="IMN30" s="27"/>
      <c r="IMO30" s="27"/>
      <c r="IMP30" s="27"/>
      <c r="IMQ30" s="27"/>
      <c r="IMR30" s="27"/>
      <c r="IMS30" s="27"/>
      <c r="IMT30" s="27"/>
      <c r="IMU30" s="27"/>
      <c r="IMV30" s="27"/>
      <c r="IMW30" s="27"/>
      <c r="IMX30" s="27"/>
      <c r="IMY30" s="27"/>
      <c r="IMZ30" s="27"/>
      <c r="INA30" s="27"/>
      <c r="INB30" s="27"/>
      <c r="INC30" s="27"/>
      <c r="IND30" s="27"/>
      <c r="INE30" s="27"/>
      <c r="INF30" s="27"/>
      <c r="ING30" s="27"/>
      <c r="INH30" s="27"/>
      <c r="INI30" s="27"/>
      <c r="INJ30" s="27"/>
      <c r="INK30" s="27"/>
      <c r="INL30" s="27"/>
      <c r="INM30" s="27"/>
      <c r="INN30" s="27"/>
      <c r="INO30" s="27"/>
      <c r="INP30" s="27"/>
      <c r="INQ30" s="27"/>
      <c r="INR30" s="27"/>
      <c r="INS30" s="27"/>
      <c r="INT30" s="27"/>
      <c r="INU30" s="27"/>
      <c r="INV30" s="27"/>
      <c r="INW30" s="27"/>
      <c r="INX30" s="27"/>
      <c r="INY30" s="27"/>
      <c r="INZ30" s="27"/>
      <c r="IOA30" s="27"/>
      <c r="IOB30" s="27"/>
      <c r="IOC30" s="27"/>
      <c r="IOD30" s="27"/>
      <c r="IOE30" s="27"/>
      <c r="IOF30" s="27"/>
      <c r="IOG30" s="27"/>
      <c r="IOH30" s="27"/>
      <c r="IOI30" s="27"/>
      <c r="IOJ30" s="27"/>
      <c r="IOK30" s="27"/>
      <c r="IOL30" s="27"/>
      <c r="IOM30" s="27"/>
      <c r="ION30" s="27"/>
      <c r="IOO30" s="27"/>
      <c r="IOP30" s="27"/>
      <c r="IOQ30" s="27"/>
      <c r="IOR30" s="27"/>
      <c r="IOS30" s="27"/>
      <c r="IOT30" s="27"/>
      <c r="IOU30" s="27"/>
      <c r="IOV30" s="27"/>
      <c r="IOW30" s="27"/>
      <c r="IOX30" s="27"/>
      <c r="IOY30" s="27"/>
      <c r="IOZ30" s="27"/>
      <c r="IPA30" s="27"/>
      <c r="IPB30" s="27"/>
      <c r="IPC30" s="27"/>
      <c r="IPD30" s="27"/>
      <c r="IPE30" s="27"/>
      <c r="IPF30" s="27"/>
      <c r="IPG30" s="27"/>
      <c r="IPH30" s="27"/>
      <c r="IPI30" s="27"/>
      <c r="IPJ30" s="27"/>
      <c r="IPK30" s="27"/>
      <c r="IPL30" s="27"/>
      <c r="IPM30" s="27"/>
      <c r="IPN30" s="27"/>
      <c r="IPO30" s="27"/>
      <c r="IPP30" s="27"/>
      <c r="IPQ30" s="27"/>
      <c r="IPR30" s="27"/>
      <c r="IPS30" s="27"/>
      <c r="IPT30" s="27"/>
      <c r="IPU30" s="27"/>
      <c r="IPV30" s="27"/>
      <c r="IPW30" s="27"/>
      <c r="IPX30" s="27"/>
      <c r="IPY30" s="27"/>
      <c r="IPZ30" s="27"/>
      <c r="IQA30" s="27"/>
      <c r="IQB30" s="27"/>
      <c r="IQC30" s="27"/>
      <c r="IQD30" s="27"/>
      <c r="IQE30" s="27"/>
      <c r="IQF30" s="27"/>
      <c r="IQG30" s="27"/>
      <c r="IQH30" s="27"/>
      <c r="IQI30" s="27"/>
      <c r="IQJ30" s="27"/>
      <c r="IQK30" s="27"/>
      <c r="IQL30" s="27"/>
      <c r="IQM30" s="27"/>
      <c r="IQN30" s="27"/>
      <c r="IQO30" s="27"/>
      <c r="IQP30" s="27"/>
      <c r="IQQ30" s="27"/>
      <c r="IQR30" s="27"/>
      <c r="IQS30" s="27"/>
      <c r="IQT30" s="27"/>
      <c r="IQU30" s="27"/>
      <c r="IQV30" s="27"/>
      <c r="IQW30" s="27"/>
      <c r="IQX30" s="27"/>
      <c r="IQY30" s="27"/>
      <c r="IQZ30" s="27"/>
      <c r="IRA30" s="27"/>
      <c r="IRB30" s="27"/>
      <c r="IRC30" s="27"/>
      <c r="IRD30" s="27"/>
      <c r="IRE30" s="27"/>
      <c r="IRF30" s="27"/>
      <c r="IRG30" s="27"/>
      <c r="IRH30" s="27"/>
      <c r="IRI30" s="27"/>
      <c r="IRJ30" s="27"/>
      <c r="IRK30" s="27"/>
      <c r="IRL30" s="27"/>
      <c r="IRM30" s="27"/>
      <c r="IRN30" s="27"/>
      <c r="IRO30" s="27"/>
      <c r="IRP30" s="27"/>
      <c r="IRQ30" s="27"/>
      <c r="IRR30" s="27"/>
      <c r="IRS30" s="27"/>
      <c r="IRT30" s="27"/>
      <c r="IRU30" s="27"/>
      <c r="IRV30" s="27"/>
      <c r="IRW30" s="27"/>
      <c r="IRX30" s="27"/>
      <c r="IRY30" s="27"/>
      <c r="IRZ30" s="27"/>
      <c r="ISA30" s="27"/>
      <c r="ISB30" s="27"/>
      <c r="ISC30" s="27"/>
      <c r="ISD30" s="27"/>
      <c r="ISE30" s="27"/>
      <c r="ISF30" s="27"/>
      <c r="ISG30" s="27"/>
      <c r="ISH30" s="27"/>
      <c r="ISI30" s="27"/>
      <c r="ISJ30" s="27"/>
      <c r="ISK30" s="27"/>
      <c r="ISL30" s="27"/>
      <c r="ISM30" s="27"/>
      <c r="ISN30" s="27"/>
      <c r="ISO30" s="27"/>
      <c r="ISP30" s="27"/>
      <c r="ISQ30" s="27"/>
      <c r="ISR30" s="27"/>
      <c r="ISS30" s="27"/>
      <c r="IST30" s="27"/>
      <c r="ISU30" s="27"/>
      <c r="ISV30" s="27"/>
      <c r="ISW30" s="27"/>
      <c r="ISX30" s="27"/>
      <c r="ISY30" s="27"/>
      <c r="ISZ30" s="27"/>
      <c r="ITA30" s="27"/>
      <c r="ITB30" s="27"/>
      <c r="ITC30" s="27"/>
      <c r="ITD30" s="27"/>
      <c r="ITE30" s="27"/>
      <c r="ITF30" s="27"/>
      <c r="ITG30" s="27"/>
      <c r="ITH30" s="27"/>
      <c r="ITI30" s="27"/>
      <c r="ITJ30" s="27"/>
      <c r="ITK30" s="27"/>
      <c r="ITL30" s="27"/>
      <c r="ITM30" s="27"/>
      <c r="ITN30" s="27"/>
      <c r="ITO30" s="27"/>
      <c r="ITP30" s="27"/>
      <c r="ITQ30" s="27"/>
      <c r="ITR30" s="27"/>
      <c r="ITS30" s="27"/>
      <c r="ITT30" s="27"/>
      <c r="ITU30" s="27"/>
      <c r="ITV30" s="27"/>
      <c r="ITW30" s="27"/>
      <c r="ITX30" s="27"/>
      <c r="ITY30" s="27"/>
      <c r="ITZ30" s="27"/>
      <c r="IUA30" s="27"/>
      <c r="IUB30" s="27"/>
      <c r="IUC30" s="27"/>
      <c r="IUD30" s="27"/>
      <c r="IUE30" s="27"/>
      <c r="IUF30" s="27"/>
      <c r="IUG30" s="27"/>
      <c r="IUH30" s="27"/>
      <c r="IUI30" s="27"/>
      <c r="IUJ30" s="27"/>
      <c r="IUK30" s="27"/>
      <c r="IUL30" s="27"/>
      <c r="IUM30" s="27"/>
      <c r="IUN30" s="27"/>
      <c r="IUO30" s="27"/>
      <c r="IUP30" s="27"/>
      <c r="IUQ30" s="27"/>
      <c r="IUR30" s="27"/>
      <c r="IUS30" s="27"/>
      <c r="IUT30" s="27"/>
      <c r="IUU30" s="27"/>
      <c r="IUV30" s="27"/>
      <c r="IUW30" s="27"/>
      <c r="IUX30" s="27"/>
      <c r="IUY30" s="27"/>
      <c r="IUZ30" s="27"/>
      <c r="IVA30" s="27"/>
      <c r="IVB30" s="27"/>
      <c r="IVC30" s="27"/>
      <c r="IVD30" s="27"/>
      <c r="IVE30" s="27"/>
      <c r="IVF30" s="27"/>
      <c r="IVG30" s="27"/>
      <c r="IVH30" s="27"/>
      <c r="IVI30" s="27"/>
      <c r="IVJ30" s="27"/>
      <c r="IVK30" s="27"/>
      <c r="IVL30" s="27"/>
      <c r="IVM30" s="27"/>
      <c r="IVN30" s="27"/>
      <c r="IVO30" s="27"/>
      <c r="IVP30" s="27"/>
      <c r="IVQ30" s="27"/>
      <c r="IVR30" s="27"/>
      <c r="IVS30" s="27"/>
      <c r="IVT30" s="27"/>
      <c r="IVU30" s="27"/>
      <c r="IVV30" s="27"/>
      <c r="IVW30" s="27"/>
      <c r="IVX30" s="27"/>
      <c r="IVY30" s="27"/>
      <c r="IVZ30" s="27"/>
      <c r="IWA30" s="27"/>
      <c r="IWB30" s="27"/>
      <c r="IWC30" s="27"/>
      <c r="IWD30" s="27"/>
      <c r="IWE30" s="27"/>
      <c r="IWF30" s="27"/>
      <c r="IWG30" s="27"/>
      <c r="IWH30" s="27"/>
      <c r="IWI30" s="27"/>
      <c r="IWJ30" s="27"/>
      <c r="IWK30" s="27"/>
      <c r="IWL30" s="27"/>
      <c r="IWM30" s="27"/>
      <c r="IWN30" s="27"/>
      <c r="IWO30" s="27"/>
      <c r="IWP30" s="27"/>
      <c r="IWQ30" s="27"/>
      <c r="IWR30" s="27"/>
      <c r="IWS30" s="27"/>
      <c r="IWT30" s="27"/>
      <c r="IWU30" s="27"/>
      <c r="IWV30" s="27"/>
      <c r="IWW30" s="27"/>
      <c r="IWX30" s="27"/>
      <c r="IWY30" s="27"/>
      <c r="IWZ30" s="27"/>
      <c r="IXA30" s="27"/>
      <c r="IXB30" s="27"/>
      <c r="IXC30" s="27"/>
      <c r="IXD30" s="27"/>
      <c r="IXE30" s="27"/>
      <c r="IXF30" s="27"/>
      <c r="IXG30" s="27"/>
      <c r="IXH30" s="27"/>
      <c r="IXI30" s="27"/>
      <c r="IXJ30" s="27"/>
      <c r="IXK30" s="27"/>
      <c r="IXL30" s="27"/>
      <c r="IXM30" s="27"/>
      <c r="IXN30" s="27"/>
      <c r="IXO30" s="27"/>
      <c r="IXP30" s="27"/>
      <c r="IXQ30" s="27"/>
      <c r="IXR30" s="27"/>
      <c r="IXS30" s="27"/>
      <c r="IXT30" s="27"/>
      <c r="IXU30" s="27"/>
      <c r="IXV30" s="27"/>
      <c r="IXW30" s="27"/>
      <c r="IXX30" s="27"/>
      <c r="IXY30" s="27"/>
      <c r="IXZ30" s="27"/>
      <c r="IYA30" s="27"/>
      <c r="IYB30" s="27"/>
      <c r="IYC30" s="27"/>
      <c r="IYD30" s="27"/>
      <c r="IYE30" s="27"/>
      <c r="IYF30" s="27"/>
      <c r="IYG30" s="27"/>
      <c r="IYH30" s="27"/>
      <c r="IYI30" s="27"/>
      <c r="IYJ30" s="27"/>
      <c r="IYK30" s="27"/>
      <c r="IYL30" s="27"/>
      <c r="IYM30" s="27"/>
      <c r="IYN30" s="27"/>
      <c r="IYO30" s="27"/>
      <c r="IYP30" s="27"/>
      <c r="IYQ30" s="27"/>
      <c r="IYR30" s="27"/>
      <c r="IYS30" s="27"/>
      <c r="IYT30" s="27"/>
      <c r="IYU30" s="27"/>
      <c r="IYV30" s="27"/>
      <c r="IYW30" s="27"/>
      <c r="IYX30" s="27"/>
      <c r="IYY30" s="27"/>
      <c r="IYZ30" s="27"/>
      <c r="IZA30" s="27"/>
      <c r="IZB30" s="27"/>
      <c r="IZC30" s="27"/>
      <c r="IZD30" s="27"/>
      <c r="IZE30" s="27"/>
      <c r="IZF30" s="27"/>
      <c r="IZG30" s="27"/>
      <c r="IZH30" s="27"/>
      <c r="IZI30" s="27"/>
      <c r="IZJ30" s="27"/>
      <c r="IZK30" s="27"/>
      <c r="IZL30" s="27"/>
      <c r="IZM30" s="27"/>
      <c r="IZN30" s="27"/>
      <c r="IZO30" s="27"/>
      <c r="IZP30" s="27"/>
      <c r="IZQ30" s="27"/>
      <c r="IZR30" s="27"/>
      <c r="IZS30" s="27"/>
      <c r="IZT30" s="27"/>
      <c r="IZU30" s="27"/>
      <c r="IZV30" s="27"/>
      <c r="IZW30" s="27"/>
      <c r="IZX30" s="27"/>
      <c r="IZY30" s="27"/>
      <c r="IZZ30" s="27"/>
      <c r="JAA30" s="27"/>
      <c r="JAB30" s="27"/>
      <c r="JAC30" s="27"/>
      <c r="JAD30" s="27"/>
      <c r="JAE30" s="27"/>
      <c r="JAF30" s="27"/>
      <c r="JAG30" s="27"/>
      <c r="JAH30" s="27"/>
      <c r="JAI30" s="27"/>
      <c r="JAJ30" s="27"/>
      <c r="JAK30" s="27"/>
      <c r="JAL30" s="27"/>
      <c r="JAM30" s="27"/>
      <c r="JAN30" s="27"/>
      <c r="JAO30" s="27"/>
      <c r="JAP30" s="27"/>
      <c r="JAQ30" s="27"/>
      <c r="JAR30" s="27"/>
      <c r="JAS30" s="27"/>
      <c r="JAT30" s="27"/>
      <c r="JAU30" s="27"/>
      <c r="JAV30" s="27"/>
      <c r="JAW30" s="27"/>
      <c r="JAX30" s="27"/>
      <c r="JAY30" s="27"/>
      <c r="JAZ30" s="27"/>
      <c r="JBA30" s="27"/>
      <c r="JBB30" s="27"/>
      <c r="JBC30" s="27"/>
      <c r="JBD30" s="27"/>
      <c r="JBE30" s="27"/>
      <c r="JBF30" s="27"/>
      <c r="JBG30" s="27"/>
      <c r="JBH30" s="27"/>
      <c r="JBI30" s="27"/>
      <c r="JBJ30" s="27"/>
      <c r="JBK30" s="27"/>
      <c r="JBL30" s="27"/>
      <c r="JBM30" s="27"/>
      <c r="JBN30" s="27"/>
      <c r="JBO30" s="27"/>
      <c r="JBP30" s="27"/>
      <c r="JBQ30" s="27"/>
      <c r="JBR30" s="27"/>
      <c r="JBS30" s="27"/>
      <c r="JBT30" s="27"/>
      <c r="JBU30" s="27"/>
      <c r="JBV30" s="27"/>
      <c r="JBW30" s="27"/>
      <c r="JBX30" s="27"/>
      <c r="JBY30" s="27"/>
      <c r="JBZ30" s="27"/>
      <c r="JCA30" s="27"/>
      <c r="JCB30" s="27"/>
      <c r="JCC30" s="27"/>
      <c r="JCD30" s="27"/>
      <c r="JCE30" s="27"/>
      <c r="JCF30" s="27"/>
      <c r="JCG30" s="27"/>
      <c r="JCH30" s="27"/>
      <c r="JCI30" s="27"/>
      <c r="JCJ30" s="27"/>
      <c r="JCK30" s="27"/>
      <c r="JCL30" s="27"/>
      <c r="JCM30" s="27"/>
      <c r="JCN30" s="27"/>
      <c r="JCO30" s="27"/>
      <c r="JCP30" s="27"/>
      <c r="JCQ30" s="27"/>
      <c r="JCR30" s="27"/>
      <c r="JCS30" s="27"/>
      <c r="JCT30" s="27"/>
      <c r="JCU30" s="27"/>
      <c r="JCV30" s="27"/>
      <c r="JCW30" s="27"/>
      <c r="JCX30" s="27"/>
      <c r="JCY30" s="27"/>
      <c r="JCZ30" s="27"/>
      <c r="JDA30" s="27"/>
      <c r="JDB30" s="27"/>
      <c r="JDC30" s="27"/>
      <c r="JDD30" s="27"/>
      <c r="JDE30" s="27"/>
      <c r="JDF30" s="27"/>
      <c r="JDG30" s="27"/>
      <c r="JDH30" s="27"/>
      <c r="JDI30" s="27"/>
      <c r="JDJ30" s="27"/>
      <c r="JDK30" s="27"/>
      <c r="JDL30" s="27"/>
      <c r="JDM30" s="27"/>
      <c r="JDN30" s="27"/>
      <c r="JDO30" s="27"/>
      <c r="JDP30" s="27"/>
      <c r="JDQ30" s="27"/>
      <c r="JDR30" s="27"/>
      <c r="JDS30" s="27"/>
      <c r="JDT30" s="27"/>
      <c r="JDU30" s="27"/>
      <c r="JDV30" s="27"/>
      <c r="JDW30" s="27"/>
      <c r="JDX30" s="27"/>
      <c r="JDY30" s="27"/>
      <c r="JDZ30" s="27"/>
      <c r="JEA30" s="27"/>
      <c r="JEB30" s="27"/>
      <c r="JEC30" s="27"/>
      <c r="JED30" s="27"/>
      <c r="JEE30" s="27"/>
      <c r="JEF30" s="27"/>
      <c r="JEG30" s="27"/>
      <c r="JEH30" s="27"/>
      <c r="JEI30" s="27"/>
      <c r="JEJ30" s="27"/>
      <c r="JEK30" s="27"/>
      <c r="JEL30" s="27"/>
      <c r="JEM30" s="27"/>
      <c r="JEN30" s="27"/>
      <c r="JEO30" s="27"/>
      <c r="JEP30" s="27"/>
      <c r="JEQ30" s="27"/>
      <c r="JER30" s="27"/>
      <c r="JES30" s="27"/>
      <c r="JET30" s="27"/>
      <c r="JEU30" s="27"/>
      <c r="JEV30" s="27"/>
      <c r="JEW30" s="27"/>
      <c r="JEX30" s="27"/>
      <c r="JEY30" s="27"/>
      <c r="JEZ30" s="27"/>
      <c r="JFA30" s="27"/>
      <c r="JFB30" s="27"/>
      <c r="JFC30" s="27"/>
      <c r="JFD30" s="27"/>
      <c r="JFE30" s="27"/>
      <c r="JFF30" s="27"/>
      <c r="JFG30" s="27"/>
      <c r="JFH30" s="27"/>
      <c r="JFI30" s="27"/>
      <c r="JFJ30" s="27"/>
      <c r="JFK30" s="27"/>
      <c r="JFL30" s="27"/>
      <c r="JFM30" s="27"/>
      <c r="JFN30" s="27"/>
      <c r="JFO30" s="27"/>
      <c r="JFP30" s="27"/>
      <c r="JFQ30" s="27"/>
      <c r="JFR30" s="27"/>
      <c r="JFS30" s="27"/>
      <c r="JFT30" s="27"/>
      <c r="JFU30" s="27"/>
      <c r="JFV30" s="27"/>
      <c r="JFW30" s="27"/>
      <c r="JFX30" s="27"/>
      <c r="JFY30" s="27"/>
      <c r="JFZ30" s="27"/>
      <c r="JGA30" s="27"/>
      <c r="JGB30" s="27"/>
      <c r="JGC30" s="27"/>
      <c r="JGD30" s="27"/>
      <c r="JGE30" s="27"/>
      <c r="JGF30" s="27"/>
      <c r="JGG30" s="27"/>
      <c r="JGH30" s="27"/>
      <c r="JGI30" s="27"/>
      <c r="JGJ30" s="27"/>
      <c r="JGK30" s="27"/>
      <c r="JGL30" s="27"/>
      <c r="JGM30" s="27"/>
      <c r="JGN30" s="27"/>
      <c r="JGO30" s="27"/>
      <c r="JGP30" s="27"/>
      <c r="JGQ30" s="27"/>
      <c r="JGR30" s="27"/>
      <c r="JGS30" s="27"/>
      <c r="JGT30" s="27"/>
      <c r="JGU30" s="27"/>
      <c r="JGV30" s="27"/>
      <c r="JGW30" s="27"/>
      <c r="JGX30" s="27"/>
      <c r="JGY30" s="27"/>
      <c r="JGZ30" s="27"/>
      <c r="JHA30" s="27"/>
      <c r="JHB30" s="27"/>
      <c r="JHC30" s="27"/>
      <c r="JHD30" s="27"/>
      <c r="JHE30" s="27"/>
      <c r="JHF30" s="27"/>
      <c r="JHG30" s="27"/>
      <c r="JHH30" s="27"/>
      <c r="JHI30" s="27"/>
      <c r="JHJ30" s="27"/>
      <c r="JHK30" s="27"/>
      <c r="JHL30" s="27"/>
      <c r="JHM30" s="27"/>
      <c r="JHN30" s="27"/>
      <c r="JHO30" s="27"/>
      <c r="JHP30" s="27"/>
      <c r="JHQ30" s="27"/>
      <c r="JHR30" s="27"/>
      <c r="JHS30" s="27"/>
      <c r="JHT30" s="27"/>
      <c r="JHU30" s="27"/>
      <c r="JHV30" s="27"/>
      <c r="JHW30" s="27"/>
      <c r="JHX30" s="27"/>
      <c r="JHY30" s="27"/>
      <c r="JHZ30" s="27"/>
      <c r="JIA30" s="27"/>
      <c r="JIB30" s="27"/>
      <c r="JIC30" s="27"/>
      <c r="JID30" s="27"/>
      <c r="JIE30" s="27"/>
      <c r="JIF30" s="27"/>
      <c r="JIG30" s="27"/>
      <c r="JIH30" s="27"/>
      <c r="JII30" s="27"/>
      <c r="JIJ30" s="27"/>
      <c r="JIK30" s="27"/>
      <c r="JIL30" s="27"/>
      <c r="JIM30" s="27"/>
      <c r="JIN30" s="27"/>
      <c r="JIO30" s="27"/>
      <c r="JIP30" s="27"/>
      <c r="JIQ30" s="27"/>
      <c r="JIR30" s="27"/>
      <c r="JIS30" s="27"/>
      <c r="JIT30" s="27"/>
      <c r="JIU30" s="27"/>
      <c r="JIV30" s="27"/>
      <c r="JIW30" s="27"/>
      <c r="JIX30" s="27"/>
      <c r="JIY30" s="27"/>
      <c r="JIZ30" s="27"/>
      <c r="JJA30" s="27"/>
      <c r="JJB30" s="27"/>
      <c r="JJC30" s="27"/>
      <c r="JJD30" s="27"/>
      <c r="JJE30" s="27"/>
      <c r="JJF30" s="27"/>
      <c r="JJG30" s="27"/>
      <c r="JJH30" s="27"/>
      <c r="JJI30" s="27"/>
      <c r="JJJ30" s="27"/>
      <c r="JJK30" s="27"/>
      <c r="JJL30" s="27"/>
      <c r="JJM30" s="27"/>
      <c r="JJN30" s="27"/>
      <c r="JJO30" s="27"/>
      <c r="JJP30" s="27"/>
      <c r="JJQ30" s="27"/>
      <c r="JJR30" s="27"/>
      <c r="JJS30" s="27"/>
      <c r="JJT30" s="27"/>
      <c r="JJU30" s="27"/>
      <c r="JJV30" s="27"/>
      <c r="JJW30" s="27"/>
      <c r="JJX30" s="27"/>
      <c r="JJY30" s="27"/>
      <c r="JJZ30" s="27"/>
      <c r="JKA30" s="27"/>
      <c r="JKB30" s="27"/>
      <c r="JKC30" s="27"/>
      <c r="JKD30" s="27"/>
      <c r="JKE30" s="27"/>
      <c r="JKF30" s="27"/>
      <c r="JKG30" s="27"/>
      <c r="JKH30" s="27"/>
      <c r="JKI30" s="27"/>
      <c r="JKJ30" s="27"/>
      <c r="JKK30" s="27"/>
      <c r="JKL30" s="27"/>
      <c r="JKM30" s="27"/>
      <c r="JKN30" s="27"/>
      <c r="JKO30" s="27"/>
      <c r="JKP30" s="27"/>
      <c r="JKQ30" s="27"/>
      <c r="JKR30" s="27"/>
      <c r="JKS30" s="27"/>
      <c r="JKT30" s="27"/>
      <c r="JKU30" s="27"/>
      <c r="JKV30" s="27"/>
      <c r="JKW30" s="27"/>
      <c r="JKX30" s="27"/>
      <c r="JKY30" s="27"/>
      <c r="JKZ30" s="27"/>
      <c r="JLA30" s="27"/>
      <c r="JLB30" s="27"/>
      <c r="JLC30" s="27"/>
      <c r="JLD30" s="27"/>
      <c r="JLE30" s="27"/>
      <c r="JLF30" s="27"/>
      <c r="JLG30" s="27"/>
      <c r="JLH30" s="27"/>
      <c r="JLI30" s="27"/>
      <c r="JLJ30" s="27"/>
      <c r="JLK30" s="27"/>
      <c r="JLL30" s="27"/>
      <c r="JLM30" s="27"/>
      <c r="JLN30" s="27"/>
      <c r="JLO30" s="27"/>
      <c r="JLP30" s="27"/>
      <c r="JLQ30" s="27"/>
      <c r="JLR30" s="27"/>
      <c r="JLS30" s="27"/>
      <c r="JLT30" s="27"/>
      <c r="JLU30" s="27"/>
      <c r="JLV30" s="27"/>
      <c r="JLW30" s="27"/>
      <c r="JLX30" s="27"/>
      <c r="JLY30" s="27"/>
      <c r="JLZ30" s="27"/>
      <c r="JMA30" s="27"/>
      <c r="JMB30" s="27"/>
      <c r="JMC30" s="27"/>
      <c r="JMD30" s="27"/>
      <c r="JME30" s="27"/>
      <c r="JMF30" s="27"/>
      <c r="JMG30" s="27"/>
      <c r="JMH30" s="27"/>
      <c r="JMI30" s="27"/>
      <c r="JMJ30" s="27"/>
      <c r="JMK30" s="27"/>
      <c r="JML30" s="27"/>
      <c r="JMM30" s="27"/>
      <c r="JMN30" s="27"/>
      <c r="JMO30" s="27"/>
      <c r="JMP30" s="27"/>
      <c r="JMQ30" s="27"/>
      <c r="JMR30" s="27"/>
      <c r="JMS30" s="27"/>
      <c r="JMT30" s="27"/>
      <c r="JMU30" s="27"/>
      <c r="JMV30" s="27"/>
      <c r="JMW30" s="27"/>
      <c r="JMX30" s="27"/>
      <c r="JMY30" s="27"/>
      <c r="JMZ30" s="27"/>
      <c r="JNA30" s="27"/>
      <c r="JNB30" s="27"/>
      <c r="JNC30" s="27"/>
      <c r="JND30" s="27"/>
      <c r="JNE30" s="27"/>
      <c r="JNF30" s="27"/>
      <c r="JNG30" s="27"/>
      <c r="JNH30" s="27"/>
      <c r="JNI30" s="27"/>
      <c r="JNJ30" s="27"/>
      <c r="JNK30" s="27"/>
      <c r="JNL30" s="27"/>
      <c r="JNM30" s="27"/>
      <c r="JNN30" s="27"/>
      <c r="JNO30" s="27"/>
      <c r="JNP30" s="27"/>
      <c r="JNQ30" s="27"/>
      <c r="JNR30" s="27"/>
      <c r="JNS30" s="27"/>
      <c r="JNT30" s="27"/>
      <c r="JNU30" s="27"/>
      <c r="JNV30" s="27"/>
      <c r="JNW30" s="27"/>
      <c r="JNX30" s="27"/>
      <c r="JNY30" s="27"/>
      <c r="JNZ30" s="27"/>
      <c r="JOA30" s="27"/>
      <c r="JOB30" s="27"/>
      <c r="JOC30" s="27"/>
      <c r="JOD30" s="27"/>
      <c r="JOE30" s="27"/>
      <c r="JOF30" s="27"/>
      <c r="JOG30" s="27"/>
      <c r="JOH30" s="27"/>
      <c r="JOI30" s="27"/>
      <c r="JOJ30" s="27"/>
      <c r="JOK30" s="27"/>
      <c r="JOL30" s="27"/>
      <c r="JOM30" s="27"/>
      <c r="JON30" s="27"/>
      <c r="JOO30" s="27"/>
      <c r="JOP30" s="27"/>
      <c r="JOQ30" s="27"/>
      <c r="JOR30" s="27"/>
      <c r="JOS30" s="27"/>
      <c r="JOT30" s="27"/>
      <c r="JOU30" s="27"/>
      <c r="JOV30" s="27"/>
      <c r="JOW30" s="27"/>
      <c r="JOX30" s="27"/>
      <c r="JOY30" s="27"/>
      <c r="JOZ30" s="27"/>
      <c r="JPA30" s="27"/>
      <c r="JPB30" s="27"/>
      <c r="JPC30" s="27"/>
      <c r="JPD30" s="27"/>
      <c r="JPE30" s="27"/>
      <c r="JPF30" s="27"/>
      <c r="JPG30" s="27"/>
      <c r="JPH30" s="27"/>
      <c r="JPI30" s="27"/>
      <c r="JPJ30" s="27"/>
      <c r="JPK30" s="27"/>
      <c r="JPL30" s="27"/>
      <c r="JPM30" s="27"/>
      <c r="JPN30" s="27"/>
      <c r="JPO30" s="27"/>
      <c r="JPP30" s="27"/>
      <c r="JPQ30" s="27"/>
      <c r="JPR30" s="27"/>
      <c r="JPS30" s="27"/>
      <c r="JPT30" s="27"/>
      <c r="JPU30" s="27"/>
      <c r="JPV30" s="27"/>
      <c r="JPW30" s="27"/>
      <c r="JPX30" s="27"/>
      <c r="JPY30" s="27"/>
      <c r="JPZ30" s="27"/>
      <c r="JQA30" s="27"/>
      <c r="JQB30" s="27"/>
      <c r="JQC30" s="27"/>
      <c r="JQD30" s="27"/>
      <c r="JQE30" s="27"/>
      <c r="JQF30" s="27"/>
      <c r="JQG30" s="27"/>
      <c r="JQH30" s="27"/>
      <c r="JQI30" s="27"/>
      <c r="JQJ30" s="27"/>
      <c r="JQK30" s="27"/>
      <c r="JQL30" s="27"/>
      <c r="JQM30" s="27"/>
      <c r="JQN30" s="27"/>
      <c r="JQO30" s="27"/>
      <c r="JQP30" s="27"/>
      <c r="JQQ30" s="27"/>
      <c r="JQR30" s="27"/>
      <c r="JQS30" s="27"/>
      <c r="JQT30" s="27"/>
      <c r="JQU30" s="27"/>
      <c r="JQV30" s="27"/>
      <c r="JQW30" s="27"/>
      <c r="JQX30" s="27"/>
      <c r="JQY30" s="27"/>
      <c r="JQZ30" s="27"/>
      <c r="JRA30" s="27"/>
      <c r="JRB30" s="27"/>
      <c r="JRC30" s="27"/>
      <c r="JRD30" s="27"/>
      <c r="JRE30" s="27"/>
      <c r="JRF30" s="27"/>
      <c r="JRG30" s="27"/>
      <c r="JRH30" s="27"/>
      <c r="JRI30" s="27"/>
      <c r="JRJ30" s="27"/>
      <c r="JRK30" s="27"/>
      <c r="JRL30" s="27"/>
      <c r="JRM30" s="27"/>
      <c r="JRN30" s="27"/>
      <c r="JRO30" s="27"/>
      <c r="JRP30" s="27"/>
      <c r="JRQ30" s="27"/>
      <c r="JRR30" s="27"/>
      <c r="JRS30" s="27"/>
      <c r="JRT30" s="27"/>
      <c r="JRU30" s="27"/>
      <c r="JRV30" s="27"/>
      <c r="JRW30" s="27"/>
      <c r="JRX30" s="27"/>
      <c r="JRY30" s="27"/>
      <c r="JRZ30" s="27"/>
      <c r="JSA30" s="27"/>
      <c r="JSB30" s="27"/>
      <c r="JSC30" s="27"/>
      <c r="JSD30" s="27"/>
      <c r="JSE30" s="27"/>
      <c r="JSF30" s="27"/>
      <c r="JSG30" s="27"/>
      <c r="JSH30" s="27"/>
      <c r="JSI30" s="27"/>
      <c r="JSJ30" s="27"/>
      <c r="JSK30" s="27"/>
      <c r="JSL30" s="27"/>
      <c r="JSM30" s="27"/>
      <c r="JSN30" s="27"/>
      <c r="JSO30" s="27"/>
      <c r="JSP30" s="27"/>
      <c r="JSQ30" s="27"/>
      <c r="JSR30" s="27"/>
      <c r="JSS30" s="27"/>
      <c r="JST30" s="27"/>
      <c r="JSU30" s="27"/>
      <c r="JSV30" s="27"/>
      <c r="JSW30" s="27"/>
      <c r="JSX30" s="27"/>
      <c r="JSY30" s="27"/>
      <c r="JSZ30" s="27"/>
      <c r="JTA30" s="27"/>
      <c r="JTB30" s="27"/>
      <c r="JTC30" s="27"/>
      <c r="JTD30" s="27"/>
      <c r="JTE30" s="27"/>
      <c r="JTF30" s="27"/>
      <c r="JTG30" s="27"/>
      <c r="JTH30" s="27"/>
      <c r="JTI30" s="27"/>
      <c r="JTJ30" s="27"/>
      <c r="JTK30" s="27"/>
      <c r="JTL30" s="27"/>
      <c r="JTM30" s="27"/>
      <c r="JTN30" s="27"/>
      <c r="JTO30" s="27"/>
      <c r="JTP30" s="27"/>
      <c r="JTQ30" s="27"/>
      <c r="JTR30" s="27"/>
      <c r="JTS30" s="27"/>
      <c r="JTT30" s="27"/>
      <c r="JTU30" s="27"/>
      <c r="JTV30" s="27"/>
      <c r="JTW30" s="27"/>
      <c r="JTX30" s="27"/>
      <c r="JTY30" s="27"/>
      <c r="JTZ30" s="27"/>
      <c r="JUA30" s="27"/>
      <c r="JUB30" s="27"/>
      <c r="JUC30" s="27"/>
      <c r="JUD30" s="27"/>
      <c r="JUE30" s="27"/>
      <c r="JUF30" s="27"/>
      <c r="JUG30" s="27"/>
      <c r="JUH30" s="27"/>
      <c r="JUI30" s="27"/>
      <c r="JUJ30" s="27"/>
      <c r="JUK30" s="27"/>
      <c r="JUL30" s="27"/>
      <c r="JUM30" s="27"/>
      <c r="JUN30" s="27"/>
      <c r="JUO30" s="27"/>
      <c r="JUP30" s="27"/>
      <c r="JUQ30" s="27"/>
      <c r="JUR30" s="27"/>
      <c r="JUS30" s="27"/>
      <c r="JUT30" s="27"/>
      <c r="JUU30" s="27"/>
      <c r="JUV30" s="27"/>
      <c r="JUW30" s="27"/>
      <c r="JUX30" s="27"/>
      <c r="JUY30" s="27"/>
      <c r="JUZ30" s="27"/>
      <c r="JVA30" s="27"/>
      <c r="JVB30" s="27"/>
      <c r="JVC30" s="27"/>
      <c r="JVD30" s="27"/>
      <c r="JVE30" s="27"/>
      <c r="JVF30" s="27"/>
      <c r="JVG30" s="27"/>
      <c r="JVH30" s="27"/>
      <c r="JVI30" s="27"/>
      <c r="JVJ30" s="27"/>
      <c r="JVK30" s="27"/>
      <c r="JVL30" s="27"/>
      <c r="JVM30" s="27"/>
      <c r="JVN30" s="27"/>
      <c r="JVO30" s="27"/>
      <c r="JVP30" s="27"/>
      <c r="JVQ30" s="27"/>
      <c r="JVR30" s="27"/>
      <c r="JVS30" s="27"/>
      <c r="JVT30" s="27"/>
      <c r="JVU30" s="27"/>
      <c r="JVV30" s="27"/>
      <c r="JVW30" s="27"/>
      <c r="JVX30" s="27"/>
      <c r="JVY30" s="27"/>
      <c r="JVZ30" s="27"/>
      <c r="JWA30" s="27"/>
      <c r="JWB30" s="27"/>
      <c r="JWC30" s="27"/>
      <c r="JWD30" s="27"/>
      <c r="JWE30" s="27"/>
      <c r="JWF30" s="27"/>
      <c r="JWG30" s="27"/>
      <c r="JWH30" s="27"/>
      <c r="JWI30" s="27"/>
      <c r="JWJ30" s="27"/>
      <c r="JWK30" s="27"/>
      <c r="JWL30" s="27"/>
      <c r="JWM30" s="27"/>
      <c r="JWN30" s="27"/>
      <c r="JWO30" s="27"/>
      <c r="JWP30" s="27"/>
      <c r="JWQ30" s="27"/>
      <c r="JWR30" s="27"/>
      <c r="JWS30" s="27"/>
      <c r="JWT30" s="27"/>
      <c r="JWU30" s="27"/>
      <c r="JWV30" s="27"/>
      <c r="JWW30" s="27"/>
      <c r="JWX30" s="27"/>
      <c r="JWY30" s="27"/>
      <c r="JWZ30" s="27"/>
      <c r="JXA30" s="27"/>
      <c r="JXB30" s="27"/>
      <c r="JXC30" s="27"/>
      <c r="JXD30" s="27"/>
      <c r="JXE30" s="27"/>
      <c r="JXF30" s="27"/>
      <c r="JXG30" s="27"/>
      <c r="JXH30" s="27"/>
      <c r="JXI30" s="27"/>
      <c r="JXJ30" s="27"/>
      <c r="JXK30" s="27"/>
      <c r="JXL30" s="27"/>
      <c r="JXM30" s="27"/>
      <c r="JXN30" s="27"/>
      <c r="JXO30" s="27"/>
      <c r="JXP30" s="27"/>
      <c r="JXQ30" s="27"/>
      <c r="JXR30" s="27"/>
      <c r="JXS30" s="27"/>
      <c r="JXT30" s="27"/>
      <c r="JXU30" s="27"/>
      <c r="JXV30" s="27"/>
      <c r="JXW30" s="27"/>
      <c r="JXX30" s="27"/>
      <c r="JXY30" s="27"/>
      <c r="JXZ30" s="27"/>
      <c r="JYA30" s="27"/>
      <c r="JYB30" s="27"/>
      <c r="JYC30" s="27"/>
      <c r="JYD30" s="27"/>
      <c r="JYE30" s="27"/>
      <c r="JYF30" s="27"/>
      <c r="JYG30" s="27"/>
      <c r="JYH30" s="27"/>
      <c r="JYI30" s="27"/>
      <c r="JYJ30" s="27"/>
      <c r="JYK30" s="27"/>
      <c r="JYL30" s="27"/>
      <c r="JYM30" s="27"/>
      <c r="JYN30" s="27"/>
      <c r="JYO30" s="27"/>
      <c r="JYP30" s="27"/>
      <c r="JYQ30" s="27"/>
      <c r="JYR30" s="27"/>
      <c r="JYS30" s="27"/>
      <c r="JYT30" s="27"/>
      <c r="JYU30" s="27"/>
      <c r="JYV30" s="27"/>
      <c r="JYW30" s="27"/>
      <c r="JYX30" s="27"/>
      <c r="JYY30" s="27"/>
      <c r="JYZ30" s="27"/>
      <c r="JZA30" s="27"/>
      <c r="JZB30" s="27"/>
      <c r="JZC30" s="27"/>
      <c r="JZD30" s="27"/>
      <c r="JZE30" s="27"/>
      <c r="JZF30" s="27"/>
      <c r="JZG30" s="27"/>
      <c r="JZH30" s="27"/>
      <c r="JZI30" s="27"/>
      <c r="JZJ30" s="27"/>
      <c r="JZK30" s="27"/>
      <c r="JZL30" s="27"/>
      <c r="JZM30" s="27"/>
      <c r="JZN30" s="27"/>
      <c r="JZO30" s="27"/>
      <c r="JZP30" s="27"/>
      <c r="JZQ30" s="27"/>
      <c r="JZR30" s="27"/>
      <c r="JZS30" s="27"/>
      <c r="JZT30" s="27"/>
      <c r="JZU30" s="27"/>
      <c r="JZV30" s="27"/>
      <c r="JZW30" s="27"/>
      <c r="JZX30" s="27"/>
      <c r="JZY30" s="27"/>
      <c r="JZZ30" s="27"/>
      <c r="KAA30" s="27"/>
      <c r="KAB30" s="27"/>
      <c r="KAC30" s="27"/>
      <c r="KAD30" s="27"/>
      <c r="KAE30" s="27"/>
      <c r="KAF30" s="27"/>
      <c r="KAG30" s="27"/>
      <c r="KAH30" s="27"/>
      <c r="KAI30" s="27"/>
      <c r="KAJ30" s="27"/>
      <c r="KAK30" s="27"/>
      <c r="KAL30" s="27"/>
      <c r="KAM30" s="27"/>
      <c r="KAN30" s="27"/>
      <c r="KAO30" s="27"/>
      <c r="KAP30" s="27"/>
      <c r="KAQ30" s="27"/>
      <c r="KAR30" s="27"/>
      <c r="KAS30" s="27"/>
      <c r="KAT30" s="27"/>
      <c r="KAU30" s="27"/>
      <c r="KAV30" s="27"/>
      <c r="KAW30" s="27"/>
      <c r="KAX30" s="27"/>
      <c r="KAY30" s="27"/>
      <c r="KAZ30" s="27"/>
      <c r="KBA30" s="27"/>
      <c r="KBB30" s="27"/>
      <c r="KBC30" s="27"/>
      <c r="KBD30" s="27"/>
      <c r="KBE30" s="27"/>
      <c r="KBF30" s="27"/>
      <c r="KBG30" s="27"/>
      <c r="KBH30" s="27"/>
      <c r="KBI30" s="27"/>
      <c r="KBJ30" s="27"/>
      <c r="KBK30" s="27"/>
      <c r="KBL30" s="27"/>
      <c r="KBM30" s="27"/>
      <c r="KBN30" s="27"/>
      <c r="KBO30" s="27"/>
      <c r="KBP30" s="27"/>
      <c r="KBQ30" s="27"/>
      <c r="KBR30" s="27"/>
      <c r="KBS30" s="27"/>
      <c r="KBT30" s="27"/>
      <c r="KBU30" s="27"/>
      <c r="KBV30" s="27"/>
      <c r="KBW30" s="27"/>
      <c r="KBX30" s="27"/>
      <c r="KBY30" s="27"/>
      <c r="KBZ30" s="27"/>
      <c r="KCA30" s="27"/>
      <c r="KCB30" s="27"/>
      <c r="KCC30" s="27"/>
      <c r="KCD30" s="27"/>
      <c r="KCE30" s="27"/>
      <c r="KCF30" s="27"/>
      <c r="KCG30" s="27"/>
      <c r="KCH30" s="27"/>
      <c r="KCI30" s="27"/>
      <c r="KCJ30" s="27"/>
      <c r="KCK30" s="27"/>
      <c r="KCL30" s="27"/>
      <c r="KCM30" s="27"/>
      <c r="KCN30" s="27"/>
      <c r="KCO30" s="27"/>
      <c r="KCP30" s="27"/>
      <c r="KCQ30" s="27"/>
      <c r="KCR30" s="27"/>
      <c r="KCS30" s="27"/>
      <c r="KCT30" s="27"/>
      <c r="KCU30" s="27"/>
      <c r="KCV30" s="27"/>
      <c r="KCW30" s="27"/>
      <c r="KCX30" s="27"/>
      <c r="KCY30" s="27"/>
      <c r="KCZ30" s="27"/>
      <c r="KDA30" s="27"/>
      <c r="KDB30" s="27"/>
      <c r="KDC30" s="27"/>
      <c r="KDD30" s="27"/>
      <c r="KDE30" s="27"/>
      <c r="KDF30" s="27"/>
      <c r="KDG30" s="27"/>
      <c r="KDH30" s="27"/>
      <c r="KDI30" s="27"/>
      <c r="KDJ30" s="27"/>
      <c r="KDK30" s="27"/>
      <c r="KDL30" s="27"/>
      <c r="KDM30" s="27"/>
      <c r="KDN30" s="27"/>
      <c r="KDO30" s="27"/>
      <c r="KDP30" s="27"/>
      <c r="KDQ30" s="27"/>
      <c r="KDR30" s="27"/>
      <c r="KDS30" s="27"/>
      <c r="KDT30" s="27"/>
      <c r="KDU30" s="27"/>
      <c r="KDV30" s="27"/>
      <c r="KDW30" s="27"/>
      <c r="KDX30" s="27"/>
      <c r="KDY30" s="27"/>
      <c r="KDZ30" s="27"/>
      <c r="KEA30" s="27"/>
      <c r="KEB30" s="27"/>
      <c r="KEC30" s="27"/>
      <c r="KED30" s="27"/>
      <c r="KEE30" s="27"/>
      <c r="KEF30" s="27"/>
      <c r="KEG30" s="27"/>
      <c r="KEH30" s="27"/>
      <c r="KEI30" s="27"/>
      <c r="KEJ30" s="27"/>
      <c r="KEK30" s="27"/>
      <c r="KEL30" s="27"/>
      <c r="KEM30" s="27"/>
      <c r="KEN30" s="27"/>
      <c r="KEO30" s="27"/>
      <c r="KEP30" s="27"/>
      <c r="KEQ30" s="27"/>
      <c r="KER30" s="27"/>
      <c r="KES30" s="27"/>
      <c r="KET30" s="27"/>
      <c r="KEU30" s="27"/>
      <c r="KEV30" s="27"/>
      <c r="KEW30" s="27"/>
      <c r="KEX30" s="27"/>
      <c r="KEY30" s="27"/>
      <c r="KEZ30" s="27"/>
      <c r="KFA30" s="27"/>
      <c r="KFB30" s="27"/>
      <c r="KFC30" s="27"/>
      <c r="KFD30" s="27"/>
      <c r="KFE30" s="27"/>
      <c r="KFF30" s="27"/>
      <c r="KFG30" s="27"/>
      <c r="KFH30" s="27"/>
      <c r="KFI30" s="27"/>
      <c r="KFJ30" s="27"/>
      <c r="KFK30" s="27"/>
      <c r="KFL30" s="27"/>
      <c r="KFM30" s="27"/>
      <c r="KFN30" s="27"/>
      <c r="KFO30" s="27"/>
      <c r="KFP30" s="27"/>
      <c r="KFQ30" s="27"/>
      <c r="KFR30" s="27"/>
      <c r="KFS30" s="27"/>
      <c r="KFT30" s="27"/>
      <c r="KFU30" s="27"/>
      <c r="KFV30" s="27"/>
      <c r="KFW30" s="27"/>
      <c r="KFX30" s="27"/>
      <c r="KFY30" s="27"/>
      <c r="KFZ30" s="27"/>
      <c r="KGA30" s="27"/>
      <c r="KGB30" s="27"/>
      <c r="KGC30" s="27"/>
      <c r="KGD30" s="27"/>
      <c r="KGE30" s="27"/>
      <c r="KGF30" s="27"/>
      <c r="KGG30" s="27"/>
      <c r="KGH30" s="27"/>
      <c r="KGI30" s="27"/>
      <c r="KGJ30" s="27"/>
      <c r="KGK30" s="27"/>
      <c r="KGL30" s="27"/>
      <c r="KGM30" s="27"/>
      <c r="KGN30" s="27"/>
      <c r="KGO30" s="27"/>
      <c r="KGP30" s="27"/>
      <c r="KGQ30" s="27"/>
      <c r="KGR30" s="27"/>
      <c r="KGS30" s="27"/>
      <c r="KGT30" s="27"/>
      <c r="KGU30" s="27"/>
      <c r="KGV30" s="27"/>
      <c r="KGW30" s="27"/>
      <c r="KGX30" s="27"/>
      <c r="KGY30" s="27"/>
      <c r="KGZ30" s="27"/>
      <c r="KHA30" s="27"/>
      <c r="KHB30" s="27"/>
      <c r="KHC30" s="27"/>
      <c r="KHD30" s="27"/>
      <c r="KHE30" s="27"/>
      <c r="KHF30" s="27"/>
      <c r="KHG30" s="27"/>
      <c r="KHH30" s="27"/>
      <c r="KHI30" s="27"/>
      <c r="KHJ30" s="27"/>
      <c r="KHK30" s="27"/>
      <c r="KHL30" s="27"/>
      <c r="KHM30" s="27"/>
      <c r="KHN30" s="27"/>
      <c r="KHO30" s="27"/>
      <c r="KHP30" s="27"/>
      <c r="KHQ30" s="27"/>
      <c r="KHR30" s="27"/>
      <c r="KHS30" s="27"/>
      <c r="KHT30" s="27"/>
      <c r="KHU30" s="27"/>
      <c r="KHV30" s="27"/>
      <c r="KHW30" s="27"/>
      <c r="KHX30" s="27"/>
      <c r="KHY30" s="27"/>
      <c r="KHZ30" s="27"/>
      <c r="KIA30" s="27"/>
      <c r="KIB30" s="27"/>
      <c r="KIC30" s="27"/>
      <c r="KID30" s="27"/>
      <c r="KIE30" s="27"/>
      <c r="KIF30" s="27"/>
      <c r="KIG30" s="27"/>
      <c r="KIH30" s="27"/>
      <c r="KII30" s="27"/>
      <c r="KIJ30" s="27"/>
      <c r="KIK30" s="27"/>
      <c r="KIL30" s="27"/>
      <c r="KIM30" s="27"/>
      <c r="KIN30" s="27"/>
      <c r="KIO30" s="27"/>
      <c r="KIP30" s="27"/>
      <c r="KIQ30" s="27"/>
      <c r="KIR30" s="27"/>
      <c r="KIS30" s="27"/>
      <c r="KIT30" s="27"/>
      <c r="KIU30" s="27"/>
      <c r="KIV30" s="27"/>
      <c r="KIW30" s="27"/>
      <c r="KIX30" s="27"/>
      <c r="KIY30" s="27"/>
      <c r="KIZ30" s="27"/>
      <c r="KJA30" s="27"/>
      <c r="KJB30" s="27"/>
      <c r="KJC30" s="27"/>
      <c r="KJD30" s="27"/>
      <c r="KJE30" s="27"/>
      <c r="KJF30" s="27"/>
      <c r="KJG30" s="27"/>
      <c r="KJH30" s="27"/>
      <c r="KJI30" s="27"/>
      <c r="KJJ30" s="27"/>
      <c r="KJK30" s="27"/>
      <c r="KJL30" s="27"/>
      <c r="KJM30" s="27"/>
      <c r="KJN30" s="27"/>
      <c r="KJO30" s="27"/>
      <c r="KJP30" s="27"/>
      <c r="KJQ30" s="27"/>
      <c r="KJR30" s="27"/>
      <c r="KJS30" s="27"/>
      <c r="KJT30" s="27"/>
      <c r="KJU30" s="27"/>
      <c r="KJV30" s="27"/>
      <c r="KJW30" s="27"/>
      <c r="KJX30" s="27"/>
      <c r="KJY30" s="27"/>
      <c r="KJZ30" s="27"/>
      <c r="KKA30" s="27"/>
      <c r="KKB30" s="27"/>
      <c r="KKC30" s="27"/>
      <c r="KKD30" s="27"/>
      <c r="KKE30" s="27"/>
      <c r="KKF30" s="27"/>
      <c r="KKG30" s="27"/>
      <c r="KKH30" s="27"/>
      <c r="KKI30" s="27"/>
      <c r="KKJ30" s="27"/>
      <c r="KKK30" s="27"/>
      <c r="KKL30" s="27"/>
      <c r="KKM30" s="27"/>
      <c r="KKN30" s="27"/>
      <c r="KKO30" s="27"/>
      <c r="KKP30" s="27"/>
      <c r="KKQ30" s="27"/>
      <c r="KKR30" s="27"/>
      <c r="KKS30" s="27"/>
      <c r="KKT30" s="27"/>
      <c r="KKU30" s="27"/>
      <c r="KKV30" s="27"/>
      <c r="KKW30" s="27"/>
      <c r="KKX30" s="27"/>
      <c r="KKY30" s="27"/>
      <c r="KKZ30" s="27"/>
      <c r="KLA30" s="27"/>
      <c r="KLB30" s="27"/>
      <c r="KLC30" s="27"/>
      <c r="KLD30" s="27"/>
      <c r="KLE30" s="27"/>
      <c r="KLF30" s="27"/>
      <c r="KLG30" s="27"/>
      <c r="KLH30" s="27"/>
      <c r="KLI30" s="27"/>
      <c r="KLJ30" s="27"/>
      <c r="KLK30" s="27"/>
      <c r="KLL30" s="27"/>
      <c r="KLM30" s="27"/>
      <c r="KLN30" s="27"/>
      <c r="KLO30" s="27"/>
      <c r="KLP30" s="27"/>
      <c r="KLQ30" s="27"/>
      <c r="KLR30" s="27"/>
      <c r="KLS30" s="27"/>
      <c r="KLT30" s="27"/>
      <c r="KLU30" s="27"/>
      <c r="KLV30" s="27"/>
      <c r="KLW30" s="27"/>
      <c r="KLX30" s="27"/>
      <c r="KLY30" s="27"/>
      <c r="KLZ30" s="27"/>
      <c r="KMA30" s="27"/>
      <c r="KMB30" s="27"/>
      <c r="KMC30" s="27"/>
      <c r="KMD30" s="27"/>
      <c r="KME30" s="27"/>
      <c r="KMF30" s="27"/>
      <c r="KMG30" s="27"/>
      <c r="KMH30" s="27"/>
      <c r="KMI30" s="27"/>
      <c r="KMJ30" s="27"/>
      <c r="KMK30" s="27"/>
      <c r="KML30" s="27"/>
      <c r="KMM30" s="27"/>
      <c r="KMN30" s="27"/>
      <c r="KMO30" s="27"/>
      <c r="KMP30" s="27"/>
      <c r="KMQ30" s="27"/>
      <c r="KMR30" s="27"/>
      <c r="KMS30" s="27"/>
      <c r="KMT30" s="27"/>
      <c r="KMU30" s="27"/>
      <c r="KMV30" s="27"/>
      <c r="KMW30" s="27"/>
      <c r="KMX30" s="27"/>
      <c r="KMY30" s="27"/>
      <c r="KMZ30" s="27"/>
      <c r="KNA30" s="27"/>
      <c r="KNB30" s="27"/>
      <c r="KNC30" s="27"/>
      <c r="KND30" s="27"/>
      <c r="KNE30" s="27"/>
      <c r="KNF30" s="27"/>
      <c r="KNG30" s="27"/>
      <c r="KNH30" s="27"/>
      <c r="KNI30" s="27"/>
      <c r="KNJ30" s="27"/>
      <c r="KNK30" s="27"/>
      <c r="KNL30" s="27"/>
      <c r="KNM30" s="27"/>
      <c r="KNN30" s="27"/>
      <c r="KNO30" s="27"/>
      <c r="KNP30" s="27"/>
      <c r="KNQ30" s="27"/>
      <c r="KNR30" s="27"/>
      <c r="KNS30" s="27"/>
      <c r="KNT30" s="27"/>
      <c r="KNU30" s="27"/>
      <c r="KNV30" s="27"/>
      <c r="KNW30" s="27"/>
      <c r="KNX30" s="27"/>
      <c r="KNY30" s="27"/>
      <c r="KNZ30" s="27"/>
      <c r="KOA30" s="27"/>
      <c r="KOB30" s="27"/>
      <c r="KOC30" s="27"/>
      <c r="KOD30" s="27"/>
      <c r="KOE30" s="27"/>
      <c r="KOF30" s="27"/>
      <c r="KOG30" s="27"/>
      <c r="KOH30" s="27"/>
      <c r="KOI30" s="27"/>
      <c r="KOJ30" s="27"/>
      <c r="KOK30" s="27"/>
      <c r="KOL30" s="27"/>
      <c r="KOM30" s="27"/>
      <c r="KON30" s="27"/>
      <c r="KOO30" s="27"/>
      <c r="KOP30" s="27"/>
      <c r="KOQ30" s="27"/>
      <c r="KOR30" s="27"/>
      <c r="KOS30" s="27"/>
      <c r="KOT30" s="27"/>
      <c r="KOU30" s="27"/>
      <c r="KOV30" s="27"/>
      <c r="KOW30" s="27"/>
      <c r="KOX30" s="27"/>
      <c r="KOY30" s="27"/>
      <c r="KOZ30" s="27"/>
      <c r="KPA30" s="27"/>
      <c r="KPB30" s="27"/>
      <c r="KPC30" s="27"/>
      <c r="KPD30" s="27"/>
      <c r="KPE30" s="27"/>
      <c r="KPF30" s="27"/>
      <c r="KPG30" s="27"/>
      <c r="KPH30" s="27"/>
      <c r="KPI30" s="27"/>
      <c r="KPJ30" s="27"/>
      <c r="KPK30" s="27"/>
      <c r="KPL30" s="27"/>
      <c r="KPM30" s="27"/>
      <c r="KPN30" s="27"/>
      <c r="KPO30" s="27"/>
      <c r="KPP30" s="27"/>
      <c r="KPQ30" s="27"/>
      <c r="KPR30" s="27"/>
      <c r="KPS30" s="27"/>
      <c r="KPT30" s="27"/>
      <c r="KPU30" s="27"/>
      <c r="KPV30" s="27"/>
      <c r="KPW30" s="27"/>
      <c r="KPX30" s="27"/>
      <c r="KPY30" s="27"/>
      <c r="KPZ30" s="27"/>
      <c r="KQA30" s="27"/>
      <c r="KQB30" s="27"/>
      <c r="KQC30" s="27"/>
      <c r="KQD30" s="27"/>
      <c r="KQE30" s="27"/>
      <c r="KQF30" s="27"/>
      <c r="KQG30" s="27"/>
      <c r="KQH30" s="27"/>
      <c r="KQI30" s="27"/>
      <c r="KQJ30" s="27"/>
      <c r="KQK30" s="27"/>
      <c r="KQL30" s="27"/>
      <c r="KQM30" s="27"/>
      <c r="KQN30" s="27"/>
      <c r="KQO30" s="27"/>
      <c r="KQP30" s="27"/>
      <c r="KQQ30" s="27"/>
      <c r="KQR30" s="27"/>
      <c r="KQS30" s="27"/>
      <c r="KQT30" s="27"/>
      <c r="KQU30" s="27"/>
      <c r="KQV30" s="27"/>
      <c r="KQW30" s="27"/>
      <c r="KQX30" s="27"/>
      <c r="KQY30" s="27"/>
      <c r="KQZ30" s="27"/>
      <c r="KRA30" s="27"/>
      <c r="KRB30" s="27"/>
      <c r="KRC30" s="27"/>
      <c r="KRD30" s="27"/>
      <c r="KRE30" s="27"/>
      <c r="KRF30" s="27"/>
      <c r="KRG30" s="27"/>
      <c r="KRH30" s="27"/>
      <c r="KRI30" s="27"/>
      <c r="KRJ30" s="27"/>
      <c r="KRK30" s="27"/>
      <c r="KRL30" s="27"/>
      <c r="KRM30" s="27"/>
      <c r="KRN30" s="27"/>
      <c r="KRO30" s="27"/>
      <c r="KRP30" s="27"/>
      <c r="KRQ30" s="27"/>
      <c r="KRR30" s="27"/>
      <c r="KRS30" s="27"/>
      <c r="KRT30" s="27"/>
      <c r="KRU30" s="27"/>
      <c r="KRV30" s="27"/>
      <c r="KRW30" s="27"/>
      <c r="KRX30" s="27"/>
      <c r="KRY30" s="27"/>
      <c r="KRZ30" s="27"/>
      <c r="KSA30" s="27"/>
      <c r="KSB30" s="27"/>
      <c r="KSC30" s="27"/>
      <c r="KSD30" s="27"/>
      <c r="KSE30" s="27"/>
      <c r="KSF30" s="27"/>
      <c r="KSG30" s="27"/>
      <c r="KSH30" s="27"/>
      <c r="KSI30" s="27"/>
      <c r="KSJ30" s="27"/>
      <c r="KSK30" s="27"/>
      <c r="KSL30" s="27"/>
      <c r="KSM30" s="27"/>
      <c r="KSN30" s="27"/>
      <c r="KSO30" s="27"/>
      <c r="KSP30" s="27"/>
      <c r="KSQ30" s="27"/>
      <c r="KSR30" s="27"/>
      <c r="KSS30" s="27"/>
      <c r="KST30" s="27"/>
      <c r="KSU30" s="27"/>
      <c r="KSV30" s="27"/>
      <c r="KSW30" s="27"/>
      <c r="KSX30" s="27"/>
      <c r="KSY30" s="27"/>
      <c r="KSZ30" s="27"/>
      <c r="KTA30" s="27"/>
      <c r="KTB30" s="27"/>
      <c r="KTC30" s="27"/>
      <c r="KTD30" s="27"/>
      <c r="KTE30" s="27"/>
      <c r="KTF30" s="27"/>
      <c r="KTG30" s="27"/>
      <c r="KTH30" s="27"/>
      <c r="KTI30" s="27"/>
      <c r="KTJ30" s="27"/>
      <c r="KTK30" s="27"/>
      <c r="KTL30" s="27"/>
      <c r="KTM30" s="27"/>
      <c r="KTN30" s="27"/>
      <c r="KTO30" s="27"/>
      <c r="KTP30" s="27"/>
      <c r="KTQ30" s="27"/>
      <c r="KTR30" s="27"/>
      <c r="KTS30" s="27"/>
      <c r="KTT30" s="27"/>
      <c r="KTU30" s="27"/>
      <c r="KTV30" s="27"/>
      <c r="KTW30" s="27"/>
      <c r="KTX30" s="27"/>
      <c r="KTY30" s="27"/>
      <c r="KTZ30" s="27"/>
      <c r="KUA30" s="27"/>
      <c r="KUB30" s="27"/>
      <c r="KUC30" s="27"/>
      <c r="KUD30" s="27"/>
      <c r="KUE30" s="27"/>
      <c r="KUF30" s="27"/>
      <c r="KUG30" s="27"/>
      <c r="KUH30" s="27"/>
      <c r="KUI30" s="27"/>
      <c r="KUJ30" s="27"/>
      <c r="KUK30" s="27"/>
      <c r="KUL30" s="27"/>
      <c r="KUM30" s="27"/>
      <c r="KUN30" s="27"/>
      <c r="KUO30" s="27"/>
      <c r="KUP30" s="27"/>
      <c r="KUQ30" s="27"/>
      <c r="KUR30" s="27"/>
      <c r="KUS30" s="27"/>
      <c r="KUT30" s="27"/>
      <c r="KUU30" s="27"/>
      <c r="KUV30" s="27"/>
      <c r="KUW30" s="27"/>
      <c r="KUX30" s="27"/>
      <c r="KUY30" s="27"/>
      <c r="KUZ30" s="27"/>
      <c r="KVA30" s="27"/>
      <c r="KVB30" s="27"/>
      <c r="KVC30" s="27"/>
      <c r="KVD30" s="27"/>
      <c r="KVE30" s="27"/>
      <c r="KVF30" s="27"/>
      <c r="KVG30" s="27"/>
      <c r="KVH30" s="27"/>
      <c r="KVI30" s="27"/>
      <c r="KVJ30" s="27"/>
      <c r="KVK30" s="27"/>
      <c r="KVL30" s="27"/>
      <c r="KVM30" s="27"/>
      <c r="KVN30" s="27"/>
      <c r="KVO30" s="27"/>
      <c r="KVP30" s="27"/>
      <c r="KVQ30" s="27"/>
      <c r="KVR30" s="27"/>
      <c r="KVS30" s="27"/>
      <c r="KVT30" s="27"/>
      <c r="KVU30" s="27"/>
      <c r="KVV30" s="27"/>
      <c r="KVW30" s="27"/>
      <c r="KVX30" s="27"/>
      <c r="KVY30" s="27"/>
      <c r="KVZ30" s="27"/>
      <c r="KWA30" s="27"/>
      <c r="KWB30" s="27"/>
      <c r="KWC30" s="27"/>
      <c r="KWD30" s="27"/>
      <c r="KWE30" s="27"/>
      <c r="KWF30" s="27"/>
      <c r="KWG30" s="27"/>
      <c r="KWH30" s="27"/>
      <c r="KWI30" s="27"/>
      <c r="KWJ30" s="27"/>
      <c r="KWK30" s="27"/>
      <c r="KWL30" s="27"/>
      <c r="KWM30" s="27"/>
      <c r="KWN30" s="27"/>
      <c r="KWO30" s="27"/>
      <c r="KWP30" s="27"/>
      <c r="KWQ30" s="27"/>
      <c r="KWR30" s="27"/>
      <c r="KWS30" s="27"/>
      <c r="KWT30" s="27"/>
      <c r="KWU30" s="27"/>
      <c r="KWV30" s="27"/>
      <c r="KWW30" s="27"/>
      <c r="KWX30" s="27"/>
      <c r="KWY30" s="27"/>
      <c r="KWZ30" s="27"/>
      <c r="KXA30" s="27"/>
      <c r="KXB30" s="27"/>
      <c r="KXC30" s="27"/>
      <c r="KXD30" s="27"/>
      <c r="KXE30" s="27"/>
      <c r="KXF30" s="27"/>
      <c r="KXG30" s="27"/>
      <c r="KXH30" s="27"/>
      <c r="KXI30" s="27"/>
      <c r="KXJ30" s="27"/>
      <c r="KXK30" s="27"/>
      <c r="KXL30" s="27"/>
      <c r="KXM30" s="27"/>
      <c r="KXN30" s="27"/>
      <c r="KXO30" s="27"/>
      <c r="KXP30" s="27"/>
      <c r="KXQ30" s="27"/>
      <c r="KXR30" s="27"/>
      <c r="KXS30" s="27"/>
      <c r="KXT30" s="27"/>
      <c r="KXU30" s="27"/>
      <c r="KXV30" s="27"/>
      <c r="KXW30" s="27"/>
      <c r="KXX30" s="27"/>
      <c r="KXY30" s="27"/>
      <c r="KXZ30" s="27"/>
      <c r="KYA30" s="27"/>
      <c r="KYB30" s="27"/>
      <c r="KYC30" s="27"/>
      <c r="KYD30" s="27"/>
      <c r="KYE30" s="27"/>
      <c r="KYF30" s="27"/>
      <c r="KYG30" s="27"/>
      <c r="KYH30" s="27"/>
      <c r="KYI30" s="27"/>
      <c r="KYJ30" s="27"/>
      <c r="KYK30" s="27"/>
      <c r="KYL30" s="27"/>
      <c r="KYM30" s="27"/>
      <c r="KYN30" s="27"/>
      <c r="KYO30" s="27"/>
      <c r="KYP30" s="27"/>
      <c r="KYQ30" s="27"/>
      <c r="KYR30" s="27"/>
      <c r="KYS30" s="27"/>
      <c r="KYT30" s="27"/>
      <c r="KYU30" s="27"/>
      <c r="KYV30" s="27"/>
      <c r="KYW30" s="27"/>
      <c r="KYX30" s="27"/>
      <c r="KYY30" s="27"/>
      <c r="KYZ30" s="27"/>
      <c r="KZA30" s="27"/>
      <c r="KZB30" s="27"/>
      <c r="KZC30" s="27"/>
      <c r="KZD30" s="27"/>
      <c r="KZE30" s="27"/>
      <c r="KZF30" s="27"/>
      <c r="KZG30" s="27"/>
      <c r="KZH30" s="27"/>
      <c r="KZI30" s="27"/>
      <c r="KZJ30" s="27"/>
      <c r="KZK30" s="27"/>
      <c r="KZL30" s="27"/>
      <c r="KZM30" s="27"/>
      <c r="KZN30" s="27"/>
      <c r="KZO30" s="27"/>
      <c r="KZP30" s="27"/>
      <c r="KZQ30" s="27"/>
      <c r="KZR30" s="27"/>
      <c r="KZS30" s="27"/>
      <c r="KZT30" s="27"/>
      <c r="KZU30" s="27"/>
      <c r="KZV30" s="27"/>
      <c r="KZW30" s="27"/>
      <c r="KZX30" s="27"/>
      <c r="KZY30" s="27"/>
      <c r="KZZ30" s="27"/>
      <c r="LAA30" s="27"/>
      <c r="LAB30" s="27"/>
      <c r="LAC30" s="27"/>
      <c r="LAD30" s="27"/>
      <c r="LAE30" s="27"/>
      <c r="LAF30" s="27"/>
      <c r="LAG30" s="27"/>
      <c r="LAH30" s="27"/>
      <c r="LAI30" s="27"/>
      <c r="LAJ30" s="27"/>
      <c r="LAK30" s="27"/>
      <c r="LAL30" s="27"/>
      <c r="LAM30" s="27"/>
      <c r="LAN30" s="27"/>
      <c r="LAO30" s="27"/>
      <c r="LAP30" s="27"/>
      <c r="LAQ30" s="27"/>
      <c r="LAR30" s="27"/>
      <c r="LAS30" s="27"/>
      <c r="LAT30" s="27"/>
      <c r="LAU30" s="27"/>
      <c r="LAV30" s="27"/>
      <c r="LAW30" s="27"/>
      <c r="LAX30" s="27"/>
      <c r="LAY30" s="27"/>
      <c r="LAZ30" s="27"/>
      <c r="LBA30" s="27"/>
      <c r="LBB30" s="27"/>
      <c r="LBC30" s="27"/>
      <c r="LBD30" s="27"/>
      <c r="LBE30" s="27"/>
      <c r="LBF30" s="27"/>
      <c r="LBG30" s="27"/>
      <c r="LBH30" s="27"/>
      <c r="LBI30" s="27"/>
      <c r="LBJ30" s="27"/>
      <c r="LBK30" s="27"/>
      <c r="LBL30" s="27"/>
      <c r="LBM30" s="27"/>
      <c r="LBN30" s="27"/>
      <c r="LBO30" s="27"/>
      <c r="LBP30" s="27"/>
      <c r="LBQ30" s="27"/>
      <c r="LBR30" s="27"/>
      <c r="LBS30" s="27"/>
      <c r="LBT30" s="27"/>
      <c r="LBU30" s="27"/>
      <c r="LBV30" s="27"/>
      <c r="LBW30" s="27"/>
      <c r="LBX30" s="27"/>
      <c r="LBY30" s="27"/>
      <c r="LBZ30" s="27"/>
      <c r="LCA30" s="27"/>
      <c r="LCB30" s="27"/>
      <c r="LCC30" s="27"/>
      <c r="LCD30" s="27"/>
      <c r="LCE30" s="27"/>
      <c r="LCF30" s="27"/>
      <c r="LCG30" s="27"/>
      <c r="LCH30" s="27"/>
      <c r="LCI30" s="27"/>
      <c r="LCJ30" s="27"/>
      <c r="LCK30" s="27"/>
      <c r="LCL30" s="27"/>
      <c r="LCM30" s="27"/>
      <c r="LCN30" s="27"/>
      <c r="LCO30" s="27"/>
      <c r="LCP30" s="27"/>
      <c r="LCQ30" s="27"/>
      <c r="LCR30" s="27"/>
      <c r="LCS30" s="27"/>
      <c r="LCT30" s="27"/>
      <c r="LCU30" s="27"/>
      <c r="LCV30" s="27"/>
      <c r="LCW30" s="27"/>
      <c r="LCX30" s="27"/>
      <c r="LCY30" s="27"/>
      <c r="LCZ30" s="27"/>
      <c r="LDA30" s="27"/>
      <c r="LDB30" s="27"/>
      <c r="LDC30" s="27"/>
      <c r="LDD30" s="27"/>
      <c r="LDE30" s="27"/>
      <c r="LDF30" s="27"/>
      <c r="LDG30" s="27"/>
      <c r="LDH30" s="27"/>
      <c r="LDI30" s="27"/>
      <c r="LDJ30" s="27"/>
      <c r="LDK30" s="27"/>
      <c r="LDL30" s="27"/>
      <c r="LDM30" s="27"/>
      <c r="LDN30" s="27"/>
      <c r="LDO30" s="27"/>
      <c r="LDP30" s="27"/>
      <c r="LDQ30" s="27"/>
      <c r="LDR30" s="27"/>
      <c r="LDS30" s="27"/>
      <c r="LDT30" s="27"/>
      <c r="LDU30" s="27"/>
      <c r="LDV30" s="27"/>
      <c r="LDW30" s="27"/>
      <c r="LDX30" s="27"/>
      <c r="LDY30" s="27"/>
      <c r="LDZ30" s="27"/>
      <c r="LEA30" s="27"/>
      <c r="LEB30" s="27"/>
      <c r="LEC30" s="27"/>
      <c r="LED30" s="27"/>
      <c r="LEE30" s="27"/>
      <c r="LEF30" s="27"/>
      <c r="LEG30" s="27"/>
      <c r="LEH30" s="27"/>
      <c r="LEI30" s="27"/>
      <c r="LEJ30" s="27"/>
      <c r="LEK30" s="27"/>
      <c r="LEL30" s="27"/>
      <c r="LEM30" s="27"/>
      <c r="LEN30" s="27"/>
      <c r="LEO30" s="27"/>
      <c r="LEP30" s="27"/>
      <c r="LEQ30" s="27"/>
      <c r="LER30" s="27"/>
      <c r="LES30" s="27"/>
      <c r="LET30" s="27"/>
      <c r="LEU30" s="27"/>
      <c r="LEV30" s="27"/>
      <c r="LEW30" s="27"/>
      <c r="LEX30" s="27"/>
      <c r="LEY30" s="27"/>
      <c r="LEZ30" s="27"/>
      <c r="LFA30" s="27"/>
      <c r="LFB30" s="27"/>
      <c r="LFC30" s="27"/>
      <c r="LFD30" s="27"/>
      <c r="LFE30" s="27"/>
      <c r="LFF30" s="27"/>
      <c r="LFG30" s="27"/>
      <c r="LFH30" s="27"/>
      <c r="LFI30" s="27"/>
      <c r="LFJ30" s="27"/>
      <c r="LFK30" s="27"/>
      <c r="LFL30" s="27"/>
      <c r="LFM30" s="27"/>
      <c r="LFN30" s="27"/>
      <c r="LFO30" s="27"/>
      <c r="LFP30" s="27"/>
      <c r="LFQ30" s="27"/>
      <c r="LFR30" s="27"/>
      <c r="LFS30" s="27"/>
      <c r="LFT30" s="27"/>
      <c r="LFU30" s="27"/>
      <c r="LFV30" s="27"/>
      <c r="LFW30" s="27"/>
      <c r="LFX30" s="27"/>
      <c r="LFY30" s="27"/>
      <c r="LFZ30" s="27"/>
      <c r="LGA30" s="27"/>
      <c r="LGB30" s="27"/>
      <c r="LGC30" s="27"/>
      <c r="LGD30" s="27"/>
      <c r="LGE30" s="27"/>
      <c r="LGF30" s="27"/>
      <c r="LGG30" s="27"/>
      <c r="LGH30" s="27"/>
      <c r="LGI30" s="27"/>
      <c r="LGJ30" s="27"/>
      <c r="LGK30" s="27"/>
      <c r="LGL30" s="27"/>
      <c r="LGM30" s="27"/>
      <c r="LGN30" s="27"/>
      <c r="LGO30" s="27"/>
      <c r="LGP30" s="27"/>
      <c r="LGQ30" s="27"/>
      <c r="LGR30" s="27"/>
      <c r="LGS30" s="27"/>
      <c r="LGT30" s="27"/>
      <c r="LGU30" s="27"/>
      <c r="LGV30" s="27"/>
      <c r="LGW30" s="27"/>
      <c r="LGX30" s="27"/>
      <c r="LGY30" s="27"/>
      <c r="LGZ30" s="27"/>
      <c r="LHA30" s="27"/>
      <c r="LHB30" s="27"/>
      <c r="LHC30" s="27"/>
      <c r="LHD30" s="27"/>
      <c r="LHE30" s="27"/>
      <c r="LHF30" s="27"/>
      <c r="LHG30" s="27"/>
      <c r="LHH30" s="27"/>
      <c r="LHI30" s="27"/>
      <c r="LHJ30" s="27"/>
      <c r="LHK30" s="27"/>
      <c r="LHL30" s="27"/>
      <c r="LHM30" s="27"/>
      <c r="LHN30" s="27"/>
      <c r="LHO30" s="27"/>
      <c r="LHP30" s="27"/>
      <c r="LHQ30" s="27"/>
      <c r="LHR30" s="27"/>
      <c r="LHS30" s="27"/>
      <c r="LHT30" s="27"/>
      <c r="LHU30" s="27"/>
      <c r="LHV30" s="27"/>
      <c r="LHW30" s="27"/>
      <c r="LHX30" s="27"/>
      <c r="LHY30" s="27"/>
      <c r="LHZ30" s="27"/>
      <c r="LIA30" s="27"/>
      <c r="LIB30" s="27"/>
      <c r="LIC30" s="27"/>
      <c r="LID30" s="27"/>
      <c r="LIE30" s="27"/>
      <c r="LIF30" s="27"/>
      <c r="LIG30" s="27"/>
      <c r="LIH30" s="27"/>
      <c r="LII30" s="27"/>
      <c r="LIJ30" s="27"/>
      <c r="LIK30" s="27"/>
      <c r="LIL30" s="27"/>
      <c r="LIM30" s="27"/>
      <c r="LIN30" s="27"/>
      <c r="LIO30" s="27"/>
      <c r="LIP30" s="27"/>
      <c r="LIQ30" s="27"/>
      <c r="LIR30" s="27"/>
      <c r="LIS30" s="27"/>
      <c r="LIT30" s="27"/>
      <c r="LIU30" s="27"/>
      <c r="LIV30" s="27"/>
      <c r="LIW30" s="27"/>
      <c r="LIX30" s="27"/>
      <c r="LIY30" s="27"/>
      <c r="LIZ30" s="27"/>
      <c r="LJA30" s="27"/>
      <c r="LJB30" s="27"/>
      <c r="LJC30" s="27"/>
      <c r="LJD30" s="27"/>
      <c r="LJE30" s="27"/>
      <c r="LJF30" s="27"/>
      <c r="LJG30" s="27"/>
      <c r="LJH30" s="27"/>
      <c r="LJI30" s="27"/>
      <c r="LJJ30" s="27"/>
      <c r="LJK30" s="27"/>
      <c r="LJL30" s="27"/>
      <c r="LJM30" s="27"/>
      <c r="LJN30" s="27"/>
      <c r="LJO30" s="27"/>
      <c r="LJP30" s="27"/>
      <c r="LJQ30" s="27"/>
      <c r="LJR30" s="27"/>
      <c r="LJS30" s="27"/>
      <c r="LJT30" s="27"/>
      <c r="LJU30" s="27"/>
      <c r="LJV30" s="27"/>
      <c r="LJW30" s="27"/>
      <c r="LJX30" s="27"/>
      <c r="LJY30" s="27"/>
      <c r="LJZ30" s="27"/>
      <c r="LKA30" s="27"/>
      <c r="LKB30" s="27"/>
      <c r="LKC30" s="27"/>
      <c r="LKD30" s="27"/>
      <c r="LKE30" s="27"/>
      <c r="LKF30" s="27"/>
      <c r="LKG30" s="27"/>
      <c r="LKH30" s="27"/>
      <c r="LKI30" s="27"/>
      <c r="LKJ30" s="27"/>
      <c r="LKK30" s="27"/>
      <c r="LKL30" s="27"/>
      <c r="LKM30" s="27"/>
      <c r="LKN30" s="27"/>
      <c r="LKO30" s="27"/>
      <c r="LKP30" s="27"/>
      <c r="LKQ30" s="27"/>
      <c r="LKR30" s="27"/>
      <c r="LKS30" s="27"/>
      <c r="LKT30" s="27"/>
      <c r="LKU30" s="27"/>
      <c r="LKV30" s="27"/>
      <c r="LKW30" s="27"/>
      <c r="LKX30" s="27"/>
      <c r="LKY30" s="27"/>
      <c r="LKZ30" s="27"/>
      <c r="LLA30" s="27"/>
      <c r="LLB30" s="27"/>
      <c r="LLC30" s="27"/>
      <c r="LLD30" s="27"/>
      <c r="LLE30" s="27"/>
      <c r="LLF30" s="27"/>
      <c r="LLG30" s="27"/>
      <c r="LLH30" s="27"/>
      <c r="LLI30" s="27"/>
      <c r="LLJ30" s="27"/>
      <c r="LLK30" s="27"/>
      <c r="LLL30" s="27"/>
      <c r="LLM30" s="27"/>
      <c r="LLN30" s="27"/>
      <c r="LLO30" s="27"/>
      <c r="LLP30" s="27"/>
      <c r="LLQ30" s="27"/>
      <c r="LLR30" s="27"/>
      <c r="LLS30" s="27"/>
      <c r="LLT30" s="27"/>
      <c r="LLU30" s="27"/>
      <c r="LLV30" s="27"/>
      <c r="LLW30" s="27"/>
      <c r="LLX30" s="27"/>
      <c r="LLY30" s="27"/>
      <c r="LLZ30" s="27"/>
      <c r="LMA30" s="27"/>
      <c r="LMB30" s="27"/>
      <c r="LMC30" s="27"/>
      <c r="LMD30" s="27"/>
      <c r="LME30" s="27"/>
      <c r="LMF30" s="27"/>
      <c r="LMG30" s="27"/>
      <c r="LMH30" s="27"/>
      <c r="LMI30" s="27"/>
      <c r="LMJ30" s="27"/>
      <c r="LMK30" s="27"/>
      <c r="LML30" s="27"/>
      <c r="LMM30" s="27"/>
      <c r="LMN30" s="27"/>
      <c r="LMO30" s="27"/>
      <c r="LMP30" s="27"/>
      <c r="LMQ30" s="27"/>
      <c r="LMR30" s="27"/>
      <c r="LMS30" s="27"/>
      <c r="LMT30" s="27"/>
      <c r="LMU30" s="27"/>
      <c r="LMV30" s="27"/>
      <c r="LMW30" s="27"/>
      <c r="LMX30" s="27"/>
      <c r="LMY30" s="27"/>
      <c r="LMZ30" s="27"/>
      <c r="LNA30" s="27"/>
      <c r="LNB30" s="27"/>
      <c r="LNC30" s="27"/>
      <c r="LND30" s="27"/>
      <c r="LNE30" s="27"/>
      <c r="LNF30" s="27"/>
      <c r="LNG30" s="27"/>
      <c r="LNH30" s="27"/>
      <c r="LNI30" s="27"/>
      <c r="LNJ30" s="27"/>
      <c r="LNK30" s="27"/>
      <c r="LNL30" s="27"/>
      <c r="LNM30" s="27"/>
      <c r="LNN30" s="27"/>
      <c r="LNO30" s="27"/>
      <c r="LNP30" s="27"/>
      <c r="LNQ30" s="27"/>
      <c r="LNR30" s="27"/>
      <c r="LNS30" s="27"/>
      <c r="LNT30" s="27"/>
      <c r="LNU30" s="27"/>
      <c r="LNV30" s="27"/>
      <c r="LNW30" s="27"/>
      <c r="LNX30" s="27"/>
      <c r="LNY30" s="27"/>
      <c r="LNZ30" s="27"/>
      <c r="LOA30" s="27"/>
      <c r="LOB30" s="27"/>
      <c r="LOC30" s="27"/>
      <c r="LOD30" s="27"/>
      <c r="LOE30" s="27"/>
      <c r="LOF30" s="27"/>
      <c r="LOG30" s="27"/>
      <c r="LOH30" s="27"/>
      <c r="LOI30" s="27"/>
      <c r="LOJ30" s="27"/>
      <c r="LOK30" s="27"/>
      <c r="LOL30" s="27"/>
      <c r="LOM30" s="27"/>
      <c r="LON30" s="27"/>
      <c r="LOO30" s="27"/>
      <c r="LOP30" s="27"/>
      <c r="LOQ30" s="27"/>
      <c r="LOR30" s="27"/>
      <c r="LOS30" s="27"/>
      <c r="LOT30" s="27"/>
      <c r="LOU30" s="27"/>
      <c r="LOV30" s="27"/>
      <c r="LOW30" s="27"/>
      <c r="LOX30" s="27"/>
      <c r="LOY30" s="27"/>
      <c r="LOZ30" s="27"/>
      <c r="LPA30" s="27"/>
      <c r="LPB30" s="27"/>
      <c r="LPC30" s="27"/>
      <c r="LPD30" s="27"/>
      <c r="LPE30" s="27"/>
      <c r="LPF30" s="27"/>
      <c r="LPG30" s="27"/>
      <c r="LPH30" s="27"/>
      <c r="LPI30" s="27"/>
      <c r="LPJ30" s="27"/>
      <c r="LPK30" s="27"/>
      <c r="LPL30" s="27"/>
      <c r="LPM30" s="27"/>
      <c r="LPN30" s="27"/>
      <c r="LPO30" s="27"/>
      <c r="LPP30" s="27"/>
      <c r="LPQ30" s="27"/>
      <c r="LPR30" s="27"/>
      <c r="LPS30" s="27"/>
      <c r="LPT30" s="27"/>
      <c r="LPU30" s="27"/>
      <c r="LPV30" s="27"/>
      <c r="LPW30" s="27"/>
      <c r="LPX30" s="27"/>
      <c r="LPY30" s="27"/>
      <c r="LPZ30" s="27"/>
      <c r="LQA30" s="27"/>
      <c r="LQB30" s="27"/>
      <c r="LQC30" s="27"/>
      <c r="LQD30" s="27"/>
      <c r="LQE30" s="27"/>
      <c r="LQF30" s="27"/>
      <c r="LQG30" s="27"/>
      <c r="LQH30" s="27"/>
      <c r="LQI30" s="27"/>
      <c r="LQJ30" s="27"/>
      <c r="LQK30" s="27"/>
      <c r="LQL30" s="27"/>
      <c r="LQM30" s="27"/>
      <c r="LQN30" s="27"/>
      <c r="LQO30" s="27"/>
      <c r="LQP30" s="27"/>
      <c r="LQQ30" s="27"/>
      <c r="LQR30" s="27"/>
      <c r="LQS30" s="27"/>
      <c r="LQT30" s="27"/>
      <c r="LQU30" s="27"/>
      <c r="LQV30" s="27"/>
      <c r="LQW30" s="27"/>
      <c r="LQX30" s="27"/>
      <c r="LQY30" s="27"/>
      <c r="LQZ30" s="27"/>
      <c r="LRA30" s="27"/>
      <c r="LRB30" s="27"/>
      <c r="LRC30" s="27"/>
      <c r="LRD30" s="27"/>
      <c r="LRE30" s="27"/>
      <c r="LRF30" s="27"/>
      <c r="LRG30" s="27"/>
      <c r="LRH30" s="27"/>
      <c r="LRI30" s="27"/>
      <c r="LRJ30" s="27"/>
      <c r="LRK30" s="27"/>
      <c r="LRL30" s="27"/>
      <c r="LRM30" s="27"/>
      <c r="LRN30" s="27"/>
      <c r="LRO30" s="27"/>
      <c r="LRP30" s="27"/>
      <c r="LRQ30" s="27"/>
      <c r="LRR30" s="27"/>
      <c r="LRS30" s="27"/>
      <c r="LRT30" s="27"/>
      <c r="LRU30" s="27"/>
      <c r="LRV30" s="27"/>
      <c r="LRW30" s="27"/>
      <c r="LRX30" s="27"/>
      <c r="LRY30" s="27"/>
      <c r="LRZ30" s="27"/>
      <c r="LSA30" s="27"/>
      <c r="LSB30" s="27"/>
      <c r="LSC30" s="27"/>
      <c r="LSD30" s="27"/>
      <c r="LSE30" s="27"/>
      <c r="LSF30" s="27"/>
      <c r="LSG30" s="27"/>
      <c r="LSH30" s="27"/>
      <c r="LSI30" s="27"/>
      <c r="LSJ30" s="27"/>
      <c r="LSK30" s="27"/>
      <c r="LSL30" s="27"/>
      <c r="LSM30" s="27"/>
      <c r="LSN30" s="27"/>
      <c r="LSO30" s="27"/>
      <c r="LSP30" s="27"/>
      <c r="LSQ30" s="27"/>
      <c r="LSR30" s="27"/>
      <c r="LSS30" s="27"/>
      <c r="LST30" s="27"/>
      <c r="LSU30" s="27"/>
      <c r="LSV30" s="27"/>
      <c r="LSW30" s="27"/>
      <c r="LSX30" s="27"/>
      <c r="LSY30" s="27"/>
      <c r="LSZ30" s="27"/>
      <c r="LTA30" s="27"/>
      <c r="LTB30" s="27"/>
      <c r="LTC30" s="27"/>
      <c r="LTD30" s="27"/>
      <c r="LTE30" s="27"/>
      <c r="LTF30" s="27"/>
      <c r="LTG30" s="27"/>
      <c r="LTH30" s="27"/>
      <c r="LTI30" s="27"/>
      <c r="LTJ30" s="27"/>
      <c r="LTK30" s="27"/>
      <c r="LTL30" s="27"/>
      <c r="LTM30" s="27"/>
      <c r="LTN30" s="27"/>
      <c r="LTO30" s="27"/>
      <c r="LTP30" s="27"/>
      <c r="LTQ30" s="27"/>
      <c r="LTR30" s="27"/>
      <c r="LTS30" s="27"/>
      <c r="LTT30" s="27"/>
      <c r="LTU30" s="27"/>
      <c r="LTV30" s="27"/>
      <c r="LTW30" s="27"/>
      <c r="LTX30" s="27"/>
      <c r="LTY30" s="27"/>
      <c r="LTZ30" s="27"/>
      <c r="LUA30" s="27"/>
      <c r="LUB30" s="27"/>
      <c r="LUC30" s="27"/>
      <c r="LUD30" s="27"/>
      <c r="LUE30" s="27"/>
      <c r="LUF30" s="27"/>
      <c r="LUG30" s="27"/>
      <c r="LUH30" s="27"/>
      <c r="LUI30" s="27"/>
      <c r="LUJ30" s="27"/>
      <c r="LUK30" s="27"/>
      <c r="LUL30" s="27"/>
      <c r="LUM30" s="27"/>
      <c r="LUN30" s="27"/>
      <c r="LUO30" s="27"/>
      <c r="LUP30" s="27"/>
      <c r="LUQ30" s="27"/>
      <c r="LUR30" s="27"/>
      <c r="LUS30" s="27"/>
      <c r="LUT30" s="27"/>
      <c r="LUU30" s="27"/>
      <c r="LUV30" s="27"/>
      <c r="LUW30" s="27"/>
      <c r="LUX30" s="27"/>
      <c r="LUY30" s="27"/>
      <c r="LUZ30" s="27"/>
      <c r="LVA30" s="27"/>
      <c r="LVB30" s="27"/>
      <c r="LVC30" s="27"/>
      <c r="LVD30" s="27"/>
      <c r="LVE30" s="27"/>
      <c r="LVF30" s="27"/>
      <c r="LVG30" s="27"/>
      <c r="LVH30" s="27"/>
      <c r="LVI30" s="27"/>
      <c r="LVJ30" s="27"/>
      <c r="LVK30" s="27"/>
      <c r="LVL30" s="27"/>
      <c r="LVM30" s="27"/>
      <c r="LVN30" s="27"/>
      <c r="LVO30" s="27"/>
      <c r="LVP30" s="27"/>
      <c r="LVQ30" s="27"/>
      <c r="LVR30" s="27"/>
      <c r="LVS30" s="27"/>
      <c r="LVT30" s="27"/>
      <c r="LVU30" s="27"/>
      <c r="LVV30" s="27"/>
      <c r="LVW30" s="27"/>
      <c r="LVX30" s="27"/>
      <c r="LVY30" s="27"/>
      <c r="LVZ30" s="27"/>
      <c r="LWA30" s="27"/>
      <c r="LWB30" s="27"/>
      <c r="LWC30" s="27"/>
      <c r="LWD30" s="27"/>
      <c r="LWE30" s="27"/>
      <c r="LWF30" s="27"/>
      <c r="LWG30" s="27"/>
      <c r="LWH30" s="27"/>
      <c r="LWI30" s="27"/>
      <c r="LWJ30" s="27"/>
      <c r="LWK30" s="27"/>
      <c r="LWL30" s="27"/>
      <c r="LWM30" s="27"/>
      <c r="LWN30" s="27"/>
      <c r="LWO30" s="27"/>
      <c r="LWP30" s="27"/>
      <c r="LWQ30" s="27"/>
      <c r="LWR30" s="27"/>
      <c r="LWS30" s="27"/>
      <c r="LWT30" s="27"/>
      <c r="LWU30" s="27"/>
      <c r="LWV30" s="27"/>
      <c r="LWW30" s="27"/>
      <c r="LWX30" s="27"/>
      <c r="LWY30" s="27"/>
      <c r="LWZ30" s="27"/>
      <c r="LXA30" s="27"/>
      <c r="LXB30" s="27"/>
      <c r="LXC30" s="27"/>
      <c r="LXD30" s="27"/>
      <c r="LXE30" s="27"/>
      <c r="LXF30" s="27"/>
      <c r="LXG30" s="27"/>
      <c r="LXH30" s="27"/>
      <c r="LXI30" s="27"/>
      <c r="LXJ30" s="27"/>
      <c r="LXK30" s="27"/>
      <c r="LXL30" s="27"/>
      <c r="LXM30" s="27"/>
      <c r="LXN30" s="27"/>
      <c r="LXO30" s="27"/>
      <c r="LXP30" s="27"/>
      <c r="LXQ30" s="27"/>
      <c r="LXR30" s="27"/>
      <c r="LXS30" s="27"/>
      <c r="LXT30" s="27"/>
      <c r="LXU30" s="27"/>
      <c r="LXV30" s="27"/>
      <c r="LXW30" s="27"/>
      <c r="LXX30" s="27"/>
      <c r="LXY30" s="27"/>
      <c r="LXZ30" s="27"/>
      <c r="LYA30" s="27"/>
      <c r="LYB30" s="27"/>
      <c r="LYC30" s="27"/>
      <c r="LYD30" s="27"/>
      <c r="LYE30" s="27"/>
      <c r="LYF30" s="27"/>
      <c r="LYG30" s="27"/>
      <c r="LYH30" s="27"/>
      <c r="LYI30" s="27"/>
      <c r="LYJ30" s="27"/>
      <c r="LYK30" s="27"/>
      <c r="LYL30" s="27"/>
      <c r="LYM30" s="27"/>
      <c r="LYN30" s="27"/>
      <c r="LYO30" s="27"/>
      <c r="LYP30" s="27"/>
      <c r="LYQ30" s="27"/>
      <c r="LYR30" s="27"/>
      <c r="LYS30" s="27"/>
      <c r="LYT30" s="27"/>
      <c r="LYU30" s="27"/>
      <c r="LYV30" s="27"/>
      <c r="LYW30" s="27"/>
      <c r="LYX30" s="27"/>
      <c r="LYY30" s="27"/>
      <c r="LYZ30" s="27"/>
      <c r="LZA30" s="27"/>
      <c r="LZB30" s="27"/>
      <c r="LZC30" s="27"/>
      <c r="LZD30" s="27"/>
      <c r="LZE30" s="27"/>
      <c r="LZF30" s="27"/>
      <c r="LZG30" s="27"/>
      <c r="LZH30" s="27"/>
      <c r="LZI30" s="27"/>
      <c r="LZJ30" s="27"/>
      <c r="LZK30" s="27"/>
      <c r="LZL30" s="27"/>
      <c r="LZM30" s="27"/>
      <c r="LZN30" s="27"/>
      <c r="LZO30" s="27"/>
      <c r="LZP30" s="27"/>
      <c r="LZQ30" s="27"/>
      <c r="LZR30" s="27"/>
      <c r="LZS30" s="27"/>
      <c r="LZT30" s="27"/>
      <c r="LZU30" s="27"/>
      <c r="LZV30" s="27"/>
      <c r="LZW30" s="27"/>
      <c r="LZX30" s="27"/>
      <c r="LZY30" s="27"/>
      <c r="LZZ30" s="27"/>
      <c r="MAA30" s="27"/>
      <c r="MAB30" s="27"/>
      <c r="MAC30" s="27"/>
      <c r="MAD30" s="27"/>
      <c r="MAE30" s="27"/>
      <c r="MAF30" s="27"/>
      <c r="MAG30" s="27"/>
      <c r="MAH30" s="27"/>
      <c r="MAI30" s="27"/>
      <c r="MAJ30" s="27"/>
      <c r="MAK30" s="27"/>
      <c r="MAL30" s="27"/>
      <c r="MAM30" s="27"/>
      <c r="MAN30" s="27"/>
      <c r="MAO30" s="27"/>
      <c r="MAP30" s="27"/>
      <c r="MAQ30" s="27"/>
      <c r="MAR30" s="27"/>
      <c r="MAS30" s="27"/>
      <c r="MAT30" s="27"/>
      <c r="MAU30" s="27"/>
      <c r="MAV30" s="27"/>
      <c r="MAW30" s="27"/>
      <c r="MAX30" s="27"/>
      <c r="MAY30" s="27"/>
      <c r="MAZ30" s="27"/>
      <c r="MBA30" s="27"/>
      <c r="MBB30" s="27"/>
      <c r="MBC30" s="27"/>
      <c r="MBD30" s="27"/>
      <c r="MBE30" s="27"/>
      <c r="MBF30" s="27"/>
      <c r="MBG30" s="27"/>
      <c r="MBH30" s="27"/>
      <c r="MBI30" s="27"/>
      <c r="MBJ30" s="27"/>
      <c r="MBK30" s="27"/>
      <c r="MBL30" s="27"/>
      <c r="MBM30" s="27"/>
      <c r="MBN30" s="27"/>
      <c r="MBO30" s="27"/>
      <c r="MBP30" s="27"/>
      <c r="MBQ30" s="27"/>
      <c r="MBR30" s="27"/>
      <c r="MBS30" s="27"/>
      <c r="MBT30" s="27"/>
      <c r="MBU30" s="27"/>
      <c r="MBV30" s="27"/>
      <c r="MBW30" s="27"/>
      <c r="MBX30" s="27"/>
      <c r="MBY30" s="27"/>
      <c r="MBZ30" s="27"/>
      <c r="MCA30" s="27"/>
      <c r="MCB30" s="27"/>
      <c r="MCC30" s="27"/>
      <c r="MCD30" s="27"/>
      <c r="MCE30" s="27"/>
      <c r="MCF30" s="27"/>
      <c r="MCG30" s="27"/>
      <c r="MCH30" s="27"/>
      <c r="MCI30" s="27"/>
      <c r="MCJ30" s="27"/>
      <c r="MCK30" s="27"/>
      <c r="MCL30" s="27"/>
      <c r="MCM30" s="27"/>
      <c r="MCN30" s="27"/>
      <c r="MCO30" s="27"/>
      <c r="MCP30" s="27"/>
      <c r="MCQ30" s="27"/>
      <c r="MCR30" s="27"/>
      <c r="MCS30" s="27"/>
      <c r="MCT30" s="27"/>
      <c r="MCU30" s="27"/>
      <c r="MCV30" s="27"/>
      <c r="MCW30" s="27"/>
      <c r="MCX30" s="27"/>
      <c r="MCY30" s="27"/>
      <c r="MCZ30" s="27"/>
      <c r="MDA30" s="27"/>
      <c r="MDB30" s="27"/>
      <c r="MDC30" s="27"/>
      <c r="MDD30" s="27"/>
      <c r="MDE30" s="27"/>
      <c r="MDF30" s="27"/>
      <c r="MDG30" s="27"/>
      <c r="MDH30" s="27"/>
      <c r="MDI30" s="27"/>
      <c r="MDJ30" s="27"/>
      <c r="MDK30" s="27"/>
      <c r="MDL30" s="27"/>
      <c r="MDM30" s="27"/>
      <c r="MDN30" s="27"/>
      <c r="MDO30" s="27"/>
      <c r="MDP30" s="27"/>
      <c r="MDQ30" s="27"/>
      <c r="MDR30" s="27"/>
      <c r="MDS30" s="27"/>
      <c r="MDT30" s="27"/>
      <c r="MDU30" s="27"/>
      <c r="MDV30" s="27"/>
      <c r="MDW30" s="27"/>
      <c r="MDX30" s="27"/>
      <c r="MDY30" s="27"/>
      <c r="MDZ30" s="27"/>
      <c r="MEA30" s="27"/>
      <c r="MEB30" s="27"/>
      <c r="MEC30" s="27"/>
      <c r="MED30" s="27"/>
      <c r="MEE30" s="27"/>
      <c r="MEF30" s="27"/>
      <c r="MEG30" s="27"/>
      <c r="MEH30" s="27"/>
      <c r="MEI30" s="27"/>
      <c r="MEJ30" s="27"/>
      <c r="MEK30" s="27"/>
      <c r="MEL30" s="27"/>
      <c r="MEM30" s="27"/>
      <c r="MEN30" s="27"/>
      <c r="MEO30" s="27"/>
      <c r="MEP30" s="27"/>
      <c r="MEQ30" s="27"/>
      <c r="MER30" s="27"/>
      <c r="MES30" s="27"/>
      <c r="MET30" s="27"/>
      <c r="MEU30" s="27"/>
      <c r="MEV30" s="27"/>
      <c r="MEW30" s="27"/>
      <c r="MEX30" s="27"/>
      <c r="MEY30" s="27"/>
      <c r="MEZ30" s="27"/>
      <c r="MFA30" s="27"/>
      <c r="MFB30" s="27"/>
      <c r="MFC30" s="27"/>
      <c r="MFD30" s="27"/>
      <c r="MFE30" s="27"/>
      <c r="MFF30" s="27"/>
      <c r="MFG30" s="27"/>
      <c r="MFH30" s="27"/>
      <c r="MFI30" s="27"/>
      <c r="MFJ30" s="27"/>
      <c r="MFK30" s="27"/>
      <c r="MFL30" s="27"/>
      <c r="MFM30" s="27"/>
      <c r="MFN30" s="27"/>
      <c r="MFO30" s="27"/>
      <c r="MFP30" s="27"/>
      <c r="MFQ30" s="27"/>
      <c r="MFR30" s="27"/>
      <c r="MFS30" s="27"/>
      <c r="MFT30" s="27"/>
      <c r="MFU30" s="27"/>
      <c r="MFV30" s="27"/>
      <c r="MFW30" s="27"/>
      <c r="MFX30" s="27"/>
      <c r="MFY30" s="27"/>
      <c r="MFZ30" s="27"/>
      <c r="MGA30" s="27"/>
      <c r="MGB30" s="27"/>
      <c r="MGC30" s="27"/>
      <c r="MGD30" s="27"/>
      <c r="MGE30" s="27"/>
      <c r="MGF30" s="27"/>
      <c r="MGG30" s="27"/>
      <c r="MGH30" s="27"/>
      <c r="MGI30" s="27"/>
      <c r="MGJ30" s="27"/>
      <c r="MGK30" s="27"/>
      <c r="MGL30" s="27"/>
      <c r="MGM30" s="27"/>
      <c r="MGN30" s="27"/>
      <c r="MGO30" s="27"/>
      <c r="MGP30" s="27"/>
      <c r="MGQ30" s="27"/>
      <c r="MGR30" s="27"/>
      <c r="MGS30" s="27"/>
      <c r="MGT30" s="27"/>
      <c r="MGU30" s="27"/>
      <c r="MGV30" s="27"/>
      <c r="MGW30" s="27"/>
      <c r="MGX30" s="27"/>
      <c r="MGY30" s="27"/>
      <c r="MGZ30" s="27"/>
      <c r="MHA30" s="27"/>
      <c r="MHB30" s="27"/>
      <c r="MHC30" s="27"/>
      <c r="MHD30" s="27"/>
      <c r="MHE30" s="27"/>
      <c r="MHF30" s="27"/>
      <c r="MHG30" s="27"/>
      <c r="MHH30" s="27"/>
      <c r="MHI30" s="27"/>
      <c r="MHJ30" s="27"/>
      <c r="MHK30" s="27"/>
      <c r="MHL30" s="27"/>
      <c r="MHM30" s="27"/>
      <c r="MHN30" s="27"/>
      <c r="MHO30" s="27"/>
      <c r="MHP30" s="27"/>
      <c r="MHQ30" s="27"/>
      <c r="MHR30" s="27"/>
      <c r="MHS30" s="27"/>
      <c r="MHT30" s="27"/>
      <c r="MHU30" s="27"/>
      <c r="MHV30" s="27"/>
      <c r="MHW30" s="27"/>
      <c r="MHX30" s="27"/>
      <c r="MHY30" s="27"/>
      <c r="MHZ30" s="27"/>
      <c r="MIA30" s="27"/>
      <c r="MIB30" s="27"/>
      <c r="MIC30" s="27"/>
      <c r="MID30" s="27"/>
      <c r="MIE30" s="27"/>
      <c r="MIF30" s="27"/>
      <c r="MIG30" s="27"/>
      <c r="MIH30" s="27"/>
      <c r="MII30" s="27"/>
      <c r="MIJ30" s="27"/>
      <c r="MIK30" s="27"/>
      <c r="MIL30" s="27"/>
      <c r="MIM30" s="27"/>
      <c r="MIN30" s="27"/>
      <c r="MIO30" s="27"/>
      <c r="MIP30" s="27"/>
      <c r="MIQ30" s="27"/>
      <c r="MIR30" s="27"/>
      <c r="MIS30" s="27"/>
      <c r="MIT30" s="27"/>
      <c r="MIU30" s="27"/>
      <c r="MIV30" s="27"/>
      <c r="MIW30" s="27"/>
      <c r="MIX30" s="27"/>
      <c r="MIY30" s="27"/>
      <c r="MIZ30" s="27"/>
      <c r="MJA30" s="27"/>
      <c r="MJB30" s="27"/>
      <c r="MJC30" s="27"/>
      <c r="MJD30" s="27"/>
      <c r="MJE30" s="27"/>
      <c r="MJF30" s="27"/>
      <c r="MJG30" s="27"/>
      <c r="MJH30" s="27"/>
      <c r="MJI30" s="27"/>
      <c r="MJJ30" s="27"/>
      <c r="MJK30" s="27"/>
      <c r="MJL30" s="27"/>
      <c r="MJM30" s="27"/>
      <c r="MJN30" s="27"/>
      <c r="MJO30" s="27"/>
      <c r="MJP30" s="27"/>
      <c r="MJQ30" s="27"/>
      <c r="MJR30" s="27"/>
      <c r="MJS30" s="27"/>
      <c r="MJT30" s="27"/>
      <c r="MJU30" s="27"/>
      <c r="MJV30" s="27"/>
      <c r="MJW30" s="27"/>
      <c r="MJX30" s="27"/>
      <c r="MJY30" s="27"/>
      <c r="MJZ30" s="27"/>
      <c r="MKA30" s="27"/>
      <c r="MKB30" s="27"/>
      <c r="MKC30" s="27"/>
      <c r="MKD30" s="27"/>
      <c r="MKE30" s="27"/>
      <c r="MKF30" s="27"/>
      <c r="MKG30" s="27"/>
      <c r="MKH30" s="27"/>
      <c r="MKI30" s="27"/>
      <c r="MKJ30" s="27"/>
      <c r="MKK30" s="27"/>
      <c r="MKL30" s="27"/>
      <c r="MKM30" s="27"/>
      <c r="MKN30" s="27"/>
      <c r="MKO30" s="27"/>
      <c r="MKP30" s="27"/>
      <c r="MKQ30" s="27"/>
      <c r="MKR30" s="27"/>
      <c r="MKS30" s="27"/>
      <c r="MKT30" s="27"/>
      <c r="MKU30" s="27"/>
      <c r="MKV30" s="27"/>
      <c r="MKW30" s="27"/>
      <c r="MKX30" s="27"/>
      <c r="MKY30" s="27"/>
      <c r="MKZ30" s="27"/>
      <c r="MLA30" s="27"/>
      <c r="MLB30" s="27"/>
      <c r="MLC30" s="27"/>
      <c r="MLD30" s="27"/>
      <c r="MLE30" s="27"/>
      <c r="MLF30" s="27"/>
      <c r="MLG30" s="27"/>
      <c r="MLH30" s="27"/>
      <c r="MLI30" s="27"/>
      <c r="MLJ30" s="27"/>
      <c r="MLK30" s="27"/>
      <c r="MLL30" s="27"/>
      <c r="MLM30" s="27"/>
      <c r="MLN30" s="27"/>
      <c r="MLO30" s="27"/>
      <c r="MLP30" s="27"/>
      <c r="MLQ30" s="27"/>
      <c r="MLR30" s="27"/>
      <c r="MLS30" s="27"/>
      <c r="MLT30" s="27"/>
      <c r="MLU30" s="27"/>
      <c r="MLV30" s="27"/>
      <c r="MLW30" s="27"/>
      <c r="MLX30" s="27"/>
      <c r="MLY30" s="27"/>
      <c r="MLZ30" s="27"/>
      <c r="MMA30" s="27"/>
      <c r="MMB30" s="27"/>
      <c r="MMC30" s="27"/>
      <c r="MMD30" s="27"/>
      <c r="MME30" s="27"/>
      <c r="MMF30" s="27"/>
      <c r="MMG30" s="27"/>
      <c r="MMH30" s="27"/>
      <c r="MMI30" s="27"/>
      <c r="MMJ30" s="27"/>
      <c r="MMK30" s="27"/>
      <c r="MML30" s="27"/>
      <c r="MMM30" s="27"/>
      <c r="MMN30" s="27"/>
      <c r="MMO30" s="27"/>
      <c r="MMP30" s="27"/>
      <c r="MMQ30" s="27"/>
      <c r="MMR30" s="27"/>
      <c r="MMS30" s="27"/>
      <c r="MMT30" s="27"/>
      <c r="MMU30" s="27"/>
      <c r="MMV30" s="27"/>
      <c r="MMW30" s="27"/>
      <c r="MMX30" s="27"/>
      <c r="MMY30" s="27"/>
      <c r="MMZ30" s="27"/>
      <c r="MNA30" s="27"/>
      <c r="MNB30" s="27"/>
      <c r="MNC30" s="27"/>
      <c r="MND30" s="27"/>
      <c r="MNE30" s="27"/>
      <c r="MNF30" s="27"/>
      <c r="MNG30" s="27"/>
      <c r="MNH30" s="27"/>
      <c r="MNI30" s="27"/>
      <c r="MNJ30" s="27"/>
      <c r="MNK30" s="27"/>
      <c r="MNL30" s="27"/>
      <c r="MNM30" s="27"/>
      <c r="MNN30" s="27"/>
      <c r="MNO30" s="27"/>
      <c r="MNP30" s="27"/>
      <c r="MNQ30" s="27"/>
      <c r="MNR30" s="27"/>
      <c r="MNS30" s="27"/>
      <c r="MNT30" s="27"/>
      <c r="MNU30" s="27"/>
      <c r="MNV30" s="27"/>
      <c r="MNW30" s="27"/>
      <c r="MNX30" s="27"/>
      <c r="MNY30" s="27"/>
      <c r="MNZ30" s="27"/>
      <c r="MOA30" s="27"/>
      <c r="MOB30" s="27"/>
      <c r="MOC30" s="27"/>
      <c r="MOD30" s="27"/>
      <c r="MOE30" s="27"/>
      <c r="MOF30" s="27"/>
      <c r="MOG30" s="27"/>
      <c r="MOH30" s="27"/>
      <c r="MOI30" s="27"/>
      <c r="MOJ30" s="27"/>
      <c r="MOK30" s="27"/>
      <c r="MOL30" s="27"/>
      <c r="MOM30" s="27"/>
      <c r="MON30" s="27"/>
      <c r="MOO30" s="27"/>
      <c r="MOP30" s="27"/>
      <c r="MOQ30" s="27"/>
      <c r="MOR30" s="27"/>
      <c r="MOS30" s="27"/>
      <c r="MOT30" s="27"/>
      <c r="MOU30" s="27"/>
      <c r="MOV30" s="27"/>
      <c r="MOW30" s="27"/>
      <c r="MOX30" s="27"/>
      <c r="MOY30" s="27"/>
      <c r="MOZ30" s="27"/>
      <c r="MPA30" s="27"/>
      <c r="MPB30" s="27"/>
      <c r="MPC30" s="27"/>
      <c r="MPD30" s="27"/>
      <c r="MPE30" s="27"/>
      <c r="MPF30" s="27"/>
      <c r="MPG30" s="27"/>
      <c r="MPH30" s="27"/>
      <c r="MPI30" s="27"/>
      <c r="MPJ30" s="27"/>
      <c r="MPK30" s="27"/>
      <c r="MPL30" s="27"/>
      <c r="MPM30" s="27"/>
      <c r="MPN30" s="27"/>
      <c r="MPO30" s="27"/>
      <c r="MPP30" s="27"/>
      <c r="MPQ30" s="27"/>
      <c r="MPR30" s="27"/>
      <c r="MPS30" s="27"/>
      <c r="MPT30" s="27"/>
      <c r="MPU30" s="27"/>
      <c r="MPV30" s="27"/>
      <c r="MPW30" s="27"/>
      <c r="MPX30" s="27"/>
      <c r="MPY30" s="27"/>
      <c r="MPZ30" s="27"/>
      <c r="MQA30" s="27"/>
      <c r="MQB30" s="27"/>
      <c r="MQC30" s="27"/>
      <c r="MQD30" s="27"/>
      <c r="MQE30" s="27"/>
      <c r="MQF30" s="27"/>
      <c r="MQG30" s="27"/>
      <c r="MQH30" s="27"/>
      <c r="MQI30" s="27"/>
      <c r="MQJ30" s="27"/>
      <c r="MQK30" s="27"/>
      <c r="MQL30" s="27"/>
      <c r="MQM30" s="27"/>
      <c r="MQN30" s="27"/>
      <c r="MQO30" s="27"/>
      <c r="MQP30" s="27"/>
      <c r="MQQ30" s="27"/>
      <c r="MQR30" s="27"/>
      <c r="MQS30" s="27"/>
      <c r="MQT30" s="27"/>
      <c r="MQU30" s="27"/>
      <c r="MQV30" s="27"/>
      <c r="MQW30" s="27"/>
      <c r="MQX30" s="27"/>
      <c r="MQY30" s="27"/>
      <c r="MQZ30" s="27"/>
      <c r="MRA30" s="27"/>
      <c r="MRB30" s="27"/>
      <c r="MRC30" s="27"/>
      <c r="MRD30" s="27"/>
      <c r="MRE30" s="27"/>
      <c r="MRF30" s="27"/>
      <c r="MRG30" s="27"/>
      <c r="MRH30" s="27"/>
      <c r="MRI30" s="27"/>
      <c r="MRJ30" s="27"/>
      <c r="MRK30" s="27"/>
      <c r="MRL30" s="27"/>
      <c r="MRM30" s="27"/>
      <c r="MRN30" s="27"/>
      <c r="MRO30" s="27"/>
      <c r="MRP30" s="27"/>
      <c r="MRQ30" s="27"/>
      <c r="MRR30" s="27"/>
      <c r="MRS30" s="27"/>
      <c r="MRT30" s="27"/>
      <c r="MRU30" s="27"/>
      <c r="MRV30" s="27"/>
      <c r="MRW30" s="27"/>
      <c r="MRX30" s="27"/>
      <c r="MRY30" s="27"/>
      <c r="MRZ30" s="27"/>
      <c r="MSA30" s="27"/>
      <c r="MSB30" s="27"/>
      <c r="MSC30" s="27"/>
      <c r="MSD30" s="27"/>
      <c r="MSE30" s="27"/>
      <c r="MSF30" s="27"/>
      <c r="MSG30" s="27"/>
      <c r="MSH30" s="27"/>
      <c r="MSI30" s="27"/>
      <c r="MSJ30" s="27"/>
      <c r="MSK30" s="27"/>
      <c r="MSL30" s="27"/>
      <c r="MSM30" s="27"/>
      <c r="MSN30" s="27"/>
      <c r="MSO30" s="27"/>
      <c r="MSP30" s="27"/>
      <c r="MSQ30" s="27"/>
      <c r="MSR30" s="27"/>
      <c r="MSS30" s="27"/>
      <c r="MST30" s="27"/>
      <c r="MSU30" s="27"/>
      <c r="MSV30" s="27"/>
      <c r="MSW30" s="27"/>
      <c r="MSX30" s="27"/>
      <c r="MSY30" s="27"/>
      <c r="MSZ30" s="27"/>
      <c r="MTA30" s="27"/>
      <c r="MTB30" s="27"/>
      <c r="MTC30" s="27"/>
      <c r="MTD30" s="27"/>
      <c r="MTE30" s="27"/>
      <c r="MTF30" s="27"/>
      <c r="MTG30" s="27"/>
      <c r="MTH30" s="27"/>
      <c r="MTI30" s="27"/>
      <c r="MTJ30" s="27"/>
      <c r="MTK30" s="27"/>
      <c r="MTL30" s="27"/>
      <c r="MTM30" s="27"/>
      <c r="MTN30" s="27"/>
      <c r="MTO30" s="27"/>
      <c r="MTP30" s="27"/>
      <c r="MTQ30" s="27"/>
      <c r="MTR30" s="27"/>
      <c r="MTS30" s="27"/>
      <c r="MTT30" s="27"/>
      <c r="MTU30" s="27"/>
      <c r="MTV30" s="27"/>
      <c r="MTW30" s="27"/>
      <c r="MTX30" s="27"/>
      <c r="MTY30" s="27"/>
      <c r="MTZ30" s="27"/>
      <c r="MUA30" s="27"/>
      <c r="MUB30" s="27"/>
      <c r="MUC30" s="27"/>
      <c r="MUD30" s="27"/>
      <c r="MUE30" s="27"/>
      <c r="MUF30" s="27"/>
      <c r="MUG30" s="27"/>
      <c r="MUH30" s="27"/>
      <c r="MUI30" s="27"/>
      <c r="MUJ30" s="27"/>
      <c r="MUK30" s="27"/>
      <c r="MUL30" s="27"/>
      <c r="MUM30" s="27"/>
      <c r="MUN30" s="27"/>
      <c r="MUO30" s="27"/>
      <c r="MUP30" s="27"/>
      <c r="MUQ30" s="27"/>
      <c r="MUR30" s="27"/>
      <c r="MUS30" s="27"/>
      <c r="MUT30" s="27"/>
      <c r="MUU30" s="27"/>
      <c r="MUV30" s="27"/>
      <c r="MUW30" s="27"/>
      <c r="MUX30" s="27"/>
      <c r="MUY30" s="27"/>
      <c r="MUZ30" s="27"/>
      <c r="MVA30" s="27"/>
      <c r="MVB30" s="27"/>
      <c r="MVC30" s="27"/>
      <c r="MVD30" s="27"/>
      <c r="MVE30" s="27"/>
      <c r="MVF30" s="27"/>
      <c r="MVG30" s="27"/>
      <c r="MVH30" s="27"/>
      <c r="MVI30" s="27"/>
      <c r="MVJ30" s="27"/>
      <c r="MVK30" s="27"/>
      <c r="MVL30" s="27"/>
      <c r="MVM30" s="27"/>
      <c r="MVN30" s="27"/>
      <c r="MVO30" s="27"/>
      <c r="MVP30" s="27"/>
      <c r="MVQ30" s="27"/>
      <c r="MVR30" s="27"/>
      <c r="MVS30" s="27"/>
      <c r="MVT30" s="27"/>
      <c r="MVU30" s="27"/>
      <c r="MVV30" s="27"/>
      <c r="MVW30" s="27"/>
      <c r="MVX30" s="27"/>
      <c r="MVY30" s="27"/>
      <c r="MVZ30" s="27"/>
      <c r="MWA30" s="27"/>
      <c r="MWB30" s="27"/>
      <c r="MWC30" s="27"/>
      <c r="MWD30" s="27"/>
      <c r="MWE30" s="27"/>
      <c r="MWF30" s="27"/>
      <c r="MWG30" s="27"/>
      <c r="MWH30" s="27"/>
      <c r="MWI30" s="27"/>
      <c r="MWJ30" s="27"/>
      <c r="MWK30" s="27"/>
      <c r="MWL30" s="27"/>
      <c r="MWM30" s="27"/>
      <c r="MWN30" s="27"/>
      <c r="MWO30" s="27"/>
      <c r="MWP30" s="27"/>
      <c r="MWQ30" s="27"/>
      <c r="MWR30" s="27"/>
      <c r="MWS30" s="27"/>
      <c r="MWT30" s="27"/>
      <c r="MWU30" s="27"/>
      <c r="MWV30" s="27"/>
      <c r="MWW30" s="27"/>
      <c r="MWX30" s="27"/>
      <c r="MWY30" s="27"/>
      <c r="MWZ30" s="27"/>
      <c r="MXA30" s="27"/>
      <c r="MXB30" s="27"/>
      <c r="MXC30" s="27"/>
      <c r="MXD30" s="27"/>
      <c r="MXE30" s="27"/>
      <c r="MXF30" s="27"/>
      <c r="MXG30" s="27"/>
      <c r="MXH30" s="27"/>
      <c r="MXI30" s="27"/>
      <c r="MXJ30" s="27"/>
      <c r="MXK30" s="27"/>
      <c r="MXL30" s="27"/>
      <c r="MXM30" s="27"/>
      <c r="MXN30" s="27"/>
      <c r="MXO30" s="27"/>
      <c r="MXP30" s="27"/>
      <c r="MXQ30" s="27"/>
      <c r="MXR30" s="27"/>
      <c r="MXS30" s="27"/>
      <c r="MXT30" s="27"/>
      <c r="MXU30" s="27"/>
      <c r="MXV30" s="27"/>
      <c r="MXW30" s="27"/>
      <c r="MXX30" s="27"/>
      <c r="MXY30" s="27"/>
      <c r="MXZ30" s="27"/>
      <c r="MYA30" s="27"/>
      <c r="MYB30" s="27"/>
      <c r="MYC30" s="27"/>
      <c r="MYD30" s="27"/>
      <c r="MYE30" s="27"/>
      <c r="MYF30" s="27"/>
      <c r="MYG30" s="27"/>
      <c r="MYH30" s="27"/>
      <c r="MYI30" s="27"/>
      <c r="MYJ30" s="27"/>
      <c r="MYK30" s="27"/>
      <c r="MYL30" s="27"/>
      <c r="MYM30" s="27"/>
      <c r="MYN30" s="27"/>
      <c r="MYO30" s="27"/>
      <c r="MYP30" s="27"/>
      <c r="MYQ30" s="27"/>
      <c r="MYR30" s="27"/>
      <c r="MYS30" s="27"/>
      <c r="MYT30" s="27"/>
      <c r="MYU30" s="27"/>
      <c r="MYV30" s="27"/>
      <c r="MYW30" s="27"/>
      <c r="MYX30" s="27"/>
      <c r="MYY30" s="27"/>
      <c r="MYZ30" s="27"/>
      <c r="MZA30" s="27"/>
      <c r="MZB30" s="27"/>
      <c r="MZC30" s="27"/>
      <c r="MZD30" s="27"/>
      <c r="MZE30" s="27"/>
      <c r="MZF30" s="27"/>
      <c r="MZG30" s="27"/>
      <c r="MZH30" s="27"/>
      <c r="MZI30" s="27"/>
      <c r="MZJ30" s="27"/>
      <c r="MZK30" s="27"/>
      <c r="MZL30" s="27"/>
      <c r="MZM30" s="27"/>
      <c r="MZN30" s="27"/>
      <c r="MZO30" s="27"/>
      <c r="MZP30" s="27"/>
      <c r="MZQ30" s="27"/>
      <c r="MZR30" s="27"/>
      <c r="MZS30" s="27"/>
      <c r="MZT30" s="27"/>
      <c r="MZU30" s="27"/>
      <c r="MZV30" s="27"/>
      <c r="MZW30" s="27"/>
      <c r="MZX30" s="27"/>
      <c r="MZY30" s="27"/>
      <c r="MZZ30" s="27"/>
      <c r="NAA30" s="27"/>
      <c r="NAB30" s="27"/>
      <c r="NAC30" s="27"/>
      <c r="NAD30" s="27"/>
      <c r="NAE30" s="27"/>
      <c r="NAF30" s="27"/>
      <c r="NAG30" s="27"/>
      <c r="NAH30" s="27"/>
      <c r="NAI30" s="27"/>
      <c r="NAJ30" s="27"/>
      <c r="NAK30" s="27"/>
      <c r="NAL30" s="27"/>
      <c r="NAM30" s="27"/>
      <c r="NAN30" s="27"/>
      <c r="NAO30" s="27"/>
      <c r="NAP30" s="27"/>
      <c r="NAQ30" s="27"/>
      <c r="NAR30" s="27"/>
      <c r="NAS30" s="27"/>
      <c r="NAT30" s="27"/>
      <c r="NAU30" s="27"/>
      <c r="NAV30" s="27"/>
      <c r="NAW30" s="27"/>
      <c r="NAX30" s="27"/>
      <c r="NAY30" s="27"/>
      <c r="NAZ30" s="27"/>
      <c r="NBA30" s="27"/>
      <c r="NBB30" s="27"/>
      <c r="NBC30" s="27"/>
      <c r="NBD30" s="27"/>
      <c r="NBE30" s="27"/>
      <c r="NBF30" s="27"/>
      <c r="NBG30" s="27"/>
      <c r="NBH30" s="27"/>
      <c r="NBI30" s="27"/>
      <c r="NBJ30" s="27"/>
      <c r="NBK30" s="27"/>
      <c r="NBL30" s="27"/>
      <c r="NBM30" s="27"/>
      <c r="NBN30" s="27"/>
      <c r="NBO30" s="27"/>
      <c r="NBP30" s="27"/>
      <c r="NBQ30" s="27"/>
      <c r="NBR30" s="27"/>
      <c r="NBS30" s="27"/>
      <c r="NBT30" s="27"/>
      <c r="NBU30" s="27"/>
      <c r="NBV30" s="27"/>
      <c r="NBW30" s="27"/>
      <c r="NBX30" s="27"/>
      <c r="NBY30" s="27"/>
      <c r="NBZ30" s="27"/>
      <c r="NCA30" s="27"/>
      <c r="NCB30" s="27"/>
      <c r="NCC30" s="27"/>
      <c r="NCD30" s="27"/>
      <c r="NCE30" s="27"/>
      <c r="NCF30" s="27"/>
      <c r="NCG30" s="27"/>
      <c r="NCH30" s="27"/>
      <c r="NCI30" s="27"/>
      <c r="NCJ30" s="27"/>
      <c r="NCK30" s="27"/>
      <c r="NCL30" s="27"/>
      <c r="NCM30" s="27"/>
      <c r="NCN30" s="27"/>
      <c r="NCO30" s="27"/>
      <c r="NCP30" s="27"/>
      <c r="NCQ30" s="27"/>
      <c r="NCR30" s="27"/>
      <c r="NCS30" s="27"/>
      <c r="NCT30" s="27"/>
      <c r="NCU30" s="27"/>
      <c r="NCV30" s="27"/>
      <c r="NCW30" s="27"/>
      <c r="NCX30" s="27"/>
      <c r="NCY30" s="27"/>
      <c r="NCZ30" s="27"/>
      <c r="NDA30" s="27"/>
      <c r="NDB30" s="27"/>
      <c r="NDC30" s="27"/>
      <c r="NDD30" s="27"/>
      <c r="NDE30" s="27"/>
      <c r="NDF30" s="27"/>
      <c r="NDG30" s="27"/>
      <c r="NDH30" s="27"/>
      <c r="NDI30" s="27"/>
      <c r="NDJ30" s="27"/>
      <c r="NDK30" s="27"/>
      <c r="NDL30" s="27"/>
      <c r="NDM30" s="27"/>
      <c r="NDN30" s="27"/>
      <c r="NDO30" s="27"/>
      <c r="NDP30" s="27"/>
      <c r="NDQ30" s="27"/>
      <c r="NDR30" s="27"/>
      <c r="NDS30" s="27"/>
      <c r="NDT30" s="27"/>
      <c r="NDU30" s="27"/>
      <c r="NDV30" s="27"/>
      <c r="NDW30" s="27"/>
      <c r="NDX30" s="27"/>
      <c r="NDY30" s="27"/>
      <c r="NDZ30" s="27"/>
      <c r="NEA30" s="27"/>
      <c r="NEB30" s="27"/>
      <c r="NEC30" s="27"/>
      <c r="NED30" s="27"/>
      <c r="NEE30" s="27"/>
      <c r="NEF30" s="27"/>
      <c r="NEG30" s="27"/>
      <c r="NEH30" s="27"/>
      <c r="NEI30" s="27"/>
      <c r="NEJ30" s="27"/>
      <c r="NEK30" s="27"/>
      <c r="NEL30" s="27"/>
      <c r="NEM30" s="27"/>
      <c r="NEN30" s="27"/>
      <c r="NEO30" s="27"/>
      <c r="NEP30" s="27"/>
      <c r="NEQ30" s="27"/>
      <c r="NER30" s="27"/>
      <c r="NES30" s="27"/>
      <c r="NET30" s="27"/>
      <c r="NEU30" s="27"/>
      <c r="NEV30" s="27"/>
      <c r="NEW30" s="27"/>
      <c r="NEX30" s="27"/>
      <c r="NEY30" s="27"/>
      <c r="NEZ30" s="27"/>
      <c r="NFA30" s="27"/>
      <c r="NFB30" s="27"/>
      <c r="NFC30" s="27"/>
      <c r="NFD30" s="27"/>
      <c r="NFE30" s="27"/>
      <c r="NFF30" s="27"/>
      <c r="NFG30" s="27"/>
      <c r="NFH30" s="27"/>
      <c r="NFI30" s="27"/>
      <c r="NFJ30" s="27"/>
      <c r="NFK30" s="27"/>
      <c r="NFL30" s="27"/>
      <c r="NFM30" s="27"/>
      <c r="NFN30" s="27"/>
      <c r="NFO30" s="27"/>
      <c r="NFP30" s="27"/>
      <c r="NFQ30" s="27"/>
      <c r="NFR30" s="27"/>
      <c r="NFS30" s="27"/>
      <c r="NFT30" s="27"/>
      <c r="NFU30" s="27"/>
      <c r="NFV30" s="27"/>
      <c r="NFW30" s="27"/>
      <c r="NFX30" s="27"/>
      <c r="NFY30" s="27"/>
      <c r="NFZ30" s="27"/>
      <c r="NGA30" s="27"/>
      <c r="NGB30" s="27"/>
      <c r="NGC30" s="27"/>
      <c r="NGD30" s="27"/>
      <c r="NGE30" s="27"/>
      <c r="NGF30" s="27"/>
      <c r="NGG30" s="27"/>
      <c r="NGH30" s="27"/>
      <c r="NGI30" s="27"/>
      <c r="NGJ30" s="27"/>
      <c r="NGK30" s="27"/>
      <c r="NGL30" s="27"/>
      <c r="NGM30" s="27"/>
      <c r="NGN30" s="27"/>
      <c r="NGO30" s="27"/>
      <c r="NGP30" s="27"/>
      <c r="NGQ30" s="27"/>
      <c r="NGR30" s="27"/>
      <c r="NGS30" s="27"/>
      <c r="NGT30" s="27"/>
      <c r="NGU30" s="27"/>
      <c r="NGV30" s="27"/>
      <c r="NGW30" s="27"/>
      <c r="NGX30" s="27"/>
      <c r="NGY30" s="27"/>
      <c r="NGZ30" s="27"/>
      <c r="NHA30" s="27"/>
      <c r="NHB30" s="27"/>
      <c r="NHC30" s="27"/>
      <c r="NHD30" s="27"/>
      <c r="NHE30" s="27"/>
      <c r="NHF30" s="27"/>
      <c r="NHG30" s="27"/>
      <c r="NHH30" s="27"/>
      <c r="NHI30" s="27"/>
      <c r="NHJ30" s="27"/>
      <c r="NHK30" s="27"/>
      <c r="NHL30" s="27"/>
      <c r="NHM30" s="27"/>
      <c r="NHN30" s="27"/>
      <c r="NHO30" s="27"/>
      <c r="NHP30" s="27"/>
      <c r="NHQ30" s="27"/>
      <c r="NHR30" s="27"/>
      <c r="NHS30" s="27"/>
      <c r="NHT30" s="27"/>
      <c r="NHU30" s="27"/>
      <c r="NHV30" s="27"/>
      <c r="NHW30" s="27"/>
      <c r="NHX30" s="27"/>
      <c r="NHY30" s="27"/>
      <c r="NHZ30" s="27"/>
      <c r="NIA30" s="27"/>
      <c r="NIB30" s="27"/>
      <c r="NIC30" s="27"/>
      <c r="NID30" s="27"/>
      <c r="NIE30" s="27"/>
      <c r="NIF30" s="27"/>
      <c r="NIG30" s="27"/>
      <c r="NIH30" s="27"/>
      <c r="NII30" s="27"/>
      <c r="NIJ30" s="27"/>
      <c r="NIK30" s="27"/>
      <c r="NIL30" s="27"/>
      <c r="NIM30" s="27"/>
      <c r="NIN30" s="27"/>
      <c r="NIO30" s="27"/>
      <c r="NIP30" s="27"/>
      <c r="NIQ30" s="27"/>
      <c r="NIR30" s="27"/>
      <c r="NIS30" s="27"/>
      <c r="NIT30" s="27"/>
      <c r="NIU30" s="27"/>
      <c r="NIV30" s="27"/>
      <c r="NIW30" s="27"/>
      <c r="NIX30" s="27"/>
      <c r="NIY30" s="27"/>
      <c r="NIZ30" s="27"/>
      <c r="NJA30" s="27"/>
      <c r="NJB30" s="27"/>
      <c r="NJC30" s="27"/>
      <c r="NJD30" s="27"/>
      <c r="NJE30" s="27"/>
      <c r="NJF30" s="27"/>
      <c r="NJG30" s="27"/>
      <c r="NJH30" s="27"/>
      <c r="NJI30" s="27"/>
      <c r="NJJ30" s="27"/>
      <c r="NJK30" s="27"/>
      <c r="NJL30" s="27"/>
      <c r="NJM30" s="27"/>
      <c r="NJN30" s="27"/>
      <c r="NJO30" s="27"/>
      <c r="NJP30" s="27"/>
      <c r="NJQ30" s="27"/>
      <c r="NJR30" s="27"/>
      <c r="NJS30" s="27"/>
      <c r="NJT30" s="27"/>
      <c r="NJU30" s="27"/>
      <c r="NJV30" s="27"/>
      <c r="NJW30" s="27"/>
      <c r="NJX30" s="27"/>
      <c r="NJY30" s="27"/>
      <c r="NJZ30" s="27"/>
      <c r="NKA30" s="27"/>
      <c r="NKB30" s="27"/>
      <c r="NKC30" s="27"/>
      <c r="NKD30" s="27"/>
      <c r="NKE30" s="27"/>
      <c r="NKF30" s="27"/>
      <c r="NKG30" s="27"/>
      <c r="NKH30" s="27"/>
      <c r="NKI30" s="27"/>
      <c r="NKJ30" s="27"/>
      <c r="NKK30" s="27"/>
      <c r="NKL30" s="27"/>
      <c r="NKM30" s="27"/>
      <c r="NKN30" s="27"/>
      <c r="NKO30" s="27"/>
      <c r="NKP30" s="27"/>
      <c r="NKQ30" s="27"/>
      <c r="NKR30" s="27"/>
      <c r="NKS30" s="27"/>
      <c r="NKT30" s="27"/>
      <c r="NKU30" s="27"/>
      <c r="NKV30" s="27"/>
      <c r="NKW30" s="27"/>
      <c r="NKX30" s="27"/>
      <c r="NKY30" s="27"/>
      <c r="NKZ30" s="27"/>
      <c r="NLA30" s="27"/>
      <c r="NLB30" s="27"/>
      <c r="NLC30" s="27"/>
      <c r="NLD30" s="27"/>
      <c r="NLE30" s="27"/>
      <c r="NLF30" s="27"/>
      <c r="NLG30" s="27"/>
      <c r="NLH30" s="27"/>
      <c r="NLI30" s="27"/>
      <c r="NLJ30" s="27"/>
      <c r="NLK30" s="27"/>
      <c r="NLL30" s="27"/>
      <c r="NLM30" s="27"/>
      <c r="NLN30" s="27"/>
      <c r="NLO30" s="27"/>
      <c r="NLP30" s="27"/>
      <c r="NLQ30" s="27"/>
      <c r="NLR30" s="27"/>
      <c r="NLS30" s="27"/>
      <c r="NLT30" s="27"/>
      <c r="NLU30" s="27"/>
      <c r="NLV30" s="27"/>
      <c r="NLW30" s="27"/>
      <c r="NLX30" s="27"/>
      <c r="NLY30" s="27"/>
      <c r="NLZ30" s="27"/>
      <c r="NMA30" s="27"/>
      <c r="NMB30" s="27"/>
      <c r="NMC30" s="27"/>
      <c r="NMD30" s="27"/>
      <c r="NME30" s="27"/>
      <c r="NMF30" s="27"/>
      <c r="NMG30" s="27"/>
      <c r="NMH30" s="27"/>
      <c r="NMI30" s="27"/>
      <c r="NMJ30" s="27"/>
      <c r="NMK30" s="27"/>
      <c r="NML30" s="27"/>
      <c r="NMM30" s="27"/>
      <c r="NMN30" s="27"/>
      <c r="NMO30" s="27"/>
      <c r="NMP30" s="27"/>
      <c r="NMQ30" s="27"/>
      <c r="NMR30" s="27"/>
      <c r="NMS30" s="27"/>
      <c r="NMT30" s="27"/>
      <c r="NMU30" s="27"/>
      <c r="NMV30" s="27"/>
      <c r="NMW30" s="27"/>
      <c r="NMX30" s="27"/>
      <c r="NMY30" s="27"/>
      <c r="NMZ30" s="27"/>
      <c r="NNA30" s="27"/>
      <c r="NNB30" s="27"/>
      <c r="NNC30" s="27"/>
      <c r="NND30" s="27"/>
      <c r="NNE30" s="27"/>
      <c r="NNF30" s="27"/>
      <c r="NNG30" s="27"/>
      <c r="NNH30" s="27"/>
      <c r="NNI30" s="27"/>
      <c r="NNJ30" s="27"/>
      <c r="NNK30" s="27"/>
      <c r="NNL30" s="27"/>
      <c r="NNM30" s="27"/>
      <c r="NNN30" s="27"/>
      <c r="NNO30" s="27"/>
      <c r="NNP30" s="27"/>
      <c r="NNQ30" s="27"/>
      <c r="NNR30" s="27"/>
      <c r="NNS30" s="27"/>
      <c r="NNT30" s="27"/>
      <c r="NNU30" s="27"/>
      <c r="NNV30" s="27"/>
      <c r="NNW30" s="27"/>
      <c r="NNX30" s="27"/>
      <c r="NNY30" s="27"/>
      <c r="NNZ30" s="27"/>
      <c r="NOA30" s="27"/>
      <c r="NOB30" s="27"/>
      <c r="NOC30" s="27"/>
      <c r="NOD30" s="27"/>
      <c r="NOE30" s="27"/>
      <c r="NOF30" s="27"/>
      <c r="NOG30" s="27"/>
      <c r="NOH30" s="27"/>
      <c r="NOI30" s="27"/>
      <c r="NOJ30" s="27"/>
      <c r="NOK30" s="27"/>
      <c r="NOL30" s="27"/>
      <c r="NOM30" s="27"/>
      <c r="NON30" s="27"/>
      <c r="NOO30" s="27"/>
      <c r="NOP30" s="27"/>
      <c r="NOQ30" s="27"/>
      <c r="NOR30" s="27"/>
      <c r="NOS30" s="27"/>
      <c r="NOT30" s="27"/>
      <c r="NOU30" s="27"/>
      <c r="NOV30" s="27"/>
      <c r="NOW30" s="27"/>
      <c r="NOX30" s="27"/>
      <c r="NOY30" s="27"/>
      <c r="NOZ30" s="27"/>
      <c r="NPA30" s="27"/>
      <c r="NPB30" s="27"/>
      <c r="NPC30" s="27"/>
      <c r="NPD30" s="27"/>
      <c r="NPE30" s="27"/>
      <c r="NPF30" s="27"/>
      <c r="NPG30" s="27"/>
      <c r="NPH30" s="27"/>
      <c r="NPI30" s="27"/>
      <c r="NPJ30" s="27"/>
      <c r="NPK30" s="27"/>
      <c r="NPL30" s="27"/>
      <c r="NPM30" s="27"/>
      <c r="NPN30" s="27"/>
      <c r="NPO30" s="27"/>
      <c r="NPP30" s="27"/>
      <c r="NPQ30" s="27"/>
      <c r="NPR30" s="27"/>
      <c r="NPS30" s="27"/>
      <c r="NPT30" s="27"/>
      <c r="NPU30" s="27"/>
      <c r="NPV30" s="27"/>
      <c r="NPW30" s="27"/>
      <c r="NPX30" s="27"/>
      <c r="NPY30" s="27"/>
      <c r="NPZ30" s="27"/>
      <c r="NQA30" s="27"/>
      <c r="NQB30" s="27"/>
      <c r="NQC30" s="27"/>
      <c r="NQD30" s="27"/>
      <c r="NQE30" s="27"/>
      <c r="NQF30" s="27"/>
      <c r="NQG30" s="27"/>
      <c r="NQH30" s="27"/>
      <c r="NQI30" s="27"/>
      <c r="NQJ30" s="27"/>
      <c r="NQK30" s="27"/>
      <c r="NQL30" s="27"/>
      <c r="NQM30" s="27"/>
      <c r="NQN30" s="27"/>
      <c r="NQO30" s="27"/>
      <c r="NQP30" s="27"/>
      <c r="NQQ30" s="27"/>
      <c r="NQR30" s="27"/>
      <c r="NQS30" s="27"/>
      <c r="NQT30" s="27"/>
      <c r="NQU30" s="27"/>
      <c r="NQV30" s="27"/>
      <c r="NQW30" s="27"/>
      <c r="NQX30" s="27"/>
      <c r="NQY30" s="27"/>
      <c r="NQZ30" s="27"/>
      <c r="NRA30" s="27"/>
      <c r="NRB30" s="27"/>
      <c r="NRC30" s="27"/>
      <c r="NRD30" s="27"/>
      <c r="NRE30" s="27"/>
      <c r="NRF30" s="27"/>
      <c r="NRG30" s="27"/>
      <c r="NRH30" s="27"/>
      <c r="NRI30" s="27"/>
      <c r="NRJ30" s="27"/>
      <c r="NRK30" s="27"/>
      <c r="NRL30" s="27"/>
      <c r="NRM30" s="27"/>
      <c r="NRN30" s="27"/>
      <c r="NRO30" s="27"/>
      <c r="NRP30" s="27"/>
      <c r="NRQ30" s="27"/>
      <c r="NRR30" s="27"/>
      <c r="NRS30" s="27"/>
      <c r="NRT30" s="27"/>
      <c r="NRU30" s="27"/>
      <c r="NRV30" s="27"/>
      <c r="NRW30" s="27"/>
      <c r="NRX30" s="27"/>
      <c r="NRY30" s="27"/>
      <c r="NRZ30" s="27"/>
      <c r="NSA30" s="27"/>
      <c r="NSB30" s="27"/>
      <c r="NSC30" s="27"/>
      <c r="NSD30" s="27"/>
      <c r="NSE30" s="27"/>
      <c r="NSF30" s="27"/>
      <c r="NSG30" s="27"/>
      <c r="NSH30" s="27"/>
      <c r="NSI30" s="27"/>
      <c r="NSJ30" s="27"/>
      <c r="NSK30" s="27"/>
      <c r="NSL30" s="27"/>
      <c r="NSM30" s="27"/>
      <c r="NSN30" s="27"/>
      <c r="NSO30" s="27"/>
      <c r="NSP30" s="27"/>
      <c r="NSQ30" s="27"/>
      <c r="NSR30" s="27"/>
      <c r="NSS30" s="27"/>
      <c r="NST30" s="27"/>
      <c r="NSU30" s="27"/>
      <c r="NSV30" s="27"/>
      <c r="NSW30" s="27"/>
      <c r="NSX30" s="27"/>
      <c r="NSY30" s="27"/>
      <c r="NSZ30" s="27"/>
      <c r="NTA30" s="27"/>
      <c r="NTB30" s="27"/>
      <c r="NTC30" s="27"/>
      <c r="NTD30" s="27"/>
      <c r="NTE30" s="27"/>
      <c r="NTF30" s="27"/>
      <c r="NTG30" s="27"/>
      <c r="NTH30" s="27"/>
      <c r="NTI30" s="27"/>
      <c r="NTJ30" s="27"/>
      <c r="NTK30" s="27"/>
      <c r="NTL30" s="27"/>
      <c r="NTM30" s="27"/>
      <c r="NTN30" s="27"/>
      <c r="NTO30" s="27"/>
      <c r="NTP30" s="27"/>
      <c r="NTQ30" s="27"/>
      <c r="NTR30" s="27"/>
      <c r="NTS30" s="27"/>
      <c r="NTT30" s="27"/>
      <c r="NTU30" s="27"/>
      <c r="NTV30" s="27"/>
      <c r="NTW30" s="27"/>
      <c r="NTX30" s="27"/>
      <c r="NTY30" s="27"/>
      <c r="NTZ30" s="27"/>
      <c r="NUA30" s="27"/>
      <c r="NUB30" s="27"/>
      <c r="NUC30" s="27"/>
      <c r="NUD30" s="27"/>
      <c r="NUE30" s="27"/>
      <c r="NUF30" s="27"/>
      <c r="NUG30" s="27"/>
      <c r="NUH30" s="27"/>
      <c r="NUI30" s="27"/>
      <c r="NUJ30" s="27"/>
      <c r="NUK30" s="27"/>
      <c r="NUL30" s="27"/>
      <c r="NUM30" s="27"/>
      <c r="NUN30" s="27"/>
      <c r="NUO30" s="27"/>
      <c r="NUP30" s="27"/>
      <c r="NUQ30" s="27"/>
      <c r="NUR30" s="27"/>
      <c r="NUS30" s="27"/>
      <c r="NUT30" s="27"/>
      <c r="NUU30" s="27"/>
      <c r="NUV30" s="27"/>
      <c r="NUW30" s="27"/>
      <c r="NUX30" s="27"/>
      <c r="NUY30" s="27"/>
      <c r="NUZ30" s="27"/>
      <c r="NVA30" s="27"/>
      <c r="NVB30" s="27"/>
      <c r="NVC30" s="27"/>
      <c r="NVD30" s="27"/>
      <c r="NVE30" s="27"/>
      <c r="NVF30" s="27"/>
      <c r="NVG30" s="27"/>
      <c r="NVH30" s="27"/>
      <c r="NVI30" s="27"/>
      <c r="NVJ30" s="27"/>
      <c r="NVK30" s="27"/>
      <c r="NVL30" s="27"/>
      <c r="NVM30" s="27"/>
      <c r="NVN30" s="27"/>
      <c r="NVO30" s="27"/>
      <c r="NVP30" s="27"/>
      <c r="NVQ30" s="27"/>
      <c r="NVR30" s="27"/>
      <c r="NVS30" s="27"/>
      <c r="NVT30" s="27"/>
      <c r="NVU30" s="27"/>
      <c r="NVV30" s="27"/>
      <c r="NVW30" s="27"/>
      <c r="NVX30" s="27"/>
      <c r="NVY30" s="27"/>
      <c r="NVZ30" s="27"/>
      <c r="NWA30" s="27"/>
      <c r="NWB30" s="27"/>
      <c r="NWC30" s="27"/>
      <c r="NWD30" s="27"/>
      <c r="NWE30" s="27"/>
      <c r="NWF30" s="27"/>
      <c r="NWG30" s="27"/>
      <c r="NWH30" s="27"/>
      <c r="NWI30" s="27"/>
      <c r="NWJ30" s="27"/>
      <c r="NWK30" s="27"/>
      <c r="NWL30" s="27"/>
      <c r="NWM30" s="27"/>
      <c r="NWN30" s="27"/>
      <c r="NWO30" s="27"/>
      <c r="NWP30" s="27"/>
      <c r="NWQ30" s="27"/>
      <c r="NWR30" s="27"/>
      <c r="NWS30" s="27"/>
      <c r="NWT30" s="27"/>
      <c r="NWU30" s="27"/>
      <c r="NWV30" s="27"/>
      <c r="NWW30" s="27"/>
      <c r="NWX30" s="27"/>
      <c r="NWY30" s="27"/>
      <c r="NWZ30" s="27"/>
      <c r="NXA30" s="27"/>
      <c r="NXB30" s="27"/>
      <c r="NXC30" s="27"/>
      <c r="NXD30" s="27"/>
      <c r="NXE30" s="27"/>
      <c r="NXF30" s="27"/>
      <c r="NXG30" s="27"/>
      <c r="NXH30" s="27"/>
      <c r="NXI30" s="27"/>
      <c r="NXJ30" s="27"/>
      <c r="NXK30" s="27"/>
      <c r="NXL30" s="27"/>
      <c r="NXM30" s="27"/>
      <c r="NXN30" s="27"/>
      <c r="NXO30" s="27"/>
      <c r="NXP30" s="27"/>
      <c r="NXQ30" s="27"/>
      <c r="NXR30" s="27"/>
      <c r="NXS30" s="27"/>
      <c r="NXT30" s="27"/>
      <c r="NXU30" s="27"/>
      <c r="NXV30" s="27"/>
      <c r="NXW30" s="27"/>
      <c r="NXX30" s="27"/>
      <c r="NXY30" s="27"/>
      <c r="NXZ30" s="27"/>
      <c r="NYA30" s="27"/>
      <c r="NYB30" s="27"/>
      <c r="NYC30" s="27"/>
      <c r="NYD30" s="27"/>
      <c r="NYE30" s="27"/>
      <c r="NYF30" s="27"/>
      <c r="NYG30" s="27"/>
      <c r="NYH30" s="27"/>
      <c r="NYI30" s="27"/>
      <c r="NYJ30" s="27"/>
      <c r="NYK30" s="27"/>
      <c r="NYL30" s="27"/>
      <c r="NYM30" s="27"/>
      <c r="NYN30" s="27"/>
      <c r="NYO30" s="27"/>
      <c r="NYP30" s="27"/>
      <c r="NYQ30" s="27"/>
      <c r="NYR30" s="27"/>
      <c r="NYS30" s="27"/>
      <c r="NYT30" s="27"/>
      <c r="NYU30" s="27"/>
      <c r="NYV30" s="27"/>
      <c r="NYW30" s="27"/>
      <c r="NYX30" s="27"/>
      <c r="NYY30" s="27"/>
      <c r="NYZ30" s="27"/>
      <c r="NZA30" s="27"/>
      <c r="NZB30" s="27"/>
      <c r="NZC30" s="27"/>
      <c r="NZD30" s="27"/>
      <c r="NZE30" s="27"/>
      <c r="NZF30" s="27"/>
      <c r="NZG30" s="27"/>
      <c r="NZH30" s="27"/>
      <c r="NZI30" s="27"/>
      <c r="NZJ30" s="27"/>
      <c r="NZK30" s="27"/>
      <c r="NZL30" s="27"/>
      <c r="NZM30" s="27"/>
      <c r="NZN30" s="27"/>
      <c r="NZO30" s="27"/>
      <c r="NZP30" s="27"/>
      <c r="NZQ30" s="27"/>
      <c r="NZR30" s="27"/>
      <c r="NZS30" s="27"/>
      <c r="NZT30" s="27"/>
      <c r="NZU30" s="27"/>
      <c r="NZV30" s="27"/>
      <c r="NZW30" s="27"/>
      <c r="NZX30" s="27"/>
      <c r="NZY30" s="27"/>
      <c r="NZZ30" s="27"/>
      <c r="OAA30" s="27"/>
      <c r="OAB30" s="27"/>
      <c r="OAC30" s="27"/>
      <c r="OAD30" s="27"/>
      <c r="OAE30" s="27"/>
      <c r="OAF30" s="27"/>
      <c r="OAG30" s="27"/>
      <c r="OAH30" s="27"/>
      <c r="OAI30" s="27"/>
      <c r="OAJ30" s="27"/>
      <c r="OAK30" s="27"/>
      <c r="OAL30" s="27"/>
      <c r="OAM30" s="27"/>
      <c r="OAN30" s="27"/>
      <c r="OAO30" s="27"/>
      <c r="OAP30" s="27"/>
      <c r="OAQ30" s="27"/>
      <c r="OAR30" s="27"/>
      <c r="OAS30" s="27"/>
      <c r="OAT30" s="27"/>
      <c r="OAU30" s="27"/>
      <c r="OAV30" s="27"/>
      <c r="OAW30" s="27"/>
      <c r="OAX30" s="27"/>
      <c r="OAY30" s="27"/>
      <c r="OAZ30" s="27"/>
      <c r="OBA30" s="27"/>
      <c r="OBB30" s="27"/>
      <c r="OBC30" s="27"/>
      <c r="OBD30" s="27"/>
      <c r="OBE30" s="27"/>
      <c r="OBF30" s="27"/>
      <c r="OBG30" s="27"/>
      <c r="OBH30" s="27"/>
      <c r="OBI30" s="27"/>
      <c r="OBJ30" s="27"/>
      <c r="OBK30" s="27"/>
      <c r="OBL30" s="27"/>
      <c r="OBM30" s="27"/>
      <c r="OBN30" s="27"/>
      <c r="OBO30" s="27"/>
      <c r="OBP30" s="27"/>
      <c r="OBQ30" s="27"/>
      <c r="OBR30" s="27"/>
      <c r="OBS30" s="27"/>
      <c r="OBT30" s="27"/>
      <c r="OBU30" s="27"/>
      <c r="OBV30" s="27"/>
      <c r="OBW30" s="27"/>
      <c r="OBX30" s="27"/>
      <c r="OBY30" s="27"/>
      <c r="OBZ30" s="27"/>
      <c r="OCA30" s="27"/>
      <c r="OCB30" s="27"/>
      <c r="OCC30" s="27"/>
      <c r="OCD30" s="27"/>
      <c r="OCE30" s="27"/>
      <c r="OCF30" s="27"/>
      <c r="OCG30" s="27"/>
      <c r="OCH30" s="27"/>
      <c r="OCI30" s="27"/>
      <c r="OCJ30" s="27"/>
      <c r="OCK30" s="27"/>
      <c r="OCL30" s="27"/>
      <c r="OCM30" s="27"/>
      <c r="OCN30" s="27"/>
      <c r="OCO30" s="27"/>
      <c r="OCP30" s="27"/>
      <c r="OCQ30" s="27"/>
      <c r="OCR30" s="27"/>
      <c r="OCS30" s="27"/>
      <c r="OCT30" s="27"/>
      <c r="OCU30" s="27"/>
      <c r="OCV30" s="27"/>
      <c r="OCW30" s="27"/>
      <c r="OCX30" s="27"/>
      <c r="OCY30" s="27"/>
      <c r="OCZ30" s="27"/>
      <c r="ODA30" s="27"/>
      <c r="ODB30" s="27"/>
      <c r="ODC30" s="27"/>
      <c r="ODD30" s="27"/>
      <c r="ODE30" s="27"/>
      <c r="ODF30" s="27"/>
      <c r="ODG30" s="27"/>
      <c r="ODH30" s="27"/>
      <c r="ODI30" s="27"/>
      <c r="ODJ30" s="27"/>
      <c r="ODK30" s="27"/>
      <c r="ODL30" s="27"/>
      <c r="ODM30" s="27"/>
      <c r="ODN30" s="27"/>
      <c r="ODO30" s="27"/>
      <c r="ODP30" s="27"/>
      <c r="ODQ30" s="27"/>
      <c r="ODR30" s="27"/>
      <c r="ODS30" s="27"/>
      <c r="ODT30" s="27"/>
      <c r="ODU30" s="27"/>
      <c r="ODV30" s="27"/>
      <c r="ODW30" s="27"/>
      <c r="ODX30" s="27"/>
      <c r="ODY30" s="27"/>
      <c r="ODZ30" s="27"/>
      <c r="OEA30" s="27"/>
      <c r="OEB30" s="27"/>
      <c r="OEC30" s="27"/>
      <c r="OED30" s="27"/>
      <c r="OEE30" s="27"/>
      <c r="OEF30" s="27"/>
      <c r="OEG30" s="27"/>
      <c r="OEH30" s="27"/>
      <c r="OEI30" s="27"/>
      <c r="OEJ30" s="27"/>
      <c r="OEK30" s="27"/>
      <c r="OEL30" s="27"/>
      <c r="OEM30" s="27"/>
      <c r="OEN30" s="27"/>
      <c r="OEO30" s="27"/>
      <c r="OEP30" s="27"/>
      <c r="OEQ30" s="27"/>
      <c r="OER30" s="27"/>
      <c r="OES30" s="27"/>
      <c r="OET30" s="27"/>
      <c r="OEU30" s="27"/>
      <c r="OEV30" s="27"/>
      <c r="OEW30" s="27"/>
      <c r="OEX30" s="27"/>
      <c r="OEY30" s="27"/>
      <c r="OEZ30" s="27"/>
      <c r="OFA30" s="27"/>
      <c r="OFB30" s="27"/>
      <c r="OFC30" s="27"/>
      <c r="OFD30" s="27"/>
      <c r="OFE30" s="27"/>
      <c r="OFF30" s="27"/>
      <c r="OFG30" s="27"/>
      <c r="OFH30" s="27"/>
      <c r="OFI30" s="27"/>
      <c r="OFJ30" s="27"/>
      <c r="OFK30" s="27"/>
      <c r="OFL30" s="27"/>
      <c r="OFM30" s="27"/>
      <c r="OFN30" s="27"/>
      <c r="OFO30" s="27"/>
      <c r="OFP30" s="27"/>
      <c r="OFQ30" s="27"/>
      <c r="OFR30" s="27"/>
      <c r="OFS30" s="27"/>
      <c r="OFT30" s="27"/>
      <c r="OFU30" s="27"/>
      <c r="OFV30" s="27"/>
      <c r="OFW30" s="27"/>
      <c r="OFX30" s="27"/>
      <c r="OFY30" s="27"/>
      <c r="OFZ30" s="27"/>
      <c r="OGA30" s="27"/>
      <c r="OGB30" s="27"/>
      <c r="OGC30" s="27"/>
      <c r="OGD30" s="27"/>
      <c r="OGE30" s="27"/>
      <c r="OGF30" s="27"/>
      <c r="OGG30" s="27"/>
      <c r="OGH30" s="27"/>
      <c r="OGI30" s="27"/>
      <c r="OGJ30" s="27"/>
      <c r="OGK30" s="27"/>
      <c r="OGL30" s="27"/>
      <c r="OGM30" s="27"/>
      <c r="OGN30" s="27"/>
      <c r="OGO30" s="27"/>
      <c r="OGP30" s="27"/>
      <c r="OGQ30" s="27"/>
      <c r="OGR30" s="27"/>
      <c r="OGS30" s="27"/>
      <c r="OGT30" s="27"/>
      <c r="OGU30" s="27"/>
      <c r="OGV30" s="27"/>
      <c r="OGW30" s="27"/>
      <c r="OGX30" s="27"/>
      <c r="OGY30" s="27"/>
      <c r="OGZ30" s="27"/>
      <c r="OHA30" s="27"/>
      <c r="OHB30" s="27"/>
      <c r="OHC30" s="27"/>
      <c r="OHD30" s="27"/>
      <c r="OHE30" s="27"/>
      <c r="OHF30" s="27"/>
      <c r="OHG30" s="27"/>
      <c r="OHH30" s="27"/>
      <c r="OHI30" s="27"/>
      <c r="OHJ30" s="27"/>
      <c r="OHK30" s="27"/>
      <c r="OHL30" s="27"/>
      <c r="OHM30" s="27"/>
      <c r="OHN30" s="27"/>
      <c r="OHO30" s="27"/>
      <c r="OHP30" s="27"/>
      <c r="OHQ30" s="27"/>
      <c r="OHR30" s="27"/>
      <c r="OHS30" s="27"/>
      <c r="OHT30" s="27"/>
      <c r="OHU30" s="27"/>
      <c r="OHV30" s="27"/>
      <c r="OHW30" s="27"/>
      <c r="OHX30" s="27"/>
      <c r="OHY30" s="27"/>
      <c r="OHZ30" s="27"/>
      <c r="OIA30" s="27"/>
      <c r="OIB30" s="27"/>
      <c r="OIC30" s="27"/>
      <c r="OID30" s="27"/>
      <c r="OIE30" s="27"/>
      <c r="OIF30" s="27"/>
      <c r="OIG30" s="27"/>
      <c r="OIH30" s="27"/>
      <c r="OII30" s="27"/>
      <c r="OIJ30" s="27"/>
      <c r="OIK30" s="27"/>
      <c r="OIL30" s="27"/>
      <c r="OIM30" s="27"/>
      <c r="OIN30" s="27"/>
      <c r="OIO30" s="27"/>
      <c r="OIP30" s="27"/>
      <c r="OIQ30" s="27"/>
      <c r="OIR30" s="27"/>
      <c r="OIS30" s="27"/>
      <c r="OIT30" s="27"/>
      <c r="OIU30" s="27"/>
      <c r="OIV30" s="27"/>
      <c r="OIW30" s="27"/>
      <c r="OIX30" s="27"/>
      <c r="OIY30" s="27"/>
      <c r="OIZ30" s="27"/>
      <c r="OJA30" s="27"/>
      <c r="OJB30" s="27"/>
      <c r="OJC30" s="27"/>
      <c r="OJD30" s="27"/>
      <c r="OJE30" s="27"/>
      <c r="OJF30" s="27"/>
      <c r="OJG30" s="27"/>
      <c r="OJH30" s="27"/>
      <c r="OJI30" s="27"/>
      <c r="OJJ30" s="27"/>
      <c r="OJK30" s="27"/>
      <c r="OJL30" s="27"/>
      <c r="OJM30" s="27"/>
      <c r="OJN30" s="27"/>
      <c r="OJO30" s="27"/>
      <c r="OJP30" s="27"/>
      <c r="OJQ30" s="27"/>
      <c r="OJR30" s="27"/>
      <c r="OJS30" s="27"/>
      <c r="OJT30" s="27"/>
      <c r="OJU30" s="27"/>
      <c r="OJV30" s="27"/>
      <c r="OJW30" s="27"/>
      <c r="OJX30" s="27"/>
      <c r="OJY30" s="27"/>
      <c r="OJZ30" s="27"/>
      <c r="OKA30" s="27"/>
      <c r="OKB30" s="27"/>
      <c r="OKC30" s="27"/>
      <c r="OKD30" s="27"/>
      <c r="OKE30" s="27"/>
      <c r="OKF30" s="27"/>
      <c r="OKG30" s="27"/>
      <c r="OKH30" s="27"/>
      <c r="OKI30" s="27"/>
      <c r="OKJ30" s="27"/>
      <c r="OKK30" s="27"/>
      <c r="OKL30" s="27"/>
      <c r="OKM30" s="27"/>
      <c r="OKN30" s="27"/>
      <c r="OKO30" s="27"/>
      <c r="OKP30" s="27"/>
      <c r="OKQ30" s="27"/>
      <c r="OKR30" s="27"/>
      <c r="OKS30" s="27"/>
      <c r="OKT30" s="27"/>
      <c r="OKU30" s="27"/>
      <c r="OKV30" s="27"/>
      <c r="OKW30" s="27"/>
      <c r="OKX30" s="27"/>
      <c r="OKY30" s="27"/>
      <c r="OKZ30" s="27"/>
      <c r="OLA30" s="27"/>
      <c r="OLB30" s="27"/>
      <c r="OLC30" s="27"/>
      <c r="OLD30" s="27"/>
      <c r="OLE30" s="27"/>
      <c r="OLF30" s="27"/>
      <c r="OLG30" s="27"/>
      <c r="OLH30" s="27"/>
      <c r="OLI30" s="27"/>
      <c r="OLJ30" s="27"/>
      <c r="OLK30" s="27"/>
      <c r="OLL30" s="27"/>
      <c r="OLM30" s="27"/>
      <c r="OLN30" s="27"/>
      <c r="OLO30" s="27"/>
      <c r="OLP30" s="27"/>
      <c r="OLQ30" s="27"/>
      <c r="OLR30" s="27"/>
      <c r="OLS30" s="27"/>
      <c r="OLT30" s="27"/>
      <c r="OLU30" s="27"/>
      <c r="OLV30" s="27"/>
      <c r="OLW30" s="27"/>
      <c r="OLX30" s="27"/>
      <c r="OLY30" s="27"/>
      <c r="OLZ30" s="27"/>
      <c r="OMA30" s="27"/>
      <c r="OMB30" s="27"/>
      <c r="OMC30" s="27"/>
      <c r="OMD30" s="27"/>
      <c r="OME30" s="27"/>
      <c r="OMF30" s="27"/>
      <c r="OMG30" s="27"/>
      <c r="OMH30" s="27"/>
      <c r="OMI30" s="27"/>
      <c r="OMJ30" s="27"/>
      <c r="OMK30" s="27"/>
      <c r="OML30" s="27"/>
      <c r="OMM30" s="27"/>
      <c r="OMN30" s="27"/>
      <c r="OMO30" s="27"/>
      <c r="OMP30" s="27"/>
      <c r="OMQ30" s="27"/>
      <c r="OMR30" s="27"/>
      <c r="OMS30" s="27"/>
      <c r="OMT30" s="27"/>
      <c r="OMU30" s="27"/>
      <c r="OMV30" s="27"/>
      <c r="OMW30" s="27"/>
      <c r="OMX30" s="27"/>
      <c r="OMY30" s="27"/>
      <c r="OMZ30" s="27"/>
      <c r="ONA30" s="27"/>
      <c r="ONB30" s="27"/>
      <c r="ONC30" s="27"/>
      <c r="OND30" s="27"/>
      <c r="ONE30" s="27"/>
      <c r="ONF30" s="27"/>
      <c r="ONG30" s="27"/>
      <c r="ONH30" s="27"/>
      <c r="ONI30" s="27"/>
      <c r="ONJ30" s="27"/>
      <c r="ONK30" s="27"/>
      <c r="ONL30" s="27"/>
      <c r="ONM30" s="27"/>
      <c r="ONN30" s="27"/>
      <c r="ONO30" s="27"/>
      <c r="ONP30" s="27"/>
      <c r="ONQ30" s="27"/>
      <c r="ONR30" s="27"/>
      <c r="ONS30" s="27"/>
      <c r="ONT30" s="27"/>
      <c r="ONU30" s="27"/>
      <c r="ONV30" s="27"/>
      <c r="ONW30" s="27"/>
      <c r="ONX30" s="27"/>
      <c r="ONY30" s="27"/>
      <c r="ONZ30" s="27"/>
      <c r="OOA30" s="27"/>
      <c r="OOB30" s="27"/>
      <c r="OOC30" s="27"/>
      <c r="OOD30" s="27"/>
      <c r="OOE30" s="27"/>
      <c r="OOF30" s="27"/>
      <c r="OOG30" s="27"/>
      <c r="OOH30" s="27"/>
      <c r="OOI30" s="27"/>
      <c r="OOJ30" s="27"/>
      <c r="OOK30" s="27"/>
      <c r="OOL30" s="27"/>
      <c r="OOM30" s="27"/>
      <c r="OON30" s="27"/>
      <c r="OOO30" s="27"/>
      <c r="OOP30" s="27"/>
      <c r="OOQ30" s="27"/>
      <c r="OOR30" s="27"/>
      <c r="OOS30" s="27"/>
      <c r="OOT30" s="27"/>
      <c r="OOU30" s="27"/>
      <c r="OOV30" s="27"/>
      <c r="OOW30" s="27"/>
      <c r="OOX30" s="27"/>
      <c r="OOY30" s="27"/>
      <c r="OOZ30" s="27"/>
      <c r="OPA30" s="27"/>
      <c r="OPB30" s="27"/>
      <c r="OPC30" s="27"/>
      <c r="OPD30" s="27"/>
      <c r="OPE30" s="27"/>
      <c r="OPF30" s="27"/>
      <c r="OPG30" s="27"/>
      <c r="OPH30" s="27"/>
      <c r="OPI30" s="27"/>
      <c r="OPJ30" s="27"/>
      <c r="OPK30" s="27"/>
      <c r="OPL30" s="27"/>
      <c r="OPM30" s="27"/>
      <c r="OPN30" s="27"/>
      <c r="OPO30" s="27"/>
      <c r="OPP30" s="27"/>
      <c r="OPQ30" s="27"/>
      <c r="OPR30" s="27"/>
      <c r="OPS30" s="27"/>
      <c r="OPT30" s="27"/>
      <c r="OPU30" s="27"/>
      <c r="OPV30" s="27"/>
      <c r="OPW30" s="27"/>
      <c r="OPX30" s="27"/>
      <c r="OPY30" s="27"/>
      <c r="OPZ30" s="27"/>
      <c r="OQA30" s="27"/>
      <c r="OQB30" s="27"/>
      <c r="OQC30" s="27"/>
      <c r="OQD30" s="27"/>
      <c r="OQE30" s="27"/>
      <c r="OQF30" s="27"/>
      <c r="OQG30" s="27"/>
      <c r="OQH30" s="27"/>
      <c r="OQI30" s="27"/>
      <c r="OQJ30" s="27"/>
      <c r="OQK30" s="27"/>
      <c r="OQL30" s="27"/>
      <c r="OQM30" s="27"/>
      <c r="OQN30" s="27"/>
      <c r="OQO30" s="27"/>
      <c r="OQP30" s="27"/>
      <c r="OQQ30" s="27"/>
      <c r="OQR30" s="27"/>
      <c r="OQS30" s="27"/>
      <c r="OQT30" s="27"/>
      <c r="OQU30" s="27"/>
      <c r="OQV30" s="27"/>
      <c r="OQW30" s="27"/>
      <c r="OQX30" s="27"/>
      <c r="OQY30" s="27"/>
      <c r="OQZ30" s="27"/>
      <c r="ORA30" s="27"/>
      <c r="ORB30" s="27"/>
      <c r="ORC30" s="27"/>
      <c r="ORD30" s="27"/>
      <c r="ORE30" s="27"/>
      <c r="ORF30" s="27"/>
      <c r="ORG30" s="27"/>
      <c r="ORH30" s="27"/>
      <c r="ORI30" s="27"/>
      <c r="ORJ30" s="27"/>
      <c r="ORK30" s="27"/>
      <c r="ORL30" s="27"/>
      <c r="ORM30" s="27"/>
      <c r="ORN30" s="27"/>
      <c r="ORO30" s="27"/>
      <c r="ORP30" s="27"/>
      <c r="ORQ30" s="27"/>
      <c r="ORR30" s="27"/>
      <c r="ORS30" s="27"/>
      <c r="ORT30" s="27"/>
      <c r="ORU30" s="27"/>
      <c r="ORV30" s="27"/>
      <c r="ORW30" s="27"/>
      <c r="ORX30" s="27"/>
      <c r="ORY30" s="27"/>
      <c r="ORZ30" s="27"/>
      <c r="OSA30" s="27"/>
      <c r="OSB30" s="27"/>
      <c r="OSC30" s="27"/>
      <c r="OSD30" s="27"/>
      <c r="OSE30" s="27"/>
      <c r="OSF30" s="27"/>
      <c r="OSG30" s="27"/>
      <c r="OSH30" s="27"/>
      <c r="OSI30" s="27"/>
      <c r="OSJ30" s="27"/>
      <c r="OSK30" s="27"/>
      <c r="OSL30" s="27"/>
      <c r="OSM30" s="27"/>
      <c r="OSN30" s="27"/>
      <c r="OSO30" s="27"/>
      <c r="OSP30" s="27"/>
      <c r="OSQ30" s="27"/>
      <c r="OSR30" s="27"/>
      <c r="OSS30" s="27"/>
      <c r="OST30" s="27"/>
      <c r="OSU30" s="27"/>
      <c r="OSV30" s="27"/>
      <c r="OSW30" s="27"/>
      <c r="OSX30" s="27"/>
      <c r="OSY30" s="27"/>
      <c r="OSZ30" s="27"/>
      <c r="OTA30" s="27"/>
      <c r="OTB30" s="27"/>
      <c r="OTC30" s="27"/>
      <c r="OTD30" s="27"/>
      <c r="OTE30" s="27"/>
      <c r="OTF30" s="27"/>
      <c r="OTG30" s="27"/>
      <c r="OTH30" s="27"/>
      <c r="OTI30" s="27"/>
      <c r="OTJ30" s="27"/>
      <c r="OTK30" s="27"/>
      <c r="OTL30" s="27"/>
      <c r="OTM30" s="27"/>
      <c r="OTN30" s="27"/>
      <c r="OTO30" s="27"/>
      <c r="OTP30" s="27"/>
      <c r="OTQ30" s="27"/>
      <c r="OTR30" s="27"/>
      <c r="OTS30" s="27"/>
      <c r="OTT30" s="27"/>
      <c r="OTU30" s="27"/>
      <c r="OTV30" s="27"/>
      <c r="OTW30" s="27"/>
      <c r="OTX30" s="27"/>
      <c r="OTY30" s="27"/>
      <c r="OTZ30" s="27"/>
      <c r="OUA30" s="27"/>
      <c r="OUB30" s="27"/>
      <c r="OUC30" s="27"/>
      <c r="OUD30" s="27"/>
      <c r="OUE30" s="27"/>
      <c r="OUF30" s="27"/>
      <c r="OUG30" s="27"/>
      <c r="OUH30" s="27"/>
      <c r="OUI30" s="27"/>
      <c r="OUJ30" s="27"/>
      <c r="OUK30" s="27"/>
      <c r="OUL30" s="27"/>
      <c r="OUM30" s="27"/>
      <c r="OUN30" s="27"/>
      <c r="OUO30" s="27"/>
      <c r="OUP30" s="27"/>
      <c r="OUQ30" s="27"/>
      <c r="OUR30" s="27"/>
      <c r="OUS30" s="27"/>
      <c r="OUT30" s="27"/>
      <c r="OUU30" s="27"/>
      <c r="OUV30" s="27"/>
      <c r="OUW30" s="27"/>
      <c r="OUX30" s="27"/>
      <c r="OUY30" s="27"/>
      <c r="OUZ30" s="27"/>
      <c r="OVA30" s="27"/>
      <c r="OVB30" s="27"/>
      <c r="OVC30" s="27"/>
      <c r="OVD30" s="27"/>
      <c r="OVE30" s="27"/>
      <c r="OVF30" s="27"/>
      <c r="OVG30" s="27"/>
      <c r="OVH30" s="27"/>
      <c r="OVI30" s="27"/>
      <c r="OVJ30" s="27"/>
      <c r="OVK30" s="27"/>
      <c r="OVL30" s="27"/>
      <c r="OVM30" s="27"/>
      <c r="OVN30" s="27"/>
      <c r="OVO30" s="27"/>
      <c r="OVP30" s="27"/>
      <c r="OVQ30" s="27"/>
      <c r="OVR30" s="27"/>
      <c r="OVS30" s="27"/>
      <c r="OVT30" s="27"/>
      <c r="OVU30" s="27"/>
      <c r="OVV30" s="27"/>
      <c r="OVW30" s="27"/>
      <c r="OVX30" s="27"/>
      <c r="OVY30" s="27"/>
      <c r="OVZ30" s="27"/>
      <c r="OWA30" s="27"/>
      <c r="OWB30" s="27"/>
      <c r="OWC30" s="27"/>
      <c r="OWD30" s="27"/>
      <c r="OWE30" s="27"/>
      <c r="OWF30" s="27"/>
      <c r="OWG30" s="27"/>
      <c r="OWH30" s="27"/>
      <c r="OWI30" s="27"/>
      <c r="OWJ30" s="27"/>
      <c r="OWK30" s="27"/>
      <c r="OWL30" s="27"/>
      <c r="OWM30" s="27"/>
      <c r="OWN30" s="27"/>
      <c r="OWO30" s="27"/>
      <c r="OWP30" s="27"/>
      <c r="OWQ30" s="27"/>
      <c r="OWR30" s="27"/>
      <c r="OWS30" s="27"/>
      <c r="OWT30" s="27"/>
      <c r="OWU30" s="27"/>
      <c r="OWV30" s="27"/>
      <c r="OWW30" s="27"/>
      <c r="OWX30" s="27"/>
      <c r="OWY30" s="27"/>
      <c r="OWZ30" s="27"/>
      <c r="OXA30" s="27"/>
      <c r="OXB30" s="27"/>
      <c r="OXC30" s="27"/>
      <c r="OXD30" s="27"/>
      <c r="OXE30" s="27"/>
      <c r="OXF30" s="27"/>
      <c r="OXG30" s="27"/>
      <c r="OXH30" s="27"/>
      <c r="OXI30" s="27"/>
      <c r="OXJ30" s="27"/>
      <c r="OXK30" s="27"/>
      <c r="OXL30" s="27"/>
      <c r="OXM30" s="27"/>
      <c r="OXN30" s="27"/>
      <c r="OXO30" s="27"/>
      <c r="OXP30" s="27"/>
      <c r="OXQ30" s="27"/>
      <c r="OXR30" s="27"/>
      <c r="OXS30" s="27"/>
      <c r="OXT30" s="27"/>
      <c r="OXU30" s="27"/>
      <c r="OXV30" s="27"/>
      <c r="OXW30" s="27"/>
      <c r="OXX30" s="27"/>
      <c r="OXY30" s="27"/>
      <c r="OXZ30" s="27"/>
      <c r="OYA30" s="27"/>
      <c r="OYB30" s="27"/>
      <c r="OYC30" s="27"/>
      <c r="OYD30" s="27"/>
      <c r="OYE30" s="27"/>
      <c r="OYF30" s="27"/>
      <c r="OYG30" s="27"/>
      <c r="OYH30" s="27"/>
      <c r="OYI30" s="27"/>
      <c r="OYJ30" s="27"/>
      <c r="OYK30" s="27"/>
      <c r="OYL30" s="27"/>
      <c r="OYM30" s="27"/>
      <c r="OYN30" s="27"/>
      <c r="OYO30" s="27"/>
      <c r="OYP30" s="27"/>
      <c r="OYQ30" s="27"/>
      <c r="OYR30" s="27"/>
      <c r="OYS30" s="27"/>
      <c r="OYT30" s="27"/>
      <c r="OYU30" s="27"/>
      <c r="OYV30" s="27"/>
      <c r="OYW30" s="27"/>
      <c r="OYX30" s="27"/>
      <c r="OYY30" s="27"/>
      <c r="OYZ30" s="27"/>
      <c r="OZA30" s="27"/>
      <c r="OZB30" s="27"/>
      <c r="OZC30" s="27"/>
      <c r="OZD30" s="27"/>
      <c r="OZE30" s="27"/>
      <c r="OZF30" s="27"/>
      <c r="OZG30" s="27"/>
      <c r="OZH30" s="27"/>
      <c r="OZI30" s="27"/>
      <c r="OZJ30" s="27"/>
      <c r="OZK30" s="27"/>
      <c r="OZL30" s="27"/>
      <c r="OZM30" s="27"/>
      <c r="OZN30" s="27"/>
      <c r="OZO30" s="27"/>
      <c r="OZP30" s="27"/>
      <c r="OZQ30" s="27"/>
      <c r="OZR30" s="27"/>
      <c r="OZS30" s="27"/>
      <c r="OZT30" s="27"/>
      <c r="OZU30" s="27"/>
      <c r="OZV30" s="27"/>
      <c r="OZW30" s="27"/>
      <c r="OZX30" s="27"/>
      <c r="OZY30" s="27"/>
      <c r="OZZ30" s="27"/>
      <c r="PAA30" s="27"/>
      <c r="PAB30" s="27"/>
      <c r="PAC30" s="27"/>
      <c r="PAD30" s="27"/>
      <c r="PAE30" s="27"/>
      <c r="PAF30" s="27"/>
      <c r="PAG30" s="27"/>
      <c r="PAH30" s="27"/>
      <c r="PAI30" s="27"/>
      <c r="PAJ30" s="27"/>
      <c r="PAK30" s="27"/>
      <c r="PAL30" s="27"/>
      <c r="PAM30" s="27"/>
      <c r="PAN30" s="27"/>
      <c r="PAO30" s="27"/>
      <c r="PAP30" s="27"/>
      <c r="PAQ30" s="27"/>
      <c r="PAR30" s="27"/>
      <c r="PAS30" s="27"/>
      <c r="PAT30" s="27"/>
      <c r="PAU30" s="27"/>
      <c r="PAV30" s="27"/>
      <c r="PAW30" s="27"/>
      <c r="PAX30" s="27"/>
      <c r="PAY30" s="27"/>
      <c r="PAZ30" s="27"/>
      <c r="PBA30" s="27"/>
      <c r="PBB30" s="27"/>
      <c r="PBC30" s="27"/>
      <c r="PBD30" s="27"/>
      <c r="PBE30" s="27"/>
      <c r="PBF30" s="27"/>
      <c r="PBG30" s="27"/>
      <c r="PBH30" s="27"/>
      <c r="PBI30" s="27"/>
      <c r="PBJ30" s="27"/>
      <c r="PBK30" s="27"/>
      <c r="PBL30" s="27"/>
      <c r="PBM30" s="27"/>
      <c r="PBN30" s="27"/>
      <c r="PBO30" s="27"/>
      <c r="PBP30" s="27"/>
      <c r="PBQ30" s="27"/>
      <c r="PBR30" s="27"/>
      <c r="PBS30" s="27"/>
      <c r="PBT30" s="27"/>
      <c r="PBU30" s="27"/>
      <c r="PBV30" s="27"/>
      <c r="PBW30" s="27"/>
      <c r="PBX30" s="27"/>
      <c r="PBY30" s="27"/>
      <c r="PBZ30" s="27"/>
      <c r="PCA30" s="27"/>
      <c r="PCB30" s="27"/>
      <c r="PCC30" s="27"/>
      <c r="PCD30" s="27"/>
      <c r="PCE30" s="27"/>
      <c r="PCF30" s="27"/>
      <c r="PCG30" s="27"/>
      <c r="PCH30" s="27"/>
      <c r="PCI30" s="27"/>
      <c r="PCJ30" s="27"/>
      <c r="PCK30" s="27"/>
      <c r="PCL30" s="27"/>
      <c r="PCM30" s="27"/>
      <c r="PCN30" s="27"/>
      <c r="PCO30" s="27"/>
      <c r="PCP30" s="27"/>
      <c r="PCQ30" s="27"/>
      <c r="PCR30" s="27"/>
      <c r="PCS30" s="27"/>
      <c r="PCT30" s="27"/>
      <c r="PCU30" s="27"/>
      <c r="PCV30" s="27"/>
      <c r="PCW30" s="27"/>
      <c r="PCX30" s="27"/>
      <c r="PCY30" s="27"/>
      <c r="PCZ30" s="27"/>
      <c r="PDA30" s="27"/>
      <c r="PDB30" s="27"/>
      <c r="PDC30" s="27"/>
      <c r="PDD30" s="27"/>
      <c r="PDE30" s="27"/>
      <c r="PDF30" s="27"/>
      <c r="PDG30" s="27"/>
      <c r="PDH30" s="27"/>
      <c r="PDI30" s="27"/>
      <c r="PDJ30" s="27"/>
      <c r="PDK30" s="27"/>
      <c r="PDL30" s="27"/>
      <c r="PDM30" s="27"/>
      <c r="PDN30" s="27"/>
      <c r="PDO30" s="27"/>
      <c r="PDP30" s="27"/>
      <c r="PDQ30" s="27"/>
      <c r="PDR30" s="27"/>
      <c r="PDS30" s="27"/>
      <c r="PDT30" s="27"/>
      <c r="PDU30" s="27"/>
      <c r="PDV30" s="27"/>
      <c r="PDW30" s="27"/>
      <c r="PDX30" s="27"/>
      <c r="PDY30" s="27"/>
      <c r="PDZ30" s="27"/>
      <c r="PEA30" s="27"/>
      <c r="PEB30" s="27"/>
      <c r="PEC30" s="27"/>
      <c r="PED30" s="27"/>
      <c r="PEE30" s="27"/>
      <c r="PEF30" s="27"/>
      <c r="PEG30" s="27"/>
      <c r="PEH30" s="27"/>
      <c r="PEI30" s="27"/>
      <c r="PEJ30" s="27"/>
      <c r="PEK30" s="27"/>
      <c r="PEL30" s="27"/>
      <c r="PEM30" s="27"/>
      <c r="PEN30" s="27"/>
      <c r="PEO30" s="27"/>
      <c r="PEP30" s="27"/>
      <c r="PEQ30" s="27"/>
      <c r="PER30" s="27"/>
      <c r="PES30" s="27"/>
      <c r="PET30" s="27"/>
      <c r="PEU30" s="27"/>
      <c r="PEV30" s="27"/>
      <c r="PEW30" s="27"/>
      <c r="PEX30" s="27"/>
      <c r="PEY30" s="27"/>
      <c r="PEZ30" s="27"/>
      <c r="PFA30" s="27"/>
      <c r="PFB30" s="27"/>
      <c r="PFC30" s="27"/>
      <c r="PFD30" s="27"/>
      <c r="PFE30" s="27"/>
      <c r="PFF30" s="27"/>
      <c r="PFG30" s="27"/>
      <c r="PFH30" s="27"/>
      <c r="PFI30" s="27"/>
      <c r="PFJ30" s="27"/>
      <c r="PFK30" s="27"/>
      <c r="PFL30" s="27"/>
      <c r="PFM30" s="27"/>
      <c r="PFN30" s="27"/>
      <c r="PFO30" s="27"/>
      <c r="PFP30" s="27"/>
      <c r="PFQ30" s="27"/>
      <c r="PFR30" s="27"/>
      <c r="PFS30" s="27"/>
      <c r="PFT30" s="27"/>
      <c r="PFU30" s="27"/>
      <c r="PFV30" s="27"/>
      <c r="PFW30" s="27"/>
      <c r="PFX30" s="27"/>
      <c r="PFY30" s="27"/>
      <c r="PFZ30" s="27"/>
      <c r="PGA30" s="27"/>
      <c r="PGB30" s="27"/>
      <c r="PGC30" s="27"/>
      <c r="PGD30" s="27"/>
      <c r="PGE30" s="27"/>
      <c r="PGF30" s="27"/>
      <c r="PGG30" s="27"/>
      <c r="PGH30" s="27"/>
      <c r="PGI30" s="27"/>
      <c r="PGJ30" s="27"/>
      <c r="PGK30" s="27"/>
      <c r="PGL30" s="27"/>
      <c r="PGM30" s="27"/>
      <c r="PGN30" s="27"/>
      <c r="PGO30" s="27"/>
      <c r="PGP30" s="27"/>
      <c r="PGQ30" s="27"/>
      <c r="PGR30" s="27"/>
      <c r="PGS30" s="27"/>
      <c r="PGT30" s="27"/>
      <c r="PGU30" s="27"/>
      <c r="PGV30" s="27"/>
      <c r="PGW30" s="27"/>
      <c r="PGX30" s="27"/>
      <c r="PGY30" s="27"/>
      <c r="PGZ30" s="27"/>
      <c r="PHA30" s="27"/>
      <c r="PHB30" s="27"/>
      <c r="PHC30" s="27"/>
      <c r="PHD30" s="27"/>
      <c r="PHE30" s="27"/>
      <c r="PHF30" s="27"/>
      <c r="PHG30" s="27"/>
      <c r="PHH30" s="27"/>
      <c r="PHI30" s="27"/>
      <c r="PHJ30" s="27"/>
      <c r="PHK30" s="27"/>
      <c r="PHL30" s="27"/>
      <c r="PHM30" s="27"/>
      <c r="PHN30" s="27"/>
      <c r="PHO30" s="27"/>
      <c r="PHP30" s="27"/>
      <c r="PHQ30" s="27"/>
      <c r="PHR30" s="27"/>
      <c r="PHS30" s="27"/>
      <c r="PHT30" s="27"/>
      <c r="PHU30" s="27"/>
      <c r="PHV30" s="27"/>
      <c r="PHW30" s="27"/>
      <c r="PHX30" s="27"/>
      <c r="PHY30" s="27"/>
      <c r="PHZ30" s="27"/>
      <c r="PIA30" s="27"/>
      <c r="PIB30" s="27"/>
      <c r="PIC30" s="27"/>
      <c r="PID30" s="27"/>
      <c r="PIE30" s="27"/>
      <c r="PIF30" s="27"/>
      <c r="PIG30" s="27"/>
      <c r="PIH30" s="27"/>
      <c r="PII30" s="27"/>
      <c r="PIJ30" s="27"/>
      <c r="PIK30" s="27"/>
      <c r="PIL30" s="27"/>
      <c r="PIM30" s="27"/>
      <c r="PIN30" s="27"/>
      <c r="PIO30" s="27"/>
      <c r="PIP30" s="27"/>
      <c r="PIQ30" s="27"/>
      <c r="PIR30" s="27"/>
      <c r="PIS30" s="27"/>
      <c r="PIT30" s="27"/>
      <c r="PIU30" s="27"/>
      <c r="PIV30" s="27"/>
      <c r="PIW30" s="27"/>
      <c r="PIX30" s="27"/>
      <c r="PIY30" s="27"/>
      <c r="PIZ30" s="27"/>
      <c r="PJA30" s="27"/>
      <c r="PJB30" s="27"/>
      <c r="PJC30" s="27"/>
      <c r="PJD30" s="27"/>
      <c r="PJE30" s="27"/>
      <c r="PJF30" s="27"/>
      <c r="PJG30" s="27"/>
      <c r="PJH30" s="27"/>
      <c r="PJI30" s="27"/>
      <c r="PJJ30" s="27"/>
      <c r="PJK30" s="27"/>
      <c r="PJL30" s="27"/>
      <c r="PJM30" s="27"/>
      <c r="PJN30" s="27"/>
      <c r="PJO30" s="27"/>
      <c r="PJP30" s="27"/>
      <c r="PJQ30" s="27"/>
      <c r="PJR30" s="27"/>
      <c r="PJS30" s="27"/>
      <c r="PJT30" s="27"/>
      <c r="PJU30" s="27"/>
      <c r="PJV30" s="27"/>
      <c r="PJW30" s="27"/>
      <c r="PJX30" s="27"/>
      <c r="PJY30" s="27"/>
      <c r="PJZ30" s="27"/>
      <c r="PKA30" s="27"/>
      <c r="PKB30" s="27"/>
      <c r="PKC30" s="27"/>
      <c r="PKD30" s="27"/>
      <c r="PKE30" s="27"/>
      <c r="PKF30" s="27"/>
      <c r="PKG30" s="27"/>
      <c r="PKH30" s="27"/>
      <c r="PKI30" s="27"/>
      <c r="PKJ30" s="27"/>
      <c r="PKK30" s="27"/>
      <c r="PKL30" s="27"/>
      <c r="PKM30" s="27"/>
      <c r="PKN30" s="27"/>
      <c r="PKO30" s="27"/>
      <c r="PKP30" s="27"/>
      <c r="PKQ30" s="27"/>
      <c r="PKR30" s="27"/>
      <c r="PKS30" s="27"/>
      <c r="PKT30" s="27"/>
      <c r="PKU30" s="27"/>
      <c r="PKV30" s="27"/>
      <c r="PKW30" s="27"/>
      <c r="PKX30" s="27"/>
      <c r="PKY30" s="27"/>
      <c r="PKZ30" s="27"/>
      <c r="PLA30" s="27"/>
      <c r="PLB30" s="27"/>
      <c r="PLC30" s="27"/>
      <c r="PLD30" s="27"/>
      <c r="PLE30" s="27"/>
      <c r="PLF30" s="27"/>
      <c r="PLG30" s="27"/>
      <c r="PLH30" s="27"/>
      <c r="PLI30" s="27"/>
      <c r="PLJ30" s="27"/>
      <c r="PLK30" s="27"/>
      <c r="PLL30" s="27"/>
      <c r="PLM30" s="27"/>
      <c r="PLN30" s="27"/>
      <c r="PLO30" s="27"/>
      <c r="PLP30" s="27"/>
      <c r="PLQ30" s="27"/>
      <c r="PLR30" s="27"/>
      <c r="PLS30" s="27"/>
      <c r="PLT30" s="27"/>
      <c r="PLU30" s="27"/>
      <c r="PLV30" s="27"/>
      <c r="PLW30" s="27"/>
      <c r="PLX30" s="27"/>
      <c r="PLY30" s="27"/>
      <c r="PLZ30" s="27"/>
      <c r="PMA30" s="27"/>
      <c r="PMB30" s="27"/>
      <c r="PMC30" s="27"/>
      <c r="PMD30" s="27"/>
      <c r="PME30" s="27"/>
      <c r="PMF30" s="27"/>
      <c r="PMG30" s="27"/>
      <c r="PMH30" s="27"/>
      <c r="PMI30" s="27"/>
      <c r="PMJ30" s="27"/>
      <c r="PMK30" s="27"/>
      <c r="PML30" s="27"/>
      <c r="PMM30" s="27"/>
      <c r="PMN30" s="27"/>
      <c r="PMO30" s="27"/>
      <c r="PMP30" s="27"/>
      <c r="PMQ30" s="27"/>
      <c r="PMR30" s="27"/>
      <c r="PMS30" s="27"/>
      <c r="PMT30" s="27"/>
      <c r="PMU30" s="27"/>
      <c r="PMV30" s="27"/>
      <c r="PMW30" s="27"/>
      <c r="PMX30" s="27"/>
      <c r="PMY30" s="27"/>
      <c r="PMZ30" s="27"/>
      <c r="PNA30" s="27"/>
      <c r="PNB30" s="27"/>
      <c r="PNC30" s="27"/>
      <c r="PND30" s="27"/>
      <c r="PNE30" s="27"/>
      <c r="PNF30" s="27"/>
      <c r="PNG30" s="27"/>
      <c r="PNH30" s="27"/>
      <c r="PNI30" s="27"/>
      <c r="PNJ30" s="27"/>
      <c r="PNK30" s="27"/>
      <c r="PNL30" s="27"/>
      <c r="PNM30" s="27"/>
      <c r="PNN30" s="27"/>
      <c r="PNO30" s="27"/>
      <c r="PNP30" s="27"/>
      <c r="PNQ30" s="27"/>
      <c r="PNR30" s="27"/>
      <c r="PNS30" s="27"/>
      <c r="PNT30" s="27"/>
      <c r="PNU30" s="27"/>
      <c r="PNV30" s="27"/>
      <c r="PNW30" s="27"/>
      <c r="PNX30" s="27"/>
      <c r="PNY30" s="27"/>
      <c r="PNZ30" s="27"/>
      <c r="POA30" s="27"/>
      <c r="POB30" s="27"/>
      <c r="POC30" s="27"/>
      <c r="POD30" s="27"/>
      <c r="POE30" s="27"/>
      <c r="POF30" s="27"/>
      <c r="POG30" s="27"/>
      <c r="POH30" s="27"/>
      <c r="POI30" s="27"/>
      <c r="POJ30" s="27"/>
      <c r="POK30" s="27"/>
      <c r="POL30" s="27"/>
      <c r="POM30" s="27"/>
      <c r="PON30" s="27"/>
      <c r="POO30" s="27"/>
      <c r="POP30" s="27"/>
      <c r="POQ30" s="27"/>
      <c r="POR30" s="27"/>
      <c r="POS30" s="27"/>
      <c r="POT30" s="27"/>
      <c r="POU30" s="27"/>
      <c r="POV30" s="27"/>
      <c r="POW30" s="27"/>
      <c r="POX30" s="27"/>
      <c r="POY30" s="27"/>
      <c r="POZ30" s="27"/>
      <c r="PPA30" s="27"/>
      <c r="PPB30" s="27"/>
      <c r="PPC30" s="27"/>
      <c r="PPD30" s="27"/>
      <c r="PPE30" s="27"/>
      <c r="PPF30" s="27"/>
      <c r="PPG30" s="27"/>
      <c r="PPH30" s="27"/>
      <c r="PPI30" s="27"/>
      <c r="PPJ30" s="27"/>
      <c r="PPK30" s="27"/>
      <c r="PPL30" s="27"/>
      <c r="PPM30" s="27"/>
      <c r="PPN30" s="27"/>
      <c r="PPO30" s="27"/>
      <c r="PPP30" s="27"/>
      <c r="PPQ30" s="27"/>
      <c r="PPR30" s="27"/>
      <c r="PPS30" s="27"/>
      <c r="PPT30" s="27"/>
      <c r="PPU30" s="27"/>
      <c r="PPV30" s="27"/>
      <c r="PPW30" s="27"/>
      <c r="PPX30" s="27"/>
      <c r="PPY30" s="27"/>
      <c r="PPZ30" s="27"/>
      <c r="PQA30" s="27"/>
      <c r="PQB30" s="27"/>
      <c r="PQC30" s="27"/>
      <c r="PQD30" s="27"/>
      <c r="PQE30" s="27"/>
      <c r="PQF30" s="27"/>
      <c r="PQG30" s="27"/>
      <c r="PQH30" s="27"/>
      <c r="PQI30" s="27"/>
      <c r="PQJ30" s="27"/>
      <c r="PQK30" s="27"/>
      <c r="PQL30" s="27"/>
      <c r="PQM30" s="27"/>
      <c r="PQN30" s="27"/>
      <c r="PQO30" s="27"/>
      <c r="PQP30" s="27"/>
      <c r="PQQ30" s="27"/>
      <c r="PQR30" s="27"/>
      <c r="PQS30" s="27"/>
      <c r="PQT30" s="27"/>
      <c r="PQU30" s="27"/>
      <c r="PQV30" s="27"/>
      <c r="PQW30" s="27"/>
      <c r="PQX30" s="27"/>
      <c r="PQY30" s="27"/>
      <c r="PQZ30" s="27"/>
      <c r="PRA30" s="27"/>
      <c r="PRB30" s="27"/>
      <c r="PRC30" s="27"/>
      <c r="PRD30" s="27"/>
      <c r="PRE30" s="27"/>
      <c r="PRF30" s="27"/>
      <c r="PRG30" s="27"/>
      <c r="PRH30" s="27"/>
      <c r="PRI30" s="27"/>
      <c r="PRJ30" s="27"/>
      <c r="PRK30" s="27"/>
      <c r="PRL30" s="27"/>
      <c r="PRM30" s="27"/>
      <c r="PRN30" s="27"/>
      <c r="PRO30" s="27"/>
      <c r="PRP30" s="27"/>
      <c r="PRQ30" s="27"/>
      <c r="PRR30" s="27"/>
      <c r="PRS30" s="27"/>
      <c r="PRT30" s="27"/>
      <c r="PRU30" s="27"/>
      <c r="PRV30" s="27"/>
      <c r="PRW30" s="27"/>
      <c r="PRX30" s="27"/>
      <c r="PRY30" s="27"/>
      <c r="PRZ30" s="27"/>
      <c r="PSA30" s="27"/>
      <c r="PSB30" s="27"/>
      <c r="PSC30" s="27"/>
      <c r="PSD30" s="27"/>
      <c r="PSE30" s="27"/>
      <c r="PSF30" s="27"/>
      <c r="PSG30" s="27"/>
      <c r="PSH30" s="27"/>
      <c r="PSI30" s="27"/>
      <c r="PSJ30" s="27"/>
      <c r="PSK30" s="27"/>
      <c r="PSL30" s="27"/>
      <c r="PSM30" s="27"/>
      <c r="PSN30" s="27"/>
      <c r="PSO30" s="27"/>
      <c r="PSP30" s="27"/>
      <c r="PSQ30" s="27"/>
      <c r="PSR30" s="27"/>
      <c r="PSS30" s="27"/>
      <c r="PST30" s="27"/>
      <c r="PSU30" s="27"/>
      <c r="PSV30" s="27"/>
      <c r="PSW30" s="27"/>
      <c r="PSX30" s="27"/>
      <c r="PSY30" s="27"/>
      <c r="PSZ30" s="27"/>
      <c r="PTA30" s="27"/>
      <c r="PTB30" s="27"/>
      <c r="PTC30" s="27"/>
      <c r="PTD30" s="27"/>
      <c r="PTE30" s="27"/>
      <c r="PTF30" s="27"/>
      <c r="PTG30" s="27"/>
      <c r="PTH30" s="27"/>
      <c r="PTI30" s="27"/>
      <c r="PTJ30" s="27"/>
      <c r="PTK30" s="27"/>
      <c r="PTL30" s="27"/>
      <c r="PTM30" s="27"/>
      <c r="PTN30" s="27"/>
      <c r="PTO30" s="27"/>
      <c r="PTP30" s="27"/>
      <c r="PTQ30" s="27"/>
      <c r="PTR30" s="27"/>
      <c r="PTS30" s="27"/>
      <c r="PTT30" s="27"/>
      <c r="PTU30" s="27"/>
      <c r="PTV30" s="27"/>
      <c r="PTW30" s="27"/>
      <c r="PTX30" s="27"/>
      <c r="PTY30" s="27"/>
      <c r="PTZ30" s="27"/>
      <c r="PUA30" s="27"/>
      <c r="PUB30" s="27"/>
      <c r="PUC30" s="27"/>
      <c r="PUD30" s="27"/>
      <c r="PUE30" s="27"/>
      <c r="PUF30" s="27"/>
      <c r="PUG30" s="27"/>
      <c r="PUH30" s="27"/>
      <c r="PUI30" s="27"/>
      <c r="PUJ30" s="27"/>
      <c r="PUK30" s="27"/>
      <c r="PUL30" s="27"/>
      <c r="PUM30" s="27"/>
      <c r="PUN30" s="27"/>
      <c r="PUO30" s="27"/>
      <c r="PUP30" s="27"/>
      <c r="PUQ30" s="27"/>
      <c r="PUR30" s="27"/>
      <c r="PUS30" s="27"/>
      <c r="PUT30" s="27"/>
      <c r="PUU30" s="27"/>
      <c r="PUV30" s="27"/>
      <c r="PUW30" s="27"/>
      <c r="PUX30" s="27"/>
      <c r="PUY30" s="27"/>
      <c r="PUZ30" s="27"/>
      <c r="PVA30" s="27"/>
      <c r="PVB30" s="27"/>
      <c r="PVC30" s="27"/>
      <c r="PVD30" s="27"/>
      <c r="PVE30" s="27"/>
      <c r="PVF30" s="27"/>
      <c r="PVG30" s="27"/>
      <c r="PVH30" s="27"/>
      <c r="PVI30" s="27"/>
      <c r="PVJ30" s="27"/>
      <c r="PVK30" s="27"/>
      <c r="PVL30" s="27"/>
      <c r="PVM30" s="27"/>
      <c r="PVN30" s="27"/>
      <c r="PVO30" s="27"/>
      <c r="PVP30" s="27"/>
      <c r="PVQ30" s="27"/>
      <c r="PVR30" s="27"/>
      <c r="PVS30" s="27"/>
      <c r="PVT30" s="27"/>
      <c r="PVU30" s="27"/>
      <c r="PVV30" s="27"/>
      <c r="PVW30" s="27"/>
      <c r="PVX30" s="27"/>
      <c r="PVY30" s="27"/>
      <c r="PVZ30" s="27"/>
      <c r="PWA30" s="27"/>
      <c r="PWB30" s="27"/>
      <c r="PWC30" s="27"/>
      <c r="PWD30" s="27"/>
      <c r="PWE30" s="27"/>
      <c r="PWF30" s="27"/>
      <c r="PWG30" s="27"/>
      <c r="PWH30" s="27"/>
      <c r="PWI30" s="27"/>
      <c r="PWJ30" s="27"/>
      <c r="PWK30" s="27"/>
      <c r="PWL30" s="27"/>
      <c r="PWM30" s="27"/>
      <c r="PWN30" s="27"/>
      <c r="PWO30" s="27"/>
      <c r="PWP30" s="27"/>
      <c r="PWQ30" s="27"/>
      <c r="PWR30" s="27"/>
      <c r="PWS30" s="27"/>
      <c r="PWT30" s="27"/>
      <c r="PWU30" s="27"/>
      <c r="PWV30" s="27"/>
      <c r="PWW30" s="27"/>
      <c r="PWX30" s="27"/>
      <c r="PWY30" s="27"/>
      <c r="PWZ30" s="27"/>
      <c r="PXA30" s="27"/>
      <c r="PXB30" s="27"/>
      <c r="PXC30" s="27"/>
      <c r="PXD30" s="27"/>
      <c r="PXE30" s="27"/>
      <c r="PXF30" s="27"/>
      <c r="PXG30" s="27"/>
      <c r="PXH30" s="27"/>
      <c r="PXI30" s="27"/>
      <c r="PXJ30" s="27"/>
      <c r="PXK30" s="27"/>
      <c r="PXL30" s="27"/>
      <c r="PXM30" s="27"/>
      <c r="PXN30" s="27"/>
      <c r="PXO30" s="27"/>
      <c r="PXP30" s="27"/>
      <c r="PXQ30" s="27"/>
      <c r="PXR30" s="27"/>
      <c r="PXS30" s="27"/>
      <c r="PXT30" s="27"/>
      <c r="PXU30" s="27"/>
      <c r="PXV30" s="27"/>
      <c r="PXW30" s="27"/>
      <c r="PXX30" s="27"/>
      <c r="PXY30" s="27"/>
      <c r="PXZ30" s="27"/>
      <c r="PYA30" s="27"/>
      <c r="PYB30" s="27"/>
      <c r="PYC30" s="27"/>
      <c r="PYD30" s="27"/>
      <c r="PYE30" s="27"/>
      <c r="PYF30" s="27"/>
      <c r="PYG30" s="27"/>
      <c r="PYH30" s="27"/>
      <c r="PYI30" s="27"/>
      <c r="PYJ30" s="27"/>
      <c r="PYK30" s="27"/>
      <c r="PYL30" s="27"/>
      <c r="PYM30" s="27"/>
      <c r="PYN30" s="27"/>
      <c r="PYO30" s="27"/>
      <c r="PYP30" s="27"/>
      <c r="PYQ30" s="27"/>
      <c r="PYR30" s="27"/>
      <c r="PYS30" s="27"/>
      <c r="PYT30" s="27"/>
      <c r="PYU30" s="27"/>
      <c r="PYV30" s="27"/>
      <c r="PYW30" s="27"/>
      <c r="PYX30" s="27"/>
      <c r="PYY30" s="27"/>
      <c r="PYZ30" s="27"/>
      <c r="PZA30" s="27"/>
      <c r="PZB30" s="27"/>
      <c r="PZC30" s="27"/>
      <c r="PZD30" s="27"/>
      <c r="PZE30" s="27"/>
      <c r="PZF30" s="27"/>
      <c r="PZG30" s="27"/>
      <c r="PZH30" s="27"/>
      <c r="PZI30" s="27"/>
      <c r="PZJ30" s="27"/>
      <c r="PZK30" s="27"/>
      <c r="PZL30" s="27"/>
      <c r="PZM30" s="27"/>
      <c r="PZN30" s="27"/>
      <c r="PZO30" s="27"/>
      <c r="PZP30" s="27"/>
      <c r="PZQ30" s="27"/>
      <c r="PZR30" s="27"/>
      <c r="PZS30" s="27"/>
      <c r="PZT30" s="27"/>
      <c r="PZU30" s="27"/>
      <c r="PZV30" s="27"/>
      <c r="PZW30" s="27"/>
      <c r="PZX30" s="27"/>
      <c r="PZY30" s="27"/>
      <c r="PZZ30" s="27"/>
      <c r="QAA30" s="27"/>
      <c r="QAB30" s="27"/>
      <c r="QAC30" s="27"/>
      <c r="QAD30" s="27"/>
      <c r="QAE30" s="27"/>
      <c r="QAF30" s="27"/>
      <c r="QAG30" s="27"/>
      <c r="QAH30" s="27"/>
      <c r="QAI30" s="27"/>
      <c r="QAJ30" s="27"/>
      <c r="QAK30" s="27"/>
      <c r="QAL30" s="27"/>
      <c r="QAM30" s="27"/>
      <c r="QAN30" s="27"/>
      <c r="QAO30" s="27"/>
      <c r="QAP30" s="27"/>
      <c r="QAQ30" s="27"/>
      <c r="QAR30" s="27"/>
      <c r="QAS30" s="27"/>
      <c r="QAT30" s="27"/>
      <c r="QAU30" s="27"/>
      <c r="QAV30" s="27"/>
      <c r="QAW30" s="27"/>
      <c r="QAX30" s="27"/>
      <c r="QAY30" s="27"/>
      <c r="QAZ30" s="27"/>
      <c r="QBA30" s="27"/>
      <c r="QBB30" s="27"/>
      <c r="QBC30" s="27"/>
      <c r="QBD30" s="27"/>
      <c r="QBE30" s="27"/>
      <c r="QBF30" s="27"/>
      <c r="QBG30" s="27"/>
      <c r="QBH30" s="27"/>
      <c r="QBI30" s="27"/>
      <c r="QBJ30" s="27"/>
      <c r="QBK30" s="27"/>
      <c r="QBL30" s="27"/>
      <c r="QBM30" s="27"/>
      <c r="QBN30" s="27"/>
      <c r="QBO30" s="27"/>
      <c r="QBP30" s="27"/>
      <c r="QBQ30" s="27"/>
      <c r="QBR30" s="27"/>
      <c r="QBS30" s="27"/>
      <c r="QBT30" s="27"/>
      <c r="QBU30" s="27"/>
      <c r="QBV30" s="27"/>
      <c r="QBW30" s="27"/>
      <c r="QBX30" s="27"/>
      <c r="QBY30" s="27"/>
      <c r="QBZ30" s="27"/>
      <c r="QCA30" s="27"/>
      <c r="QCB30" s="27"/>
      <c r="QCC30" s="27"/>
      <c r="QCD30" s="27"/>
      <c r="QCE30" s="27"/>
      <c r="QCF30" s="27"/>
      <c r="QCG30" s="27"/>
      <c r="QCH30" s="27"/>
      <c r="QCI30" s="27"/>
      <c r="QCJ30" s="27"/>
      <c r="QCK30" s="27"/>
      <c r="QCL30" s="27"/>
      <c r="QCM30" s="27"/>
      <c r="QCN30" s="27"/>
      <c r="QCO30" s="27"/>
      <c r="QCP30" s="27"/>
      <c r="QCQ30" s="27"/>
      <c r="QCR30" s="27"/>
      <c r="QCS30" s="27"/>
      <c r="QCT30" s="27"/>
      <c r="QCU30" s="27"/>
      <c r="QCV30" s="27"/>
      <c r="QCW30" s="27"/>
      <c r="QCX30" s="27"/>
      <c r="QCY30" s="27"/>
      <c r="QCZ30" s="27"/>
      <c r="QDA30" s="27"/>
      <c r="QDB30" s="27"/>
      <c r="QDC30" s="27"/>
      <c r="QDD30" s="27"/>
      <c r="QDE30" s="27"/>
      <c r="QDF30" s="27"/>
      <c r="QDG30" s="27"/>
      <c r="QDH30" s="27"/>
      <c r="QDI30" s="27"/>
      <c r="QDJ30" s="27"/>
      <c r="QDK30" s="27"/>
      <c r="QDL30" s="27"/>
      <c r="QDM30" s="27"/>
      <c r="QDN30" s="27"/>
      <c r="QDO30" s="27"/>
      <c r="QDP30" s="27"/>
      <c r="QDQ30" s="27"/>
      <c r="QDR30" s="27"/>
      <c r="QDS30" s="27"/>
      <c r="QDT30" s="27"/>
      <c r="QDU30" s="27"/>
      <c r="QDV30" s="27"/>
      <c r="QDW30" s="27"/>
      <c r="QDX30" s="27"/>
      <c r="QDY30" s="27"/>
      <c r="QDZ30" s="27"/>
      <c r="QEA30" s="27"/>
      <c r="QEB30" s="27"/>
      <c r="QEC30" s="27"/>
      <c r="QED30" s="27"/>
      <c r="QEE30" s="27"/>
      <c r="QEF30" s="27"/>
      <c r="QEG30" s="27"/>
      <c r="QEH30" s="27"/>
      <c r="QEI30" s="27"/>
      <c r="QEJ30" s="27"/>
      <c r="QEK30" s="27"/>
      <c r="QEL30" s="27"/>
      <c r="QEM30" s="27"/>
      <c r="QEN30" s="27"/>
      <c r="QEO30" s="27"/>
      <c r="QEP30" s="27"/>
      <c r="QEQ30" s="27"/>
      <c r="QER30" s="27"/>
      <c r="QES30" s="27"/>
      <c r="QET30" s="27"/>
      <c r="QEU30" s="27"/>
      <c r="QEV30" s="27"/>
      <c r="QEW30" s="27"/>
      <c r="QEX30" s="27"/>
      <c r="QEY30" s="27"/>
      <c r="QEZ30" s="27"/>
      <c r="QFA30" s="27"/>
      <c r="QFB30" s="27"/>
      <c r="QFC30" s="27"/>
      <c r="QFD30" s="27"/>
      <c r="QFE30" s="27"/>
      <c r="QFF30" s="27"/>
      <c r="QFG30" s="27"/>
      <c r="QFH30" s="27"/>
      <c r="QFI30" s="27"/>
      <c r="QFJ30" s="27"/>
      <c r="QFK30" s="27"/>
      <c r="QFL30" s="27"/>
      <c r="QFM30" s="27"/>
      <c r="QFN30" s="27"/>
      <c r="QFO30" s="27"/>
      <c r="QFP30" s="27"/>
      <c r="QFQ30" s="27"/>
      <c r="QFR30" s="27"/>
      <c r="QFS30" s="27"/>
      <c r="QFT30" s="27"/>
      <c r="QFU30" s="27"/>
      <c r="QFV30" s="27"/>
      <c r="QFW30" s="27"/>
      <c r="QFX30" s="27"/>
      <c r="QFY30" s="27"/>
      <c r="QFZ30" s="27"/>
      <c r="QGA30" s="27"/>
      <c r="QGB30" s="27"/>
      <c r="QGC30" s="27"/>
      <c r="QGD30" s="27"/>
      <c r="QGE30" s="27"/>
      <c r="QGF30" s="27"/>
      <c r="QGG30" s="27"/>
      <c r="QGH30" s="27"/>
      <c r="QGI30" s="27"/>
      <c r="QGJ30" s="27"/>
      <c r="QGK30" s="27"/>
      <c r="QGL30" s="27"/>
      <c r="QGM30" s="27"/>
      <c r="QGN30" s="27"/>
      <c r="QGO30" s="27"/>
      <c r="QGP30" s="27"/>
      <c r="QGQ30" s="27"/>
      <c r="QGR30" s="27"/>
      <c r="QGS30" s="27"/>
      <c r="QGT30" s="27"/>
      <c r="QGU30" s="27"/>
      <c r="QGV30" s="27"/>
      <c r="QGW30" s="27"/>
      <c r="QGX30" s="27"/>
      <c r="QGY30" s="27"/>
      <c r="QGZ30" s="27"/>
      <c r="QHA30" s="27"/>
      <c r="QHB30" s="27"/>
      <c r="QHC30" s="27"/>
      <c r="QHD30" s="27"/>
      <c r="QHE30" s="27"/>
      <c r="QHF30" s="27"/>
      <c r="QHG30" s="27"/>
      <c r="QHH30" s="27"/>
      <c r="QHI30" s="27"/>
      <c r="QHJ30" s="27"/>
      <c r="QHK30" s="27"/>
      <c r="QHL30" s="27"/>
      <c r="QHM30" s="27"/>
      <c r="QHN30" s="27"/>
      <c r="QHO30" s="27"/>
      <c r="QHP30" s="27"/>
      <c r="QHQ30" s="27"/>
      <c r="QHR30" s="27"/>
      <c r="QHS30" s="27"/>
      <c r="QHT30" s="27"/>
      <c r="QHU30" s="27"/>
      <c r="QHV30" s="27"/>
      <c r="QHW30" s="27"/>
      <c r="QHX30" s="27"/>
      <c r="QHY30" s="27"/>
      <c r="QHZ30" s="27"/>
      <c r="QIA30" s="27"/>
      <c r="QIB30" s="27"/>
      <c r="QIC30" s="27"/>
      <c r="QID30" s="27"/>
      <c r="QIE30" s="27"/>
      <c r="QIF30" s="27"/>
      <c r="QIG30" s="27"/>
      <c r="QIH30" s="27"/>
      <c r="QII30" s="27"/>
      <c r="QIJ30" s="27"/>
      <c r="QIK30" s="27"/>
      <c r="QIL30" s="27"/>
      <c r="QIM30" s="27"/>
      <c r="QIN30" s="27"/>
      <c r="QIO30" s="27"/>
      <c r="QIP30" s="27"/>
      <c r="QIQ30" s="27"/>
      <c r="QIR30" s="27"/>
      <c r="QIS30" s="27"/>
      <c r="QIT30" s="27"/>
      <c r="QIU30" s="27"/>
      <c r="QIV30" s="27"/>
      <c r="QIW30" s="27"/>
      <c r="QIX30" s="27"/>
      <c r="QIY30" s="27"/>
      <c r="QIZ30" s="27"/>
      <c r="QJA30" s="27"/>
      <c r="QJB30" s="27"/>
      <c r="QJC30" s="27"/>
      <c r="QJD30" s="27"/>
      <c r="QJE30" s="27"/>
      <c r="QJF30" s="27"/>
      <c r="QJG30" s="27"/>
      <c r="QJH30" s="27"/>
      <c r="QJI30" s="27"/>
      <c r="QJJ30" s="27"/>
      <c r="QJK30" s="27"/>
      <c r="QJL30" s="27"/>
      <c r="QJM30" s="27"/>
      <c r="QJN30" s="27"/>
      <c r="QJO30" s="27"/>
      <c r="QJP30" s="27"/>
      <c r="QJQ30" s="27"/>
      <c r="QJR30" s="27"/>
      <c r="QJS30" s="27"/>
      <c r="QJT30" s="27"/>
      <c r="QJU30" s="27"/>
      <c r="QJV30" s="27"/>
      <c r="QJW30" s="27"/>
      <c r="QJX30" s="27"/>
      <c r="QJY30" s="27"/>
      <c r="QJZ30" s="27"/>
      <c r="QKA30" s="27"/>
      <c r="QKB30" s="27"/>
      <c r="QKC30" s="27"/>
      <c r="QKD30" s="27"/>
      <c r="QKE30" s="27"/>
      <c r="QKF30" s="27"/>
      <c r="QKG30" s="27"/>
      <c r="QKH30" s="27"/>
      <c r="QKI30" s="27"/>
      <c r="QKJ30" s="27"/>
      <c r="QKK30" s="27"/>
      <c r="QKL30" s="27"/>
      <c r="QKM30" s="27"/>
      <c r="QKN30" s="27"/>
      <c r="QKO30" s="27"/>
      <c r="QKP30" s="27"/>
      <c r="QKQ30" s="27"/>
      <c r="QKR30" s="27"/>
      <c r="QKS30" s="27"/>
      <c r="QKT30" s="27"/>
      <c r="QKU30" s="27"/>
      <c r="QKV30" s="27"/>
      <c r="QKW30" s="27"/>
      <c r="QKX30" s="27"/>
      <c r="QKY30" s="27"/>
      <c r="QKZ30" s="27"/>
      <c r="QLA30" s="27"/>
      <c r="QLB30" s="27"/>
      <c r="QLC30" s="27"/>
      <c r="QLD30" s="27"/>
      <c r="QLE30" s="27"/>
      <c r="QLF30" s="27"/>
      <c r="QLG30" s="27"/>
      <c r="QLH30" s="27"/>
      <c r="QLI30" s="27"/>
      <c r="QLJ30" s="27"/>
      <c r="QLK30" s="27"/>
      <c r="QLL30" s="27"/>
      <c r="QLM30" s="27"/>
      <c r="QLN30" s="27"/>
      <c r="QLO30" s="27"/>
      <c r="QLP30" s="27"/>
      <c r="QLQ30" s="27"/>
      <c r="QLR30" s="27"/>
      <c r="QLS30" s="27"/>
      <c r="QLT30" s="27"/>
      <c r="QLU30" s="27"/>
      <c r="QLV30" s="27"/>
      <c r="QLW30" s="27"/>
      <c r="QLX30" s="27"/>
      <c r="QLY30" s="27"/>
      <c r="QLZ30" s="27"/>
      <c r="QMA30" s="27"/>
      <c r="QMB30" s="27"/>
      <c r="QMC30" s="27"/>
      <c r="QMD30" s="27"/>
      <c r="QME30" s="27"/>
      <c r="QMF30" s="27"/>
      <c r="QMG30" s="27"/>
      <c r="QMH30" s="27"/>
      <c r="QMI30" s="27"/>
      <c r="QMJ30" s="27"/>
      <c r="QMK30" s="27"/>
      <c r="QML30" s="27"/>
      <c r="QMM30" s="27"/>
      <c r="QMN30" s="27"/>
      <c r="QMO30" s="27"/>
      <c r="QMP30" s="27"/>
      <c r="QMQ30" s="27"/>
      <c r="QMR30" s="27"/>
      <c r="QMS30" s="27"/>
      <c r="QMT30" s="27"/>
      <c r="QMU30" s="27"/>
      <c r="QMV30" s="27"/>
      <c r="QMW30" s="27"/>
      <c r="QMX30" s="27"/>
      <c r="QMY30" s="27"/>
      <c r="QMZ30" s="27"/>
      <c r="QNA30" s="27"/>
      <c r="QNB30" s="27"/>
      <c r="QNC30" s="27"/>
      <c r="QND30" s="27"/>
      <c r="QNE30" s="27"/>
      <c r="QNF30" s="27"/>
      <c r="QNG30" s="27"/>
      <c r="QNH30" s="27"/>
      <c r="QNI30" s="27"/>
      <c r="QNJ30" s="27"/>
      <c r="QNK30" s="27"/>
      <c r="QNL30" s="27"/>
      <c r="QNM30" s="27"/>
      <c r="QNN30" s="27"/>
      <c r="QNO30" s="27"/>
      <c r="QNP30" s="27"/>
      <c r="QNQ30" s="27"/>
      <c r="QNR30" s="27"/>
      <c r="QNS30" s="27"/>
      <c r="QNT30" s="27"/>
      <c r="QNU30" s="27"/>
      <c r="QNV30" s="27"/>
      <c r="QNW30" s="27"/>
      <c r="QNX30" s="27"/>
      <c r="QNY30" s="27"/>
      <c r="QNZ30" s="27"/>
      <c r="QOA30" s="27"/>
      <c r="QOB30" s="27"/>
      <c r="QOC30" s="27"/>
      <c r="QOD30" s="27"/>
      <c r="QOE30" s="27"/>
      <c r="QOF30" s="27"/>
      <c r="QOG30" s="27"/>
      <c r="QOH30" s="27"/>
      <c r="QOI30" s="27"/>
      <c r="QOJ30" s="27"/>
      <c r="QOK30" s="27"/>
      <c r="QOL30" s="27"/>
      <c r="QOM30" s="27"/>
      <c r="QON30" s="27"/>
      <c r="QOO30" s="27"/>
      <c r="QOP30" s="27"/>
      <c r="QOQ30" s="27"/>
      <c r="QOR30" s="27"/>
      <c r="QOS30" s="27"/>
      <c r="QOT30" s="27"/>
      <c r="QOU30" s="27"/>
      <c r="QOV30" s="27"/>
      <c r="QOW30" s="27"/>
      <c r="QOX30" s="27"/>
      <c r="QOY30" s="27"/>
      <c r="QOZ30" s="27"/>
      <c r="QPA30" s="27"/>
      <c r="QPB30" s="27"/>
      <c r="QPC30" s="27"/>
      <c r="QPD30" s="27"/>
      <c r="QPE30" s="27"/>
      <c r="QPF30" s="27"/>
      <c r="QPG30" s="27"/>
      <c r="QPH30" s="27"/>
      <c r="QPI30" s="27"/>
      <c r="QPJ30" s="27"/>
      <c r="QPK30" s="27"/>
      <c r="QPL30" s="27"/>
      <c r="QPM30" s="27"/>
      <c r="QPN30" s="27"/>
      <c r="QPO30" s="27"/>
      <c r="QPP30" s="27"/>
      <c r="QPQ30" s="27"/>
      <c r="QPR30" s="27"/>
      <c r="QPS30" s="27"/>
      <c r="QPT30" s="27"/>
      <c r="QPU30" s="27"/>
      <c r="QPV30" s="27"/>
      <c r="QPW30" s="27"/>
      <c r="QPX30" s="27"/>
      <c r="QPY30" s="27"/>
      <c r="QPZ30" s="27"/>
      <c r="QQA30" s="27"/>
      <c r="QQB30" s="27"/>
      <c r="QQC30" s="27"/>
      <c r="QQD30" s="27"/>
      <c r="QQE30" s="27"/>
      <c r="QQF30" s="27"/>
      <c r="QQG30" s="27"/>
      <c r="QQH30" s="27"/>
      <c r="QQI30" s="27"/>
      <c r="QQJ30" s="27"/>
      <c r="QQK30" s="27"/>
      <c r="QQL30" s="27"/>
      <c r="QQM30" s="27"/>
      <c r="QQN30" s="27"/>
      <c r="QQO30" s="27"/>
      <c r="QQP30" s="27"/>
      <c r="QQQ30" s="27"/>
      <c r="QQR30" s="27"/>
      <c r="QQS30" s="27"/>
      <c r="QQT30" s="27"/>
      <c r="QQU30" s="27"/>
      <c r="QQV30" s="27"/>
      <c r="QQW30" s="27"/>
      <c r="QQX30" s="27"/>
      <c r="QQY30" s="27"/>
      <c r="QQZ30" s="27"/>
      <c r="QRA30" s="27"/>
      <c r="QRB30" s="27"/>
      <c r="QRC30" s="27"/>
      <c r="QRD30" s="27"/>
      <c r="QRE30" s="27"/>
      <c r="QRF30" s="27"/>
      <c r="QRG30" s="27"/>
      <c r="QRH30" s="27"/>
      <c r="QRI30" s="27"/>
      <c r="QRJ30" s="27"/>
      <c r="QRK30" s="27"/>
      <c r="QRL30" s="27"/>
      <c r="QRM30" s="27"/>
      <c r="QRN30" s="27"/>
      <c r="QRO30" s="27"/>
      <c r="QRP30" s="27"/>
      <c r="QRQ30" s="27"/>
      <c r="QRR30" s="27"/>
      <c r="QRS30" s="27"/>
      <c r="QRT30" s="27"/>
      <c r="QRU30" s="27"/>
      <c r="QRV30" s="27"/>
      <c r="QRW30" s="27"/>
      <c r="QRX30" s="27"/>
      <c r="QRY30" s="27"/>
      <c r="QRZ30" s="27"/>
      <c r="QSA30" s="27"/>
      <c r="QSB30" s="27"/>
      <c r="QSC30" s="27"/>
      <c r="QSD30" s="27"/>
      <c r="QSE30" s="27"/>
      <c r="QSF30" s="27"/>
      <c r="QSG30" s="27"/>
      <c r="QSH30" s="27"/>
      <c r="QSI30" s="27"/>
      <c r="QSJ30" s="27"/>
      <c r="QSK30" s="27"/>
      <c r="QSL30" s="27"/>
      <c r="QSM30" s="27"/>
      <c r="QSN30" s="27"/>
      <c r="QSO30" s="27"/>
      <c r="QSP30" s="27"/>
      <c r="QSQ30" s="27"/>
      <c r="QSR30" s="27"/>
      <c r="QSS30" s="27"/>
      <c r="QST30" s="27"/>
      <c r="QSU30" s="27"/>
      <c r="QSV30" s="27"/>
      <c r="QSW30" s="27"/>
      <c r="QSX30" s="27"/>
      <c r="QSY30" s="27"/>
      <c r="QSZ30" s="27"/>
      <c r="QTA30" s="27"/>
      <c r="QTB30" s="27"/>
      <c r="QTC30" s="27"/>
      <c r="QTD30" s="27"/>
      <c r="QTE30" s="27"/>
      <c r="QTF30" s="27"/>
      <c r="QTG30" s="27"/>
      <c r="QTH30" s="27"/>
      <c r="QTI30" s="27"/>
      <c r="QTJ30" s="27"/>
      <c r="QTK30" s="27"/>
      <c r="QTL30" s="27"/>
      <c r="QTM30" s="27"/>
      <c r="QTN30" s="27"/>
      <c r="QTO30" s="27"/>
      <c r="QTP30" s="27"/>
      <c r="QTQ30" s="27"/>
      <c r="QTR30" s="27"/>
      <c r="QTS30" s="27"/>
      <c r="QTT30" s="27"/>
      <c r="QTU30" s="27"/>
      <c r="QTV30" s="27"/>
      <c r="QTW30" s="27"/>
      <c r="QTX30" s="27"/>
      <c r="QTY30" s="27"/>
      <c r="QTZ30" s="27"/>
      <c r="QUA30" s="27"/>
      <c r="QUB30" s="27"/>
      <c r="QUC30" s="27"/>
      <c r="QUD30" s="27"/>
      <c r="QUE30" s="27"/>
      <c r="QUF30" s="27"/>
      <c r="QUG30" s="27"/>
      <c r="QUH30" s="27"/>
      <c r="QUI30" s="27"/>
      <c r="QUJ30" s="27"/>
      <c r="QUK30" s="27"/>
      <c r="QUL30" s="27"/>
      <c r="QUM30" s="27"/>
      <c r="QUN30" s="27"/>
      <c r="QUO30" s="27"/>
      <c r="QUP30" s="27"/>
      <c r="QUQ30" s="27"/>
      <c r="QUR30" s="27"/>
      <c r="QUS30" s="27"/>
      <c r="QUT30" s="27"/>
      <c r="QUU30" s="27"/>
      <c r="QUV30" s="27"/>
      <c r="QUW30" s="27"/>
      <c r="QUX30" s="27"/>
      <c r="QUY30" s="27"/>
      <c r="QUZ30" s="27"/>
      <c r="QVA30" s="27"/>
      <c r="QVB30" s="27"/>
      <c r="QVC30" s="27"/>
      <c r="QVD30" s="27"/>
      <c r="QVE30" s="27"/>
      <c r="QVF30" s="27"/>
      <c r="QVG30" s="27"/>
      <c r="QVH30" s="27"/>
      <c r="QVI30" s="27"/>
      <c r="QVJ30" s="27"/>
      <c r="QVK30" s="27"/>
      <c r="QVL30" s="27"/>
      <c r="QVM30" s="27"/>
      <c r="QVN30" s="27"/>
      <c r="QVO30" s="27"/>
      <c r="QVP30" s="27"/>
      <c r="QVQ30" s="27"/>
      <c r="QVR30" s="27"/>
      <c r="QVS30" s="27"/>
      <c r="QVT30" s="27"/>
      <c r="QVU30" s="27"/>
      <c r="QVV30" s="27"/>
      <c r="QVW30" s="27"/>
      <c r="QVX30" s="27"/>
      <c r="QVY30" s="27"/>
      <c r="QVZ30" s="27"/>
      <c r="QWA30" s="27"/>
      <c r="QWB30" s="27"/>
      <c r="QWC30" s="27"/>
      <c r="QWD30" s="27"/>
      <c r="QWE30" s="27"/>
      <c r="QWF30" s="27"/>
      <c r="QWG30" s="27"/>
      <c r="QWH30" s="27"/>
      <c r="QWI30" s="27"/>
      <c r="QWJ30" s="27"/>
      <c r="QWK30" s="27"/>
      <c r="QWL30" s="27"/>
      <c r="QWM30" s="27"/>
      <c r="QWN30" s="27"/>
      <c r="QWO30" s="27"/>
      <c r="QWP30" s="27"/>
      <c r="QWQ30" s="27"/>
      <c r="QWR30" s="27"/>
      <c r="QWS30" s="27"/>
      <c r="QWT30" s="27"/>
      <c r="QWU30" s="27"/>
      <c r="QWV30" s="27"/>
      <c r="QWW30" s="27"/>
      <c r="QWX30" s="27"/>
      <c r="QWY30" s="27"/>
      <c r="QWZ30" s="27"/>
      <c r="QXA30" s="27"/>
      <c r="QXB30" s="27"/>
      <c r="QXC30" s="27"/>
      <c r="QXD30" s="27"/>
      <c r="QXE30" s="27"/>
      <c r="QXF30" s="27"/>
      <c r="QXG30" s="27"/>
      <c r="QXH30" s="27"/>
      <c r="QXI30" s="27"/>
      <c r="QXJ30" s="27"/>
      <c r="QXK30" s="27"/>
      <c r="QXL30" s="27"/>
      <c r="QXM30" s="27"/>
      <c r="QXN30" s="27"/>
      <c r="QXO30" s="27"/>
      <c r="QXP30" s="27"/>
      <c r="QXQ30" s="27"/>
      <c r="QXR30" s="27"/>
      <c r="QXS30" s="27"/>
      <c r="QXT30" s="27"/>
      <c r="QXU30" s="27"/>
      <c r="QXV30" s="27"/>
      <c r="QXW30" s="27"/>
      <c r="QXX30" s="27"/>
      <c r="QXY30" s="27"/>
      <c r="QXZ30" s="27"/>
      <c r="QYA30" s="27"/>
      <c r="QYB30" s="27"/>
      <c r="QYC30" s="27"/>
      <c r="QYD30" s="27"/>
      <c r="QYE30" s="27"/>
      <c r="QYF30" s="27"/>
      <c r="QYG30" s="27"/>
      <c r="QYH30" s="27"/>
      <c r="QYI30" s="27"/>
      <c r="QYJ30" s="27"/>
      <c r="QYK30" s="27"/>
      <c r="QYL30" s="27"/>
      <c r="QYM30" s="27"/>
      <c r="QYN30" s="27"/>
      <c r="QYO30" s="27"/>
      <c r="QYP30" s="27"/>
      <c r="QYQ30" s="27"/>
      <c r="QYR30" s="27"/>
      <c r="QYS30" s="27"/>
      <c r="QYT30" s="27"/>
      <c r="QYU30" s="27"/>
      <c r="QYV30" s="27"/>
      <c r="QYW30" s="27"/>
      <c r="QYX30" s="27"/>
      <c r="QYY30" s="27"/>
      <c r="QYZ30" s="27"/>
      <c r="QZA30" s="27"/>
      <c r="QZB30" s="27"/>
      <c r="QZC30" s="27"/>
      <c r="QZD30" s="27"/>
      <c r="QZE30" s="27"/>
      <c r="QZF30" s="27"/>
      <c r="QZG30" s="27"/>
      <c r="QZH30" s="27"/>
      <c r="QZI30" s="27"/>
      <c r="QZJ30" s="27"/>
      <c r="QZK30" s="27"/>
      <c r="QZL30" s="27"/>
      <c r="QZM30" s="27"/>
      <c r="QZN30" s="27"/>
      <c r="QZO30" s="27"/>
      <c r="QZP30" s="27"/>
      <c r="QZQ30" s="27"/>
      <c r="QZR30" s="27"/>
      <c r="QZS30" s="27"/>
      <c r="QZT30" s="27"/>
      <c r="QZU30" s="27"/>
      <c r="QZV30" s="27"/>
      <c r="QZW30" s="27"/>
      <c r="QZX30" s="27"/>
      <c r="QZY30" s="27"/>
      <c r="QZZ30" s="27"/>
      <c r="RAA30" s="27"/>
      <c r="RAB30" s="27"/>
      <c r="RAC30" s="27"/>
      <c r="RAD30" s="27"/>
      <c r="RAE30" s="27"/>
      <c r="RAF30" s="27"/>
      <c r="RAG30" s="27"/>
      <c r="RAH30" s="27"/>
      <c r="RAI30" s="27"/>
      <c r="RAJ30" s="27"/>
      <c r="RAK30" s="27"/>
      <c r="RAL30" s="27"/>
      <c r="RAM30" s="27"/>
      <c r="RAN30" s="27"/>
      <c r="RAO30" s="27"/>
      <c r="RAP30" s="27"/>
      <c r="RAQ30" s="27"/>
      <c r="RAR30" s="27"/>
      <c r="RAS30" s="27"/>
      <c r="RAT30" s="27"/>
      <c r="RAU30" s="27"/>
      <c r="RAV30" s="27"/>
      <c r="RAW30" s="27"/>
      <c r="RAX30" s="27"/>
      <c r="RAY30" s="27"/>
      <c r="RAZ30" s="27"/>
      <c r="RBA30" s="27"/>
      <c r="RBB30" s="27"/>
      <c r="RBC30" s="27"/>
      <c r="RBD30" s="27"/>
      <c r="RBE30" s="27"/>
      <c r="RBF30" s="27"/>
      <c r="RBG30" s="27"/>
      <c r="RBH30" s="27"/>
      <c r="RBI30" s="27"/>
      <c r="RBJ30" s="27"/>
      <c r="RBK30" s="27"/>
      <c r="RBL30" s="27"/>
      <c r="RBM30" s="27"/>
      <c r="RBN30" s="27"/>
      <c r="RBO30" s="27"/>
      <c r="RBP30" s="27"/>
      <c r="RBQ30" s="27"/>
      <c r="RBR30" s="27"/>
      <c r="RBS30" s="27"/>
      <c r="RBT30" s="27"/>
      <c r="RBU30" s="27"/>
      <c r="RBV30" s="27"/>
      <c r="RBW30" s="27"/>
      <c r="RBX30" s="27"/>
      <c r="RBY30" s="27"/>
      <c r="RBZ30" s="27"/>
      <c r="RCA30" s="27"/>
      <c r="RCB30" s="27"/>
      <c r="RCC30" s="27"/>
      <c r="RCD30" s="27"/>
      <c r="RCE30" s="27"/>
      <c r="RCF30" s="27"/>
      <c r="RCG30" s="27"/>
      <c r="RCH30" s="27"/>
      <c r="RCI30" s="27"/>
      <c r="RCJ30" s="27"/>
      <c r="RCK30" s="27"/>
      <c r="RCL30" s="27"/>
      <c r="RCM30" s="27"/>
      <c r="RCN30" s="27"/>
      <c r="RCO30" s="27"/>
      <c r="RCP30" s="27"/>
      <c r="RCQ30" s="27"/>
      <c r="RCR30" s="27"/>
      <c r="RCS30" s="27"/>
      <c r="RCT30" s="27"/>
      <c r="RCU30" s="27"/>
      <c r="RCV30" s="27"/>
      <c r="RCW30" s="27"/>
      <c r="RCX30" s="27"/>
      <c r="RCY30" s="27"/>
      <c r="RCZ30" s="27"/>
      <c r="RDA30" s="27"/>
      <c r="RDB30" s="27"/>
      <c r="RDC30" s="27"/>
      <c r="RDD30" s="27"/>
      <c r="RDE30" s="27"/>
      <c r="RDF30" s="27"/>
      <c r="RDG30" s="27"/>
      <c r="RDH30" s="27"/>
      <c r="RDI30" s="27"/>
      <c r="RDJ30" s="27"/>
      <c r="RDK30" s="27"/>
      <c r="RDL30" s="27"/>
      <c r="RDM30" s="27"/>
      <c r="RDN30" s="27"/>
      <c r="RDO30" s="27"/>
      <c r="RDP30" s="27"/>
      <c r="RDQ30" s="27"/>
      <c r="RDR30" s="27"/>
      <c r="RDS30" s="27"/>
      <c r="RDT30" s="27"/>
      <c r="RDU30" s="27"/>
      <c r="RDV30" s="27"/>
      <c r="RDW30" s="27"/>
      <c r="RDX30" s="27"/>
      <c r="RDY30" s="27"/>
      <c r="RDZ30" s="27"/>
      <c r="REA30" s="27"/>
      <c r="REB30" s="27"/>
      <c r="REC30" s="27"/>
      <c r="RED30" s="27"/>
      <c r="REE30" s="27"/>
      <c r="REF30" s="27"/>
      <c r="REG30" s="27"/>
      <c r="REH30" s="27"/>
      <c r="REI30" s="27"/>
      <c r="REJ30" s="27"/>
      <c r="REK30" s="27"/>
      <c r="REL30" s="27"/>
      <c r="REM30" s="27"/>
      <c r="REN30" s="27"/>
      <c r="REO30" s="27"/>
      <c r="REP30" s="27"/>
      <c r="REQ30" s="27"/>
      <c r="RER30" s="27"/>
      <c r="RES30" s="27"/>
      <c r="RET30" s="27"/>
      <c r="REU30" s="27"/>
      <c r="REV30" s="27"/>
      <c r="REW30" s="27"/>
      <c r="REX30" s="27"/>
      <c r="REY30" s="27"/>
      <c r="REZ30" s="27"/>
      <c r="RFA30" s="27"/>
      <c r="RFB30" s="27"/>
      <c r="RFC30" s="27"/>
      <c r="RFD30" s="27"/>
      <c r="RFE30" s="27"/>
      <c r="RFF30" s="27"/>
      <c r="RFG30" s="27"/>
      <c r="RFH30" s="27"/>
      <c r="RFI30" s="27"/>
      <c r="RFJ30" s="27"/>
      <c r="RFK30" s="27"/>
      <c r="RFL30" s="27"/>
      <c r="RFM30" s="27"/>
      <c r="RFN30" s="27"/>
      <c r="RFO30" s="27"/>
      <c r="RFP30" s="27"/>
      <c r="RFQ30" s="27"/>
      <c r="RFR30" s="27"/>
      <c r="RFS30" s="27"/>
      <c r="RFT30" s="27"/>
      <c r="RFU30" s="27"/>
      <c r="RFV30" s="27"/>
      <c r="RFW30" s="27"/>
      <c r="RFX30" s="27"/>
      <c r="RFY30" s="27"/>
      <c r="RFZ30" s="27"/>
      <c r="RGA30" s="27"/>
      <c r="RGB30" s="27"/>
      <c r="RGC30" s="27"/>
      <c r="RGD30" s="27"/>
      <c r="RGE30" s="27"/>
      <c r="RGF30" s="27"/>
      <c r="RGG30" s="27"/>
      <c r="RGH30" s="27"/>
      <c r="RGI30" s="27"/>
      <c r="RGJ30" s="27"/>
      <c r="RGK30" s="27"/>
      <c r="RGL30" s="27"/>
      <c r="RGM30" s="27"/>
      <c r="RGN30" s="27"/>
      <c r="RGO30" s="27"/>
      <c r="RGP30" s="27"/>
      <c r="RGQ30" s="27"/>
      <c r="RGR30" s="27"/>
      <c r="RGS30" s="27"/>
      <c r="RGT30" s="27"/>
      <c r="RGU30" s="27"/>
      <c r="RGV30" s="27"/>
      <c r="RGW30" s="27"/>
      <c r="RGX30" s="27"/>
      <c r="RGY30" s="27"/>
      <c r="RGZ30" s="27"/>
      <c r="RHA30" s="27"/>
      <c r="RHB30" s="27"/>
      <c r="RHC30" s="27"/>
      <c r="RHD30" s="27"/>
      <c r="RHE30" s="27"/>
      <c r="RHF30" s="27"/>
      <c r="RHG30" s="27"/>
      <c r="RHH30" s="27"/>
      <c r="RHI30" s="27"/>
      <c r="RHJ30" s="27"/>
      <c r="RHK30" s="27"/>
      <c r="RHL30" s="27"/>
      <c r="RHM30" s="27"/>
      <c r="RHN30" s="27"/>
      <c r="RHO30" s="27"/>
      <c r="RHP30" s="27"/>
      <c r="RHQ30" s="27"/>
      <c r="RHR30" s="27"/>
      <c r="RHS30" s="27"/>
      <c r="RHT30" s="27"/>
      <c r="RHU30" s="27"/>
      <c r="RHV30" s="27"/>
      <c r="RHW30" s="27"/>
      <c r="RHX30" s="27"/>
      <c r="RHY30" s="27"/>
      <c r="RHZ30" s="27"/>
      <c r="RIA30" s="27"/>
      <c r="RIB30" s="27"/>
      <c r="RIC30" s="27"/>
      <c r="RID30" s="27"/>
      <c r="RIE30" s="27"/>
      <c r="RIF30" s="27"/>
      <c r="RIG30" s="27"/>
      <c r="RIH30" s="27"/>
      <c r="RII30" s="27"/>
      <c r="RIJ30" s="27"/>
      <c r="RIK30" s="27"/>
      <c r="RIL30" s="27"/>
      <c r="RIM30" s="27"/>
      <c r="RIN30" s="27"/>
      <c r="RIO30" s="27"/>
      <c r="RIP30" s="27"/>
      <c r="RIQ30" s="27"/>
      <c r="RIR30" s="27"/>
      <c r="RIS30" s="27"/>
      <c r="RIT30" s="27"/>
      <c r="RIU30" s="27"/>
      <c r="RIV30" s="27"/>
      <c r="RIW30" s="27"/>
      <c r="RIX30" s="27"/>
      <c r="RIY30" s="27"/>
      <c r="RIZ30" s="27"/>
      <c r="RJA30" s="27"/>
      <c r="RJB30" s="27"/>
      <c r="RJC30" s="27"/>
      <c r="RJD30" s="27"/>
      <c r="RJE30" s="27"/>
      <c r="RJF30" s="27"/>
      <c r="RJG30" s="27"/>
      <c r="RJH30" s="27"/>
      <c r="RJI30" s="27"/>
      <c r="RJJ30" s="27"/>
      <c r="RJK30" s="27"/>
      <c r="RJL30" s="27"/>
      <c r="RJM30" s="27"/>
      <c r="RJN30" s="27"/>
      <c r="RJO30" s="27"/>
      <c r="RJP30" s="27"/>
      <c r="RJQ30" s="27"/>
      <c r="RJR30" s="27"/>
      <c r="RJS30" s="27"/>
      <c r="RJT30" s="27"/>
      <c r="RJU30" s="27"/>
      <c r="RJV30" s="27"/>
      <c r="RJW30" s="27"/>
      <c r="RJX30" s="27"/>
      <c r="RJY30" s="27"/>
      <c r="RJZ30" s="27"/>
      <c r="RKA30" s="27"/>
      <c r="RKB30" s="27"/>
      <c r="RKC30" s="27"/>
      <c r="RKD30" s="27"/>
      <c r="RKE30" s="27"/>
      <c r="RKF30" s="27"/>
      <c r="RKG30" s="27"/>
      <c r="RKH30" s="27"/>
      <c r="RKI30" s="27"/>
      <c r="RKJ30" s="27"/>
      <c r="RKK30" s="27"/>
      <c r="RKL30" s="27"/>
      <c r="RKM30" s="27"/>
      <c r="RKN30" s="27"/>
      <c r="RKO30" s="27"/>
      <c r="RKP30" s="27"/>
      <c r="RKQ30" s="27"/>
      <c r="RKR30" s="27"/>
      <c r="RKS30" s="27"/>
      <c r="RKT30" s="27"/>
      <c r="RKU30" s="27"/>
      <c r="RKV30" s="27"/>
      <c r="RKW30" s="27"/>
      <c r="RKX30" s="27"/>
      <c r="RKY30" s="27"/>
      <c r="RKZ30" s="27"/>
      <c r="RLA30" s="27"/>
      <c r="RLB30" s="27"/>
      <c r="RLC30" s="27"/>
      <c r="RLD30" s="27"/>
      <c r="RLE30" s="27"/>
      <c r="RLF30" s="27"/>
      <c r="RLG30" s="27"/>
      <c r="RLH30" s="27"/>
      <c r="RLI30" s="27"/>
      <c r="RLJ30" s="27"/>
      <c r="RLK30" s="27"/>
      <c r="RLL30" s="27"/>
      <c r="RLM30" s="27"/>
      <c r="RLN30" s="27"/>
      <c r="RLO30" s="27"/>
      <c r="RLP30" s="27"/>
      <c r="RLQ30" s="27"/>
      <c r="RLR30" s="27"/>
      <c r="RLS30" s="27"/>
      <c r="RLT30" s="27"/>
      <c r="RLU30" s="27"/>
      <c r="RLV30" s="27"/>
      <c r="RLW30" s="27"/>
      <c r="RLX30" s="27"/>
      <c r="RLY30" s="27"/>
      <c r="RLZ30" s="27"/>
      <c r="RMA30" s="27"/>
      <c r="RMB30" s="27"/>
      <c r="RMC30" s="27"/>
      <c r="RMD30" s="27"/>
      <c r="RME30" s="27"/>
      <c r="RMF30" s="27"/>
      <c r="RMG30" s="27"/>
      <c r="RMH30" s="27"/>
      <c r="RMI30" s="27"/>
      <c r="RMJ30" s="27"/>
      <c r="RMK30" s="27"/>
      <c r="RML30" s="27"/>
      <c r="RMM30" s="27"/>
      <c r="RMN30" s="27"/>
      <c r="RMO30" s="27"/>
      <c r="RMP30" s="27"/>
      <c r="RMQ30" s="27"/>
      <c r="RMR30" s="27"/>
      <c r="RMS30" s="27"/>
      <c r="RMT30" s="27"/>
      <c r="RMU30" s="27"/>
      <c r="RMV30" s="27"/>
      <c r="RMW30" s="27"/>
      <c r="RMX30" s="27"/>
      <c r="RMY30" s="27"/>
      <c r="RMZ30" s="27"/>
      <c r="RNA30" s="27"/>
      <c r="RNB30" s="27"/>
      <c r="RNC30" s="27"/>
      <c r="RND30" s="27"/>
      <c r="RNE30" s="27"/>
      <c r="RNF30" s="27"/>
      <c r="RNG30" s="27"/>
      <c r="RNH30" s="27"/>
      <c r="RNI30" s="27"/>
      <c r="RNJ30" s="27"/>
      <c r="RNK30" s="27"/>
      <c r="RNL30" s="27"/>
      <c r="RNM30" s="27"/>
      <c r="RNN30" s="27"/>
      <c r="RNO30" s="27"/>
      <c r="RNP30" s="27"/>
      <c r="RNQ30" s="27"/>
      <c r="RNR30" s="27"/>
      <c r="RNS30" s="27"/>
      <c r="RNT30" s="27"/>
      <c r="RNU30" s="27"/>
      <c r="RNV30" s="27"/>
      <c r="RNW30" s="27"/>
      <c r="RNX30" s="27"/>
      <c r="RNY30" s="27"/>
      <c r="RNZ30" s="27"/>
      <c r="ROA30" s="27"/>
      <c r="ROB30" s="27"/>
      <c r="ROC30" s="27"/>
      <c r="ROD30" s="27"/>
      <c r="ROE30" s="27"/>
      <c r="ROF30" s="27"/>
      <c r="ROG30" s="27"/>
      <c r="ROH30" s="27"/>
      <c r="ROI30" s="27"/>
      <c r="ROJ30" s="27"/>
      <c r="ROK30" s="27"/>
      <c r="ROL30" s="27"/>
      <c r="ROM30" s="27"/>
      <c r="RON30" s="27"/>
      <c r="ROO30" s="27"/>
      <c r="ROP30" s="27"/>
      <c r="ROQ30" s="27"/>
      <c r="ROR30" s="27"/>
      <c r="ROS30" s="27"/>
      <c r="ROT30" s="27"/>
      <c r="ROU30" s="27"/>
      <c r="ROV30" s="27"/>
      <c r="ROW30" s="27"/>
      <c r="ROX30" s="27"/>
      <c r="ROY30" s="27"/>
      <c r="ROZ30" s="27"/>
      <c r="RPA30" s="27"/>
      <c r="RPB30" s="27"/>
      <c r="RPC30" s="27"/>
      <c r="RPD30" s="27"/>
      <c r="RPE30" s="27"/>
      <c r="RPF30" s="27"/>
      <c r="RPG30" s="27"/>
      <c r="RPH30" s="27"/>
      <c r="RPI30" s="27"/>
      <c r="RPJ30" s="27"/>
      <c r="RPK30" s="27"/>
      <c r="RPL30" s="27"/>
      <c r="RPM30" s="27"/>
      <c r="RPN30" s="27"/>
      <c r="RPO30" s="27"/>
      <c r="RPP30" s="27"/>
      <c r="RPQ30" s="27"/>
      <c r="RPR30" s="27"/>
      <c r="RPS30" s="27"/>
      <c r="RPT30" s="27"/>
      <c r="RPU30" s="27"/>
      <c r="RPV30" s="27"/>
      <c r="RPW30" s="27"/>
      <c r="RPX30" s="27"/>
      <c r="RPY30" s="27"/>
      <c r="RPZ30" s="27"/>
      <c r="RQA30" s="27"/>
      <c r="RQB30" s="27"/>
      <c r="RQC30" s="27"/>
      <c r="RQD30" s="27"/>
      <c r="RQE30" s="27"/>
      <c r="RQF30" s="27"/>
      <c r="RQG30" s="27"/>
      <c r="RQH30" s="27"/>
      <c r="RQI30" s="27"/>
      <c r="RQJ30" s="27"/>
      <c r="RQK30" s="27"/>
      <c r="RQL30" s="27"/>
      <c r="RQM30" s="27"/>
      <c r="RQN30" s="27"/>
      <c r="RQO30" s="27"/>
      <c r="RQP30" s="27"/>
      <c r="RQQ30" s="27"/>
      <c r="RQR30" s="27"/>
      <c r="RQS30" s="27"/>
      <c r="RQT30" s="27"/>
      <c r="RQU30" s="27"/>
      <c r="RQV30" s="27"/>
      <c r="RQW30" s="27"/>
      <c r="RQX30" s="27"/>
      <c r="RQY30" s="27"/>
      <c r="RQZ30" s="27"/>
      <c r="RRA30" s="27"/>
      <c r="RRB30" s="27"/>
      <c r="RRC30" s="27"/>
      <c r="RRD30" s="27"/>
      <c r="RRE30" s="27"/>
      <c r="RRF30" s="27"/>
      <c r="RRG30" s="27"/>
      <c r="RRH30" s="27"/>
      <c r="RRI30" s="27"/>
      <c r="RRJ30" s="27"/>
      <c r="RRK30" s="27"/>
      <c r="RRL30" s="27"/>
      <c r="RRM30" s="27"/>
      <c r="RRN30" s="27"/>
      <c r="RRO30" s="27"/>
      <c r="RRP30" s="27"/>
      <c r="RRQ30" s="27"/>
      <c r="RRR30" s="27"/>
      <c r="RRS30" s="27"/>
      <c r="RRT30" s="27"/>
      <c r="RRU30" s="27"/>
      <c r="RRV30" s="27"/>
      <c r="RRW30" s="27"/>
      <c r="RRX30" s="27"/>
      <c r="RRY30" s="27"/>
      <c r="RRZ30" s="27"/>
      <c r="RSA30" s="27"/>
      <c r="RSB30" s="27"/>
      <c r="RSC30" s="27"/>
      <c r="RSD30" s="27"/>
      <c r="RSE30" s="27"/>
      <c r="RSF30" s="27"/>
      <c r="RSG30" s="27"/>
      <c r="RSH30" s="27"/>
      <c r="RSI30" s="27"/>
      <c r="RSJ30" s="27"/>
      <c r="RSK30" s="27"/>
      <c r="RSL30" s="27"/>
      <c r="RSM30" s="27"/>
      <c r="RSN30" s="27"/>
      <c r="RSO30" s="27"/>
      <c r="RSP30" s="27"/>
      <c r="RSQ30" s="27"/>
      <c r="RSR30" s="27"/>
      <c r="RSS30" s="27"/>
      <c r="RST30" s="27"/>
      <c r="RSU30" s="27"/>
      <c r="RSV30" s="27"/>
      <c r="RSW30" s="27"/>
      <c r="RSX30" s="27"/>
      <c r="RSY30" s="27"/>
      <c r="RSZ30" s="27"/>
      <c r="RTA30" s="27"/>
      <c r="RTB30" s="27"/>
      <c r="RTC30" s="27"/>
      <c r="RTD30" s="27"/>
      <c r="RTE30" s="27"/>
      <c r="RTF30" s="27"/>
      <c r="RTG30" s="27"/>
      <c r="RTH30" s="27"/>
      <c r="RTI30" s="27"/>
      <c r="RTJ30" s="27"/>
      <c r="RTK30" s="27"/>
      <c r="RTL30" s="27"/>
      <c r="RTM30" s="27"/>
      <c r="RTN30" s="27"/>
      <c r="RTO30" s="27"/>
      <c r="RTP30" s="27"/>
      <c r="RTQ30" s="27"/>
      <c r="RTR30" s="27"/>
      <c r="RTS30" s="27"/>
      <c r="RTT30" s="27"/>
      <c r="RTU30" s="27"/>
      <c r="RTV30" s="27"/>
      <c r="RTW30" s="27"/>
      <c r="RTX30" s="27"/>
      <c r="RTY30" s="27"/>
      <c r="RTZ30" s="27"/>
      <c r="RUA30" s="27"/>
      <c r="RUB30" s="27"/>
      <c r="RUC30" s="27"/>
      <c r="RUD30" s="27"/>
      <c r="RUE30" s="27"/>
      <c r="RUF30" s="27"/>
      <c r="RUG30" s="27"/>
      <c r="RUH30" s="27"/>
      <c r="RUI30" s="27"/>
      <c r="RUJ30" s="27"/>
      <c r="RUK30" s="27"/>
      <c r="RUL30" s="27"/>
      <c r="RUM30" s="27"/>
      <c r="RUN30" s="27"/>
      <c r="RUO30" s="27"/>
      <c r="RUP30" s="27"/>
      <c r="RUQ30" s="27"/>
      <c r="RUR30" s="27"/>
      <c r="RUS30" s="27"/>
      <c r="RUT30" s="27"/>
      <c r="RUU30" s="27"/>
      <c r="RUV30" s="27"/>
      <c r="RUW30" s="27"/>
      <c r="RUX30" s="27"/>
      <c r="RUY30" s="27"/>
      <c r="RUZ30" s="27"/>
      <c r="RVA30" s="27"/>
      <c r="RVB30" s="27"/>
      <c r="RVC30" s="27"/>
      <c r="RVD30" s="27"/>
      <c r="RVE30" s="27"/>
      <c r="RVF30" s="27"/>
      <c r="RVG30" s="27"/>
      <c r="RVH30" s="27"/>
      <c r="RVI30" s="27"/>
      <c r="RVJ30" s="27"/>
      <c r="RVK30" s="27"/>
      <c r="RVL30" s="27"/>
      <c r="RVM30" s="27"/>
      <c r="RVN30" s="27"/>
      <c r="RVO30" s="27"/>
      <c r="RVP30" s="27"/>
      <c r="RVQ30" s="27"/>
      <c r="RVR30" s="27"/>
      <c r="RVS30" s="27"/>
      <c r="RVT30" s="27"/>
      <c r="RVU30" s="27"/>
      <c r="RVV30" s="27"/>
      <c r="RVW30" s="27"/>
      <c r="RVX30" s="27"/>
      <c r="RVY30" s="27"/>
      <c r="RVZ30" s="27"/>
      <c r="RWA30" s="27"/>
      <c r="RWB30" s="27"/>
      <c r="RWC30" s="27"/>
      <c r="RWD30" s="27"/>
      <c r="RWE30" s="27"/>
      <c r="RWF30" s="27"/>
      <c r="RWG30" s="27"/>
      <c r="RWH30" s="27"/>
      <c r="RWI30" s="27"/>
      <c r="RWJ30" s="27"/>
      <c r="RWK30" s="27"/>
      <c r="RWL30" s="27"/>
      <c r="RWM30" s="27"/>
      <c r="RWN30" s="27"/>
      <c r="RWO30" s="27"/>
      <c r="RWP30" s="27"/>
      <c r="RWQ30" s="27"/>
      <c r="RWR30" s="27"/>
      <c r="RWS30" s="27"/>
      <c r="RWT30" s="27"/>
      <c r="RWU30" s="27"/>
      <c r="RWV30" s="27"/>
      <c r="RWW30" s="27"/>
      <c r="RWX30" s="27"/>
      <c r="RWY30" s="27"/>
      <c r="RWZ30" s="27"/>
      <c r="RXA30" s="27"/>
      <c r="RXB30" s="27"/>
      <c r="RXC30" s="27"/>
      <c r="RXD30" s="27"/>
      <c r="RXE30" s="27"/>
      <c r="RXF30" s="27"/>
      <c r="RXG30" s="27"/>
      <c r="RXH30" s="27"/>
      <c r="RXI30" s="27"/>
      <c r="RXJ30" s="27"/>
      <c r="RXK30" s="27"/>
      <c r="RXL30" s="27"/>
      <c r="RXM30" s="27"/>
      <c r="RXN30" s="27"/>
      <c r="RXO30" s="27"/>
      <c r="RXP30" s="27"/>
      <c r="RXQ30" s="27"/>
      <c r="RXR30" s="27"/>
      <c r="RXS30" s="27"/>
      <c r="RXT30" s="27"/>
      <c r="RXU30" s="27"/>
      <c r="RXV30" s="27"/>
      <c r="RXW30" s="27"/>
      <c r="RXX30" s="27"/>
      <c r="RXY30" s="27"/>
      <c r="RXZ30" s="27"/>
      <c r="RYA30" s="27"/>
      <c r="RYB30" s="27"/>
      <c r="RYC30" s="27"/>
      <c r="RYD30" s="27"/>
      <c r="RYE30" s="27"/>
      <c r="RYF30" s="27"/>
      <c r="RYG30" s="27"/>
      <c r="RYH30" s="27"/>
      <c r="RYI30" s="27"/>
      <c r="RYJ30" s="27"/>
      <c r="RYK30" s="27"/>
      <c r="RYL30" s="27"/>
      <c r="RYM30" s="27"/>
      <c r="RYN30" s="27"/>
      <c r="RYO30" s="27"/>
      <c r="RYP30" s="27"/>
      <c r="RYQ30" s="27"/>
      <c r="RYR30" s="27"/>
      <c r="RYS30" s="27"/>
      <c r="RYT30" s="27"/>
      <c r="RYU30" s="27"/>
      <c r="RYV30" s="27"/>
      <c r="RYW30" s="27"/>
      <c r="RYX30" s="27"/>
      <c r="RYY30" s="27"/>
      <c r="RYZ30" s="27"/>
      <c r="RZA30" s="27"/>
      <c r="RZB30" s="27"/>
      <c r="RZC30" s="27"/>
      <c r="RZD30" s="27"/>
      <c r="RZE30" s="27"/>
      <c r="RZF30" s="27"/>
      <c r="RZG30" s="27"/>
      <c r="RZH30" s="27"/>
      <c r="RZI30" s="27"/>
      <c r="RZJ30" s="27"/>
      <c r="RZK30" s="27"/>
      <c r="RZL30" s="27"/>
      <c r="RZM30" s="27"/>
      <c r="RZN30" s="27"/>
      <c r="RZO30" s="27"/>
      <c r="RZP30" s="27"/>
      <c r="RZQ30" s="27"/>
      <c r="RZR30" s="27"/>
      <c r="RZS30" s="27"/>
      <c r="RZT30" s="27"/>
      <c r="RZU30" s="27"/>
      <c r="RZV30" s="27"/>
      <c r="RZW30" s="27"/>
      <c r="RZX30" s="27"/>
      <c r="RZY30" s="27"/>
      <c r="RZZ30" s="27"/>
      <c r="SAA30" s="27"/>
      <c r="SAB30" s="27"/>
      <c r="SAC30" s="27"/>
      <c r="SAD30" s="27"/>
      <c r="SAE30" s="27"/>
      <c r="SAF30" s="27"/>
      <c r="SAG30" s="27"/>
      <c r="SAH30" s="27"/>
      <c r="SAI30" s="27"/>
      <c r="SAJ30" s="27"/>
      <c r="SAK30" s="27"/>
      <c r="SAL30" s="27"/>
      <c r="SAM30" s="27"/>
      <c r="SAN30" s="27"/>
      <c r="SAO30" s="27"/>
      <c r="SAP30" s="27"/>
      <c r="SAQ30" s="27"/>
      <c r="SAR30" s="27"/>
      <c r="SAS30" s="27"/>
      <c r="SAT30" s="27"/>
      <c r="SAU30" s="27"/>
      <c r="SAV30" s="27"/>
      <c r="SAW30" s="27"/>
      <c r="SAX30" s="27"/>
      <c r="SAY30" s="27"/>
      <c r="SAZ30" s="27"/>
      <c r="SBA30" s="27"/>
      <c r="SBB30" s="27"/>
      <c r="SBC30" s="27"/>
      <c r="SBD30" s="27"/>
      <c r="SBE30" s="27"/>
      <c r="SBF30" s="27"/>
      <c r="SBG30" s="27"/>
      <c r="SBH30" s="27"/>
      <c r="SBI30" s="27"/>
      <c r="SBJ30" s="27"/>
      <c r="SBK30" s="27"/>
      <c r="SBL30" s="27"/>
      <c r="SBM30" s="27"/>
      <c r="SBN30" s="27"/>
      <c r="SBO30" s="27"/>
      <c r="SBP30" s="27"/>
      <c r="SBQ30" s="27"/>
      <c r="SBR30" s="27"/>
      <c r="SBS30" s="27"/>
      <c r="SBT30" s="27"/>
      <c r="SBU30" s="27"/>
      <c r="SBV30" s="27"/>
      <c r="SBW30" s="27"/>
      <c r="SBX30" s="27"/>
      <c r="SBY30" s="27"/>
      <c r="SBZ30" s="27"/>
      <c r="SCA30" s="27"/>
      <c r="SCB30" s="27"/>
      <c r="SCC30" s="27"/>
      <c r="SCD30" s="27"/>
      <c r="SCE30" s="27"/>
      <c r="SCF30" s="27"/>
      <c r="SCG30" s="27"/>
      <c r="SCH30" s="27"/>
      <c r="SCI30" s="27"/>
      <c r="SCJ30" s="27"/>
      <c r="SCK30" s="27"/>
      <c r="SCL30" s="27"/>
      <c r="SCM30" s="27"/>
      <c r="SCN30" s="27"/>
      <c r="SCO30" s="27"/>
      <c r="SCP30" s="27"/>
      <c r="SCQ30" s="27"/>
      <c r="SCR30" s="27"/>
      <c r="SCS30" s="27"/>
      <c r="SCT30" s="27"/>
      <c r="SCU30" s="27"/>
      <c r="SCV30" s="27"/>
      <c r="SCW30" s="27"/>
      <c r="SCX30" s="27"/>
      <c r="SCY30" s="27"/>
      <c r="SCZ30" s="27"/>
      <c r="SDA30" s="27"/>
      <c r="SDB30" s="27"/>
      <c r="SDC30" s="27"/>
      <c r="SDD30" s="27"/>
      <c r="SDE30" s="27"/>
      <c r="SDF30" s="27"/>
      <c r="SDG30" s="27"/>
      <c r="SDH30" s="27"/>
      <c r="SDI30" s="27"/>
      <c r="SDJ30" s="27"/>
      <c r="SDK30" s="27"/>
      <c r="SDL30" s="27"/>
      <c r="SDM30" s="27"/>
      <c r="SDN30" s="27"/>
      <c r="SDO30" s="27"/>
      <c r="SDP30" s="27"/>
      <c r="SDQ30" s="27"/>
      <c r="SDR30" s="27"/>
      <c r="SDS30" s="27"/>
      <c r="SDT30" s="27"/>
      <c r="SDU30" s="27"/>
      <c r="SDV30" s="27"/>
      <c r="SDW30" s="27"/>
      <c r="SDX30" s="27"/>
      <c r="SDY30" s="27"/>
      <c r="SDZ30" s="27"/>
      <c r="SEA30" s="27"/>
      <c r="SEB30" s="27"/>
      <c r="SEC30" s="27"/>
      <c r="SED30" s="27"/>
      <c r="SEE30" s="27"/>
      <c r="SEF30" s="27"/>
      <c r="SEG30" s="27"/>
      <c r="SEH30" s="27"/>
      <c r="SEI30" s="27"/>
      <c r="SEJ30" s="27"/>
      <c r="SEK30" s="27"/>
      <c r="SEL30" s="27"/>
      <c r="SEM30" s="27"/>
      <c r="SEN30" s="27"/>
      <c r="SEO30" s="27"/>
      <c r="SEP30" s="27"/>
      <c r="SEQ30" s="27"/>
      <c r="SER30" s="27"/>
      <c r="SES30" s="27"/>
      <c r="SET30" s="27"/>
      <c r="SEU30" s="27"/>
      <c r="SEV30" s="27"/>
      <c r="SEW30" s="27"/>
      <c r="SEX30" s="27"/>
      <c r="SEY30" s="27"/>
      <c r="SEZ30" s="27"/>
      <c r="SFA30" s="27"/>
      <c r="SFB30" s="27"/>
      <c r="SFC30" s="27"/>
      <c r="SFD30" s="27"/>
      <c r="SFE30" s="27"/>
      <c r="SFF30" s="27"/>
      <c r="SFG30" s="27"/>
      <c r="SFH30" s="27"/>
      <c r="SFI30" s="27"/>
      <c r="SFJ30" s="27"/>
      <c r="SFK30" s="27"/>
      <c r="SFL30" s="27"/>
      <c r="SFM30" s="27"/>
      <c r="SFN30" s="27"/>
      <c r="SFO30" s="27"/>
      <c r="SFP30" s="27"/>
      <c r="SFQ30" s="27"/>
      <c r="SFR30" s="27"/>
      <c r="SFS30" s="27"/>
      <c r="SFT30" s="27"/>
      <c r="SFU30" s="27"/>
      <c r="SFV30" s="27"/>
      <c r="SFW30" s="27"/>
      <c r="SFX30" s="27"/>
      <c r="SFY30" s="27"/>
      <c r="SFZ30" s="27"/>
      <c r="SGA30" s="27"/>
      <c r="SGB30" s="27"/>
      <c r="SGC30" s="27"/>
      <c r="SGD30" s="27"/>
      <c r="SGE30" s="27"/>
      <c r="SGF30" s="27"/>
      <c r="SGG30" s="27"/>
      <c r="SGH30" s="27"/>
      <c r="SGI30" s="27"/>
      <c r="SGJ30" s="27"/>
      <c r="SGK30" s="27"/>
      <c r="SGL30" s="27"/>
      <c r="SGM30" s="27"/>
      <c r="SGN30" s="27"/>
      <c r="SGO30" s="27"/>
      <c r="SGP30" s="27"/>
      <c r="SGQ30" s="27"/>
      <c r="SGR30" s="27"/>
      <c r="SGS30" s="27"/>
      <c r="SGT30" s="27"/>
      <c r="SGU30" s="27"/>
      <c r="SGV30" s="27"/>
      <c r="SGW30" s="27"/>
      <c r="SGX30" s="27"/>
      <c r="SGY30" s="27"/>
      <c r="SGZ30" s="27"/>
      <c r="SHA30" s="27"/>
      <c r="SHB30" s="27"/>
      <c r="SHC30" s="27"/>
      <c r="SHD30" s="27"/>
      <c r="SHE30" s="27"/>
      <c r="SHF30" s="27"/>
      <c r="SHG30" s="27"/>
      <c r="SHH30" s="27"/>
      <c r="SHI30" s="27"/>
      <c r="SHJ30" s="27"/>
      <c r="SHK30" s="27"/>
      <c r="SHL30" s="27"/>
      <c r="SHM30" s="27"/>
      <c r="SHN30" s="27"/>
      <c r="SHO30" s="27"/>
      <c r="SHP30" s="27"/>
      <c r="SHQ30" s="27"/>
      <c r="SHR30" s="27"/>
      <c r="SHS30" s="27"/>
      <c r="SHT30" s="27"/>
      <c r="SHU30" s="27"/>
      <c r="SHV30" s="27"/>
      <c r="SHW30" s="27"/>
      <c r="SHX30" s="27"/>
      <c r="SHY30" s="27"/>
      <c r="SHZ30" s="27"/>
      <c r="SIA30" s="27"/>
      <c r="SIB30" s="27"/>
      <c r="SIC30" s="27"/>
      <c r="SID30" s="27"/>
      <c r="SIE30" s="27"/>
      <c r="SIF30" s="27"/>
      <c r="SIG30" s="27"/>
      <c r="SIH30" s="27"/>
      <c r="SII30" s="27"/>
      <c r="SIJ30" s="27"/>
      <c r="SIK30" s="27"/>
      <c r="SIL30" s="27"/>
      <c r="SIM30" s="27"/>
      <c r="SIN30" s="27"/>
      <c r="SIO30" s="27"/>
      <c r="SIP30" s="27"/>
      <c r="SIQ30" s="27"/>
      <c r="SIR30" s="27"/>
      <c r="SIS30" s="27"/>
      <c r="SIT30" s="27"/>
      <c r="SIU30" s="27"/>
      <c r="SIV30" s="27"/>
      <c r="SIW30" s="27"/>
      <c r="SIX30" s="27"/>
      <c r="SIY30" s="27"/>
      <c r="SIZ30" s="27"/>
      <c r="SJA30" s="27"/>
      <c r="SJB30" s="27"/>
      <c r="SJC30" s="27"/>
      <c r="SJD30" s="27"/>
      <c r="SJE30" s="27"/>
      <c r="SJF30" s="27"/>
      <c r="SJG30" s="27"/>
      <c r="SJH30" s="27"/>
      <c r="SJI30" s="27"/>
      <c r="SJJ30" s="27"/>
      <c r="SJK30" s="27"/>
      <c r="SJL30" s="27"/>
      <c r="SJM30" s="27"/>
      <c r="SJN30" s="27"/>
      <c r="SJO30" s="27"/>
      <c r="SJP30" s="27"/>
      <c r="SJQ30" s="27"/>
      <c r="SJR30" s="27"/>
      <c r="SJS30" s="27"/>
      <c r="SJT30" s="27"/>
      <c r="SJU30" s="27"/>
      <c r="SJV30" s="27"/>
      <c r="SJW30" s="27"/>
      <c r="SJX30" s="27"/>
      <c r="SJY30" s="27"/>
      <c r="SJZ30" s="27"/>
      <c r="SKA30" s="27"/>
      <c r="SKB30" s="27"/>
      <c r="SKC30" s="27"/>
      <c r="SKD30" s="27"/>
      <c r="SKE30" s="27"/>
      <c r="SKF30" s="27"/>
      <c r="SKG30" s="27"/>
      <c r="SKH30" s="27"/>
      <c r="SKI30" s="27"/>
      <c r="SKJ30" s="27"/>
      <c r="SKK30" s="27"/>
      <c r="SKL30" s="27"/>
      <c r="SKM30" s="27"/>
      <c r="SKN30" s="27"/>
      <c r="SKO30" s="27"/>
      <c r="SKP30" s="27"/>
      <c r="SKQ30" s="27"/>
      <c r="SKR30" s="27"/>
      <c r="SKS30" s="27"/>
      <c r="SKT30" s="27"/>
      <c r="SKU30" s="27"/>
      <c r="SKV30" s="27"/>
      <c r="SKW30" s="27"/>
      <c r="SKX30" s="27"/>
      <c r="SKY30" s="27"/>
      <c r="SKZ30" s="27"/>
      <c r="SLA30" s="27"/>
      <c r="SLB30" s="27"/>
      <c r="SLC30" s="27"/>
      <c r="SLD30" s="27"/>
      <c r="SLE30" s="27"/>
      <c r="SLF30" s="27"/>
      <c r="SLG30" s="27"/>
      <c r="SLH30" s="27"/>
      <c r="SLI30" s="27"/>
      <c r="SLJ30" s="27"/>
      <c r="SLK30" s="27"/>
      <c r="SLL30" s="27"/>
      <c r="SLM30" s="27"/>
      <c r="SLN30" s="27"/>
      <c r="SLO30" s="27"/>
      <c r="SLP30" s="27"/>
      <c r="SLQ30" s="27"/>
      <c r="SLR30" s="27"/>
      <c r="SLS30" s="27"/>
      <c r="SLT30" s="27"/>
      <c r="SLU30" s="27"/>
      <c r="SLV30" s="27"/>
      <c r="SLW30" s="27"/>
      <c r="SLX30" s="27"/>
      <c r="SLY30" s="27"/>
      <c r="SLZ30" s="27"/>
      <c r="SMA30" s="27"/>
      <c r="SMB30" s="27"/>
      <c r="SMC30" s="27"/>
      <c r="SMD30" s="27"/>
      <c r="SME30" s="27"/>
      <c r="SMF30" s="27"/>
      <c r="SMG30" s="27"/>
      <c r="SMH30" s="27"/>
      <c r="SMI30" s="27"/>
      <c r="SMJ30" s="27"/>
      <c r="SMK30" s="27"/>
      <c r="SML30" s="27"/>
      <c r="SMM30" s="27"/>
      <c r="SMN30" s="27"/>
      <c r="SMO30" s="27"/>
      <c r="SMP30" s="27"/>
      <c r="SMQ30" s="27"/>
      <c r="SMR30" s="27"/>
      <c r="SMS30" s="27"/>
      <c r="SMT30" s="27"/>
      <c r="SMU30" s="27"/>
      <c r="SMV30" s="27"/>
      <c r="SMW30" s="27"/>
      <c r="SMX30" s="27"/>
      <c r="SMY30" s="27"/>
      <c r="SMZ30" s="27"/>
      <c r="SNA30" s="27"/>
      <c r="SNB30" s="27"/>
      <c r="SNC30" s="27"/>
      <c r="SND30" s="27"/>
      <c r="SNE30" s="27"/>
      <c r="SNF30" s="27"/>
      <c r="SNG30" s="27"/>
      <c r="SNH30" s="27"/>
      <c r="SNI30" s="27"/>
      <c r="SNJ30" s="27"/>
      <c r="SNK30" s="27"/>
      <c r="SNL30" s="27"/>
      <c r="SNM30" s="27"/>
      <c r="SNN30" s="27"/>
      <c r="SNO30" s="27"/>
      <c r="SNP30" s="27"/>
      <c r="SNQ30" s="27"/>
      <c r="SNR30" s="27"/>
      <c r="SNS30" s="27"/>
      <c r="SNT30" s="27"/>
      <c r="SNU30" s="27"/>
      <c r="SNV30" s="27"/>
      <c r="SNW30" s="27"/>
      <c r="SNX30" s="27"/>
      <c r="SNY30" s="27"/>
      <c r="SNZ30" s="27"/>
      <c r="SOA30" s="27"/>
      <c r="SOB30" s="27"/>
      <c r="SOC30" s="27"/>
      <c r="SOD30" s="27"/>
      <c r="SOE30" s="27"/>
      <c r="SOF30" s="27"/>
      <c r="SOG30" s="27"/>
      <c r="SOH30" s="27"/>
      <c r="SOI30" s="27"/>
      <c r="SOJ30" s="27"/>
      <c r="SOK30" s="27"/>
      <c r="SOL30" s="27"/>
      <c r="SOM30" s="27"/>
      <c r="SON30" s="27"/>
      <c r="SOO30" s="27"/>
      <c r="SOP30" s="27"/>
      <c r="SOQ30" s="27"/>
      <c r="SOR30" s="27"/>
      <c r="SOS30" s="27"/>
      <c r="SOT30" s="27"/>
      <c r="SOU30" s="27"/>
      <c r="SOV30" s="27"/>
      <c r="SOW30" s="27"/>
      <c r="SOX30" s="27"/>
      <c r="SOY30" s="27"/>
      <c r="SOZ30" s="27"/>
      <c r="SPA30" s="27"/>
      <c r="SPB30" s="27"/>
      <c r="SPC30" s="27"/>
      <c r="SPD30" s="27"/>
      <c r="SPE30" s="27"/>
      <c r="SPF30" s="27"/>
      <c r="SPG30" s="27"/>
      <c r="SPH30" s="27"/>
      <c r="SPI30" s="27"/>
      <c r="SPJ30" s="27"/>
      <c r="SPK30" s="27"/>
      <c r="SPL30" s="27"/>
      <c r="SPM30" s="27"/>
      <c r="SPN30" s="27"/>
      <c r="SPO30" s="27"/>
      <c r="SPP30" s="27"/>
      <c r="SPQ30" s="27"/>
      <c r="SPR30" s="27"/>
      <c r="SPS30" s="27"/>
      <c r="SPT30" s="27"/>
      <c r="SPU30" s="27"/>
      <c r="SPV30" s="27"/>
      <c r="SPW30" s="27"/>
      <c r="SPX30" s="27"/>
      <c r="SPY30" s="27"/>
      <c r="SPZ30" s="27"/>
      <c r="SQA30" s="27"/>
      <c r="SQB30" s="27"/>
      <c r="SQC30" s="27"/>
      <c r="SQD30" s="27"/>
      <c r="SQE30" s="27"/>
      <c r="SQF30" s="27"/>
      <c r="SQG30" s="27"/>
      <c r="SQH30" s="27"/>
      <c r="SQI30" s="27"/>
      <c r="SQJ30" s="27"/>
      <c r="SQK30" s="27"/>
      <c r="SQL30" s="27"/>
      <c r="SQM30" s="27"/>
      <c r="SQN30" s="27"/>
      <c r="SQO30" s="27"/>
      <c r="SQP30" s="27"/>
      <c r="SQQ30" s="27"/>
      <c r="SQR30" s="27"/>
      <c r="SQS30" s="27"/>
      <c r="SQT30" s="27"/>
      <c r="SQU30" s="27"/>
      <c r="SQV30" s="27"/>
      <c r="SQW30" s="27"/>
      <c r="SQX30" s="27"/>
      <c r="SQY30" s="27"/>
      <c r="SQZ30" s="27"/>
      <c r="SRA30" s="27"/>
      <c r="SRB30" s="27"/>
      <c r="SRC30" s="27"/>
      <c r="SRD30" s="27"/>
      <c r="SRE30" s="27"/>
      <c r="SRF30" s="27"/>
      <c r="SRG30" s="27"/>
      <c r="SRH30" s="27"/>
      <c r="SRI30" s="27"/>
      <c r="SRJ30" s="27"/>
      <c r="SRK30" s="27"/>
      <c r="SRL30" s="27"/>
      <c r="SRM30" s="27"/>
      <c r="SRN30" s="27"/>
      <c r="SRO30" s="27"/>
      <c r="SRP30" s="27"/>
      <c r="SRQ30" s="27"/>
      <c r="SRR30" s="27"/>
      <c r="SRS30" s="27"/>
      <c r="SRT30" s="27"/>
      <c r="SRU30" s="27"/>
      <c r="SRV30" s="27"/>
      <c r="SRW30" s="27"/>
      <c r="SRX30" s="27"/>
      <c r="SRY30" s="27"/>
      <c r="SRZ30" s="27"/>
      <c r="SSA30" s="27"/>
      <c r="SSB30" s="27"/>
      <c r="SSC30" s="27"/>
      <c r="SSD30" s="27"/>
      <c r="SSE30" s="27"/>
      <c r="SSF30" s="27"/>
      <c r="SSG30" s="27"/>
      <c r="SSH30" s="27"/>
      <c r="SSI30" s="27"/>
      <c r="SSJ30" s="27"/>
      <c r="SSK30" s="27"/>
      <c r="SSL30" s="27"/>
      <c r="SSM30" s="27"/>
      <c r="SSN30" s="27"/>
      <c r="SSO30" s="27"/>
      <c r="SSP30" s="27"/>
      <c r="SSQ30" s="27"/>
      <c r="SSR30" s="27"/>
      <c r="SSS30" s="27"/>
      <c r="SST30" s="27"/>
      <c r="SSU30" s="27"/>
      <c r="SSV30" s="27"/>
      <c r="SSW30" s="27"/>
      <c r="SSX30" s="27"/>
      <c r="SSY30" s="27"/>
      <c r="SSZ30" s="27"/>
      <c r="STA30" s="27"/>
      <c r="STB30" s="27"/>
      <c r="STC30" s="27"/>
      <c r="STD30" s="27"/>
      <c r="STE30" s="27"/>
      <c r="STF30" s="27"/>
      <c r="STG30" s="27"/>
      <c r="STH30" s="27"/>
      <c r="STI30" s="27"/>
      <c r="STJ30" s="27"/>
      <c r="STK30" s="27"/>
      <c r="STL30" s="27"/>
      <c r="STM30" s="27"/>
      <c r="STN30" s="27"/>
      <c r="STO30" s="27"/>
      <c r="STP30" s="27"/>
      <c r="STQ30" s="27"/>
      <c r="STR30" s="27"/>
      <c r="STS30" s="27"/>
      <c r="STT30" s="27"/>
      <c r="STU30" s="27"/>
      <c r="STV30" s="27"/>
      <c r="STW30" s="27"/>
      <c r="STX30" s="27"/>
      <c r="STY30" s="27"/>
      <c r="STZ30" s="27"/>
      <c r="SUA30" s="27"/>
      <c r="SUB30" s="27"/>
      <c r="SUC30" s="27"/>
      <c r="SUD30" s="27"/>
      <c r="SUE30" s="27"/>
      <c r="SUF30" s="27"/>
      <c r="SUG30" s="27"/>
      <c r="SUH30" s="27"/>
      <c r="SUI30" s="27"/>
      <c r="SUJ30" s="27"/>
      <c r="SUK30" s="27"/>
      <c r="SUL30" s="27"/>
      <c r="SUM30" s="27"/>
      <c r="SUN30" s="27"/>
      <c r="SUO30" s="27"/>
      <c r="SUP30" s="27"/>
      <c r="SUQ30" s="27"/>
      <c r="SUR30" s="27"/>
      <c r="SUS30" s="27"/>
      <c r="SUT30" s="27"/>
      <c r="SUU30" s="27"/>
      <c r="SUV30" s="27"/>
      <c r="SUW30" s="27"/>
      <c r="SUX30" s="27"/>
      <c r="SUY30" s="27"/>
      <c r="SUZ30" s="27"/>
      <c r="SVA30" s="27"/>
      <c r="SVB30" s="27"/>
      <c r="SVC30" s="27"/>
      <c r="SVD30" s="27"/>
      <c r="SVE30" s="27"/>
      <c r="SVF30" s="27"/>
      <c r="SVG30" s="27"/>
      <c r="SVH30" s="27"/>
      <c r="SVI30" s="27"/>
      <c r="SVJ30" s="27"/>
      <c r="SVK30" s="27"/>
      <c r="SVL30" s="27"/>
      <c r="SVM30" s="27"/>
      <c r="SVN30" s="27"/>
      <c r="SVO30" s="27"/>
      <c r="SVP30" s="27"/>
      <c r="SVQ30" s="27"/>
      <c r="SVR30" s="27"/>
      <c r="SVS30" s="27"/>
      <c r="SVT30" s="27"/>
      <c r="SVU30" s="27"/>
      <c r="SVV30" s="27"/>
      <c r="SVW30" s="27"/>
      <c r="SVX30" s="27"/>
      <c r="SVY30" s="27"/>
      <c r="SVZ30" s="27"/>
      <c r="SWA30" s="27"/>
      <c r="SWB30" s="27"/>
      <c r="SWC30" s="27"/>
      <c r="SWD30" s="27"/>
      <c r="SWE30" s="27"/>
      <c r="SWF30" s="27"/>
      <c r="SWG30" s="27"/>
      <c r="SWH30" s="27"/>
      <c r="SWI30" s="27"/>
      <c r="SWJ30" s="27"/>
      <c r="SWK30" s="27"/>
      <c r="SWL30" s="27"/>
      <c r="SWM30" s="27"/>
      <c r="SWN30" s="27"/>
      <c r="SWO30" s="27"/>
      <c r="SWP30" s="27"/>
      <c r="SWQ30" s="27"/>
      <c r="SWR30" s="27"/>
      <c r="SWS30" s="27"/>
      <c r="SWT30" s="27"/>
      <c r="SWU30" s="27"/>
      <c r="SWV30" s="27"/>
      <c r="SWW30" s="27"/>
      <c r="SWX30" s="27"/>
      <c r="SWY30" s="27"/>
      <c r="SWZ30" s="27"/>
      <c r="SXA30" s="27"/>
      <c r="SXB30" s="27"/>
      <c r="SXC30" s="27"/>
      <c r="SXD30" s="27"/>
      <c r="SXE30" s="27"/>
      <c r="SXF30" s="27"/>
      <c r="SXG30" s="27"/>
      <c r="SXH30" s="27"/>
      <c r="SXI30" s="27"/>
      <c r="SXJ30" s="27"/>
      <c r="SXK30" s="27"/>
      <c r="SXL30" s="27"/>
      <c r="SXM30" s="27"/>
      <c r="SXN30" s="27"/>
      <c r="SXO30" s="27"/>
      <c r="SXP30" s="27"/>
      <c r="SXQ30" s="27"/>
      <c r="SXR30" s="27"/>
      <c r="SXS30" s="27"/>
      <c r="SXT30" s="27"/>
      <c r="SXU30" s="27"/>
      <c r="SXV30" s="27"/>
      <c r="SXW30" s="27"/>
      <c r="SXX30" s="27"/>
      <c r="SXY30" s="27"/>
      <c r="SXZ30" s="27"/>
      <c r="SYA30" s="27"/>
      <c r="SYB30" s="27"/>
      <c r="SYC30" s="27"/>
      <c r="SYD30" s="27"/>
      <c r="SYE30" s="27"/>
      <c r="SYF30" s="27"/>
      <c r="SYG30" s="27"/>
      <c r="SYH30" s="27"/>
      <c r="SYI30" s="27"/>
      <c r="SYJ30" s="27"/>
      <c r="SYK30" s="27"/>
      <c r="SYL30" s="27"/>
      <c r="SYM30" s="27"/>
      <c r="SYN30" s="27"/>
      <c r="SYO30" s="27"/>
      <c r="SYP30" s="27"/>
      <c r="SYQ30" s="27"/>
      <c r="SYR30" s="27"/>
      <c r="SYS30" s="27"/>
      <c r="SYT30" s="27"/>
      <c r="SYU30" s="27"/>
      <c r="SYV30" s="27"/>
      <c r="SYW30" s="27"/>
      <c r="SYX30" s="27"/>
      <c r="SYY30" s="27"/>
      <c r="SYZ30" s="27"/>
      <c r="SZA30" s="27"/>
      <c r="SZB30" s="27"/>
      <c r="SZC30" s="27"/>
      <c r="SZD30" s="27"/>
      <c r="SZE30" s="27"/>
      <c r="SZF30" s="27"/>
      <c r="SZG30" s="27"/>
      <c r="SZH30" s="27"/>
      <c r="SZI30" s="27"/>
      <c r="SZJ30" s="27"/>
      <c r="SZK30" s="27"/>
      <c r="SZL30" s="27"/>
      <c r="SZM30" s="27"/>
      <c r="SZN30" s="27"/>
      <c r="SZO30" s="27"/>
      <c r="SZP30" s="27"/>
      <c r="SZQ30" s="27"/>
      <c r="SZR30" s="27"/>
      <c r="SZS30" s="27"/>
      <c r="SZT30" s="27"/>
      <c r="SZU30" s="27"/>
      <c r="SZV30" s="27"/>
      <c r="SZW30" s="27"/>
      <c r="SZX30" s="27"/>
      <c r="SZY30" s="27"/>
      <c r="SZZ30" s="27"/>
      <c r="TAA30" s="27"/>
      <c r="TAB30" s="27"/>
      <c r="TAC30" s="27"/>
      <c r="TAD30" s="27"/>
      <c r="TAE30" s="27"/>
      <c r="TAF30" s="27"/>
      <c r="TAG30" s="27"/>
      <c r="TAH30" s="27"/>
      <c r="TAI30" s="27"/>
      <c r="TAJ30" s="27"/>
      <c r="TAK30" s="27"/>
      <c r="TAL30" s="27"/>
      <c r="TAM30" s="27"/>
      <c r="TAN30" s="27"/>
      <c r="TAO30" s="27"/>
      <c r="TAP30" s="27"/>
      <c r="TAQ30" s="27"/>
      <c r="TAR30" s="27"/>
      <c r="TAS30" s="27"/>
      <c r="TAT30" s="27"/>
      <c r="TAU30" s="27"/>
      <c r="TAV30" s="27"/>
      <c r="TAW30" s="27"/>
      <c r="TAX30" s="27"/>
      <c r="TAY30" s="27"/>
      <c r="TAZ30" s="27"/>
      <c r="TBA30" s="27"/>
      <c r="TBB30" s="27"/>
      <c r="TBC30" s="27"/>
      <c r="TBD30" s="27"/>
      <c r="TBE30" s="27"/>
      <c r="TBF30" s="27"/>
      <c r="TBG30" s="27"/>
      <c r="TBH30" s="27"/>
      <c r="TBI30" s="27"/>
      <c r="TBJ30" s="27"/>
      <c r="TBK30" s="27"/>
      <c r="TBL30" s="27"/>
      <c r="TBM30" s="27"/>
      <c r="TBN30" s="27"/>
      <c r="TBO30" s="27"/>
      <c r="TBP30" s="27"/>
      <c r="TBQ30" s="27"/>
      <c r="TBR30" s="27"/>
      <c r="TBS30" s="27"/>
      <c r="TBT30" s="27"/>
      <c r="TBU30" s="27"/>
      <c r="TBV30" s="27"/>
      <c r="TBW30" s="27"/>
      <c r="TBX30" s="27"/>
      <c r="TBY30" s="27"/>
      <c r="TBZ30" s="27"/>
      <c r="TCA30" s="27"/>
      <c r="TCB30" s="27"/>
      <c r="TCC30" s="27"/>
      <c r="TCD30" s="27"/>
      <c r="TCE30" s="27"/>
      <c r="TCF30" s="27"/>
      <c r="TCG30" s="27"/>
      <c r="TCH30" s="27"/>
      <c r="TCI30" s="27"/>
      <c r="TCJ30" s="27"/>
      <c r="TCK30" s="27"/>
      <c r="TCL30" s="27"/>
      <c r="TCM30" s="27"/>
      <c r="TCN30" s="27"/>
      <c r="TCO30" s="27"/>
      <c r="TCP30" s="27"/>
      <c r="TCQ30" s="27"/>
      <c r="TCR30" s="27"/>
      <c r="TCS30" s="27"/>
      <c r="TCT30" s="27"/>
      <c r="TCU30" s="27"/>
      <c r="TCV30" s="27"/>
      <c r="TCW30" s="27"/>
      <c r="TCX30" s="27"/>
      <c r="TCY30" s="27"/>
      <c r="TCZ30" s="27"/>
      <c r="TDA30" s="27"/>
      <c r="TDB30" s="27"/>
      <c r="TDC30" s="27"/>
      <c r="TDD30" s="27"/>
      <c r="TDE30" s="27"/>
      <c r="TDF30" s="27"/>
      <c r="TDG30" s="27"/>
      <c r="TDH30" s="27"/>
      <c r="TDI30" s="27"/>
      <c r="TDJ30" s="27"/>
      <c r="TDK30" s="27"/>
      <c r="TDL30" s="27"/>
      <c r="TDM30" s="27"/>
      <c r="TDN30" s="27"/>
      <c r="TDO30" s="27"/>
      <c r="TDP30" s="27"/>
      <c r="TDQ30" s="27"/>
      <c r="TDR30" s="27"/>
      <c r="TDS30" s="27"/>
      <c r="TDT30" s="27"/>
      <c r="TDU30" s="27"/>
      <c r="TDV30" s="27"/>
      <c r="TDW30" s="27"/>
      <c r="TDX30" s="27"/>
      <c r="TDY30" s="27"/>
      <c r="TDZ30" s="27"/>
      <c r="TEA30" s="27"/>
      <c r="TEB30" s="27"/>
      <c r="TEC30" s="27"/>
      <c r="TED30" s="27"/>
      <c r="TEE30" s="27"/>
      <c r="TEF30" s="27"/>
      <c r="TEG30" s="27"/>
      <c r="TEH30" s="27"/>
      <c r="TEI30" s="27"/>
      <c r="TEJ30" s="27"/>
      <c r="TEK30" s="27"/>
      <c r="TEL30" s="27"/>
      <c r="TEM30" s="27"/>
      <c r="TEN30" s="27"/>
      <c r="TEO30" s="27"/>
      <c r="TEP30" s="27"/>
      <c r="TEQ30" s="27"/>
      <c r="TER30" s="27"/>
      <c r="TES30" s="27"/>
      <c r="TET30" s="27"/>
      <c r="TEU30" s="27"/>
      <c r="TEV30" s="27"/>
      <c r="TEW30" s="27"/>
      <c r="TEX30" s="27"/>
      <c r="TEY30" s="27"/>
      <c r="TEZ30" s="27"/>
      <c r="TFA30" s="27"/>
      <c r="TFB30" s="27"/>
      <c r="TFC30" s="27"/>
      <c r="TFD30" s="27"/>
      <c r="TFE30" s="27"/>
      <c r="TFF30" s="27"/>
      <c r="TFG30" s="27"/>
      <c r="TFH30" s="27"/>
      <c r="TFI30" s="27"/>
      <c r="TFJ30" s="27"/>
      <c r="TFK30" s="27"/>
      <c r="TFL30" s="27"/>
      <c r="TFM30" s="27"/>
      <c r="TFN30" s="27"/>
      <c r="TFO30" s="27"/>
      <c r="TFP30" s="27"/>
      <c r="TFQ30" s="27"/>
      <c r="TFR30" s="27"/>
      <c r="TFS30" s="27"/>
      <c r="TFT30" s="27"/>
      <c r="TFU30" s="27"/>
      <c r="TFV30" s="27"/>
      <c r="TFW30" s="27"/>
      <c r="TFX30" s="27"/>
      <c r="TFY30" s="27"/>
      <c r="TFZ30" s="27"/>
      <c r="TGA30" s="27"/>
      <c r="TGB30" s="27"/>
      <c r="TGC30" s="27"/>
      <c r="TGD30" s="27"/>
      <c r="TGE30" s="27"/>
      <c r="TGF30" s="27"/>
      <c r="TGG30" s="27"/>
      <c r="TGH30" s="27"/>
      <c r="TGI30" s="27"/>
      <c r="TGJ30" s="27"/>
      <c r="TGK30" s="27"/>
      <c r="TGL30" s="27"/>
      <c r="TGM30" s="27"/>
      <c r="TGN30" s="27"/>
      <c r="TGO30" s="27"/>
      <c r="TGP30" s="27"/>
      <c r="TGQ30" s="27"/>
      <c r="TGR30" s="27"/>
      <c r="TGS30" s="27"/>
      <c r="TGT30" s="27"/>
      <c r="TGU30" s="27"/>
      <c r="TGV30" s="27"/>
      <c r="TGW30" s="27"/>
      <c r="TGX30" s="27"/>
      <c r="TGY30" s="27"/>
      <c r="TGZ30" s="27"/>
      <c r="THA30" s="27"/>
      <c r="THB30" s="27"/>
      <c r="THC30" s="27"/>
      <c r="THD30" s="27"/>
      <c r="THE30" s="27"/>
      <c r="THF30" s="27"/>
      <c r="THG30" s="27"/>
      <c r="THH30" s="27"/>
      <c r="THI30" s="27"/>
      <c r="THJ30" s="27"/>
      <c r="THK30" s="27"/>
      <c r="THL30" s="27"/>
      <c r="THM30" s="27"/>
      <c r="THN30" s="27"/>
      <c r="THO30" s="27"/>
      <c r="THP30" s="27"/>
      <c r="THQ30" s="27"/>
      <c r="THR30" s="27"/>
      <c r="THS30" s="27"/>
      <c r="THT30" s="27"/>
      <c r="THU30" s="27"/>
      <c r="THV30" s="27"/>
      <c r="THW30" s="27"/>
      <c r="THX30" s="27"/>
      <c r="THY30" s="27"/>
      <c r="THZ30" s="27"/>
      <c r="TIA30" s="27"/>
      <c r="TIB30" s="27"/>
      <c r="TIC30" s="27"/>
      <c r="TID30" s="27"/>
      <c r="TIE30" s="27"/>
      <c r="TIF30" s="27"/>
      <c r="TIG30" s="27"/>
      <c r="TIH30" s="27"/>
      <c r="TII30" s="27"/>
      <c r="TIJ30" s="27"/>
      <c r="TIK30" s="27"/>
      <c r="TIL30" s="27"/>
      <c r="TIM30" s="27"/>
      <c r="TIN30" s="27"/>
      <c r="TIO30" s="27"/>
      <c r="TIP30" s="27"/>
      <c r="TIQ30" s="27"/>
      <c r="TIR30" s="27"/>
      <c r="TIS30" s="27"/>
      <c r="TIT30" s="27"/>
      <c r="TIU30" s="27"/>
      <c r="TIV30" s="27"/>
      <c r="TIW30" s="27"/>
      <c r="TIX30" s="27"/>
      <c r="TIY30" s="27"/>
      <c r="TIZ30" s="27"/>
      <c r="TJA30" s="27"/>
      <c r="TJB30" s="27"/>
      <c r="TJC30" s="27"/>
      <c r="TJD30" s="27"/>
      <c r="TJE30" s="27"/>
      <c r="TJF30" s="27"/>
      <c r="TJG30" s="27"/>
      <c r="TJH30" s="27"/>
      <c r="TJI30" s="27"/>
      <c r="TJJ30" s="27"/>
      <c r="TJK30" s="27"/>
      <c r="TJL30" s="27"/>
      <c r="TJM30" s="27"/>
      <c r="TJN30" s="27"/>
      <c r="TJO30" s="27"/>
      <c r="TJP30" s="27"/>
      <c r="TJQ30" s="27"/>
      <c r="TJR30" s="27"/>
      <c r="TJS30" s="27"/>
      <c r="TJT30" s="27"/>
      <c r="TJU30" s="27"/>
      <c r="TJV30" s="27"/>
      <c r="TJW30" s="27"/>
      <c r="TJX30" s="27"/>
      <c r="TJY30" s="27"/>
      <c r="TJZ30" s="27"/>
      <c r="TKA30" s="27"/>
      <c r="TKB30" s="27"/>
      <c r="TKC30" s="27"/>
      <c r="TKD30" s="27"/>
      <c r="TKE30" s="27"/>
      <c r="TKF30" s="27"/>
      <c r="TKG30" s="27"/>
      <c r="TKH30" s="27"/>
      <c r="TKI30" s="27"/>
      <c r="TKJ30" s="27"/>
      <c r="TKK30" s="27"/>
      <c r="TKL30" s="27"/>
      <c r="TKM30" s="27"/>
      <c r="TKN30" s="27"/>
      <c r="TKO30" s="27"/>
      <c r="TKP30" s="27"/>
      <c r="TKQ30" s="27"/>
      <c r="TKR30" s="27"/>
      <c r="TKS30" s="27"/>
      <c r="TKT30" s="27"/>
      <c r="TKU30" s="27"/>
      <c r="TKV30" s="27"/>
      <c r="TKW30" s="27"/>
      <c r="TKX30" s="27"/>
      <c r="TKY30" s="27"/>
      <c r="TKZ30" s="27"/>
      <c r="TLA30" s="27"/>
      <c r="TLB30" s="27"/>
      <c r="TLC30" s="27"/>
      <c r="TLD30" s="27"/>
      <c r="TLE30" s="27"/>
      <c r="TLF30" s="27"/>
      <c r="TLG30" s="27"/>
      <c r="TLH30" s="27"/>
      <c r="TLI30" s="27"/>
      <c r="TLJ30" s="27"/>
      <c r="TLK30" s="27"/>
      <c r="TLL30" s="27"/>
      <c r="TLM30" s="27"/>
      <c r="TLN30" s="27"/>
      <c r="TLO30" s="27"/>
      <c r="TLP30" s="27"/>
      <c r="TLQ30" s="27"/>
      <c r="TLR30" s="27"/>
      <c r="TLS30" s="27"/>
      <c r="TLT30" s="27"/>
      <c r="TLU30" s="27"/>
      <c r="TLV30" s="27"/>
      <c r="TLW30" s="27"/>
      <c r="TLX30" s="27"/>
      <c r="TLY30" s="27"/>
      <c r="TLZ30" s="27"/>
      <c r="TMA30" s="27"/>
      <c r="TMB30" s="27"/>
      <c r="TMC30" s="27"/>
      <c r="TMD30" s="27"/>
      <c r="TME30" s="27"/>
      <c r="TMF30" s="27"/>
      <c r="TMG30" s="27"/>
      <c r="TMH30" s="27"/>
      <c r="TMI30" s="27"/>
      <c r="TMJ30" s="27"/>
      <c r="TMK30" s="27"/>
      <c r="TML30" s="27"/>
      <c r="TMM30" s="27"/>
      <c r="TMN30" s="27"/>
      <c r="TMO30" s="27"/>
      <c r="TMP30" s="27"/>
      <c r="TMQ30" s="27"/>
      <c r="TMR30" s="27"/>
      <c r="TMS30" s="27"/>
      <c r="TMT30" s="27"/>
      <c r="TMU30" s="27"/>
      <c r="TMV30" s="27"/>
      <c r="TMW30" s="27"/>
      <c r="TMX30" s="27"/>
      <c r="TMY30" s="27"/>
      <c r="TMZ30" s="27"/>
      <c r="TNA30" s="27"/>
      <c r="TNB30" s="27"/>
      <c r="TNC30" s="27"/>
      <c r="TND30" s="27"/>
      <c r="TNE30" s="27"/>
      <c r="TNF30" s="27"/>
      <c r="TNG30" s="27"/>
      <c r="TNH30" s="27"/>
      <c r="TNI30" s="27"/>
      <c r="TNJ30" s="27"/>
      <c r="TNK30" s="27"/>
      <c r="TNL30" s="27"/>
      <c r="TNM30" s="27"/>
      <c r="TNN30" s="27"/>
      <c r="TNO30" s="27"/>
      <c r="TNP30" s="27"/>
      <c r="TNQ30" s="27"/>
      <c r="TNR30" s="27"/>
      <c r="TNS30" s="27"/>
      <c r="TNT30" s="27"/>
      <c r="TNU30" s="27"/>
      <c r="TNV30" s="27"/>
      <c r="TNW30" s="27"/>
      <c r="TNX30" s="27"/>
      <c r="TNY30" s="27"/>
      <c r="TNZ30" s="27"/>
      <c r="TOA30" s="27"/>
      <c r="TOB30" s="27"/>
      <c r="TOC30" s="27"/>
      <c r="TOD30" s="27"/>
      <c r="TOE30" s="27"/>
      <c r="TOF30" s="27"/>
      <c r="TOG30" s="27"/>
      <c r="TOH30" s="27"/>
      <c r="TOI30" s="27"/>
      <c r="TOJ30" s="27"/>
      <c r="TOK30" s="27"/>
      <c r="TOL30" s="27"/>
      <c r="TOM30" s="27"/>
      <c r="TON30" s="27"/>
      <c r="TOO30" s="27"/>
      <c r="TOP30" s="27"/>
      <c r="TOQ30" s="27"/>
      <c r="TOR30" s="27"/>
      <c r="TOS30" s="27"/>
      <c r="TOT30" s="27"/>
      <c r="TOU30" s="27"/>
      <c r="TOV30" s="27"/>
      <c r="TOW30" s="27"/>
      <c r="TOX30" s="27"/>
      <c r="TOY30" s="27"/>
      <c r="TOZ30" s="27"/>
      <c r="TPA30" s="27"/>
      <c r="TPB30" s="27"/>
      <c r="TPC30" s="27"/>
      <c r="TPD30" s="27"/>
      <c r="TPE30" s="27"/>
      <c r="TPF30" s="27"/>
      <c r="TPG30" s="27"/>
      <c r="TPH30" s="27"/>
      <c r="TPI30" s="27"/>
      <c r="TPJ30" s="27"/>
      <c r="TPK30" s="27"/>
      <c r="TPL30" s="27"/>
      <c r="TPM30" s="27"/>
      <c r="TPN30" s="27"/>
      <c r="TPO30" s="27"/>
      <c r="TPP30" s="27"/>
      <c r="TPQ30" s="27"/>
      <c r="TPR30" s="27"/>
      <c r="TPS30" s="27"/>
      <c r="TPT30" s="27"/>
      <c r="TPU30" s="27"/>
      <c r="TPV30" s="27"/>
      <c r="TPW30" s="27"/>
      <c r="TPX30" s="27"/>
      <c r="TPY30" s="27"/>
      <c r="TPZ30" s="27"/>
      <c r="TQA30" s="27"/>
      <c r="TQB30" s="27"/>
      <c r="TQC30" s="27"/>
      <c r="TQD30" s="27"/>
      <c r="TQE30" s="27"/>
      <c r="TQF30" s="27"/>
      <c r="TQG30" s="27"/>
      <c r="TQH30" s="27"/>
      <c r="TQI30" s="27"/>
      <c r="TQJ30" s="27"/>
      <c r="TQK30" s="27"/>
      <c r="TQL30" s="27"/>
      <c r="TQM30" s="27"/>
      <c r="TQN30" s="27"/>
      <c r="TQO30" s="27"/>
      <c r="TQP30" s="27"/>
      <c r="TQQ30" s="27"/>
      <c r="TQR30" s="27"/>
      <c r="TQS30" s="27"/>
      <c r="TQT30" s="27"/>
      <c r="TQU30" s="27"/>
      <c r="TQV30" s="27"/>
      <c r="TQW30" s="27"/>
      <c r="TQX30" s="27"/>
      <c r="TQY30" s="27"/>
      <c r="TQZ30" s="27"/>
      <c r="TRA30" s="27"/>
      <c r="TRB30" s="27"/>
      <c r="TRC30" s="27"/>
      <c r="TRD30" s="27"/>
      <c r="TRE30" s="27"/>
      <c r="TRF30" s="27"/>
      <c r="TRG30" s="27"/>
      <c r="TRH30" s="27"/>
      <c r="TRI30" s="27"/>
      <c r="TRJ30" s="27"/>
      <c r="TRK30" s="27"/>
      <c r="TRL30" s="27"/>
      <c r="TRM30" s="27"/>
      <c r="TRN30" s="27"/>
      <c r="TRO30" s="27"/>
      <c r="TRP30" s="27"/>
      <c r="TRQ30" s="27"/>
      <c r="TRR30" s="27"/>
      <c r="TRS30" s="27"/>
      <c r="TRT30" s="27"/>
      <c r="TRU30" s="27"/>
      <c r="TRV30" s="27"/>
      <c r="TRW30" s="27"/>
      <c r="TRX30" s="27"/>
      <c r="TRY30" s="27"/>
      <c r="TRZ30" s="27"/>
      <c r="TSA30" s="27"/>
      <c r="TSB30" s="27"/>
      <c r="TSC30" s="27"/>
      <c r="TSD30" s="27"/>
      <c r="TSE30" s="27"/>
      <c r="TSF30" s="27"/>
      <c r="TSG30" s="27"/>
      <c r="TSH30" s="27"/>
      <c r="TSI30" s="27"/>
      <c r="TSJ30" s="27"/>
      <c r="TSK30" s="27"/>
      <c r="TSL30" s="27"/>
      <c r="TSM30" s="27"/>
      <c r="TSN30" s="27"/>
      <c r="TSO30" s="27"/>
      <c r="TSP30" s="27"/>
      <c r="TSQ30" s="27"/>
      <c r="TSR30" s="27"/>
      <c r="TSS30" s="27"/>
      <c r="TST30" s="27"/>
      <c r="TSU30" s="27"/>
      <c r="TSV30" s="27"/>
      <c r="TSW30" s="27"/>
      <c r="TSX30" s="27"/>
      <c r="TSY30" s="27"/>
      <c r="TSZ30" s="27"/>
      <c r="TTA30" s="27"/>
      <c r="TTB30" s="27"/>
      <c r="TTC30" s="27"/>
      <c r="TTD30" s="27"/>
      <c r="TTE30" s="27"/>
      <c r="TTF30" s="27"/>
      <c r="TTG30" s="27"/>
      <c r="TTH30" s="27"/>
      <c r="TTI30" s="27"/>
      <c r="TTJ30" s="27"/>
      <c r="TTK30" s="27"/>
      <c r="TTL30" s="27"/>
      <c r="TTM30" s="27"/>
      <c r="TTN30" s="27"/>
      <c r="TTO30" s="27"/>
      <c r="TTP30" s="27"/>
      <c r="TTQ30" s="27"/>
      <c r="TTR30" s="27"/>
      <c r="TTS30" s="27"/>
      <c r="TTT30" s="27"/>
      <c r="TTU30" s="27"/>
      <c r="TTV30" s="27"/>
      <c r="TTW30" s="27"/>
      <c r="TTX30" s="27"/>
      <c r="TTY30" s="27"/>
      <c r="TTZ30" s="27"/>
      <c r="TUA30" s="27"/>
      <c r="TUB30" s="27"/>
      <c r="TUC30" s="27"/>
      <c r="TUD30" s="27"/>
      <c r="TUE30" s="27"/>
      <c r="TUF30" s="27"/>
      <c r="TUG30" s="27"/>
      <c r="TUH30" s="27"/>
      <c r="TUI30" s="27"/>
      <c r="TUJ30" s="27"/>
      <c r="TUK30" s="27"/>
      <c r="TUL30" s="27"/>
      <c r="TUM30" s="27"/>
      <c r="TUN30" s="27"/>
      <c r="TUO30" s="27"/>
      <c r="TUP30" s="27"/>
      <c r="TUQ30" s="27"/>
      <c r="TUR30" s="27"/>
      <c r="TUS30" s="27"/>
      <c r="TUT30" s="27"/>
      <c r="TUU30" s="27"/>
      <c r="TUV30" s="27"/>
      <c r="TUW30" s="27"/>
      <c r="TUX30" s="27"/>
      <c r="TUY30" s="27"/>
      <c r="TUZ30" s="27"/>
      <c r="TVA30" s="27"/>
      <c r="TVB30" s="27"/>
      <c r="TVC30" s="27"/>
      <c r="TVD30" s="27"/>
      <c r="TVE30" s="27"/>
      <c r="TVF30" s="27"/>
      <c r="TVG30" s="27"/>
      <c r="TVH30" s="27"/>
      <c r="TVI30" s="27"/>
      <c r="TVJ30" s="27"/>
      <c r="TVK30" s="27"/>
      <c r="TVL30" s="27"/>
      <c r="TVM30" s="27"/>
      <c r="TVN30" s="27"/>
      <c r="TVO30" s="27"/>
      <c r="TVP30" s="27"/>
      <c r="TVQ30" s="27"/>
      <c r="TVR30" s="27"/>
      <c r="TVS30" s="27"/>
      <c r="TVT30" s="27"/>
      <c r="TVU30" s="27"/>
      <c r="TVV30" s="27"/>
      <c r="TVW30" s="27"/>
      <c r="TVX30" s="27"/>
      <c r="TVY30" s="27"/>
      <c r="TVZ30" s="27"/>
      <c r="TWA30" s="27"/>
      <c r="TWB30" s="27"/>
      <c r="TWC30" s="27"/>
      <c r="TWD30" s="27"/>
      <c r="TWE30" s="27"/>
      <c r="TWF30" s="27"/>
      <c r="TWG30" s="27"/>
      <c r="TWH30" s="27"/>
      <c r="TWI30" s="27"/>
      <c r="TWJ30" s="27"/>
      <c r="TWK30" s="27"/>
      <c r="TWL30" s="27"/>
      <c r="TWM30" s="27"/>
      <c r="TWN30" s="27"/>
      <c r="TWO30" s="27"/>
      <c r="TWP30" s="27"/>
      <c r="TWQ30" s="27"/>
      <c r="TWR30" s="27"/>
      <c r="TWS30" s="27"/>
      <c r="TWT30" s="27"/>
      <c r="TWU30" s="27"/>
      <c r="TWV30" s="27"/>
      <c r="TWW30" s="27"/>
      <c r="TWX30" s="27"/>
      <c r="TWY30" s="27"/>
      <c r="TWZ30" s="27"/>
      <c r="TXA30" s="27"/>
      <c r="TXB30" s="27"/>
      <c r="TXC30" s="27"/>
      <c r="TXD30" s="27"/>
      <c r="TXE30" s="27"/>
      <c r="TXF30" s="27"/>
      <c r="TXG30" s="27"/>
      <c r="TXH30" s="27"/>
      <c r="TXI30" s="27"/>
      <c r="TXJ30" s="27"/>
      <c r="TXK30" s="27"/>
      <c r="TXL30" s="27"/>
      <c r="TXM30" s="27"/>
      <c r="TXN30" s="27"/>
      <c r="TXO30" s="27"/>
      <c r="TXP30" s="27"/>
      <c r="TXQ30" s="27"/>
      <c r="TXR30" s="27"/>
      <c r="TXS30" s="27"/>
      <c r="TXT30" s="27"/>
      <c r="TXU30" s="27"/>
      <c r="TXV30" s="27"/>
      <c r="TXW30" s="27"/>
      <c r="TXX30" s="27"/>
      <c r="TXY30" s="27"/>
      <c r="TXZ30" s="27"/>
      <c r="TYA30" s="27"/>
      <c r="TYB30" s="27"/>
      <c r="TYC30" s="27"/>
      <c r="TYD30" s="27"/>
      <c r="TYE30" s="27"/>
      <c r="TYF30" s="27"/>
      <c r="TYG30" s="27"/>
      <c r="TYH30" s="27"/>
      <c r="TYI30" s="27"/>
      <c r="TYJ30" s="27"/>
      <c r="TYK30" s="27"/>
      <c r="TYL30" s="27"/>
      <c r="TYM30" s="27"/>
      <c r="TYN30" s="27"/>
      <c r="TYO30" s="27"/>
      <c r="TYP30" s="27"/>
      <c r="TYQ30" s="27"/>
      <c r="TYR30" s="27"/>
      <c r="TYS30" s="27"/>
      <c r="TYT30" s="27"/>
      <c r="TYU30" s="27"/>
      <c r="TYV30" s="27"/>
      <c r="TYW30" s="27"/>
      <c r="TYX30" s="27"/>
      <c r="TYY30" s="27"/>
      <c r="TYZ30" s="27"/>
      <c r="TZA30" s="27"/>
      <c r="TZB30" s="27"/>
      <c r="TZC30" s="27"/>
      <c r="TZD30" s="27"/>
      <c r="TZE30" s="27"/>
      <c r="TZF30" s="27"/>
      <c r="TZG30" s="27"/>
      <c r="TZH30" s="27"/>
      <c r="TZI30" s="27"/>
      <c r="TZJ30" s="27"/>
      <c r="TZK30" s="27"/>
      <c r="TZL30" s="27"/>
      <c r="TZM30" s="27"/>
      <c r="TZN30" s="27"/>
      <c r="TZO30" s="27"/>
      <c r="TZP30" s="27"/>
      <c r="TZQ30" s="27"/>
      <c r="TZR30" s="27"/>
      <c r="TZS30" s="27"/>
      <c r="TZT30" s="27"/>
      <c r="TZU30" s="27"/>
      <c r="TZV30" s="27"/>
      <c r="TZW30" s="27"/>
      <c r="TZX30" s="27"/>
      <c r="TZY30" s="27"/>
      <c r="TZZ30" s="27"/>
      <c r="UAA30" s="27"/>
      <c r="UAB30" s="27"/>
      <c r="UAC30" s="27"/>
      <c r="UAD30" s="27"/>
      <c r="UAE30" s="27"/>
      <c r="UAF30" s="27"/>
      <c r="UAG30" s="27"/>
      <c r="UAH30" s="27"/>
      <c r="UAI30" s="27"/>
      <c r="UAJ30" s="27"/>
      <c r="UAK30" s="27"/>
      <c r="UAL30" s="27"/>
      <c r="UAM30" s="27"/>
      <c r="UAN30" s="27"/>
      <c r="UAO30" s="27"/>
      <c r="UAP30" s="27"/>
      <c r="UAQ30" s="27"/>
      <c r="UAR30" s="27"/>
      <c r="UAS30" s="27"/>
      <c r="UAT30" s="27"/>
      <c r="UAU30" s="27"/>
      <c r="UAV30" s="27"/>
      <c r="UAW30" s="27"/>
      <c r="UAX30" s="27"/>
      <c r="UAY30" s="27"/>
      <c r="UAZ30" s="27"/>
      <c r="UBA30" s="27"/>
      <c r="UBB30" s="27"/>
      <c r="UBC30" s="27"/>
      <c r="UBD30" s="27"/>
      <c r="UBE30" s="27"/>
      <c r="UBF30" s="27"/>
      <c r="UBG30" s="27"/>
      <c r="UBH30" s="27"/>
      <c r="UBI30" s="27"/>
      <c r="UBJ30" s="27"/>
      <c r="UBK30" s="27"/>
      <c r="UBL30" s="27"/>
      <c r="UBM30" s="27"/>
      <c r="UBN30" s="27"/>
      <c r="UBO30" s="27"/>
      <c r="UBP30" s="27"/>
      <c r="UBQ30" s="27"/>
      <c r="UBR30" s="27"/>
      <c r="UBS30" s="27"/>
      <c r="UBT30" s="27"/>
      <c r="UBU30" s="27"/>
      <c r="UBV30" s="27"/>
      <c r="UBW30" s="27"/>
      <c r="UBX30" s="27"/>
      <c r="UBY30" s="27"/>
      <c r="UBZ30" s="27"/>
      <c r="UCA30" s="27"/>
      <c r="UCB30" s="27"/>
      <c r="UCC30" s="27"/>
      <c r="UCD30" s="27"/>
      <c r="UCE30" s="27"/>
      <c r="UCF30" s="27"/>
      <c r="UCG30" s="27"/>
      <c r="UCH30" s="27"/>
      <c r="UCI30" s="27"/>
      <c r="UCJ30" s="27"/>
      <c r="UCK30" s="27"/>
      <c r="UCL30" s="27"/>
      <c r="UCM30" s="27"/>
      <c r="UCN30" s="27"/>
      <c r="UCO30" s="27"/>
      <c r="UCP30" s="27"/>
      <c r="UCQ30" s="27"/>
      <c r="UCR30" s="27"/>
      <c r="UCS30" s="27"/>
      <c r="UCT30" s="27"/>
      <c r="UCU30" s="27"/>
      <c r="UCV30" s="27"/>
      <c r="UCW30" s="27"/>
      <c r="UCX30" s="27"/>
      <c r="UCY30" s="27"/>
      <c r="UCZ30" s="27"/>
      <c r="UDA30" s="27"/>
      <c r="UDB30" s="27"/>
      <c r="UDC30" s="27"/>
      <c r="UDD30" s="27"/>
      <c r="UDE30" s="27"/>
      <c r="UDF30" s="27"/>
      <c r="UDG30" s="27"/>
      <c r="UDH30" s="27"/>
      <c r="UDI30" s="27"/>
      <c r="UDJ30" s="27"/>
      <c r="UDK30" s="27"/>
      <c r="UDL30" s="27"/>
      <c r="UDM30" s="27"/>
      <c r="UDN30" s="27"/>
      <c r="UDO30" s="27"/>
      <c r="UDP30" s="27"/>
      <c r="UDQ30" s="27"/>
      <c r="UDR30" s="27"/>
      <c r="UDS30" s="27"/>
      <c r="UDT30" s="27"/>
      <c r="UDU30" s="27"/>
      <c r="UDV30" s="27"/>
      <c r="UDW30" s="27"/>
      <c r="UDX30" s="27"/>
      <c r="UDY30" s="27"/>
      <c r="UDZ30" s="27"/>
      <c r="UEA30" s="27"/>
      <c r="UEB30" s="27"/>
      <c r="UEC30" s="27"/>
      <c r="UED30" s="27"/>
      <c r="UEE30" s="27"/>
      <c r="UEF30" s="27"/>
      <c r="UEG30" s="27"/>
      <c r="UEH30" s="27"/>
      <c r="UEI30" s="27"/>
      <c r="UEJ30" s="27"/>
      <c r="UEK30" s="27"/>
      <c r="UEL30" s="27"/>
      <c r="UEM30" s="27"/>
      <c r="UEN30" s="27"/>
      <c r="UEO30" s="27"/>
      <c r="UEP30" s="27"/>
      <c r="UEQ30" s="27"/>
      <c r="UER30" s="27"/>
      <c r="UES30" s="27"/>
      <c r="UET30" s="27"/>
      <c r="UEU30" s="27"/>
      <c r="UEV30" s="27"/>
      <c r="UEW30" s="27"/>
      <c r="UEX30" s="27"/>
      <c r="UEY30" s="27"/>
      <c r="UEZ30" s="27"/>
      <c r="UFA30" s="27"/>
      <c r="UFB30" s="27"/>
      <c r="UFC30" s="27"/>
      <c r="UFD30" s="27"/>
      <c r="UFE30" s="27"/>
      <c r="UFF30" s="27"/>
      <c r="UFG30" s="27"/>
      <c r="UFH30" s="27"/>
      <c r="UFI30" s="27"/>
      <c r="UFJ30" s="27"/>
      <c r="UFK30" s="27"/>
      <c r="UFL30" s="27"/>
      <c r="UFM30" s="27"/>
      <c r="UFN30" s="27"/>
      <c r="UFO30" s="27"/>
      <c r="UFP30" s="27"/>
      <c r="UFQ30" s="27"/>
      <c r="UFR30" s="27"/>
      <c r="UFS30" s="27"/>
      <c r="UFT30" s="27"/>
      <c r="UFU30" s="27"/>
      <c r="UFV30" s="27"/>
      <c r="UFW30" s="27"/>
      <c r="UFX30" s="27"/>
      <c r="UFY30" s="27"/>
      <c r="UFZ30" s="27"/>
      <c r="UGA30" s="27"/>
      <c r="UGB30" s="27"/>
      <c r="UGC30" s="27"/>
      <c r="UGD30" s="27"/>
      <c r="UGE30" s="27"/>
      <c r="UGF30" s="27"/>
      <c r="UGG30" s="27"/>
      <c r="UGH30" s="27"/>
      <c r="UGI30" s="27"/>
      <c r="UGJ30" s="27"/>
      <c r="UGK30" s="27"/>
      <c r="UGL30" s="27"/>
      <c r="UGM30" s="27"/>
      <c r="UGN30" s="27"/>
      <c r="UGO30" s="27"/>
      <c r="UGP30" s="27"/>
      <c r="UGQ30" s="27"/>
      <c r="UGR30" s="27"/>
      <c r="UGS30" s="27"/>
      <c r="UGT30" s="27"/>
      <c r="UGU30" s="27"/>
      <c r="UGV30" s="27"/>
      <c r="UGW30" s="27"/>
      <c r="UGX30" s="27"/>
      <c r="UGY30" s="27"/>
      <c r="UGZ30" s="27"/>
      <c r="UHA30" s="27"/>
      <c r="UHB30" s="27"/>
      <c r="UHC30" s="27"/>
      <c r="UHD30" s="27"/>
      <c r="UHE30" s="27"/>
      <c r="UHF30" s="27"/>
      <c r="UHG30" s="27"/>
      <c r="UHH30" s="27"/>
      <c r="UHI30" s="27"/>
      <c r="UHJ30" s="27"/>
      <c r="UHK30" s="27"/>
      <c r="UHL30" s="27"/>
      <c r="UHM30" s="27"/>
      <c r="UHN30" s="27"/>
      <c r="UHO30" s="27"/>
      <c r="UHP30" s="27"/>
      <c r="UHQ30" s="27"/>
      <c r="UHR30" s="27"/>
      <c r="UHS30" s="27"/>
      <c r="UHT30" s="27"/>
      <c r="UHU30" s="27"/>
      <c r="UHV30" s="27"/>
      <c r="UHW30" s="27"/>
      <c r="UHX30" s="27"/>
      <c r="UHY30" s="27"/>
      <c r="UHZ30" s="27"/>
      <c r="UIA30" s="27"/>
      <c r="UIB30" s="27"/>
      <c r="UIC30" s="27"/>
      <c r="UID30" s="27"/>
      <c r="UIE30" s="27"/>
      <c r="UIF30" s="27"/>
      <c r="UIG30" s="27"/>
      <c r="UIH30" s="27"/>
      <c r="UII30" s="27"/>
      <c r="UIJ30" s="27"/>
      <c r="UIK30" s="27"/>
      <c r="UIL30" s="27"/>
      <c r="UIM30" s="27"/>
      <c r="UIN30" s="27"/>
      <c r="UIO30" s="27"/>
      <c r="UIP30" s="27"/>
      <c r="UIQ30" s="27"/>
      <c r="UIR30" s="27"/>
      <c r="UIS30" s="27"/>
      <c r="UIT30" s="27"/>
      <c r="UIU30" s="27"/>
      <c r="UIV30" s="27"/>
      <c r="UIW30" s="27"/>
      <c r="UIX30" s="27"/>
      <c r="UIY30" s="27"/>
      <c r="UIZ30" s="27"/>
      <c r="UJA30" s="27"/>
      <c r="UJB30" s="27"/>
      <c r="UJC30" s="27"/>
      <c r="UJD30" s="27"/>
      <c r="UJE30" s="27"/>
      <c r="UJF30" s="27"/>
      <c r="UJG30" s="27"/>
      <c r="UJH30" s="27"/>
      <c r="UJI30" s="27"/>
      <c r="UJJ30" s="27"/>
      <c r="UJK30" s="27"/>
      <c r="UJL30" s="27"/>
      <c r="UJM30" s="27"/>
      <c r="UJN30" s="27"/>
      <c r="UJO30" s="27"/>
      <c r="UJP30" s="27"/>
      <c r="UJQ30" s="27"/>
      <c r="UJR30" s="27"/>
      <c r="UJS30" s="27"/>
      <c r="UJT30" s="27"/>
      <c r="UJU30" s="27"/>
      <c r="UJV30" s="27"/>
      <c r="UJW30" s="27"/>
      <c r="UJX30" s="27"/>
      <c r="UJY30" s="27"/>
      <c r="UJZ30" s="27"/>
      <c r="UKA30" s="27"/>
      <c r="UKB30" s="27"/>
      <c r="UKC30" s="27"/>
      <c r="UKD30" s="27"/>
      <c r="UKE30" s="27"/>
      <c r="UKF30" s="27"/>
      <c r="UKG30" s="27"/>
      <c r="UKH30" s="27"/>
      <c r="UKI30" s="27"/>
      <c r="UKJ30" s="27"/>
      <c r="UKK30" s="27"/>
      <c r="UKL30" s="27"/>
      <c r="UKM30" s="27"/>
      <c r="UKN30" s="27"/>
      <c r="UKO30" s="27"/>
      <c r="UKP30" s="27"/>
      <c r="UKQ30" s="27"/>
      <c r="UKR30" s="27"/>
      <c r="UKS30" s="27"/>
      <c r="UKT30" s="27"/>
      <c r="UKU30" s="27"/>
      <c r="UKV30" s="27"/>
      <c r="UKW30" s="27"/>
      <c r="UKX30" s="27"/>
      <c r="UKY30" s="27"/>
      <c r="UKZ30" s="27"/>
      <c r="ULA30" s="27"/>
      <c r="ULB30" s="27"/>
      <c r="ULC30" s="27"/>
      <c r="ULD30" s="27"/>
      <c r="ULE30" s="27"/>
      <c r="ULF30" s="27"/>
      <c r="ULG30" s="27"/>
      <c r="ULH30" s="27"/>
      <c r="ULI30" s="27"/>
      <c r="ULJ30" s="27"/>
      <c r="ULK30" s="27"/>
      <c r="ULL30" s="27"/>
      <c r="ULM30" s="27"/>
      <c r="ULN30" s="27"/>
      <c r="ULO30" s="27"/>
      <c r="ULP30" s="27"/>
      <c r="ULQ30" s="27"/>
      <c r="ULR30" s="27"/>
      <c r="ULS30" s="27"/>
      <c r="ULT30" s="27"/>
      <c r="ULU30" s="27"/>
      <c r="ULV30" s="27"/>
      <c r="ULW30" s="27"/>
      <c r="ULX30" s="27"/>
      <c r="ULY30" s="27"/>
      <c r="ULZ30" s="27"/>
      <c r="UMA30" s="27"/>
      <c r="UMB30" s="27"/>
      <c r="UMC30" s="27"/>
      <c r="UMD30" s="27"/>
      <c r="UME30" s="27"/>
      <c r="UMF30" s="27"/>
      <c r="UMG30" s="27"/>
      <c r="UMH30" s="27"/>
      <c r="UMI30" s="27"/>
      <c r="UMJ30" s="27"/>
      <c r="UMK30" s="27"/>
      <c r="UML30" s="27"/>
      <c r="UMM30" s="27"/>
      <c r="UMN30" s="27"/>
      <c r="UMO30" s="27"/>
      <c r="UMP30" s="27"/>
      <c r="UMQ30" s="27"/>
      <c r="UMR30" s="27"/>
      <c r="UMS30" s="27"/>
      <c r="UMT30" s="27"/>
      <c r="UMU30" s="27"/>
      <c r="UMV30" s="27"/>
      <c r="UMW30" s="27"/>
      <c r="UMX30" s="27"/>
      <c r="UMY30" s="27"/>
      <c r="UMZ30" s="27"/>
      <c r="UNA30" s="27"/>
      <c r="UNB30" s="27"/>
      <c r="UNC30" s="27"/>
      <c r="UND30" s="27"/>
      <c r="UNE30" s="27"/>
      <c r="UNF30" s="27"/>
      <c r="UNG30" s="27"/>
      <c r="UNH30" s="27"/>
      <c r="UNI30" s="27"/>
      <c r="UNJ30" s="27"/>
      <c r="UNK30" s="27"/>
      <c r="UNL30" s="27"/>
      <c r="UNM30" s="27"/>
      <c r="UNN30" s="27"/>
      <c r="UNO30" s="27"/>
      <c r="UNP30" s="27"/>
      <c r="UNQ30" s="27"/>
      <c r="UNR30" s="27"/>
      <c r="UNS30" s="27"/>
      <c r="UNT30" s="27"/>
      <c r="UNU30" s="27"/>
      <c r="UNV30" s="27"/>
      <c r="UNW30" s="27"/>
      <c r="UNX30" s="27"/>
      <c r="UNY30" s="27"/>
      <c r="UNZ30" s="27"/>
      <c r="UOA30" s="27"/>
      <c r="UOB30" s="27"/>
      <c r="UOC30" s="27"/>
      <c r="UOD30" s="27"/>
      <c r="UOE30" s="27"/>
      <c r="UOF30" s="27"/>
      <c r="UOG30" s="27"/>
      <c r="UOH30" s="27"/>
      <c r="UOI30" s="27"/>
      <c r="UOJ30" s="27"/>
      <c r="UOK30" s="27"/>
      <c r="UOL30" s="27"/>
      <c r="UOM30" s="27"/>
      <c r="UON30" s="27"/>
      <c r="UOO30" s="27"/>
      <c r="UOP30" s="27"/>
      <c r="UOQ30" s="27"/>
      <c r="UOR30" s="27"/>
      <c r="UOS30" s="27"/>
      <c r="UOT30" s="27"/>
      <c r="UOU30" s="27"/>
      <c r="UOV30" s="27"/>
      <c r="UOW30" s="27"/>
      <c r="UOX30" s="27"/>
      <c r="UOY30" s="27"/>
      <c r="UOZ30" s="27"/>
      <c r="UPA30" s="27"/>
      <c r="UPB30" s="27"/>
      <c r="UPC30" s="27"/>
      <c r="UPD30" s="27"/>
      <c r="UPE30" s="27"/>
      <c r="UPF30" s="27"/>
      <c r="UPG30" s="27"/>
      <c r="UPH30" s="27"/>
      <c r="UPI30" s="27"/>
      <c r="UPJ30" s="27"/>
      <c r="UPK30" s="27"/>
      <c r="UPL30" s="27"/>
      <c r="UPM30" s="27"/>
      <c r="UPN30" s="27"/>
      <c r="UPO30" s="27"/>
      <c r="UPP30" s="27"/>
      <c r="UPQ30" s="27"/>
      <c r="UPR30" s="27"/>
      <c r="UPS30" s="27"/>
      <c r="UPT30" s="27"/>
      <c r="UPU30" s="27"/>
      <c r="UPV30" s="27"/>
      <c r="UPW30" s="27"/>
      <c r="UPX30" s="27"/>
      <c r="UPY30" s="27"/>
      <c r="UPZ30" s="27"/>
      <c r="UQA30" s="27"/>
      <c r="UQB30" s="27"/>
      <c r="UQC30" s="27"/>
      <c r="UQD30" s="27"/>
      <c r="UQE30" s="27"/>
      <c r="UQF30" s="27"/>
      <c r="UQG30" s="27"/>
      <c r="UQH30" s="27"/>
      <c r="UQI30" s="27"/>
      <c r="UQJ30" s="27"/>
      <c r="UQK30" s="27"/>
      <c r="UQL30" s="27"/>
      <c r="UQM30" s="27"/>
      <c r="UQN30" s="27"/>
      <c r="UQO30" s="27"/>
      <c r="UQP30" s="27"/>
      <c r="UQQ30" s="27"/>
      <c r="UQR30" s="27"/>
      <c r="UQS30" s="27"/>
      <c r="UQT30" s="27"/>
      <c r="UQU30" s="27"/>
      <c r="UQV30" s="27"/>
      <c r="UQW30" s="27"/>
      <c r="UQX30" s="27"/>
      <c r="UQY30" s="27"/>
      <c r="UQZ30" s="27"/>
      <c r="URA30" s="27"/>
      <c r="URB30" s="27"/>
      <c r="URC30" s="27"/>
      <c r="URD30" s="27"/>
      <c r="URE30" s="27"/>
      <c r="URF30" s="27"/>
      <c r="URG30" s="27"/>
      <c r="URH30" s="27"/>
      <c r="URI30" s="27"/>
      <c r="URJ30" s="27"/>
      <c r="URK30" s="27"/>
      <c r="URL30" s="27"/>
      <c r="URM30" s="27"/>
      <c r="URN30" s="27"/>
      <c r="URO30" s="27"/>
      <c r="URP30" s="27"/>
      <c r="URQ30" s="27"/>
      <c r="URR30" s="27"/>
      <c r="URS30" s="27"/>
      <c r="URT30" s="27"/>
      <c r="URU30" s="27"/>
      <c r="URV30" s="27"/>
      <c r="URW30" s="27"/>
      <c r="URX30" s="27"/>
      <c r="URY30" s="27"/>
      <c r="URZ30" s="27"/>
      <c r="USA30" s="27"/>
      <c r="USB30" s="27"/>
      <c r="USC30" s="27"/>
      <c r="USD30" s="27"/>
      <c r="USE30" s="27"/>
      <c r="USF30" s="27"/>
      <c r="USG30" s="27"/>
      <c r="USH30" s="27"/>
      <c r="USI30" s="27"/>
      <c r="USJ30" s="27"/>
      <c r="USK30" s="27"/>
      <c r="USL30" s="27"/>
      <c r="USM30" s="27"/>
      <c r="USN30" s="27"/>
      <c r="USO30" s="27"/>
      <c r="USP30" s="27"/>
      <c r="USQ30" s="27"/>
      <c r="USR30" s="27"/>
      <c r="USS30" s="27"/>
      <c r="UST30" s="27"/>
      <c r="USU30" s="27"/>
      <c r="USV30" s="27"/>
      <c r="USW30" s="27"/>
      <c r="USX30" s="27"/>
      <c r="USY30" s="27"/>
      <c r="USZ30" s="27"/>
      <c r="UTA30" s="27"/>
      <c r="UTB30" s="27"/>
      <c r="UTC30" s="27"/>
      <c r="UTD30" s="27"/>
      <c r="UTE30" s="27"/>
      <c r="UTF30" s="27"/>
      <c r="UTG30" s="27"/>
      <c r="UTH30" s="27"/>
      <c r="UTI30" s="27"/>
      <c r="UTJ30" s="27"/>
      <c r="UTK30" s="27"/>
      <c r="UTL30" s="27"/>
      <c r="UTM30" s="27"/>
      <c r="UTN30" s="27"/>
      <c r="UTO30" s="27"/>
      <c r="UTP30" s="27"/>
      <c r="UTQ30" s="27"/>
      <c r="UTR30" s="27"/>
      <c r="UTS30" s="27"/>
      <c r="UTT30" s="27"/>
      <c r="UTU30" s="27"/>
      <c r="UTV30" s="27"/>
      <c r="UTW30" s="27"/>
      <c r="UTX30" s="27"/>
      <c r="UTY30" s="27"/>
      <c r="UTZ30" s="27"/>
      <c r="UUA30" s="27"/>
      <c r="UUB30" s="27"/>
      <c r="UUC30" s="27"/>
      <c r="UUD30" s="27"/>
      <c r="UUE30" s="27"/>
      <c r="UUF30" s="27"/>
      <c r="UUG30" s="27"/>
      <c r="UUH30" s="27"/>
      <c r="UUI30" s="27"/>
      <c r="UUJ30" s="27"/>
      <c r="UUK30" s="27"/>
      <c r="UUL30" s="27"/>
      <c r="UUM30" s="27"/>
      <c r="UUN30" s="27"/>
      <c r="UUO30" s="27"/>
      <c r="UUP30" s="27"/>
      <c r="UUQ30" s="27"/>
      <c r="UUR30" s="27"/>
      <c r="UUS30" s="27"/>
      <c r="UUT30" s="27"/>
      <c r="UUU30" s="27"/>
      <c r="UUV30" s="27"/>
      <c r="UUW30" s="27"/>
      <c r="UUX30" s="27"/>
      <c r="UUY30" s="27"/>
      <c r="UUZ30" s="27"/>
      <c r="UVA30" s="27"/>
      <c r="UVB30" s="27"/>
      <c r="UVC30" s="27"/>
      <c r="UVD30" s="27"/>
      <c r="UVE30" s="27"/>
      <c r="UVF30" s="27"/>
      <c r="UVG30" s="27"/>
      <c r="UVH30" s="27"/>
      <c r="UVI30" s="27"/>
      <c r="UVJ30" s="27"/>
      <c r="UVK30" s="27"/>
      <c r="UVL30" s="27"/>
      <c r="UVM30" s="27"/>
      <c r="UVN30" s="27"/>
      <c r="UVO30" s="27"/>
      <c r="UVP30" s="27"/>
      <c r="UVQ30" s="27"/>
      <c r="UVR30" s="27"/>
      <c r="UVS30" s="27"/>
      <c r="UVT30" s="27"/>
      <c r="UVU30" s="27"/>
      <c r="UVV30" s="27"/>
      <c r="UVW30" s="27"/>
      <c r="UVX30" s="27"/>
      <c r="UVY30" s="27"/>
      <c r="UVZ30" s="27"/>
      <c r="UWA30" s="27"/>
      <c r="UWB30" s="27"/>
      <c r="UWC30" s="27"/>
      <c r="UWD30" s="27"/>
      <c r="UWE30" s="27"/>
      <c r="UWF30" s="27"/>
      <c r="UWG30" s="27"/>
      <c r="UWH30" s="27"/>
      <c r="UWI30" s="27"/>
      <c r="UWJ30" s="27"/>
      <c r="UWK30" s="27"/>
      <c r="UWL30" s="27"/>
      <c r="UWM30" s="27"/>
      <c r="UWN30" s="27"/>
      <c r="UWO30" s="27"/>
      <c r="UWP30" s="27"/>
      <c r="UWQ30" s="27"/>
      <c r="UWR30" s="27"/>
      <c r="UWS30" s="27"/>
      <c r="UWT30" s="27"/>
      <c r="UWU30" s="27"/>
      <c r="UWV30" s="27"/>
      <c r="UWW30" s="27"/>
      <c r="UWX30" s="27"/>
      <c r="UWY30" s="27"/>
      <c r="UWZ30" s="27"/>
      <c r="UXA30" s="27"/>
      <c r="UXB30" s="27"/>
      <c r="UXC30" s="27"/>
      <c r="UXD30" s="27"/>
      <c r="UXE30" s="27"/>
      <c r="UXF30" s="27"/>
      <c r="UXG30" s="27"/>
      <c r="UXH30" s="27"/>
      <c r="UXI30" s="27"/>
      <c r="UXJ30" s="27"/>
      <c r="UXK30" s="27"/>
      <c r="UXL30" s="27"/>
      <c r="UXM30" s="27"/>
      <c r="UXN30" s="27"/>
      <c r="UXO30" s="27"/>
      <c r="UXP30" s="27"/>
      <c r="UXQ30" s="27"/>
      <c r="UXR30" s="27"/>
      <c r="UXS30" s="27"/>
      <c r="UXT30" s="27"/>
      <c r="UXU30" s="27"/>
      <c r="UXV30" s="27"/>
      <c r="UXW30" s="27"/>
      <c r="UXX30" s="27"/>
      <c r="UXY30" s="27"/>
      <c r="UXZ30" s="27"/>
      <c r="UYA30" s="27"/>
      <c r="UYB30" s="27"/>
      <c r="UYC30" s="27"/>
      <c r="UYD30" s="27"/>
      <c r="UYE30" s="27"/>
      <c r="UYF30" s="27"/>
      <c r="UYG30" s="27"/>
      <c r="UYH30" s="27"/>
      <c r="UYI30" s="27"/>
      <c r="UYJ30" s="27"/>
      <c r="UYK30" s="27"/>
      <c r="UYL30" s="27"/>
      <c r="UYM30" s="27"/>
      <c r="UYN30" s="27"/>
      <c r="UYO30" s="27"/>
      <c r="UYP30" s="27"/>
      <c r="UYQ30" s="27"/>
      <c r="UYR30" s="27"/>
      <c r="UYS30" s="27"/>
      <c r="UYT30" s="27"/>
      <c r="UYU30" s="27"/>
      <c r="UYV30" s="27"/>
      <c r="UYW30" s="27"/>
      <c r="UYX30" s="27"/>
      <c r="UYY30" s="27"/>
      <c r="UYZ30" s="27"/>
      <c r="UZA30" s="27"/>
      <c r="UZB30" s="27"/>
      <c r="UZC30" s="27"/>
      <c r="UZD30" s="27"/>
      <c r="UZE30" s="27"/>
      <c r="UZF30" s="27"/>
      <c r="UZG30" s="27"/>
      <c r="UZH30" s="27"/>
      <c r="UZI30" s="27"/>
      <c r="UZJ30" s="27"/>
      <c r="UZK30" s="27"/>
      <c r="UZL30" s="27"/>
      <c r="UZM30" s="27"/>
      <c r="UZN30" s="27"/>
      <c r="UZO30" s="27"/>
      <c r="UZP30" s="27"/>
      <c r="UZQ30" s="27"/>
      <c r="UZR30" s="27"/>
      <c r="UZS30" s="27"/>
      <c r="UZT30" s="27"/>
      <c r="UZU30" s="27"/>
      <c r="UZV30" s="27"/>
      <c r="UZW30" s="27"/>
      <c r="UZX30" s="27"/>
      <c r="UZY30" s="27"/>
      <c r="UZZ30" s="27"/>
      <c r="VAA30" s="27"/>
      <c r="VAB30" s="27"/>
      <c r="VAC30" s="27"/>
      <c r="VAD30" s="27"/>
      <c r="VAE30" s="27"/>
      <c r="VAF30" s="27"/>
      <c r="VAG30" s="27"/>
      <c r="VAH30" s="27"/>
      <c r="VAI30" s="27"/>
      <c r="VAJ30" s="27"/>
      <c r="VAK30" s="27"/>
      <c r="VAL30" s="27"/>
      <c r="VAM30" s="27"/>
      <c r="VAN30" s="27"/>
      <c r="VAO30" s="27"/>
      <c r="VAP30" s="27"/>
      <c r="VAQ30" s="27"/>
      <c r="VAR30" s="27"/>
      <c r="VAS30" s="27"/>
      <c r="VAT30" s="27"/>
      <c r="VAU30" s="27"/>
      <c r="VAV30" s="27"/>
      <c r="VAW30" s="27"/>
      <c r="VAX30" s="27"/>
      <c r="VAY30" s="27"/>
      <c r="VAZ30" s="27"/>
      <c r="VBA30" s="27"/>
      <c r="VBB30" s="27"/>
      <c r="VBC30" s="27"/>
      <c r="VBD30" s="27"/>
      <c r="VBE30" s="27"/>
      <c r="VBF30" s="27"/>
      <c r="VBG30" s="27"/>
      <c r="VBH30" s="27"/>
      <c r="VBI30" s="27"/>
      <c r="VBJ30" s="27"/>
      <c r="VBK30" s="27"/>
      <c r="VBL30" s="27"/>
      <c r="VBM30" s="27"/>
      <c r="VBN30" s="27"/>
      <c r="VBO30" s="27"/>
      <c r="VBP30" s="27"/>
      <c r="VBQ30" s="27"/>
      <c r="VBR30" s="27"/>
      <c r="VBS30" s="27"/>
      <c r="VBT30" s="27"/>
      <c r="VBU30" s="27"/>
      <c r="VBV30" s="27"/>
      <c r="VBW30" s="27"/>
      <c r="VBX30" s="27"/>
      <c r="VBY30" s="27"/>
      <c r="VBZ30" s="27"/>
      <c r="VCA30" s="27"/>
      <c r="VCB30" s="27"/>
      <c r="VCC30" s="27"/>
      <c r="VCD30" s="27"/>
      <c r="VCE30" s="27"/>
      <c r="VCF30" s="27"/>
      <c r="VCG30" s="27"/>
      <c r="VCH30" s="27"/>
      <c r="VCI30" s="27"/>
      <c r="VCJ30" s="27"/>
      <c r="VCK30" s="27"/>
      <c r="VCL30" s="27"/>
      <c r="VCM30" s="27"/>
      <c r="VCN30" s="27"/>
      <c r="VCO30" s="27"/>
      <c r="VCP30" s="27"/>
      <c r="VCQ30" s="27"/>
      <c r="VCR30" s="27"/>
      <c r="VCS30" s="27"/>
      <c r="VCT30" s="27"/>
      <c r="VCU30" s="27"/>
      <c r="VCV30" s="27"/>
      <c r="VCW30" s="27"/>
      <c r="VCX30" s="27"/>
      <c r="VCY30" s="27"/>
      <c r="VCZ30" s="27"/>
      <c r="VDA30" s="27"/>
      <c r="VDB30" s="27"/>
      <c r="VDC30" s="27"/>
      <c r="VDD30" s="27"/>
      <c r="VDE30" s="27"/>
      <c r="VDF30" s="27"/>
      <c r="VDG30" s="27"/>
      <c r="VDH30" s="27"/>
      <c r="VDI30" s="27"/>
      <c r="VDJ30" s="27"/>
      <c r="VDK30" s="27"/>
      <c r="VDL30" s="27"/>
      <c r="VDM30" s="27"/>
      <c r="VDN30" s="27"/>
      <c r="VDO30" s="27"/>
      <c r="VDP30" s="27"/>
      <c r="VDQ30" s="27"/>
      <c r="VDR30" s="27"/>
      <c r="VDS30" s="27"/>
      <c r="VDT30" s="27"/>
      <c r="VDU30" s="27"/>
      <c r="VDV30" s="27"/>
      <c r="VDW30" s="27"/>
      <c r="VDX30" s="27"/>
      <c r="VDY30" s="27"/>
      <c r="VDZ30" s="27"/>
      <c r="VEA30" s="27"/>
      <c r="VEB30" s="27"/>
      <c r="VEC30" s="27"/>
      <c r="VED30" s="27"/>
      <c r="VEE30" s="27"/>
      <c r="VEF30" s="27"/>
      <c r="VEG30" s="27"/>
      <c r="VEH30" s="27"/>
      <c r="VEI30" s="27"/>
      <c r="VEJ30" s="27"/>
      <c r="VEK30" s="27"/>
      <c r="VEL30" s="27"/>
      <c r="VEM30" s="27"/>
      <c r="VEN30" s="27"/>
      <c r="VEO30" s="27"/>
      <c r="VEP30" s="27"/>
      <c r="VEQ30" s="27"/>
      <c r="VER30" s="27"/>
      <c r="VES30" s="27"/>
      <c r="VET30" s="27"/>
      <c r="VEU30" s="27"/>
      <c r="VEV30" s="27"/>
      <c r="VEW30" s="27"/>
      <c r="VEX30" s="27"/>
      <c r="VEY30" s="27"/>
      <c r="VEZ30" s="27"/>
      <c r="VFA30" s="27"/>
      <c r="VFB30" s="27"/>
      <c r="VFC30" s="27"/>
      <c r="VFD30" s="27"/>
      <c r="VFE30" s="27"/>
      <c r="VFF30" s="27"/>
      <c r="VFG30" s="27"/>
      <c r="VFH30" s="27"/>
      <c r="VFI30" s="27"/>
      <c r="VFJ30" s="27"/>
      <c r="VFK30" s="27"/>
      <c r="VFL30" s="27"/>
      <c r="VFM30" s="27"/>
      <c r="VFN30" s="27"/>
      <c r="VFO30" s="27"/>
      <c r="VFP30" s="27"/>
      <c r="VFQ30" s="27"/>
      <c r="VFR30" s="27"/>
      <c r="VFS30" s="27"/>
      <c r="VFT30" s="27"/>
      <c r="VFU30" s="27"/>
      <c r="VFV30" s="27"/>
      <c r="VFW30" s="27"/>
      <c r="VFX30" s="27"/>
      <c r="VFY30" s="27"/>
      <c r="VFZ30" s="27"/>
      <c r="VGA30" s="27"/>
      <c r="VGB30" s="27"/>
      <c r="VGC30" s="27"/>
      <c r="VGD30" s="27"/>
      <c r="VGE30" s="27"/>
      <c r="VGF30" s="27"/>
      <c r="VGG30" s="27"/>
      <c r="VGH30" s="27"/>
      <c r="VGI30" s="27"/>
      <c r="VGJ30" s="27"/>
      <c r="VGK30" s="27"/>
      <c r="VGL30" s="27"/>
      <c r="VGM30" s="27"/>
      <c r="VGN30" s="27"/>
      <c r="VGO30" s="27"/>
      <c r="VGP30" s="27"/>
      <c r="VGQ30" s="27"/>
      <c r="VGR30" s="27"/>
      <c r="VGS30" s="27"/>
      <c r="VGT30" s="27"/>
      <c r="VGU30" s="27"/>
      <c r="VGV30" s="27"/>
      <c r="VGW30" s="27"/>
      <c r="VGX30" s="27"/>
      <c r="VGY30" s="27"/>
      <c r="VGZ30" s="27"/>
      <c r="VHA30" s="27"/>
      <c r="VHB30" s="27"/>
      <c r="VHC30" s="27"/>
      <c r="VHD30" s="27"/>
      <c r="VHE30" s="27"/>
      <c r="VHF30" s="27"/>
      <c r="VHG30" s="27"/>
      <c r="VHH30" s="27"/>
      <c r="VHI30" s="27"/>
      <c r="VHJ30" s="27"/>
      <c r="VHK30" s="27"/>
      <c r="VHL30" s="27"/>
      <c r="VHM30" s="27"/>
      <c r="VHN30" s="27"/>
      <c r="VHO30" s="27"/>
      <c r="VHP30" s="27"/>
      <c r="VHQ30" s="27"/>
      <c r="VHR30" s="27"/>
      <c r="VHS30" s="27"/>
      <c r="VHT30" s="27"/>
      <c r="VHU30" s="27"/>
      <c r="VHV30" s="27"/>
      <c r="VHW30" s="27"/>
      <c r="VHX30" s="27"/>
      <c r="VHY30" s="27"/>
      <c r="VHZ30" s="27"/>
      <c r="VIA30" s="27"/>
      <c r="VIB30" s="27"/>
      <c r="VIC30" s="27"/>
      <c r="VID30" s="27"/>
      <c r="VIE30" s="27"/>
      <c r="VIF30" s="27"/>
      <c r="VIG30" s="27"/>
      <c r="VIH30" s="27"/>
      <c r="VII30" s="27"/>
      <c r="VIJ30" s="27"/>
      <c r="VIK30" s="27"/>
      <c r="VIL30" s="27"/>
      <c r="VIM30" s="27"/>
      <c r="VIN30" s="27"/>
      <c r="VIO30" s="27"/>
      <c r="VIP30" s="27"/>
      <c r="VIQ30" s="27"/>
      <c r="VIR30" s="27"/>
      <c r="VIS30" s="27"/>
      <c r="VIT30" s="27"/>
      <c r="VIU30" s="27"/>
      <c r="VIV30" s="27"/>
      <c r="VIW30" s="27"/>
      <c r="VIX30" s="27"/>
      <c r="VIY30" s="27"/>
      <c r="VIZ30" s="27"/>
      <c r="VJA30" s="27"/>
      <c r="VJB30" s="27"/>
      <c r="VJC30" s="27"/>
      <c r="VJD30" s="27"/>
      <c r="VJE30" s="27"/>
      <c r="VJF30" s="27"/>
      <c r="VJG30" s="27"/>
      <c r="VJH30" s="27"/>
      <c r="VJI30" s="27"/>
      <c r="VJJ30" s="27"/>
      <c r="VJK30" s="27"/>
      <c r="VJL30" s="27"/>
      <c r="VJM30" s="27"/>
      <c r="VJN30" s="27"/>
      <c r="VJO30" s="27"/>
      <c r="VJP30" s="27"/>
      <c r="VJQ30" s="27"/>
      <c r="VJR30" s="27"/>
      <c r="VJS30" s="27"/>
      <c r="VJT30" s="27"/>
      <c r="VJU30" s="27"/>
      <c r="VJV30" s="27"/>
      <c r="VJW30" s="27"/>
      <c r="VJX30" s="27"/>
      <c r="VJY30" s="27"/>
      <c r="VJZ30" s="27"/>
      <c r="VKA30" s="27"/>
      <c r="VKB30" s="27"/>
      <c r="VKC30" s="27"/>
      <c r="VKD30" s="27"/>
      <c r="VKE30" s="27"/>
      <c r="VKF30" s="27"/>
      <c r="VKG30" s="27"/>
      <c r="VKH30" s="27"/>
      <c r="VKI30" s="27"/>
      <c r="VKJ30" s="27"/>
      <c r="VKK30" s="27"/>
      <c r="VKL30" s="27"/>
      <c r="VKM30" s="27"/>
      <c r="VKN30" s="27"/>
      <c r="VKO30" s="27"/>
      <c r="VKP30" s="27"/>
      <c r="VKQ30" s="27"/>
      <c r="VKR30" s="27"/>
      <c r="VKS30" s="27"/>
      <c r="VKT30" s="27"/>
      <c r="VKU30" s="27"/>
      <c r="VKV30" s="27"/>
      <c r="VKW30" s="27"/>
      <c r="VKX30" s="27"/>
      <c r="VKY30" s="27"/>
      <c r="VKZ30" s="27"/>
      <c r="VLA30" s="27"/>
      <c r="VLB30" s="27"/>
      <c r="VLC30" s="27"/>
      <c r="VLD30" s="27"/>
      <c r="VLE30" s="27"/>
      <c r="VLF30" s="27"/>
      <c r="VLG30" s="27"/>
      <c r="VLH30" s="27"/>
      <c r="VLI30" s="27"/>
      <c r="VLJ30" s="27"/>
      <c r="VLK30" s="27"/>
      <c r="VLL30" s="27"/>
      <c r="VLM30" s="27"/>
      <c r="VLN30" s="27"/>
      <c r="VLO30" s="27"/>
      <c r="VLP30" s="27"/>
      <c r="VLQ30" s="27"/>
      <c r="VLR30" s="27"/>
      <c r="VLS30" s="27"/>
      <c r="VLT30" s="27"/>
      <c r="VLU30" s="27"/>
      <c r="VLV30" s="27"/>
      <c r="VLW30" s="27"/>
      <c r="VLX30" s="27"/>
      <c r="VLY30" s="27"/>
      <c r="VLZ30" s="27"/>
      <c r="VMA30" s="27"/>
      <c r="VMB30" s="27"/>
      <c r="VMC30" s="27"/>
      <c r="VMD30" s="27"/>
      <c r="VME30" s="27"/>
      <c r="VMF30" s="27"/>
      <c r="VMG30" s="27"/>
      <c r="VMH30" s="27"/>
      <c r="VMI30" s="27"/>
      <c r="VMJ30" s="27"/>
      <c r="VMK30" s="27"/>
      <c r="VML30" s="27"/>
      <c r="VMM30" s="27"/>
      <c r="VMN30" s="27"/>
      <c r="VMO30" s="27"/>
      <c r="VMP30" s="27"/>
      <c r="VMQ30" s="27"/>
      <c r="VMR30" s="27"/>
      <c r="VMS30" s="27"/>
      <c r="VMT30" s="27"/>
      <c r="VMU30" s="27"/>
      <c r="VMV30" s="27"/>
      <c r="VMW30" s="27"/>
      <c r="VMX30" s="27"/>
      <c r="VMY30" s="27"/>
      <c r="VMZ30" s="27"/>
      <c r="VNA30" s="27"/>
      <c r="VNB30" s="27"/>
      <c r="VNC30" s="27"/>
      <c r="VND30" s="27"/>
      <c r="VNE30" s="27"/>
      <c r="VNF30" s="27"/>
      <c r="VNG30" s="27"/>
      <c r="VNH30" s="27"/>
      <c r="VNI30" s="27"/>
      <c r="VNJ30" s="27"/>
      <c r="VNK30" s="27"/>
      <c r="VNL30" s="27"/>
      <c r="VNM30" s="27"/>
      <c r="VNN30" s="27"/>
      <c r="VNO30" s="27"/>
      <c r="VNP30" s="27"/>
      <c r="VNQ30" s="27"/>
      <c r="VNR30" s="27"/>
      <c r="VNS30" s="27"/>
      <c r="VNT30" s="27"/>
      <c r="VNU30" s="27"/>
      <c r="VNV30" s="27"/>
      <c r="VNW30" s="27"/>
      <c r="VNX30" s="27"/>
      <c r="VNY30" s="27"/>
      <c r="VNZ30" s="27"/>
      <c r="VOA30" s="27"/>
      <c r="VOB30" s="27"/>
      <c r="VOC30" s="27"/>
      <c r="VOD30" s="27"/>
      <c r="VOE30" s="27"/>
      <c r="VOF30" s="27"/>
      <c r="VOG30" s="27"/>
      <c r="VOH30" s="27"/>
      <c r="VOI30" s="27"/>
      <c r="VOJ30" s="27"/>
      <c r="VOK30" s="27"/>
      <c r="VOL30" s="27"/>
      <c r="VOM30" s="27"/>
      <c r="VON30" s="27"/>
      <c r="VOO30" s="27"/>
      <c r="VOP30" s="27"/>
      <c r="VOQ30" s="27"/>
      <c r="VOR30" s="27"/>
      <c r="VOS30" s="27"/>
      <c r="VOT30" s="27"/>
      <c r="VOU30" s="27"/>
      <c r="VOV30" s="27"/>
      <c r="VOW30" s="27"/>
      <c r="VOX30" s="27"/>
      <c r="VOY30" s="27"/>
      <c r="VOZ30" s="27"/>
      <c r="VPA30" s="27"/>
      <c r="VPB30" s="27"/>
      <c r="VPC30" s="27"/>
      <c r="VPD30" s="27"/>
      <c r="VPE30" s="27"/>
      <c r="VPF30" s="27"/>
      <c r="VPG30" s="27"/>
      <c r="VPH30" s="27"/>
      <c r="VPI30" s="27"/>
      <c r="VPJ30" s="27"/>
      <c r="VPK30" s="27"/>
      <c r="VPL30" s="27"/>
      <c r="VPM30" s="27"/>
      <c r="VPN30" s="27"/>
      <c r="VPO30" s="27"/>
      <c r="VPP30" s="27"/>
      <c r="VPQ30" s="27"/>
      <c r="VPR30" s="27"/>
      <c r="VPS30" s="27"/>
      <c r="VPT30" s="27"/>
      <c r="VPU30" s="27"/>
      <c r="VPV30" s="27"/>
      <c r="VPW30" s="27"/>
      <c r="VPX30" s="27"/>
      <c r="VPY30" s="27"/>
      <c r="VPZ30" s="27"/>
      <c r="VQA30" s="27"/>
      <c r="VQB30" s="27"/>
      <c r="VQC30" s="27"/>
      <c r="VQD30" s="27"/>
      <c r="VQE30" s="27"/>
      <c r="VQF30" s="27"/>
      <c r="VQG30" s="27"/>
      <c r="VQH30" s="27"/>
      <c r="VQI30" s="27"/>
      <c r="VQJ30" s="27"/>
      <c r="VQK30" s="27"/>
      <c r="VQL30" s="27"/>
      <c r="VQM30" s="27"/>
      <c r="VQN30" s="27"/>
      <c r="VQO30" s="27"/>
      <c r="VQP30" s="27"/>
      <c r="VQQ30" s="27"/>
      <c r="VQR30" s="27"/>
      <c r="VQS30" s="27"/>
      <c r="VQT30" s="27"/>
      <c r="VQU30" s="27"/>
      <c r="VQV30" s="27"/>
      <c r="VQW30" s="27"/>
      <c r="VQX30" s="27"/>
      <c r="VQY30" s="27"/>
      <c r="VQZ30" s="27"/>
      <c r="VRA30" s="27"/>
      <c r="VRB30" s="27"/>
      <c r="VRC30" s="27"/>
      <c r="VRD30" s="27"/>
      <c r="VRE30" s="27"/>
      <c r="VRF30" s="27"/>
      <c r="VRG30" s="27"/>
      <c r="VRH30" s="27"/>
      <c r="VRI30" s="27"/>
      <c r="VRJ30" s="27"/>
      <c r="VRK30" s="27"/>
      <c r="VRL30" s="27"/>
      <c r="VRM30" s="27"/>
      <c r="VRN30" s="27"/>
      <c r="VRO30" s="27"/>
      <c r="VRP30" s="27"/>
      <c r="VRQ30" s="27"/>
      <c r="VRR30" s="27"/>
      <c r="VRS30" s="27"/>
      <c r="VRT30" s="27"/>
      <c r="VRU30" s="27"/>
      <c r="VRV30" s="27"/>
      <c r="VRW30" s="27"/>
      <c r="VRX30" s="27"/>
      <c r="VRY30" s="27"/>
      <c r="VRZ30" s="27"/>
      <c r="VSA30" s="27"/>
      <c r="VSB30" s="27"/>
      <c r="VSC30" s="27"/>
      <c r="VSD30" s="27"/>
      <c r="VSE30" s="27"/>
      <c r="VSF30" s="27"/>
      <c r="VSG30" s="27"/>
      <c r="VSH30" s="27"/>
      <c r="VSI30" s="27"/>
      <c r="VSJ30" s="27"/>
      <c r="VSK30" s="27"/>
      <c r="VSL30" s="27"/>
      <c r="VSM30" s="27"/>
      <c r="VSN30" s="27"/>
      <c r="VSO30" s="27"/>
      <c r="VSP30" s="27"/>
      <c r="VSQ30" s="27"/>
      <c r="VSR30" s="27"/>
      <c r="VSS30" s="27"/>
      <c r="VST30" s="27"/>
      <c r="VSU30" s="27"/>
      <c r="VSV30" s="27"/>
      <c r="VSW30" s="27"/>
      <c r="VSX30" s="27"/>
      <c r="VSY30" s="27"/>
      <c r="VSZ30" s="27"/>
      <c r="VTA30" s="27"/>
      <c r="VTB30" s="27"/>
      <c r="VTC30" s="27"/>
      <c r="VTD30" s="27"/>
      <c r="VTE30" s="27"/>
      <c r="VTF30" s="27"/>
      <c r="VTG30" s="27"/>
      <c r="VTH30" s="27"/>
      <c r="VTI30" s="27"/>
      <c r="VTJ30" s="27"/>
      <c r="VTK30" s="27"/>
      <c r="VTL30" s="27"/>
      <c r="VTM30" s="27"/>
      <c r="VTN30" s="27"/>
      <c r="VTO30" s="27"/>
      <c r="VTP30" s="27"/>
      <c r="VTQ30" s="27"/>
      <c r="VTR30" s="27"/>
      <c r="VTS30" s="27"/>
      <c r="VTT30" s="27"/>
      <c r="VTU30" s="27"/>
      <c r="VTV30" s="27"/>
      <c r="VTW30" s="27"/>
      <c r="VTX30" s="27"/>
      <c r="VTY30" s="27"/>
      <c r="VTZ30" s="27"/>
      <c r="VUA30" s="27"/>
      <c r="VUB30" s="27"/>
      <c r="VUC30" s="27"/>
      <c r="VUD30" s="27"/>
      <c r="VUE30" s="27"/>
      <c r="VUF30" s="27"/>
      <c r="VUG30" s="27"/>
      <c r="VUH30" s="27"/>
      <c r="VUI30" s="27"/>
      <c r="VUJ30" s="27"/>
      <c r="VUK30" s="27"/>
      <c r="VUL30" s="27"/>
      <c r="VUM30" s="27"/>
      <c r="VUN30" s="27"/>
      <c r="VUO30" s="27"/>
      <c r="VUP30" s="27"/>
      <c r="VUQ30" s="27"/>
      <c r="VUR30" s="27"/>
      <c r="VUS30" s="27"/>
      <c r="VUT30" s="27"/>
      <c r="VUU30" s="27"/>
      <c r="VUV30" s="27"/>
      <c r="VUW30" s="27"/>
      <c r="VUX30" s="27"/>
      <c r="VUY30" s="27"/>
      <c r="VUZ30" s="27"/>
      <c r="VVA30" s="27"/>
      <c r="VVB30" s="27"/>
      <c r="VVC30" s="27"/>
      <c r="VVD30" s="27"/>
      <c r="VVE30" s="27"/>
      <c r="VVF30" s="27"/>
      <c r="VVG30" s="27"/>
      <c r="VVH30" s="27"/>
      <c r="VVI30" s="27"/>
      <c r="VVJ30" s="27"/>
      <c r="VVK30" s="27"/>
      <c r="VVL30" s="27"/>
      <c r="VVM30" s="27"/>
      <c r="VVN30" s="27"/>
      <c r="VVO30" s="27"/>
      <c r="VVP30" s="27"/>
      <c r="VVQ30" s="27"/>
      <c r="VVR30" s="27"/>
      <c r="VVS30" s="27"/>
      <c r="VVT30" s="27"/>
      <c r="VVU30" s="27"/>
      <c r="VVV30" s="27"/>
      <c r="VVW30" s="27"/>
      <c r="VVX30" s="27"/>
      <c r="VVY30" s="27"/>
      <c r="VVZ30" s="27"/>
      <c r="VWA30" s="27"/>
      <c r="VWB30" s="27"/>
      <c r="VWC30" s="27"/>
      <c r="VWD30" s="27"/>
      <c r="VWE30" s="27"/>
      <c r="VWF30" s="27"/>
      <c r="VWG30" s="27"/>
      <c r="VWH30" s="27"/>
      <c r="VWI30" s="27"/>
      <c r="VWJ30" s="27"/>
      <c r="VWK30" s="27"/>
      <c r="VWL30" s="27"/>
      <c r="VWM30" s="27"/>
      <c r="VWN30" s="27"/>
      <c r="VWO30" s="27"/>
      <c r="VWP30" s="27"/>
      <c r="VWQ30" s="27"/>
      <c r="VWR30" s="27"/>
      <c r="VWS30" s="27"/>
      <c r="VWT30" s="27"/>
      <c r="VWU30" s="27"/>
      <c r="VWV30" s="27"/>
      <c r="VWW30" s="27"/>
      <c r="VWX30" s="27"/>
      <c r="VWY30" s="27"/>
      <c r="VWZ30" s="27"/>
      <c r="VXA30" s="27"/>
      <c r="VXB30" s="27"/>
      <c r="VXC30" s="27"/>
      <c r="VXD30" s="27"/>
      <c r="VXE30" s="27"/>
      <c r="VXF30" s="27"/>
      <c r="VXG30" s="27"/>
      <c r="VXH30" s="27"/>
      <c r="VXI30" s="27"/>
      <c r="VXJ30" s="27"/>
      <c r="VXK30" s="27"/>
      <c r="VXL30" s="27"/>
      <c r="VXM30" s="27"/>
      <c r="VXN30" s="27"/>
      <c r="VXO30" s="27"/>
      <c r="VXP30" s="27"/>
      <c r="VXQ30" s="27"/>
      <c r="VXR30" s="27"/>
      <c r="VXS30" s="27"/>
      <c r="VXT30" s="27"/>
      <c r="VXU30" s="27"/>
      <c r="VXV30" s="27"/>
      <c r="VXW30" s="27"/>
      <c r="VXX30" s="27"/>
      <c r="VXY30" s="27"/>
      <c r="VXZ30" s="27"/>
      <c r="VYA30" s="27"/>
      <c r="VYB30" s="27"/>
      <c r="VYC30" s="27"/>
      <c r="VYD30" s="27"/>
      <c r="VYE30" s="27"/>
      <c r="VYF30" s="27"/>
      <c r="VYG30" s="27"/>
      <c r="VYH30" s="27"/>
      <c r="VYI30" s="27"/>
      <c r="VYJ30" s="27"/>
      <c r="VYK30" s="27"/>
      <c r="VYL30" s="27"/>
      <c r="VYM30" s="27"/>
      <c r="VYN30" s="27"/>
      <c r="VYO30" s="27"/>
      <c r="VYP30" s="27"/>
      <c r="VYQ30" s="27"/>
      <c r="VYR30" s="27"/>
      <c r="VYS30" s="27"/>
      <c r="VYT30" s="27"/>
      <c r="VYU30" s="27"/>
      <c r="VYV30" s="27"/>
      <c r="VYW30" s="27"/>
      <c r="VYX30" s="27"/>
      <c r="VYY30" s="27"/>
      <c r="VYZ30" s="27"/>
      <c r="VZA30" s="27"/>
      <c r="VZB30" s="27"/>
      <c r="VZC30" s="27"/>
      <c r="VZD30" s="27"/>
      <c r="VZE30" s="27"/>
      <c r="VZF30" s="27"/>
      <c r="VZG30" s="27"/>
      <c r="VZH30" s="27"/>
      <c r="VZI30" s="27"/>
      <c r="VZJ30" s="27"/>
      <c r="VZK30" s="27"/>
      <c r="VZL30" s="27"/>
      <c r="VZM30" s="27"/>
      <c r="VZN30" s="27"/>
      <c r="VZO30" s="27"/>
      <c r="VZP30" s="27"/>
      <c r="VZQ30" s="27"/>
      <c r="VZR30" s="27"/>
      <c r="VZS30" s="27"/>
      <c r="VZT30" s="27"/>
      <c r="VZU30" s="27"/>
      <c r="VZV30" s="27"/>
      <c r="VZW30" s="27"/>
      <c r="VZX30" s="27"/>
      <c r="VZY30" s="27"/>
      <c r="VZZ30" s="27"/>
      <c r="WAA30" s="27"/>
      <c r="WAB30" s="27"/>
      <c r="WAC30" s="27"/>
      <c r="WAD30" s="27"/>
      <c r="WAE30" s="27"/>
      <c r="WAF30" s="27"/>
      <c r="WAG30" s="27"/>
      <c r="WAH30" s="27"/>
      <c r="WAI30" s="27"/>
      <c r="WAJ30" s="27"/>
      <c r="WAK30" s="27"/>
      <c r="WAL30" s="27"/>
      <c r="WAM30" s="27"/>
      <c r="WAN30" s="27"/>
      <c r="WAO30" s="27"/>
      <c r="WAP30" s="27"/>
      <c r="WAQ30" s="27"/>
      <c r="WAR30" s="27"/>
      <c r="WAS30" s="27"/>
      <c r="WAT30" s="27"/>
      <c r="WAU30" s="27"/>
      <c r="WAV30" s="27"/>
      <c r="WAW30" s="27"/>
      <c r="WAX30" s="27"/>
      <c r="WAY30" s="27"/>
      <c r="WAZ30" s="27"/>
      <c r="WBA30" s="27"/>
      <c r="WBB30" s="27"/>
      <c r="WBC30" s="27"/>
      <c r="WBD30" s="27"/>
      <c r="WBE30" s="27"/>
      <c r="WBF30" s="27"/>
      <c r="WBG30" s="27"/>
      <c r="WBH30" s="27"/>
      <c r="WBI30" s="27"/>
      <c r="WBJ30" s="27"/>
      <c r="WBK30" s="27"/>
      <c r="WBL30" s="27"/>
      <c r="WBM30" s="27"/>
      <c r="WBN30" s="27"/>
      <c r="WBO30" s="27"/>
      <c r="WBP30" s="27"/>
      <c r="WBQ30" s="27"/>
      <c r="WBR30" s="27"/>
      <c r="WBS30" s="27"/>
      <c r="WBT30" s="27"/>
      <c r="WBU30" s="27"/>
      <c r="WBV30" s="27"/>
      <c r="WBW30" s="27"/>
      <c r="WBX30" s="27"/>
      <c r="WBY30" s="27"/>
      <c r="WBZ30" s="27"/>
      <c r="WCA30" s="27"/>
      <c r="WCB30" s="27"/>
      <c r="WCC30" s="27"/>
      <c r="WCD30" s="27"/>
      <c r="WCE30" s="27"/>
      <c r="WCF30" s="27"/>
      <c r="WCG30" s="27"/>
      <c r="WCH30" s="27"/>
      <c r="WCI30" s="27"/>
      <c r="WCJ30" s="27"/>
      <c r="WCK30" s="27"/>
      <c r="WCL30" s="27"/>
      <c r="WCM30" s="27"/>
      <c r="WCN30" s="27"/>
      <c r="WCO30" s="27"/>
      <c r="WCP30" s="27"/>
      <c r="WCQ30" s="27"/>
      <c r="WCR30" s="27"/>
      <c r="WCS30" s="27"/>
      <c r="WCT30" s="27"/>
      <c r="WCU30" s="27"/>
      <c r="WCV30" s="27"/>
      <c r="WCW30" s="27"/>
      <c r="WCX30" s="27"/>
      <c r="WCY30" s="27"/>
      <c r="WCZ30" s="27"/>
      <c r="WDA30" s="27"/>
      <c r="WDB30" s="27"/>
      <c r="WDC30" s="27"/>
      <c r="WDD30" s="27"/>
      <c r="WDE30" s="27"/>
      <c r="WDF30" s="27"/>
      <c r="WDG30" s="27"/>
      <c r="WDH30" s="27"/>
      <c r="WDI30" s="27"/>
      <c r="WDJ30" s="27"/>
      <c r="WDK30" s="27"/>
      <c r="WDL30" s="27"/>
      <c r="WDM30" s="27"/>
      <c r="WDN30" s="27"/>
      <c r="WDO30" s="27"/>
      <c r="WDP30" s="27"/>
      <c r="WDQ30" s="27"/>
      <c r="WDR30" s="27"/>
      <c r="WDS30" s="27"/>
      <c r="WDT30" s="27"/>
      <c r="WDU30" s="27"/>
      <c r="WDV30" s="27"/>
      <c r="WDW30" s="27"/>
      <c r="WDX30" s="27"/>
      <c r="WDY30" s="27"/>
      <c r="WDZ30" s="27"/>
      <c r="WEA30" s="27"/>
      <c r="WEB30" s="27"/>
      <c r="WEC30" s="27"/>
      <c r="WED30" s="27"/>
      <c r="WEE30" s="27"/>
      <c r="WEF30" s="27"/>
      <c r="WEG30" s="27"/>
      <c r="WEH30" s="27"/>
      <c r="WEI30" s="27"/>
      <c r="WEJ30" s="27"/>
      <c r="WEK30" s="27"/>
      <c r="WEL30" s="27"/>
      <c r="WEM30" s="27"/>
      <c r="WEN30" s="27"/>
      <c r="WEO30" s="27"/>
      <c r="WEP30" s="27"/>
      <c r="WEQ30" s="27"/>
      <c r="WER30" s="27"/>
      <c r="WES30" s="27"/>
      <c r="WET30" s="27"/>
      <c r="WEU30" s="27"/>
      <c r="WEV30" s="27"/>
      <c r="WEW30" s="27"/>
      <c r="WEX30" s="27"/>
      <c r="WEY30" s="27"/>
      <c r="WEZ30" s="27"/>
      <c r="WFA30" s="27"/>
      <c r="WFB30" s="27"/>
      <c r="WFC30" s="27"/>
      <c r="WFD30" s="27"/>
      <c r="WFE30" s="27"/>
      <c r="WFF30" s="27"/>
      <c r="WFG30" s="27"/>
      <c r="WFH30" s="27"/>
      <c r="WFI30" s="27"/>
      <c r="WFJ30" s="27"/>
      <c r="WFK30" s="27"/>
      <c r="WFL30" s="27"/>
      <c r="WFM30" s="27"/>
      <c r="WFN30" s="27"/>
      <c r="WFO30" s="27"/>
      <c r="WFP30" s="27"/>
      <c r="WFQ30" s="27"/>
      <c r="WFR30" s="27"/>
      <c r="WFS30" s="27"/>
      <c r="WFT30" s="27"/>
      <c r="WFU30" s="27"/>
      <c r="WFV30" s="27"/>
      <c r="WFW30" s="27"/>
      <c r="WFX30" s="27"/>
      <c r="WFY30" s="27"/>
      <c r="WFZ30" s="27"/>
      <c r="WGA30" s="27"/>
      <c r="WGB30" s="27"/>
      <c r="WGC30" s="27"/>
      <c r="WGD30" s="27"/>
      <c r="WGE30" s="27"/>
      <c r="WGF30" s="27"/>
      <c r="WGG30" s="27"/>
      <c r="WGH30" s="27"/>
      <c r="WGI30" s="27"/>
      <c r="WGJ30" s="27"/>
      <c r="WGK30" s="27"/>
      <c r="WGL30" s="27"/>
      <c r="WGM30" s="27"/>
      <c r="WGN30" s="27"/>
      <c r="WGO30" s="27"/>
      <c r="WGP30" s="27"/>
      <c r="WGQ30" s="27"/>
      <c r="WGR30" s="27"/>
      <c r="WGS30" s="27"/>
      <c r="WGT30" s="27"/>
      <c r="WGU30" s="27"/>
      <c r="WGV30" s="27"/>
      <c r="WGW30" s="27"/>
      <c r="WGX30" s="27"/>
      <c r="WGY30" s="27"/>
      <c r="WGZ30" s="27"/>
      <c r="WHA30" s="27"/>
      <c r="WHB30" s="27"/>
      <c r="WHC30" s="27"/>
      <c r="WHD30" s="27"/>
      <c r="WHE30" s="27"/>
      <c r="WHF30" s="27"/>
      <c r="WHG30" s="27"/>
      <c r="WHH30" s="27"/>
      <c r="WHI30" s="27"/>
      <c r="WHJ30" s="27"/>
      <c r="WHK30" s="27"/>
      <c r="WHL30" s="27"/>
      <c r="WHM30" s="27"/>
      <c r="WHN30" s="27"/>
      <c r="WHO30" s="27"/>
      <c r="WHP30" s="27"/>
      <c r="WHQ30" s="27"/>
      <c r="WHR30" s="27"/>
      <c r="WHS30" s="27"/>
      <c r="WHT30" s="27"/>
      <c r="WHU30" s="27"/>
      <c r="WHV30" s="27"/>
      <c r="WHW30" s="27"/>
      <c r="WHX30" s="27"/>
      <c r="WHY30" s="27"/>
      <c r="WHZ30" s="27"/>
      <c r="WIA30" s="27"/>
      <c r="WIB30" s="27"/>
      <c r="WIC30" s="27"/>
      <c r="WID30" s="27"/>
      <c r="WIE30" s="27"/>
      <c r="WIF30" s="27"/>
      <c r="WIG30" s="27"/>
      <c r="WIH30" s="27"/>
      <c r="WII30" s="27"/>
      <c r="WIJ30" s="27"/>
      <c r="WIK30" s="27"/>
      <c r="WIL30" s="27"/>
      <c r="WIM30" s="27"/>
      <c r="WIN30" s="27"/>
      <c r="WIO30" s="27"/>
      <c r="WIP30" s="27"/>
      <c r="WIQ30" s="27"/>
      <c r="WIR30" s="27"/>
      <c r="WIS30" s="27"/>
      <c r="WIT30" s="27"/>
      <c r="WIU30" s="27"/>
      <c r="WIV30" s="27"/>
      <c r="WIW30" s="27"/>
      <c r="WIX30" s="27"/>
      <c r="WIY30" s="27"/>
      <c r="WIZ30" s="27"/>
      <c r="WJA30" s="27"/>
      <c r="WJB30" s="27"/>
      <c r="WJC30" s="27"/>
      <c r="WJD30" s="27"/>
      <c r="WJE30" s="27"/>
      <c r="WJF30" s="27"/>
      <c r="WJG30" s="27"/>
      <c r="WJH30" s="27"/>
      <c r="WJI30" s="27"/>
      <c r="WJJ30" s="27"/>
      <c r="WJK30" s="27"/>
      <c r="WJL30" s="27"/>
      <c r="WJM30" s="27"/>
      <c r="WJN30" s="27"/>
      <c r="WJO30" s="27"/>
      <c r="WJP30" s="27"/>
      <c r="WJQ30" s="27"/>
      <c r="WJR30" s="27"/>
      <c r="WJS30" s="27"/>
      <c r="WJT30" s="27"/>
      <c r="WJU30" s="27"/>
      <c r="WJV30" s="27"/>
      <c r="WJW30" s="27"/>
      <c r="WJX30" s="27"/>
      <c r="WJY30" s="27"/>
      <c r="WJZ30" s="27"/>
      <c r="WKA30" s="27"/>
      <c r="WKB30" s="27"/>
      <c r="WKC30" s="27"/>
      <c r="WKD30" s="27"/>
      <c r="WKE30" s="27"/>
      <c r="WKF30" s="27"/>
      <c r="WKG30" s="27"/>
      <c r="WKH30" s="27"/>
      <c r="WKI30" s="27"/>
      <c r="WKJ30" s="27"/>
      <c r="WKK30" s="27"/>
      <c r="WKL30" s="27"/>
      <c r="WKM30" s="27"/>
      <c r="WKN30" s="27"/>
      <c r="WKO30" s="27"/>
      <c r="WKP30" s="27"/>
      <c r="WKQ30" s="27"/>
      <c r="WKR30" s="27"/>
      <c r="WKS30" s="27"/>
      <c r="WKT30" s="27"/>
      <c r="WKU30" s="27"/>
      <c r="WKV30" s="27"/>
      <c r="WKW30" s="27"/>
      <c r="WKX30" s="27"/>
      <c r="WKY30" s="27"/>
      <c r="WKZ30" s="27"/>
      <c r="WLA30" s="27"/>
      <c r="WLB30" s="27"/>
      <c r="WLC30" s="27"/>
      <c r="WLD30" s="27"/>
      <c r="WLE30" s="27"/>
      <c r="WLF30" s="27"/>
      <c r="WLG30" s="27"/>
      <c r="WLH30" s="27"/>
      <c r="WLI30" s="27"/>
      <c r="WLJ30" s="27"/>
      <c r="WLK30" s="27"/>
      <c r="WLL30" s="27"/>
      <c r="WLM30" s="27"/>
      <c r="WLN30" s="27"/>
      <c r="WLO30" s="27"/>
      <c r="WLP30" s="27"/>
      <c r="WLQ30" s="27"/>
      <c r="WLR30" s="27"/>
      <c r="WLS30" s="27"/>
      <c r="WLT30" s="27"/>
      <c r="WLU30" s="27"/>
      <c r="WLV30" s="27"/>
      <c r="WLW30" s="27"/>
      <c r="WLX30" s="27"/>
      <c r="WLY30" s="27"/>
      <c r="WLZ30" s="27"/>
      <c r="WMA30" s="27"/>
      <c r="WMB30" s="27"/>
      <c r="WMC30" s="27"/>
      <c r="WMD30" s="27"/>
      <c r="WME30" s="27"/>
      <c r="WMF30" s="27"/>
      <c r="WMG30" s="27"/>
      <c r="WMH30" s="27"/>
      <c r="WMI30" s="27"/>
      <c r="WMJ30" s="27"/>
      <c r="WMK30" s="27"/>
      <c r="WML30" s="27"/>
      <c r="WMM30" s="27"/>
      <c r="WMN30" s="27"/>
      <c r="WMO30" s="27"/>
      <c r="WMP30" s="27"/>
      <c r="WMQ30" s="27"/>
      <c r="WMR30" s="27"/>
      <c r="WMS30" s="27"/>
      <c r="WMT30" s="27"/>
      <c r="WMU30" s="27"/>
      <c r="WMV30" s="27"/>
      <c r="WMW30" s="27"/>
      <c r="WMX30" s="27"/>
      <c r="WMY30" s="27"/>
      <c r="WMZ30" s="27"/>
      <c r="WNA30" s="27"/>
      <c r="WNB30" s="27"/>
      <c r="WNC30" s="27"/>
      <c r="WND30" s="27"/>
      <c r="WNE30" s="27"/>
      <c r="WNF30" s="27"/>
      <c r="WNG30" s="27"/>
      <c r="WNH30" s="27"/>
      <c r="WNI30" s="27"/>
      <c r="WNJ30" s="27"/>
      <c r="WNK30" s="27"/>
      <c r="WNL30" s="27"/>
      <c r="WNM30" s="27"/>
      <c r="WNN30" s="27"/>
      <c r="WNO30" s="27"/>
      <c r="WNP30" s="27"/>
      <c r="WNQ30" s="27"/>
      <c r="WNR30" s="27"/>
      <c r="WNS30" s="27"/>
      <c r="WNT30" s="27"/>
      <c r="WNU30" s="27"/>
      <c r="WNV30" s="27"/>
      <c r="WNW30" s="27"/>
      <c r="WNX30" s="27"/>
      <c r="WNY30" s="27"/>
      <c r="WNZ30" s="27"/>
      <c r="WOA30" s="27"/>
      <c r="WOB30" s="27"/>
      <c r="WOC30" s="27"/>
      <c r="WOD30" s="27"/>
      <c r="WOE30" s="27"/>
      <c r="WOF30" s="27"/>
      <c r="WOG30" s="27"/>
      <c r="WOH30" s="27"/>
      <c r="WOI30" s="27"/>
      <c r="WOJ30" s="27"/>
      <c r="WOK30" s="27"/>
      <c r="WOL30" s="27"/>
      <c r="WOM30" s="27"/>
      <c r="WON30" s="27"/>
      <c r="WOO30" s="27"/>
      <c r="WOP30" s="27"/>
      <c r="WOQ30" s="27"/>
      <c r="WOR30" s="27"/>
      <c r="WOS30" s="27"/>
      <c r="WOT30" s="27"/>
      <c r="WOU30" s="27"/>
      <c r="WOV30" s="27"/>
      <c r="WOW30" s="27"/>
      <c r="WOX30" s="27"/>
      <c r="WOY30" s="27"/>
      <c r="WOZ30" s="27"/>
      <c r="WPA30" s="27"/>
      <c r="WPB30" s="27"/>
      <c r="WPC30" s="27"/>
      <c r="WPD30" s="27"/>
      <c r="WPE30" s="27"/>
      <c r="WPF30" s="27"/>
      <c r="WPG30" s="27"/>
      <c r="WPH30" s="27"/>
      <c r="WPI30" s="27"/>
      <c r="WPJ30" s="27"/>
      <c r="WPK30" s="27"/>
      <c r="WPL30" s="27"/>
      <c r="WPM30" s="27"/>
      <c r="WPN30" s="27"/>
      <c r="WPO30" s="27"/>
      <c r="WPP30" s="27"/>
      <c r="WPQ30" s="27"/>
      <c r="WPR30" s="27"/>
      <c r="WPS30" s="27"/>
      <c r="WPT30" s="27"/>
      <c r="WPU30" s="27"/>
      <c r="WPV30" s="27"/>
      <c r="WPW30" s="27"/>
      <c r="WPX30" s="27"/>
      <c r="WPY30" s="27"/>
      <c r="WPZ30" s="27"/>
      <c r="WQA30" s="27"/>
      <c r="WQB30" s="27"/>
      <c r="WQC30" s="27"/>
      <c r="WQD30" s="27"/>
      <c r="WQE30" s="27"/>
      <c r="WQF30" s="27"/>
      <c r="WQG30" s="27"/>
      <c r="WQH30" s="27"/>
      <c r="WQI30" s="27"/>
      <c r="WQJ30" s="27"/>
      <c r="WQK30" s="27"/>
      <c r="WQL30" s="27"/>
      <c r="WQM30" s="27"/>
      <c r="WQN30" s="27"/>
      <c r="WQO30" s="27"/>
      <c r="WQP30" s="27"/>
      <c r="WQQ30" s="27"/>
      <c r="WQR30" s="27"/>
      <c r="WQS30" s="27"/>
      <c r="WQT30" s="27"/>
      <c r="WQU30" s="27"/>
      <c r="WQV30" s="27"/>
      <c r="WQW30" s="27"/>
      <c r="WQX30" s="27"/>
      <c r="WQY30" s="27"/>
      <c r="WQZ30" s="27"/>
      <c r="WRA30" s="27"/>
      <c r="WRB30" s="27"/>
      <c r="WRC30" s="27"/>
      <c r="WRD30" s="27"/>
      <c r="WRE30" s="27"/>
      <c r="WRF30" s="27"/>
      <c r="WRG30" s="27"/>
      <c r="WRH30" s="27"/>
      <c r="WRI30" s="27"/>
      <c r="WRJ30" s="27"/>
      <c r="WRK30" s="27"/>
      <c r="WRL30" s="27"/>
      <c r="WRM30" s="27"/>
      <c r="WRN30" s="27"/>
      <c r="WRO30" s="27"/>
      <c r="WRP30" s="27"/>
      <c r="WRQ30" s="27"/>
      <c r="WRR30" s="27"/>
      <c r="WRS30" s="27"/>
      <c r="WRT30" s="27"/>
      <c r="WRU30" s="27"/>
      <c r="WRV30" s="27"/>
      <c r="WRW30" s="27"/>
      <c r="WRX30" s="27"/>
      <c r="WRY30" s="27"/>
      <c r="WRZ30" s="27"/>
      <c r="WSA30" s="27"/>
      <c r="WSB30" s="27"/>
      <c r="WSC30" s="27"/>
      <c r="WSD30" s="27"/>
      <c r="WSE30" s="27"/>
      <c r="WSF30" s="27"/>
      <c r="WSG30" s="27"/>
      <c r="WSH30" s="27"/>
      <c r="WSI30" s="27"/>
      <c r="WSJ30" s="27"/>
      <c r="WSK30" s="27"/>
      <c r="WSL30" s="27"/>
      <c r="WSM30" s="27"/>
      <c r="WSN30" s="27"/>
      <c r="WSO30" s="27"/>
      <c r="WSP30" s="27"/>
      <c r="WSQ30" s="27"/>
      <c r="WSR30" s="27"/>
      <c r="WSS30" s="27"/>
      <c r="WST30" s="27"/>
      <c r="WSU30" s="27"/>
      <c r="WSV30" s="27"/>
      <c r="WSW30" s="27"/>
      <c r="WSX30" s="27"/>
      <c r="WSY30" s="27"/>
      <c r="WSZ30" s="27"/>
      <c r="WTA30" s="27"/>
      <c r="WTB30" s="27"/>
      <c r="WTC30" s="27"/>
      <c r="WTD30" s="27"/>
      <c r="WTE30" s="27"/>
      <c r="WTF30" s="27"/>
      <c r="WTG30" s="27"/>
      <c r="WTH30" s="27"/>
      <c r="WTI30" s="27"/>
      <c r="WTJ30" s="27"/>
      <c r="WTK30" s="27"/>
      <c r="WTL30" s="27"/>
      <c r="WTM30" s="27"/>
      <c r="WTN30" s="27"/>
      <c r="WTO30" s="27"/>
      <c r="WTP30" s="27"/>
      <c r="WTQ30" s="27"/>
      <c r="WTR30" s="27"/>
      <c r="WTS30" s="27"/>
      <c r="WTT30" s="27"/>
      <c r="WTU30" s="27"/>
      <c r="WTV30" s="27"/>
      <c r="WTW30" s="27"/>
      <c r="WTX30" s="27"/>
      <c r="WTY30" s="27"/>
      <c r="WTZ30" s="27"/>
      <c r="WUA30" s="27"/>
      <c r="WUB30" s="27"/>
      <c r="WUC30" s="27"/>
      <c r="WUD30" s="27"/>
      <c r="WUE30" s="27"/>
      <c r="WUF30" s="27"/>
      <c r="WUG30" s="27"/>
      <c r="WUH30" s="27"/>
      <c r="WUI30" s="27"/>
      <c r="WUJ30" s="27"/>
      <c r="WUK30" s="27"/>
      <c r="WUL30" s="27"/>
      <c r="WUM30" s="27"/>
      <c r="WUN30" s="27"/>
      <c r="WUO30" s="27"/>
      <c r="WUP30" s="27"/>
      <c r="WUQ30" s="27"/>
      <c r="WUR30" s="27"/>
      <c r="WUS30" s="27"/>
      <c r="WUT30" s="27"/>
      <c r="WUU30" s="27"/>
      <c r="WUV30" s="27"/>
      <c r="WUW30" s="27"/>
      <c r="WUX30" s="27"/>
      <c r="WUY30" s="27"/>
      <c r="WUZ30" s="27"/>
      <c r="WVA30" s="27"/>
      <c r="WVB30" s="27"/>
      <c r="WVC30" s="27"/>
      <c r="WVD30" s="27"/>
      <c r="WVE30" s="27"/>
      <c r="WVF30" s="27"/>
      <c r="WVG30" s="27"/>
      <c r="WVH30" s="27"/>
      <c r="WVI30" s="27"/>
      <c r="WVJ30" s="27"/>
      <c r="WVK30" s="27"/>
      <c r="WVL30" s="27"/>
      <c r="WVM30" s="27"/>
      <c r="WVN30" s="27"/>
      <c r="WVO30" s="27"/>
      <c r="WVP30" s="27"/>
      <c r="WVQ30" s="27"/>
      <c r="WVR30" s="27"/>
      <c r="WVS30" s="27"/>
      <c r="WVT30" s="27"/>
      <c r="WVU30" s="27"/>
      <c r="WVV30" s="27"/>
      <c r="WVW30" s="27"/>
      <c r="WVX30" s="27"/>
      <c r="WVY30" s="27"/>
      <c r="WVZ30" s="27"/>
      <c r="WWA30" s="27"/>
      <c r="WWB30" s="27"/>
      <c r="WWC30" s="27"/>
      <c r="WWD30" s="27"/>
      <c r="WWE30" s="27"/>
      <c r="WWF30" s="27"/>
      <c r="WWG30" s="27"/>
      <c r="WWH30" s="27"/>
      <c r="WWI30" s="27"/>
      <c r="WWJ30" s="27"/>
      <c r="WWK30" s="27"/>
      <c r="WWL30" s="27"/>
      <c r="WWM30" s="27"/>
      <c r="WWN30" s="27"/>
      <c r="WWO30" s="27"/>
      <c r="WWP30" s="27"/>
      <c r="WWQ30" s="27"/>
      <c r="WWR30" s="27"/>
      <c r="WWS30" s="27"/>
      <c r="WWT30" s="27"/>
      <c r="WWU30" s="27"/>
      <c r="WWV30" s="27"/>
      <c r="WWW30" s="27"/>
      <c r="WWX30" s="27"/>
      <c r="WWY30" s="27"/>
      <c r="WWZ30" s="27"/>
      <c r="WXA30" s="27"/>
      <c r="WXB30" s="27"/>
      <c r="WXC30" s="27"/>
      <c r="WXD30" s="27"/>
      <c r="WXE30" s="27"/>
      <c r="WXF30" s="27"/>
      <c r="WXG30" s="27"/>
      <c r="WXH30" s="27"/>
      <c r="WXI30" s="27"/>
      <c r="WXJ30" s="27"/>
      <c r="WXK30" s="27"/>
      <c r="WXL30" s="27"/>
      <c r="WXM30" s="27"/>
      <c r="WXN30" s="27"/>
      <c r="WXO30" s="27"/>
      <c r="WXP30" s="27"/>
      <c r="WXQ30" s="27"/>
      <c r="WXR30" s="27"/>
      <c r="WXS30" s="27"/>
      <c r="WXT30" s="27"/>
      <c r="WXU30" s="27"/>
      <c r="WXV30" s="27"/>
      <c r="WXW30" s="27"/>
      <c r="WXX30" s="27"/>
      <c r="WXY30" s="27"/>
      <c r="WXZ30" s="27"/>
      <c r="WYA30" s="27"/>
      <c r="WYB30" s="27"/>
      <c r="WYC30" s="27"/>
      <c r="WYD30" s="27"/>
      <c r="WYE30" s="27"/>
      <c r="WYF30" s="27"/>
      <c r="WYG30" s="27"/>
      <c r="WYH30" s="27"/>
      <c r="WYI30" s="27"/>
      <c r="WYJ30" s="27"/>
      <c r="WYK30" s="27"/>
      <c r="WYL30" s="27"/>
      <c r="WYM30" s="27"/>
      <c r="WYN30" s="27"/>
      <c r="WYO30" s="27"/>
      <c r="WYP30" s="27"/>
      <c r="WYQ30" s="27"/>
      <c r="WYR30" s="27"/>
      <c r="WYS30" s="27"/>
      <c r="WYT30" s="27"/>
      <c r="WYU30" s="27"/>
      <c r="WYV30" s="27"/>
      <c r="WYW30" s="27"/>
      <c r="WYX30" s="27"/>
      <c r="WYY30" s="27"/>
      <c r="WYZ30" s="27"/>
      <c r="WZA30" s="27"/>
      <c r="WZB30" s="27"/>
      <c r="WZC30" s="27"/>
      <c r="WZD30" s="27"/>
      <c r="WZE30" s="27"/>
      <c r="WZF30" s="27"/>
      <c r="WZG30" s="27"/>
      <c r="WZH30" s="27"/>
      <c r="WZI30" s="27"/>
      <c r="WZJ30" s="27"/>
      <c r="WZK30" s="27"/>
      <c r="WZL30" s="27"/>
      <c r="WZM30" s="27"/>
      <c r="WZN30" s="27"/>
      <c r="WZO30" s="27"/>
      <c r="WZP30" s="27"/>
      <c r="WZQ30" s="27"/>
      <c r="WZR30" s="27"/>
      <c r="WZS30" s="27"/>
      <c r="WZT30" s="27"/>
      <c r="WZU30" s="27"/>
      <c r="WZV30" s="27"/>
      <c r="WZW30" s="27"/>
      <c r="WZX30" s="27"/>
      <c r="WZY30" s="27"/>
      <c r="WZZ30" s="27"/>
      <c r="XAA30" s="27"/>
      <c r="XAB30" s="27"/>
      <c r="XAC30" s="27"/>
      <c r="XAD30" s="27"/>
      <c r="XAE30" s="27"/>
      <c r="XAF30" s="27"/>
      <c r="XAG30" s="27"/>
      <c r="XAH30" s="27"/>
      <c r="XAI30" s="27"/>
      <c r="XAJ30" s="27"/>
      <c r="XAK30" s="27"/>
      <c r="XAL30" s="27"/>
      <c r="XAM30" s="27"/>
      <c r="XAN30" s="27"/>
      <c r="XAO30" s="27"/>
      <c r="XAP30" s="27"/>
      <c r="XAQ30" s="27"/>
      <c r="XAR30" s="27"/>
      <c r="XAS30" s="27"/>
      <c r="XAT30" s="27"/>
      <c r="XAU30" s="27"/>
      <c r="XAV30" s="27"/>
      <c r="XAW30" s="27"/>
      <c r="XAX30" s="27"/>
      <c r="XAY30" s="27"/>
      <c r="XAZ30" s="27"/>
      <c r="XBA30" s="27"/>
      <c r="XBB30" s="27"/>
      <c r="XBC30" s="27"/>
      <c r="XBD30" s="27"/>
      <c r="XBE30" s="27"/>
      <c r="XBF30" s="27"/>
      <c r="XBG30" s="27"/>
      <c r="XBH30" s="27"/>
      <c r="XBI30" s="27"/>
      <c r="XBJ30" s="27"/>
      <c r="XBK30" s="27"/>
      <c r="XBL30" s="27"/>
      <c r="XBM30" s="27"/>
      <c r="XBN30" s="27"/>
      <c r="XBO30" s="27"/>
      <c r="XBP30" s="27"/>
      <c r="XBQ30" s="27"/>
      <c r="XBR30" s="27"/>
      <c r="XBS30" s="27"/>
      <c r="XBT30" s="27"/>
      <c r="XBU30" s="27"/>
      <c r="XBV30" s="27"/>
      <c r="XBW30" s="27"/>
      <c r="XBX30" s="27"/>
      <c r="XBY30" s="27"/>
      <c r="XBZ30" s="27"/>
      <c r="XCA30" s="27"/>
      <c r="XCB30" s="27"/>
      <c r="XCC30" s="27"/>
      <c r="XCD30" s="27"/>
      <c r="XCE30" s="27"/>
      <c r="XCF30" s="27"/>
      <c r="XCG30" s="27"/>
      <c r="XCH30" s="27"/>
      <c r="XCI30" s="27"/>
      <c r="XCJ30" s="27"/>
      <c r="XCK30" s="27"/>
      <c r="XCL30" s="27"/>
      <c r="XCM30" s="27"/>
      <c r="XCN30" s="27"/>
      <c r="XCO30" s="27"/>
      <c r="XCP30" s="27"/>
      <c r="XCQ30" s="27"/>
      <c r="XCR30" s="27"/>
      <c r="XCS30" s="27"/>
      <c r="XCT30" s="27"/>
      <c r="XCU30" s="27"/>
      <c r="XCV30" s="27"/>
      <c r="XCW30" s="27"/>
      <c r="XCX30" s="27"/>
      <c r="XCY30" s="27"/>
      <c r="XCZ30" s="27"/>
      <c r="XDA30" s="27"/>
      <c r="XDB30" s="27"/>
      <c r="XDC30" s="27"/>
      <c r="XDD30" s="27"/>
      <c r="XDE30" s="27"/>
      <c r="XDF30" s="27"/>
      <c r="XDG30" s="27"/>
      <c r="XDH30" s="27"/>
      <c r="XDI30" s="27"/>
      <c r="XDJ30" s="27"/>
      <c r="XDK30" s="27"/>
      <c r="XDL30" s="27"/>
      <c r="XDM30" s="27"/>
      <c r="XDN30" s="27"/>
      <c r="XDO30" s="27"/>
      <c r="XDP30" s="27"/>
      <c r="XDQ30" s="27"/>
      <c r="XDR30" s="27"/>
      <c r="XDS30" s="27"/>
      <c r="XDT30" s="27"/>
      <c r="XDU30" s="27"/>
      <c r="XDV30" s="27"/>
      <c r="XDW30" s="27"/>
      <c r="XDX30" s="27"/>
      <c r="XDY30" s="27"/>
      <c r="XDZ30" s="27"/>
      <c r="XEA30" s="27"/>
      <c r="XEB30" s="27"/>
      <c r="XEC30" s="27"/>
      <c r="XED30" s="27"/>
      <c r="XEE30" s="27"/>
      <c r="XEF30" s="27"/>
      <c r="XEG30" s="27"/>
      <c r="XEH30" s="27"/>
      <c r="XEI30" s="27"/>
      <c r="XEJ30" s="27"/>
      <c r="XEK30" s="27"/>
      <c r="XEL30" s="27"/>
      <c r="XEM30" s="27"/>
      <c r="XEN30" s="27"/>
      <c r="XEO30" s="27"/>
      <c r="XEP30" s="27"/>
      <c r="XEQ30" s="27"/>
      <c r="XER30" s="27"/>
      <c r="XES30" s="27"/>
      <c r="XET30" s="27"/>
      <c r="XEU30" s="27"/>
      <c r="XEV30" s="27"/>
      <c r="XEW30" s="27"/>
      <c r="XEX30" s="27"/>
      <c r="XEY30" s="27"/>
      <c r="XEZ30" s="27"/>
      <c r="XFA30" s="27"/>
      <c r="XFB30" s="27"/>
    </row>
    <row r="31" spans="1:16382" s="62" customFormat="1" outlineLevel="1" x14ac:dyDescent="0.25">
      <c r="B31" s="53"/>
      <c r="C31" s="54">
        <v>27</v>
      </c>
      <c r="D31" s="54" t="s">
        <v>21</v>
      </c>
      <c r="E31" s="55" t="s">
        <v>1323</v>
      </c>
      <c r="F31" s="53" t="s">
        <v>22</v>
      </c>
      <c r="G31" s="63">
        <v>1</v>
      </c>
      <c r="H31" s="57" t="s">
        <v>24</v>
      </c>
      <c r="I31" s="54" t="s">
        <v>25</v>
      </c>
      <c r="J31" s="54" t="s">
        <v>26</v>
      </c>
      <c r="K31" s="54" t="s">
        <v>27</v>
      </c>
      <c r="L31" s="54" t="s">
        <v>28</v>
      </c>
      <c r="M31" s="54" t="s">
        <v>29</v>
      </c>
      <c r="N31" s="54" t="s">
        <v>30</v>
      </c>
      <c r="O31" s="74">
        <v>46139</v>
      </c>
      <c r="P31" s="57"/>
      <c r="Q31" s="57"/>
      <c r="R31" s="61" t="s">
        <v>84</v>
      </c>
      <c r="S31" s="61" t="s">
        <v>31</v>
      </c>
    </row>
    <row r="32" spans="1:16382" s="62" customFormat="1" ht="72" customHeight="1" outlineLevel="1" x14ac:dyDescent="0.25">
      <c r="B32" s="53"/>
      <c r="C32" s="54" t="s">
        <v>1324</v>
      </c>
      <c r="D32" s="54" t="s">
        <v>811</v>
      </c>
      <c r="E32" s="55" t="s">
        <v>1323</v>
      </c>
      <c r="F32" s="53" t="s">
        <v>812</v>
      </c>
      <c r="G32" s="63">
        <v>6</v>
      </c>
      <c r="H32" s="57" t="s">
        <v>813</v>
      </c>
      <c r="I32" s="54" t="s">
        <v>814</v>
      </c>
      <c r="J32" s="54" t="s">
        <v>815</v>
      </c>
      <c r="K32" s="54" t="s">
        <v>816</v>
      </c>
      <c r="L32" s="54" t="s">
        <v>817</v>
      </c>
      <c r="M32" s="54" t="s">
        <v>1325</v>
      </c>
      <c r="N32" s="54" t="s">
        <v>819</v>
      </c>
      <c r="O32" s="74">
        <v>46153</v>
      </c>
      <c r="P32" s="57"/>
      <c r="Q32" s="57"/>
      <c r="R32" s="61" t="s">
        <v>84</v>
      </c>
      <c r="S32" s="61" t="s">
        <v>84</v>
      </c>
    </row>
    <row r="33" spans="2:19" s="62" customFormat="1" outlineLevel="1" x14ac:dyDescent="0.25">
      <c r="B33" s="53"/>
      <c r="C33" s="54">
        <v>29</v>
      </c>
      <c r="D33" s="54" t="s">
        <v>43</v>
      </c>
      <c r="E33" s="55" t="s">
        <v>1323</v>
      </c>
      <c r="F33" s="53" t="s">
        <v>44</v>
      </c>
      <c r="G33" s="63">
        <v>1</v>
      </c>
      <c r="H33" s="57" t="s">
        <v>24</v>
      </c>
      <c r="I33" s="54" t="s">
        <v>45</v>
      </c>
      <c r="J33" s="54" t="s">
        <v>46</v>
      </c>
      <c r="K33" s="54" t="s">
        <v>47</v>
      </c>
      <c r="L33" s="54" t="s">
        <v>48</v>
      </c>
      <c r="M33" s="54" t="s">
        <v>49</v>
      </c>
      <c r="N33" s="54" t="s">
        <v>50</v>
      </c>
      <c r="O33" s="74">
        <v>46139</v>
      </c>
      <c r="P33" s="57"/>
      <c r="Q33" s="57"/>
      <c r="R33" s="61" t="s">
        <v>84</v>
      </c>
      <c r="S33" s="61" t="s">
        <v>31</v>
      </c>
    </row>
    <row r="34" spans="2:19" s="62" customFormat="1" ht="30" customHeight="1" outlineLevel="1" x14ac:dyDescent="0.25">
      <c r="B34" s="53"/>
      <c r="C34" s="54">
        <v>30</v>
      </c>
      <c r="D34" s="54" t="s">
        <v>1079</v>
      </c>
      <c r="E34" s="55" t="s">
        <v>1323</v>
      </c>
      <c r="F34" s="53" t="s">
        <v>918</v>
      </c>
      <c r="G34" s="63">
        <v>1</v>
      </c>
      <c r="H34" s="57" t="s">
        <v>152</v>
      </c>
      <c r="I34" s="54" t="s">
        <v>1080</v>
      </c>
      <c r="J34" s="54" t="s">
        <v>1081</v>
      </c>
      <c r="K34" s="54" t="s">
        <v>1082</v>
      </c>
      <c r="L34" s="54" t="s">
        <v>1083</v>
      </c>
      <c r="M34" s="54" t="s">
        <v>1084</v>
      </c>
      <c r="N34" s="54" t="s">
        <v>1085</v>
      </c>
      <c r="O34" s="74">
        <v>46139</v>
      </c>
      <c r="P34" s="57"/>
      <c r="Q34" s="57"/>
      <c r="R34" s="61" t="s">
        <v>84</v>
      </c>
      <c r="S34" s="61" t="s">
        <v>84</v>
      </c>
    </row>
    <row r="35" spans="2:19" s="62" customFormat="1" ht="36" customHeight="1" outlineLevel="1" x14ac:dyDescent="0.25">
      <c r="B35" s="53"/>
      <c r="C35" s="54" t="s">
        <v>1326</v>
      </c>
      <c r="D35" s="54" t="s">
        <v>75</v>
      </c>
      <c r="E35" s="55" t="s">
        <v>1323</v>
      </c>
      <c r="F35" s="53" t="s">
        <v>76</v>
      </c>
      <c r="G35" s="63">
        <v>3</v>
      </c>
      <c r="H35" s="57" t="s">
        <v>77</v>
      </c>
      <c r="I35" s="54" t="s">
        <v>1327</v>
      </c>
      <c r="J35" s="54" t="s">
        <v>1304</v>
      </c>
      <c r="K35" s="54" t="s">
        <v>1305</v>
      </c>
      <c r="L35" s="54" t="s">
        <v>81</v>
      </c>
      <c r="M35" s="54" t="s">
        <v>1328</v>
      </c>
      <c r="N35" s="54" t="s">
        <v>83</v>
      </c>
      <c r="O35" s="74">
        <v>46139</v>
      </c>
      <c r="P35" s="57"/>
      <c r="Q35" s="57"/>
      <c r="R35" s="61" t="s">
        <v>84</v>
      </c>
      <c r="S35" s="61" t="s">
        <v>84</v>
      </c>
    </row>
    <row r="36" spans="2:19" s="62" customFormat="1" outlineLevel="1" x14ac:dyDescent="0.25">
      <c r="B36" s="53"/>
      <c r="C36" s="54">
        <v>32</v>
      </c>
      <c r="D36" s="54" t="s">
        <v>85</v>
      </c>
      <c r="E36" s="55" t="s">
        <v>1323</v>
      </c>
      <c r="F36" s="53" t="s">
        <v>86</v>
      </c>
      <c r="G36" s="63">
        <v>1</v>
      </c>
      <c r="H36" s="57" t="s">
        <v>87</v>
      </c>
      <c r="I36" s="54" t="s">
        <v>88</v>
      </c>
      <c r="J36" s="54" t="s">
        <v>89</v>
      </c>
      <c r="K36" s="54" t="s">
        <v>90</v>
      </c>
      <c r="L36" s="54" t="s">
        <v>91</v>
      </c>
      <c r="M36" s="54" t="s">
        <v>92</v>
      </c>
      <c r="N36" s="54" t="s">
        <v>93</v>
      </c>
      <c r="O36" s="74">
        <v>46139</v>
      </c>
      <c r="P36" s="57"/>
      <c r="Q36" s="57"/>
      <c r="R36" s="61" t="s">
        <v>84</v>
      </c>
      <c r="S36" s="61" t="s">
        <v>84</v>
      </c>
    </row>
    <row r="37" spans="2:19" s="62" customFormat="1" outlineLevel="1" x14ac:dyDescent="0.25">
      <c r="B37" s="53"/>
      <c r="C37" s="54">
        <v>33</v>
      </c>
      <c r="D37" s="54" t="s">
        <v>109</v>
      </c>
      <c r="E37" s="55" t="s">
        <v>1323</v>
      </c>
      <c r="F37" s="53" t="s">
        <v>110</v>
      </c>
      <c r="G37" s="63">
        <v>1</v>
      </c>
      <c r="H37" s="57" t="s">
        <v>111</v>
      </c>
      <c r="I37" s="54" t="s">
        <v>112</v>
      </c>
      <c r="J37" s="54" t="s">
        <v>113</v>
      </c>
      <c r="K37" s="54" t="s">
        <v>114</v>
      </c>
      <c r="L37" s="54" t="s">
        <v>115</v>
      </c>
      <c r="M37" s="54" t="s">
        <v>115</v>
      </c>
      <c r="N37" s="54" t="s">
        <v>116</v>
      </c>
      <c r="O37" s="74">
        <v>46139</v>
      </c>
      <c r="P37" s="57"/>
      <c r="Q37" s="57"/>
      <c r="R37" s="61" t="s">
        <v>84</v>
      </c>
      <c r="S37" s="61" t="s">
        <v>84</v>
      </c>
    </row>
    <row r="38" spans="2:19" s="62" customFormat="1" ht="36" customHeight="1" outlineLevel="1" x14ac:dyDescent="0.25">
      <c r="B38" s="53"/>
      <c r="C38" s="54" t="s">
        <v>1329</v>
      </c>
      <c r="D38" s="54" t="s">
        <v>947</v>
      </c>
      <c r="E38" s="55" t="s">
        <v>1323</v>
      </c>
      <c r="F38" s="53" t="s">
        <v>920</v>
      </c>
      <c r="G38" s="63">
        <v>2</v>
      </c>
      <c r="H38" s="57" t="s">
        <v>61</v>
      </c>
      <c r="I38" s="54" t="s">
        <v>948</v>
      </c>
      <c r="J38" s="54" t="s">
        <v>949</v>
      </c>
      <c r="K38" s="54" t="s">
        <v>950</v>
      </c>
      <c r="L38" s="54" t="s">
        <v>951</v>
      </c>
      <c r="M38" s="54" t="s">
        <v>1330</v>
      </c>
      <c r="N38" s="54" t="s">
        <v>953</v>
      </c>
      <c r="O38" s="74">
        <v>46139</v>
      </c>
      <c r="P38" s="57"/>
      <c r="Q38" s="57"/>
      <c r="R38" s="61" t="s">
        <v>84</v>
      </c>
      <c r="S38" s="61" t="s">
        <v>31</v>
      </c>
    </row>
    <row r="39" spans="2:19" s="62" customFormat="1" outlineLevel="1" x14ac:dyDescent="0.25">
      <c r="B39" s="53"/>
      <c r="C39" s="54">
        <v>35</v>
      </c>
      <c r="D39" s="54" t="s">
        <v>142</v>
      </c>
      <c r="E39" s="55" t="s">
        <v>1323</v>
      </c>
      <c r="F39" s="53" t="s">
        <v>143</v>
      </c>
      <c r="G39" s="63">
        <v>1</v>
      </c>
      <c r="H39" s="57" t="s">
        <v>61</v>
      </c>
      <c r="I39" s="54" t="s">
        <v>144</v>
      </c>
      <c r="J39" s="54" t="s">
        <v>145</v>
      </c>
      <c r="K39" s="54" t="s">
        <v>146</v>
      </c>
      <c r="L39" s="54" t="s">
        <v>147</v>
      </c>
      <c r="M39" s="54" t="s">
        <v>148</v>
      </c>
      <c r="N39" s="54" t="s">
        <v>149</v>
      </c>
      <c r="O39" s="74">
        <v>46139</v>
      </c>
      <c r="P39" s="57"/>
      <c r="Q39" s="57"/>
      <c r="R39" s="61" t="s">
        <v>84</v>
      </c>
      <c r="S39" s="61" t="s">
        <v>84</v>
      </c>
    </row>
    <row r="40" spans="2:19" s="62" customFormat="1" outlineLevel="1" x14ac:dyDescent="0.25">
      <c r="B40" s="53"/>
      <c r="C40" s="54">
        <v>36</v>
      </c>
      <c r="D40" s="54" t="s">
        <v>536</v>
      </c>
      <c r="E40" s="55" t="s">
        <v>1323</v>
      </c>
      <c r="F40" s="53" t="s">
        <v>537</v>
      </c>
      <c r="G40" s="63">
        <v>1</v>
      </c>
      <c r="H40" s="57" t="s">
        <v>111</v>
      </c>
      <c r="I40" s="54" t="s">
        <v>538</v>
      </c>
      <c r="J40" s="54" t="s">
        <v>539</v>
      </c>
      <c r="K40" s="54" t="s">
        <v>540</v>
      </c>
      <c r="L40" s="54" t="s">
        <v>541</v>
      </c>
      <c r="M40" s="54" t="s">
        <v>541</v>
      </c>
      <c r="N40" s="54" t="s">
        <v>542</v>
      </c>
      <c r="O40" s="74">
        <v>46139</v>
      </c>
      <c r="P40" s="57"/>
      <c r="Q40" s="57"/>
      <c r="R40" s="61" t="s">
        <v>84</v>
      </c>
      <c r="S40" s="61" t="s">
        <v>84</v>
      </c>
    </row>
    <row r="41" spans="2:19" s="62" customFormat="1" outlineLevel="1" x14ac:dyDescent="0.25">
      <c r="B41" s="53"/>
      <c r="C41" s="54">
        <v>37</v>
      </c>
      <c r="D41" s="54" t="s">
        <v>150</v>
      </c>
      <c r="E41" s="55" t="s">
        <v>1323</v>
      </c>
      <c r="F41" s="53" t="s">
        <v>151</v>
      </c>
      <c r="G41" s="63">
        <v>2</v>
      </c>
      <c r="H41" s="57" t="s">
        <v>152</v>
      </c>
      <c r="I41" s="54" t="s">
        <v>153</v>
      </c>
      <c r="J41" s="54" t="s">
        <v>154</v>
      </c>
      <c r="K41" s="54" t="s">
        <v>155</v>
      </c>
      <c r="L41" s="54" t="s">
        <v>156</v>
      </c>
      <c r="M41" s="54" t="s">
        <v>440</v>
      </c>
      <c r="N41" s="54" t="s">
        <v>158</v>
      </c>
      <c r="O41" s="74">
        <v>46139</v>
      </c>
      <c r="P41" s="57"/>
      <c r="Q41" s="57"/>
      <c r="R41" s="61" t="s">
        <v>84</v>
      </c>
      <c r="S41" s="61" t="s">
        <v>84</v>
      </c>
    </row>
    <row r="42" spans="2:19" s="62" customFormat="1" outlineLevel="1" x14ac:dyDescent="0.25">
      <c r="B42" s="53"/>
      <c r="C42" s="54">
        <v>38</v>
      </c>
      <c r="D42" s="54" t="s">
        <v>667</v>
      </c>
      <c r="E42" s="55" t="s">
        <v>1323</v>
      </c>
      <c r="F42" s="53" t="s">
        <v>668</v>
      </c>
      <c r="G42" s="63">
        <v>1</v>
      </c>
      <c r="H42" s="57" t="s">
        <v>61</v>
      </c>
      <c r="I42" s="54" t="s">
        <v>669</v>
      </c>
      <c r="J42" s="54" t="s">
        <v>670</v>
      </c>
      <c r="K42" s="68" t="s">
        <v>671</v>
      </c>
      <c r="L42" s="54" t="s">
        <v>672</v>
      </c>
      <c r="M42" s="54" t="s">
        <v>672</v>
      </c>
      <c r="N42" s="54" t="s">
        <v>673</v>
      </c>
      <c r="O42" s="74">
        <v>46139</v>
      </c>
      <c r="P42" s="57"/>
      <c r="Q42" s="57"/>
      <c r="R42" s="61" t="s">
        <v>84</v>
      </c>
      <c r="S42" s="61" t="s">
        <v>84</v>
      </c>
    </row>
    <row r="43" spans="2:19" s="62" customFormat="1" ht="54" customHeight="1" outlineLevel="1" x14ac:dyDescent="0.25">
      <c r="B43" s="53"/>
      <c r="C43" s="54" t="s">
        <v>1331</v>
      </c>
      <c r="D43" s="54" t="s">
        <v>190</v>
      </c>
      <c r="E43" s="55" t="s">
        <v>1323</v>
      </c>
      <c r="F43" s="53" t="s">
        <v>191</v>
      </c>
      <c r="G43" s="63">
        <v>3</v>
      </c>
      <c r="H43" s="57" t="s">
        <v>24</v>
      </c>
      <c r="I43" s="54" t="s">
        <v>1332</v>
      </c>
      <c r="J43" s="54" t="s">
        <v>1333</v>
      </c>
      <c r="K43" s="54" t="s">
        <v>1334</v>
      </c>
      <c r="L43" s="54" t="s">
        <v>195</v>
      </c>
      <c r="M43" s="54" t="s">
        <v>1335</v>
      </c>
      <c r="N43" s="54" t="s">
        <v>197</v>
      </c>
      <c r="O43" s="74">
        <v>46139</v>
      </c>
      <c r="P43" s="57"/>
      <c r="Q43" s="57"/>
      <c r="R43" s="61" t="s">
        <v>84</v>
      </c>
      <c r="S43" s="61" t="s">
        <v>31</v>
      </c>
    </row>
    <row r="44" spans="2:19" s="62" customFormat="1" outlineLevel="1" x14ac:dyDescent="0.25">
      <c r="B44" s="53"/>
      <c r="C44" s="54">
        <v>40</v>
      </c>
      <c r="D44" s="54" t="s">
        <v>635</v>
      </c>
      <c r="E44" s="55" t="s">
        <v>1323</v>
      </c>
      <c r="F44" s="53" t="s">
        <v>636</v>
      </c>
      <c r="G44" s="63">
        <v>1</v>
      </c>
      <c r="H44" s="57" t="s">
        <v>637</v>
      </c>
      <c r="I44" s="54" t="s">
        <v>638</v>
      </c>
      <c r="J44" s="54" t="s">
        <v>639</v>
      </c>
      <c r="K44" s="54" t="s">
        <v>640</v>
      </c>
      <c r="L44" s="54" t="s">
        <v>641</v>
      </c>
      <c r="M44" s="54" t="s">
        <v>1336</v>
      </c>
      <c r="N44" s="54" t="s">
        <v>643</v>
      </c>
      <c r="O44" s="74">
        <v>46139</v>
      </c>
      <c r="P44" s="57"/>
      <c r="Q44" s="57"/>
      <c r="R44" s="61" t="s">
        <v>84</v>
      </c>
      <c r="S44" s="61" t="s">
        <v>31</v>
      </c>
    </row>
    <row r="45" spans="2:19" s="62" customFormat="1" outlineLevel="1" x14ac:dyDescent="0.25">
      <c r="B45" s="53"/>
      <c r="C45" s="54">
        <v>41</v>
      </c>
      <c r="D45" s="54" t="s">
        <v>198</v>
      </c>
      <c r="E45" s="55" t="s">
        <v>1323</v>
      </c>
      <c r="F45" s="53" t="s">
        <v>199</v>
      </c>
      <c r="G45" s="63">
        <v>1</v>
      </c>
      <c r="H45" s="57" t="s">
        <v>200</v>
      </c>
      <c r="I45" s="54" t="s">
        <v>201</v>
      </c>
      <c r="J45" s="54" t="s">
        <v>202</v>
      </c>
      <c r="K45" s="54" t="s">
        <v>203</v>
      </c>
      <c r="L45" s="54" t="s">
        <v>204</v>
      </c>
      <c r="M45" s="54" t="s">
        <v>205</v>
      </c>
      <c r="N45" s="54" t="s">
        <v>206</v>
      </c>
      <c r="O45" s="74">
        <v>46139</v>
      </c>
      <c r="P45" s="57"/>
      <c r="Q45" s="57"/>
      <c r="R45" s="61" t="s">
        <v>84</v>
      </c>
      <c r="S45" s="61" t="s">
        <v>84</v>
      </c>
    </row>
    <row r="46" spans="2:19" s="62" customFormat="1" outlineLevel="1" x14ac:dyDescent="0.25">
      <c r="B46" s="53"/>
      <c r="C46" s="54">
        <v>42</v>
      </c>
      <c r="D46" s="54" t="s">
        <v>207</v>
      </c>
      <c r="E46" s="55" t="s">
        <v>1323</v>
      </c>
      <c r="F46" s="53" t="s">
        <v>208</v>
      </c>
      <c r="G46" s="63">
        <v>1</v>
      </c>
      <c r="H46" s="57" t="s">
        <v>61</v>
      </c>
      <c r="I46" s="54" t="s">
        <v>209</v>
      </c>
      <c r="J46" s="54" t="s">
        <v>210</v>
      </c>
      <c r="K46" s="54" t="s">
        <v>211</v>
      </c>
      <c r="L46" s="54" t="s">
        <v>212</v>
      </c>
      <c r="M46" s="54" t="s">
        <v>213</v>
      </c>
      <c r="N46" s="54" t="s">
        <v>214</v>
      </c>
      <c r="O46" s="74">
        <v>46139</v>
      </c>
      <c r="P46" s="57"/>
      <c r="Q46" s="57"/>
      <c r="R46" s="61" t="s">
        <v>84</v>
      </c>
      <c r="S46" s="61" t="s">
        <v>31</v>
      </c>
    </row>
    <row r="47" spans="2:19" s="62" customFormat="1" outlineLevel="1" x14ac:dyDescent="0.25">
      <c r="B47" s="53"/>
      <c r="C47" s="54">
        <v>43</v>
      </c>
      <c r="D47" s="54" t="s">
        <v>223</v>
      </c>
      <c r="E47" s="55" t="s">
        <v>1323</v>
      </c>
      <c r="F47" s="53" t="s">
        <v>224</v>
      </c>
      <c r="G47" s="63">
        <v>1</v>
      </c>
      <c r="H47" s="57" t="s">
        <v>61</v>
      </c>
      <c r="I47" s="54" t="s">
        <v>225</v>
      </c>
      <c r="J47" s="54" t="s">
        <v>226</v>
      </c>
      <c r="K47" s="54" t="s">
        <v>227</v>
      </c>
      <c r="L47" s="54" t="s">
        <v>228</v>
      </c>
      <c r="M47" s="54" t="s">
        <v>229</v>
      </c>
      <c r="N47" s="54" t="s">
        <v>230</v>
      </c>
      <c r="O47" s="74">
        <v>46139</v>
      </c>
      <c r="P47" s="57"/>
      <c r="Q47" s="57"/>
      <c r="R47" s="61" t="s">
        <v>84</v>
      </c>
      <c r="S47" s="61" t="s">
        <v>31</v>
      </c>
    </row>
    <row r="48" spans="2:19" s="62" customFormat="1" outlineLevel="1" x14ac:dyDescent="0.25">
      <c r="B48" s="53"/>
      <c r="C48" s="54">
        <v>44</v>
      </c>
      <c r="D48" s="54" t="s">
        <v>263</v>
      </c>
      <c r="E48" s="55" t="s">
        <v>1323</v>
      </c>
      <c r="F48" s="53" t="s">
        <v>264</v>
      </c>
      <c r="G48" s="63">
        <v>1</v>
      </c>
      <c r="H48" s="57" t="s">
        <v>61</v>
      </c>
      <c r="I48" s="54" t="s">
        <v>265</v>
      </c>
      <c r="J48" s="54" t="s">
        <v>266</v>
      </c>
      <c r="K48" s="54" t="s">
        <v>267</v>
      </c>
      <c r="L48" s="54" t="s">
        <v>252</v>
      </c>
      <c r="M48" s="54" t="s">
        <v>268</v>
      </c>
      <c r="N48" s="54" t="s">
        <v>269</v>
      </c>
      <c r="O48" s="74">
        <v>46139</v>
      </c>
      <c r="P48" s="57"/>
      <c r="Q48" s="57"/>
      <c r="R48" s="61" t="s">
        <v>84</v>
      </c>
      <c r="S48" s="61" t="s">
        <v>31</v>
      </c>
    </row>
    <row r="49" spans="2:19" s="62" customFormat="1" outlineLevel="1" x14ac:dyDescent="0.25">
      <c r="B49" s="53"/>
      <c r="C49" s="54">
        <v>45</v>
      </c>
      <c r="D49" s="54" t="s">
        <v>706</v>
      </c>
      <c r="E49" s="55" t="s">
        <v>1323</v>
      </c>
      <c r="F49" s="53" t="s">
        <v>707</v>
      </c>
      <c r="G49" s="63">
        <v>1</v>
      </c>
      <c r="H49" s="57" t="s">
        <v>111</v>
      </c>
      <c r="I49" s="54" t="s">
        <v>708</v>
      </c>
      <c r="J49" s="54" t="s">
        <v>709</v>
      </c>
      <c r="K49" s="54" t="s">
        <v>710</v>
      </c>
      <c r="L49" s="54" t="s">
        <v>711</v>
      </c>
      <c r="M49" s="54" t="s">
        <v>712</v>
      </c>
      <c r="N49" s="54" t="s">
        <v>713</v>
      </c>
      <c r="O49" s="74">
        <v>46139</v>
      </c>
      <c r="P49" s="57"/>
      <c r="Q49" s="57"/>
      <c r="R49" s="61" t="s">
        <v>84</v>
      </c>
      <c r="S49" s="61" t="s">
        <v>84</v>
      </c>
    </row>
    <row r="50" spans="2:19" s="62" customFormat="1" outlineLevel="1" x14ac:dyDescent="0.25">
      <c r="B50" s="53"/>
      <c r="C50" s="54">
        <v>46</v>
      </c>
      <c r="D50" s="54" t="s">
        <v>278</v>
      </c>
      <c r="E50" s="55" t="s">
        <v>1323</v>
      </c>
      <c r="F50" s="53" t="s">
        <v>279</v>
      </c>
      <c r="G50" s="63">
        <v>1</v>
      </c>
      <c r="H50" s="57" t="s">
        <v>61</v>
      </c>
      <c r="I50" s="54" t="s">
        <v>280</v>
      </c>
      <c r="J50" s="54" t="s">
        <v>281</v>
      </c>
      <c r="K50" s="54" t="s">
        <v>282</v>
      </c>
      <c r="L50" s="54" t="s">
        <v>283</v>
      </c>
      <c r="M50" s="54" t="s">
        <v>284</v>
      </c>
      <c r="N50" s="54" t="s">
        <v>285</v>
      </c>
      <c r="O50" s="74">
        <v>46139</v>
      </c>
      <c r="P50" s="57"/>
      <c r="Q50" s="57"/>
      <c r="R50" s="61" t="s">
        <v>84</v>
      </c>
      <c r="S50" s="61" t="s">
        <v>31</v>
      </c>
    </row>
    <row r="51" spans="2:19" s="62" customFormat="1" outlineLevel="1" x14ac:dyDescent="0.25">
      <c r="B51" s="53"/>
      <c r="C51" s="54">
        <v>47</v>
      </c>
      <c r="D51" s="54" t="s">
        <v>294</v>
      </c>
      <c r="E51" s="55" t="s">
        <v>1323</v>
      </c>
      <c r="F51" s="53" t="s">
        <v>295</v>
      </c>
      <c r="G51" s="63">
        <v>2</v>
      </c>
      <c r="H51" s="57" t="s">
        <v>61</v>
      </c>
      <c r="I51" s="54" t="s">
        <v>908</v>
      </c>
      <c r="J51" s="54" t="s">
        <v>909</v>
      </c>
      <c r="K51" s="54" t="s">
        <v>910</v>
      </c>
      <c r="L51" s="54" t="s">
        <v>299</v>
      </c>
      <c r="M51" s="54" t="s">
        <v>300</v>
      </c>
      <c r="N51" s="54" t="s">
        <v>301</v>
      </c>
      <c r="O51" s="74">
        <v>46139</v>
      </c>
      <c r="P51" s="57"/>
      <c r="Q51" s="57"/>
      <c r="R51" s="61" t="s">
        <v>84</v>
      </c>
      <c r="S51" s="61" t="s">
        <v>31</v>
      </c>
    </row>
    <row r="52" spans="2:19" s="62" customFormat="1" outlineLevel="1" x14ac:dyDescent="0.25">
      <c r="B52" s="53"/>
      <c r="C52" s="54">
        <v>48</v>
      </c>
      <c r="D52" s="54" t="s">
        <v>326</v>
      </c>
      <c r="E52" s="55" t="s">
        <v>1323</v>
      </c>
      <c r="F52" s="53" t="s">
        <v>327</v>
      </c>
      <c r="G52" s="63">
        <v>1</v>
      </c>
      <c r="H52" s="57" t="s">
        <v>152</v>
      </c>
      <c r="I52" s="54" t="s">
        <v>328</v>
      </c>
      <c r="J52" s="54" t="s">
        <v>329</v>
      </c>
      <c r="K52" s="54" t="s">
        <v>330</v>
      </c>
      <c r="L52" s="54" t="s">
        <v>331</v>
      </c>
      <c r="M52" s="54" t="s">
        <v>332</v>
      </c>
      <c r="N52" s="54" t="s">
        <v>333</v>
      </c>
      <c r="O52" s="74">
        <v>46139</v>
      </c>
      <c r="P52" s="57"/>
      <c r="Q52" s="57"/>
      <c r="R52" s="61" t="s">
        <v>84</v>
      </c>
      <c r="S52" s="61" t="s">
        <v>31</v>
      </c>
    </row>
    <row r="53" spans="2:19" s="62" customFormat="1" outlineLevel="1" x14ac:dyDescent="0.25">
      <c r="B53" s="53"/>
      <c r="C53" s="54">
        <v>49</v>
      </c>
      <c r="D53" s="54" t="s">
        <v>342</v>
      </c>
      <c r="E53" s="55" t="s">
        <v>1323</v>
      </c>
      <c r="F53" s="53" t="s">
        <v>343</v>
      </c>
      <c r="G53" s="63">
        <v>1</v>
      </c>
      <c r="H53" s="57" t="s">
        <v>24</v>
      </c>
      <c r="I53" s="54" t="s">
        <v>344</v>
      </c>
      <c r="J53" s="54" t="s">
        <v>345</v>
      </c>
      <c r="K53" s="54" t="s">
        <v>346</v>
      </c>
      <c r="L53" s="54" t="s">
        <v>348</v>
      </c>
      <c r="M53" s="54" t="s">
        <v>347</v>
      </c>
      <c r="N53" s="54" t="s">
        <v>349</v>
      </c>
      <c r="O53" s="74">
        <v>46139</v>
      </c>
      <c r="P53" s="57"/>
      <c r="Q53" s="57"/>
      <c r="R53" s="61" t="s">
        <v>84</v>
      </c>
      <c r="S53" s="61" t="s">
        <v>31</v>
      </c>
    </row>
    <row r="54" spans="2:19" s="62" customFormat="1" outlineLevel="1" x14ac:dyDescent="0.25">
      <c r="B54" s="53"/>
      <c r="C54" s="54">
        <v>50</v>
      </c>
      <c r="D54" s="54" t="s">
        <v>963</v>
      </c>
      <c r="E54" s="55" t="s">
        <v>1323</v>
      </c>
      <c r="F54" s="53" t="s">
        <v>917</v>
      </c>
      <c r="G54" s="63">
        <v>1</v>
      </c>
      <c r="H54" s="57" t="s">
        <v>152</v>
      </c>
      <c r="I54" s="54" t="s">
        <v>964</v>
      </c>
      <c r="J54" s="54" t="s">
        <v>965</v>
      </c>
      <c r="K54" s="54" t="s">
        <v>966</v>
      </c>
      <c r="L54" s="54" t="s">
        <v>967</v>
      </c>
      <c r="M54" s="54" t="s">
        <v>968</v>
      </c>
      <c r="N54" s="54" t="s">
        <v>969</v>
      </c>
      <c r="O54" s="74">
        <v>46139</v>
      </c>
      <c r="P54" s="57"/>
      <c r="Q54" s="57"/>
      <c r="R54" s="61" t="s">
        <v>84</v>
      </c>
      <c r="S54" s="61" t="s">
        <v>84</v>
      </c>
    </row>
    <row r="55" spans="2:19" s="62" customFormat="1" outlineLevel="1" x14ac:dyDescent="0.25">
      <c r="B55" s="53"/>
      <c r="C55" s="54">
        <v>51</v>
      </c>
      <c r="D55" s="54" t="s">
        <v>357</v>
      </c>
      <c r="E55" s="55" t="s">
        <v>1323</v>
      </c>
      <c r="F55" s="53" t="s">
        <v>358</v>
      </c>
      <c r="G55" s="63">
        <v>2</v>
      </c>
      <c r="H55" s="57" t="s">
        <v>359</v>
      </c>
      <c r="I55" s="54" t="s">
        <v>360</v>
      </c>
      <c r="J55" s="54" t="s">
        <v>361</v>
      </c>
      <c r="K55" s="54" t="s">
        <v>362</v>
      </c>
      <c r="L55" s="54" t="s">
        <v>363</v>
      </c>
      <c r="M55" s="54" t="s">
        <v>364</v>
      </c>
      <c r="N55" s="54" t="s">
        <v>365</v>
      </c>
      <c r="O55" s="74">
        <v>46139</v>
      </c>
      <c r="P55" s="57"/>
      <c r="Q55" s="57"/>
      <c r="R55" s="61" t="s">
        <v>84</v>
      </c>
      <c r="S55" s="61" t="s">
        <v>84</v>
      </c>
    </row>
    <row r="56" spans="2:19" s="62" customFormat="1" outlineLevel="1" x14ac:dyDescent="0.25">
      <c r="B56" s="53"/>
      <c r="C56" s="54">
        <v>52</v>
      </c>
      <c r="D56" s="54" t="s">
        <v>366</v>
      </c>
      <c r="E56" s="55" t="s">
        <v>1323</v>
      </c>
      <c r="F56" s="53" t="s">
        <v>367</v>
      </c>
      <c r="G56" s="63">
        <v>1</v>
      </c>
      <c r="H56" s="57" t="s">
        <v>368</v>
      </c>
      <c r="I56" s="54" t="s">
        <v>369</v>
      </c>
      <c r="J56" s="54" t="s">
        <v>370</v>
      </c>
      <c r="K56" s="54" t="s">
        <v>371</v>
      </c>
      <c r="L56" s="54" t="s">
        <v>372</v>
      </c>
      <c r="M56" s="54" t="s">
        <v>373</v>
      </c>
      <c r="N56" s="54" t="s">
        <v>374</v>
      </c>
      <c r="O56" s="74">
        <v>46139</v>
      </c>
      <c r="P56" s="57"/>
      <c r="Q56" s="57"/>
      <c r="R56" s="61" t="s">
        <v>84</v>
      </c>
      <c r="S56" s="61" t="s">
        <v>84</v>
      </c>
    </row>
    <row r="57" spans="2:19" s="62" customFormat="1" outlineLevel="1" x14ac:dyDescent="0.25">
      <c r="B57" s="53"/>
      <c r="C57" s="54">
        <v>53</v>
      </c>
      <c r="D57" s="54" t="s">
        <v>734</v>
      </c>
      <c r="E57" s="55" t="s">
        <v>1323</v>
      </c>
      <c r="F57" s="53" t="s">
        <v>735</v>
      </c>
      <c r="G57" s="63">
        <v>1</v>
      </c>
      <c r="H57" s="57" t="s">
        <v>736</v>
      </c>
      <c r="I57" s="54" t="s">
        <v>737</v>
      </c>
      <c r="J57" s="54" t="s">
        <v>738</v>
      </c>
      <c r="K57" s="54" t="s">
        <v>739</v>
      </c>
      <c r="L57" s="54" t="s">
        <v>740</v>
      </c>
      <c r="M57" s="54" t="s">
        <v>741</v>
      </c>
      <c r="N57" s="54" t="s">
        <v>742</v>
      </c>
      <c r="O57" s="74">
        <v>46139</v>
      </c>
      <c r="P57" s="57"/>
      <c r="Q57" s="57"/>
      <c r="R57" s="61" t="s">
        <v>84</v>
      </c>
      <c r="S57" s="61" t="s">
        <v>84</v>
      </c>
    </row>
    <row r="58" spans="2:19" s="62" customFormat="1" ht="54" customHeight="1" outlineLevel="1" x14ac:dyDescent="0.25">
      <c r="B58" s="53"/>
      <c r="C58" s="54" t="s">
        <v>1337</v>
      </c>
      <c r="D58" s="54" t="s">
        <v>375</v>
      </c>
      <c r="E58" s="55" t="s">
        <v>1323</v>
      </c>
      <c r="F58" s="53" t="s">
        <v>376</v>
      </c>
      <c r="G58" s="63">
        <v>8</v>
      </c>
      <c r="H58" s="57" t="s">
        <v>111</v>
      </c>
      <c r="I58" s="54" t="s">
        <v>1338</v>
      </c>
      <c r="J58" s="54" t="s">
        <v>1339</v>
      </c>
      <c r="K58" s="54" t="s">
        <v>1340</v>
      </c>
      <c r="L58" s="54" t="s">
        <v>380</v>
      </c>
      <c r="M58" s="54" t="s">
        <v>1341</v>
      </c>
      <c r="N58" s="54" t="s">
        <v>382</v>
      </c>
      <c r="O58" s="74">
        <v>46139</v>
      </c>
      <c r="P58" s="57"/>
      <c r="Q58" s="57"/>
      <c r="R58" s="61" t="s">
        <v>84</v>
      </c>
      <c r="S58" s="61" t="s">
        <v>31</v>
      </c>
    </row>
    <row r="59" spans="2:19" s="62" customFormat="1" outlineLevel="1" x14ac:dyDescent="0.25">
      <c r="B59" s="53"/>
      <c r="C59" s="54">
        <v>55</v>
      </c>
      <c r="D59" s="54" t="s">
        <v>399</v>
      </c>
      <c r="E59" s="55" t="s">
        <v>1323</v>
      </c>
      <c r="F59" s="53" t="s">
        <v>400</v>
      </c>
      <c r="G59" s="63">
        <v>1</v>
      </c>
      <c r="H59" s="57" t="s">
        <v>152</v>
      </c>
      <c r="I59" s="54" t="s">
        <v>401</v>
      </c>
      <c r="J59" s="54" t="s">
        <v>402</v>
      </c>
      <c r="K59" s="54" t="s">
        <v>403</v>
      </c>
      <c r="L59" s="54" t="s">
        <v>404</v>
      </c>
      <c r="M59" s="54" t="s">
        <v>791</v>
      </c>
      <c r="N59" s="54" t="s">
        <v>406</v>
      </c>
      <c r="O59" s="74">
        <v>46139</v>
      </c>
      <c r="P59" s="57"/>
      <c r="Q59" s="57"/>
      <c r="R59" s="61" t="s">
        <v>84</v>
      </c>
      <c r="S59" s="61" t="s">
        <v>84</v>
      </c>
    </row>
    <row r="60" spans="2:19" s="62" customFormat="1" outlineLevel="1" x14ac:dyDescent="0.25">
      <c r="B60" s="53"/>
      <c r="C60" s="54">
        <v>56</v>
      </c>
      <c r="D60" s="54" t="s">
        <v>1016</v>
      </c>
      <c r="E60" s="55" t="s">
        <v>1323</v>
      </c>
      <c r="F60" s="53" t="s">
        <v>919</v>
      </c>
      <c r="G60" s="63">
        <v>1</v>
      </c>
      <c r="H60" s="57" t="s">
        <v>61</v>
      </c>
      <c r="I60" s="54" t="s">
        <v>1017</v>
      </c>
      <c r="J60" s="54" t="s">
        <v>1018</v>
      </c>
      <c r="K60" s="54" t="s">
        <v>1019</v>
      </c>
      <c r="L60" s="54" t="s">
        <v>1020</v>
      </c>
      <c r="M60" s="54" t="s">
        <v>1257</v>
      </c>
      <c r="N60" s="54" t="s">
        <v>1022</v>
      </c>
      <c r="O60" s="74">
        <v>46139</v>
      </c>
      <c r="P60" s="57"/>
      <c r="Q60" s="57"/>
      <c r="R60" s="61" t="s">
        <v>84</v>
      </c>
      <c r="S60" s="61" t="s">
        <v>31</v>
      </c>
    </row>
    <row r="61" spans="2:19" s="62" customFormat="1" outlineLevel="1" x14ac:dyDescent="0.25">
      <c r="B61" s="53"/>
      <c r="C61" s="54">
        <v>57</v>
      </c>
      <c r="D61" s="54" t="s">
        <v>424</v>
      </c>
      <c r="E61" s="55" t="s">
        <v>1323</v>
      </c>
      <c r="F61" s="53" t="s">
        <v>425</v>
      </c>
      <c r="G61" s="63">
        <v>1</v>
      </c>
      <c r="H61" s="57" t="s">
        <v>111</v>
      </c>
      <c r="I61" s="54" t="s">
        <v>426</v>
      </c>
      <c r="J61" s="54" t="s">
        <v>427</v>
      </c>
      <c r="K61" s="54" t="s">
        <v>428</v>
      </c>
      <c r="L61" s="54" t="s">
        <v>429</v>
      </c>
      <c r="M61" s="54" t="s">
        <v>429</v>
      </c>
      <c r="N61" s="54" t="s">
        <v>430</v>
      </c>
      <c r="O61" s="74">
        <v>46139</v>
      </c>
      <c r="P61" s="57"/>
      <c r="Q61" s="57"/>
      <c r="R61" s="61" t="s">
        <v>84</v>
      </c>
      <c r="S61" s="61" t="s">
        <v>84</v>
      </c>
    </row>
    <row r="62" spans="2:19" s="62" customFormat="1" ht="30" customHeight="1" outlineLevel="1" x14ac:dyDescent="0.25">
      <c r="B62" s="53"/>
      <c r="C62" s="54" t="s">
        <v>1342</v>
      </c>
      <c r="D62" s="54" t="s">
        <v>431</v>
      </c>
      <c r="E62" s="55" t="s">
        <v>1323</v>
      </c>
      <c r="F62" s="53" t="s">
        <v>432</v>
      </c>
      <c r="G62" s="63">
        <v>4</v>
      </c>
      <c r="H62" s="57" t="s">
        <v>152</v>
      </c>
      <c r="I62" s="54" t="s">
        <v>1343</v>
      </c>
      <c r="J62" s="54" t="s">
        <v>1344</v>
      </c>
      <c r="K62" s="54" t="s">
        <v>1345</v>
      </c>
      <c r="L62" s="54" t="s">
        <v>436</v>
      </c>
      <c r="M62" s="54" t="s">
        <v>1346</v>
      </c>
      <c r="N62" s="54" t="s">
        <v>438</v>
      </c>
      <c r="O62" s="74">
        <v>46139</v>
      </c>
      <c r="P62" s="57"/>
      <c r="Q62" s="57"/>
      <c r="R62" s="61" t="s">
        <v>84</v>
      </c>
      <c r="S62" s="61" t="s">
        <v>31</v>
      </c>
    </row>
    <row r="63" spans="2:19" s="62" customFormat="1" ht="30" customHeight="1" outlineLevel="1" x14ac:dyDescent="0.25">
      <c r="B63" s="53"/>
      <c r="C63" s="54">
        <v>59</v>
      </c>
      <c r="D63" s="54" t="s">
        <v>439</v>
      </c>
      <c r="E63" s="55" t="s">
        <v>1323</v>
      </c>
      <c r="F63" s="53" t="s">
        <v>440</v>
      </c>
      <c r="G63" s="63">
        <v>2</v>
      </c>
      <c r="H63" s="57" t="s">
        <v>152</v>
      </c>
      <c r="I63" s="54" t="s">
        <v>441</v>
      </c>
      <c r="J63" s="54" t="s">
        <v>442</v>
      </c>
      <c r="K63" s="54" t="s">
        <v>443</v>
      </c>
      <c r="L63" s="54" t="s">
        <v>444</v>
      </c>
      <c r="M63" s="54" t="s">
        <v>570</v>
      </c>
      <c r="N63" s="54" t="s">
        <v>446</v>
      </c>
      <c r="O63" s="74">
        <v>46139</v>
      </c>
      <c r="P63" s="57"/>
      <c r="Q63" s="57"/>
      <c r="R63" s="61" t="s">
        <v>84</v>
      </c>
      <c r="S63" s="61" t="s">
        <v>31</v>
      </c>
    </row>
    <row r="64" spans="2:19" s="62" customFormat="1" outlineLevel="1" x14ac:dyDescent="0.25">
      <c r="B64" s="53"/>
      <c r="C64" s="54">
        <v>60</v>
      </c>
      <c r="D64" s="54" t="s">
        <v>455</v>
      </c>
      <c r="E64" s="55" t="s">
        <v>1323</v>
      </c>
      <c r="F64" s="53" t="s">
        <v>456</v>
      </c>
      <c r="G64" s="63">
        <v>1</v>
      </c>
      <c r="H64" s="57" t="s">
        <v>111</v>
      </c>
      <c r="I64" s="54" t="s">
        <v>678</v>
      </c>
      <c r="J64" s="54">
        <v>385913568984</v>
      </c>
      <c r="K64" s="54" t="s">
        <v>680</v>
      </c>
      <c r="L64" s="54" t="s">
        <v>460</v>
      </c>
      <c r="M64" s="54" t="s">
        <v>1347</v>
      </c>
      <c r="N64" s="54" t="s">
        <v>462</v>
      </c>
      <c r="O64" s="74">
        <v>46139</v>
      </c>
      <c r="P64" s="57"/>
      <c r="Q64" s="57"/>
      <c r="R64" s="61" t="s">
        <v>84</v>
      </c>
      <c r="S64" s="61" t="s">
        <v>84</v>
      </c>
    </row>
    <row r="65" spans="2:19" s="62" customFormat="1" outlineLevel="1" x14ac:dyDescent="0.25">
      <c r="B65" s="53"/>
      <c r="C65" s="54">
        <v>61</v>
      </c>
      <c r="D65" s="54" t="s">
        <v>463</v>
      </c>
      <c r="E65" s="55" t="s">
        <v>1323</v>
      </c>
      <c r="F65" s="53" t="s">
        <v>464</v>
      </c>
      <c r="G65" s="63">
        <v>1</v>
      </c>
      <c r="H65" s="57" t="s">
        <v>152</v>
      </c>
      <c r="I65" s="54" t="s">
        <v>465</v>
      </c>
      <c r="J65" s="54" t="s">
        <v>466</v>
      </c>
      <c r="K65" s="54" t="s">
        <v>467</v>
      </c>
      <c r="L65" s="54" t="s">
        <v>468</v>
      </c>
      <c r="M65" s="54" t="s">
        <v>1133</v>
      </c>
      <c r="N65" s="54" t="s">
        <v>470</v>
      </c>
      <c r="O65" s="74">
        <v>46139</v>
      </c>
      <c r="P65" s="57"/>
      <c r="Q65" s="57"/>
      <c r="R65" s="61" t="s">
        <v>84</v>
      </c>
      <c r="S65" s="61" t="s">
        <v>31</v>
      </c>
    </row>
    <row r="66" spans="2:19" s="62" customFormat="1" outlineLevel="1" x14ac:dyDescent="0.25">
      <c r="B66" s="53"/>
      <c r="C66" s="54">
        <v>62</v>
      </c>
      <c r="D66" s="54" t="s">
        <v>760</v>
      </c>
      <c r="E66" s="55" t="s">
        <v>1323</v>
      </c>
      <c r="F66" s="53" t="s">
        <v>761</v>
      </c>
      <c r="G66" s="63">
        <v>1</v>
      </c>
      <c r="H66" s="57" t="s">
        <v>61</v>
      </c>
      <c r="I66" s="54" t="s">
        <v>762</v>
      </c>
      <c r="J66" s="54" t="s">
        <v>763</v>
      </c>
      <c r="K66" s="54" t="s">
        <v>764</v>
      </c>
      <c r="L66" s="54" t="s">
        <v>765</v>
      </c>
      <c r="M66" s="54" t="s">
        <v>765</v>
      </c>
      <c r="N66" s="54" t="s">
        <v>766</v>
      </c>
      <c r="O66" s="74">
        <v>46139</v>
      </c>
      <c r="P66" s="57"/>
      <c r="Q66" s="57"/>
      <c r="R66" s="61" t="s">
        <v>84</v>
      </c>
      <c r="S66" s="61" t="s">
        <v>84</v>
      </c>
    </row>
    <row r="67" spans="2:19" s="62" customFormat="1" outlineLevel="1" x14ac:dyDescent="0.25">
      <c r="B67" s="53"/>
      <c r="C67" s="54">
        <v>63</v>
      </c>
      <c r="D67" s="54" t="s">
        <v>659</v>
      </c>
      <c r="E67" s="55" t="s">
        <v>1323</v>
      </c>
      <c r="F67" s="53" t="s">
        <v>660</v>
      </c>
      <c r="G67" s="63">
        <v>3</v>
      </c>
      <c r="H67" s="57" t="s">
        <v>152</v>
      </c>
      <c r="I67" s="54" t="s">
        <v>661</v>
      </c>
      <c r="J67" s="54" t="s">
        <v>662</v>
      </c>
      <c r="K67" s="54" t="s">
        <v>663</v>
      </c>
      <c r="L67" s="54" t="s">
        <v>664</v>
      </c>
      <c r="M67" s="54" t="s">
        <v>665</v>
      </c>
      <c r="N67" s="54" t="s">
        <v>666</v>
      </c>
      <c r="O67" s="74">
        <v>46139</v>
      </c>
      <c r="P67" s="57"/>
      <c r="Q67" s="57"/>
      <c r="R67" s="61" t="s">
        <v>84</v>
      </c>
      <c r="S67" s="61" t="s">
        <v>31</v>
      </c>
    </row>
    <row r="68" spans="2:19" s="62" customFormat="1" outlineLevel="1" x14ac:dyDescent="0.25">
      <c r="B68" s="53"/>
      <c r="C68" s="54">
        <v>64</v>
      </c>
      <c r="D68" s="54" t="s">
        <v>471</v>
      </c>
      <c r="E68" s="55" t="s">
        <v>1323</v>
      </c>
      <c r="F68" s="53" t="s">
        <v>472</v>
      </c>
      <c r="G68" s="63">
        <v>1</v>
      </c>
      <c r="H68" s="57" t="s">
        <v>111</v>
      </c>
      <c r="I68" s="54" t="s">
        <v>473</v>
      </c>
      <c r="J68" s="54" t="s">
        <v>474</v>
      </c>
      <c r="K68" s="54" t="s">
        <v>475</v>
      </c>
      <c r="L68" s="54" t="s">
        <v>476</v>
      </c>
      <c r="M68" s="54" t="s">
        <v>476</v>
      </c>
      <c r="N68" s="54" t="s">
        <v>477</v>
      </c>
      <c r="O68" s="74">
        <v>46139</v>
      </c>
      <c r="P68" s="57"/>
      <c r="Q68" s="57"/>
      <c r="R68" s="61" t="s">
        <v>84</v>
      </c>
      <c r="S68" s="61" t="s">
        <v>84</v>
      </c>
    </row>
    <row r="69" spans="2:19" s="62" customFormat="1" outlineLevel="1" x14ac:dyDescent="0.25">
      <c r="B69" s="53"/>
      <c r="C69" s="54">
        <v>65</v>
      </c>
      <c r="D69" s="54" t="s">
        <v>486</v>
      </c>
      <c r="E69" s="55" t="s">
        <v>1323</v>
      </c>
      <c r="F69" s="53" t="s">
        <v>487</v>
      </c>
      <c r="G69" s="63">
        <v>1</v>
      </c>
      <c r="H69" s="57" t="s">
        <v>152</v>
      </c>
      <c r="I69" s="54" t="s">
        <v>488</v>
      </c>
      <c r="J69" s="54" t="s">
        <v>489</v>
      </c>
      <c r="K69" s="54" t="s">
        <v>490</v>
      </c>
      <c r="L69" s="54" t="s">
        <v>491</v>
      </c>
      <c r="M69" s="54" t="s">
        <v>492</v>
      </c>
      <c r="N69" s="54" t="s">
        <v>493</v>
      </c>
      <c r="O69" s="74">
        <v>46139</v>
      </c>
      <c r="P69" s="57"/>
      <c r="Q69" s="57"/>
      <c r="R69" s="61" t="s">
        <v>84</v>
      </c>
      <c r="S69" s="61" t="s">
        <v>84</v>
      </c>
    </row>
    <row r="70" spans="2:19" s="62" customFormat="1" outlineLevel="1" x14ac:dyDescent="0.25">
      <c r="B70" s="53"/>
      <c r="C70" s="54">
        <v>66</v>
      </c>
      <c r="D70" s="54" t="s">
        <v>611</v>
      </c>
      <c r="E70" s="55" t="s">
        <v>1323</v>
      </c>
      <c r="F70" s="53" t="s">
        <v>612</v>
      </c>
      <c r="G70" s="63">
        <v>1</v>
      </c>
      <c r="H70" s="57" t="s">
        <v>24</v>
      </c>
      <c r="I70" s="54" t="s">
        <v>613</v>
      </c>
      <c r="J70" s="54" t="s">
        <v>614</v>
      </c>
      <c r="K70" s="54" t="s">
        <v>615</v>
      </c>
      <c r="L70" s="54" t="s">
        <v>616</v>
      </c>
      <c r="M70" s="54" t="s">
        <v>616</v>
      </c>
      <c r="N70" s="54" t="s">
        <v>617</v>
      </c>
      <c r="O70" s="74">
        <v>46139</v>
      </c>
      <c r="P70" s="57"/>
      <c r="Q70" s="57"/>
      <c r="R70" s="61" t="s">
        <v>84</v>
      </c>
      <c r="S70" s="61" t="s">
        <v>31</v>
      </c>
    </row>
    <row r="71" spans="2:19" s="62" customFormat="1" outlineLevel="1" x14ac:dyDescent="0.25">
      <c r="B71" s="53"/>
      <c r="C71" s="54">
        <v>67</v>
      </c>
      <c r="D71" s="54" t="s">
        <v>516</v>
      </c>
      <c r="E71" s="55" t="s">
        <v>1323</v>
      </c>
      <c r="F71" s="71" t="s">
        <v>517</v>
      </c>
      <c r="G71" s="63">
        <v>2</v>
      </c>
      <c r="H71" s="57" t="s">
        <v>61</v>
      </c>
      <c r="I71" s="54" t="s">
        <v>518</v>
      </c>
      <c r="J71" s="54" t="s">
        <v>519</v>
      </c>
      <c r="K71" s="54" t="s">
        <v>520</v>
      </c>
      <c r="L71" s="54" t="s">
        <v>521</v>
      </c>
      <c r="M71" s="54" t="s">
        <v>522</v>
      </c>
      <c r="N71" s="54" t="s">
        <v>523</v>
      </c>
      <c r="O71" s="74">
        <v>46139</v>
      </c>
      <c r="P71" s="57"/>
      <c r="Q71" s="57"/>
      <c r="R71" s="61" t="s">
        <v>84</v>
      </c>
      <c r="S71" s="61" t="s">
        <v>31</v>
      </c>
    </row>
    <row r="72" spans="2:19" s="33" customFormat="1" x14ac:dyDescent="0.25">
      <c r="B72" s="42"/>
      <c r="C72" s="42"/>
      <c r="D72" s="42"/>
      <c r="E72" s="28" t="s">
        <v>1348</v>
      </c>
      <c r="F72" s="28"/>
      <c r="G72" s="29">
        <f>SUM(G73:G108)</f>
        <v>79</v>
      </c>
      <c r="H72" s="34"/>
      <c r="I72" s="49"/>
      <c r="J72" s="50"/>
      <c r="K72" s="51"/>
      <c r="L72" s="42"/>
      <c r="M72" s="42"/>
      <c r="N72" s="36"/>
      <c r="O72" s="34"/>
      <c r="P72" s="35"/>
      <c r="Q72" s="35"/>
      <c r="R72" s="32" t="s">
        <v>934</v>
      </c>
      <c r="S72" s="32"/>
    </row>
    <row r="73" spans="2:19" s="62" customFormat="1" ht="54" customHeight="1" outlineLevel="1" x14ac:dyDescent="0.25">
      <c r="B73" s="53"/>
      <c r="C73" s="54" t="s">
        <v>1349</v>
      </c>
      <c r="D73" s="54" t="s">
        <v>811</v>
      </c>
      <c r="E73" s="55" t="s">
        <v>1348</v>
      </c>
      <c r="F73" s="53" t="s">
        <v>812</v>
      </c>
      <c r="G73" s="63">
        <v>3</v>
      </c>
      <c r="H73" s="57" t="s">
        <v>813</v>
      </c>
      <c r="I73" s="54" t="s">
        <v>814</v>
      </c>
      <c r="J73" s="54" t="s">
        <v>815</v>
      </c>
      <c r="K73" s="54" t="s">
        <v>816</v>
      </c>
      <c r="L73" s="54" t="s">
        <v>817</v>
      </c>
      <c r="M73" s="54" t="s">
        <v>1350</v>
      </c>
      <c r="N73" s="54" t="s">
        <v>819</v>
      </c>
      <c r="O73" s="74">
        <v>46139</v>
      </c>
      <c r="P73" s="57"/>
      <c r="Q73" s="57"/>
      <c r="R73" s="61" t="s">
        <v>934</v>
      </c>
      <c r="S73" s="61" t="s">
        <v>84</v>
      </c>
    </row>
    <row r="74" spans="2:19" s="62" customFormat="1" outlineLevel="1" x14ac:dyDescent="0.25">
      <c r="B74" s="53"/>
      <c r="C74" s="54">
        <v>69</v>
      </c>
      <c r="D74" s="54" t="s">
        <v>562</v>
      </c>
      <c r="E74" s="55" t="s">
        <v>1348</v>
      </c>
      <c r="F74" s="53" t="s">
        <v>563</v>
      </c>
      <c r="G74" s="63">
        <v>2</v>
      </c>
      <c r="H74" s="57" t="s">
        <v>61</v>
      </c>
      <c r="I74" s="54" t="s">
        <v>564</v>
      </c>
      <c r="J74" s="54" t="s">
        <v>565</v>
      </c>
      <c r="K74" s="54" t="s">
        <v>566</v>
      </c>
      <c r="L74" s="54" t="s">
        <v>567</v>
      </c>
      <c r="M74" s="54" t="s">
        <v>568</v>
      </c>
      <c r="N74" s="54" t="s">
        <v>569</v>
      </c>
      <c r="O74" s="74">
        <v>46139</v>
      </c>
      <c r="P74" s="57"/>
      <c r="Q74" s="57"/>
      <c r="R74" s="61" t="s">
        <v>934</v>
      </c>
      <c r="S74" s="61" t="s">
        <v>31</v>
      </c>
    </row>
    <row r="75" spans="2:19" s="62" customFormat="1" outlineLevel="1" x14ac:dyDescent="0.25">
      <c r="B75" s="53"/>
      <c r="C75" s="54">
        <v>70</v>
      </c>
      <c r="D75" s="54" t="s">
        <v>59</v>
      </c>
      <c r="E75" s="55" t="s">
        <v>1348</v>
      </c>
      <c r="F75" s="53" t="s">
        <v>60</v>
      </c>
      <c r="G75" s="63">
        <v>8</v>
      </c>
      <c r="H75" s="57" t="s">
        <v>61</v>
      </c>
      <c r="I75" s="54" t="s">
        <v>62</v>
      </c>
      <c r="J75" s="54" t="s">
        <v>63</v>
      </c>
      <c r="K75" s="54" t="s">
        <v>64</v>
      </c>
      <c r="L75" s="54" t="s">
        <v>65</v>
      </c>
      <c r="M75" s="54" t="s">
        <v>66</v>
      </c>
      <c r="N75" s="54" t="s">
        <v>67</v>
      </c>
      <c r="O75" s="74">
        <v>46139</v>
      </c>
      <c r="P75" s="57"/>
      <c r="Q75" s="57"/>
      <c r="R75" s="61" t="s">
        <v>934</v>
      </c>
      <c r="S75" s="61" t="s">
        <v>31</v>
      </c>
    </row>
    <row r="76" spans="2:19" s="62" customFormat="1" outlineLevel="1" x14ac:dyDescent="0.25">
      <c r="B76" s="53"/>
      <c r="C76" s="54">
        <v>71</v>
      </c>
      <c r="D76" s="54" t="s">
        <v>580</v>
      </c>
      <c r="E76" s="55" t="s">
        <v>1348</v>
      </c>
      <c r="F76" s="53" t="s">
        <v>581</v>
      </c>
      <c r="G76" s="63">
        <v>1</v>
      </c>
      <c r="H76" s="57" t="s">
        <v>61</v>
      </c>
      <c r="I76" s="54" t="s">
        <v>582</v>
      </c>
      <c r="J76" s="54" t="s">
        <v>583</v>
      </c>
      <c r="K76" s="54" t="s">
        <v>584</v>
      </c>
      <c r="L76" s="54" t="s">
        <v>585</v>
      </c>
      <c r="M76" s="54" t="s">
        <v>586</v>
      </c>
      <c r="N76" s="54" t="s">
        <v>587</v>
      </c>
      <c r="O76" s="74">
        <v>46139</v>
      </c>
      <c r="P76" s="57"/>
      <c r="Q76" s="57"/>
      <c r="R76" s="61" t="s">
        <v>934</v>
      </c>
      <c r="S76" s="61" t="s">
        <v>84</v>
      </c>
    </row>
    <row r="77" spans="2:19" s="62" customFormat="1" ht="36" customHeight="1" outlineLevel="1" x14ac:dyDescent="0.25">
      <c r="B77" s="53"/>
      <c r="C77" s="54">
        <v>72</v>
      </c>
      <c r="D77" s="54" t="s">
        <v>725</v>
      </c>
      <c r="E77" s="55" t="s">
        <v>1348</v>
      </c>
      <c r="F77" s="53" t="s">
        <v>726</v>
      </c>
      <c r="G77" s="63">
        <v>1</v>
      </c>
      <c r="H77" s="57" t="s">
        <v>727</v>
      </c>
      <c r="I77" s="54" t="s">
        <v>1351</v>
      </c>
      <c r="J77" s="54" t="s">
        <v>1352</v>
      </c>
      <c r="K77" s="54" t="s">
        <v>1353</v>
      </c>
      <c r="L77" s="54" t="s">
        <v>731</v>
      </c>
      <c r="M77" s="54" t="s">
        <v>732</v>
      </c>
      <c r="N77" s="54" t="s">
        <v>733</v>
      </c>
      <c r="O77" s="74">
        <v>46139</v>
      </c>
      <c r="P77" s="57"/>
      <c r="Q77" s="57"/>
      <c r="R77" s="61" t="s">
        <v>934</v>
      </c>
      <c r="S77" s="61" t="s">
        <v>31</v>
      </c>
    </row>
    <row r="78" spans="2:19" s="62" customFormat="1" outlineLevel="1" x14ac:dyDescent="0.25">
      <c r="B78" s="53"/>
      <c r="C78" s="54">
        <v>73</v>
      </c>
      <c r="D78" s="54" t="s">
        <v>102</v>
      </c>
      <c r="E78" s="55" t="s">
        <v>1348</v>
      </c>
      <c r="F78" s="53" t="s">
        <v>103</v>
      </c>
      <c r="G78" s="63">
        <v>1</v>
      </c>
      <c r="H78" s="57" t="s">
        <v>61</v>
      </c>
      <c r="I78" s="54" t="s">
        <v>104</v>
      </c>
      <c r="J78" s="54" t="s">
        <v>105</v>
      </c>
      <c r="K78" s="54" t="s">
        <v>106</v>
      </c>
      <c r="L78" s="54" t="s">
        <v>107</v>
      </c>
      <c r="M78" s="54" t="s">
        <v>107</v>
      </c>
      <c r="N78" s="54" t="s">
        <v>108</v>
      </c>
      <c r="O78" s="74">
        <v>46139</v>
      </c>
      <c r="P78" s="57"/>
      <c r="Q78" s="57"/>
      <c r="R78" s="61" t="s">
        <v>934</v>
      </c>
      <c r="S78" s="61" t="s">
        <v>84</v>
      </c>
    </row>
    <row r="79" spans="2:19" s="62" customFormat="1" outlineLevel="1" x14ac:dyDescent="0.25">
      <c r="B79" s="53"/>
      <c r="C79" s="54">
        <v>74</v>
      </c>
      <c r="D79" s="54" t="s">
        <v>117</v>
      </c>
      <c r="E79" s="55" t="s">
        <v>1348</v>
      </c>
      <c r="F79" s="53" t="s">
        <v>118</v>
      </c>
      <c r="G79" s="63">
        <v>1</v>
      </c>
      <c r="H79" s="57" t="s">
        <v>24</v>
      </c>
      <c r="I79" s="54" t="s">
        <v>119</v>
      </c>
      <c r="J79" s="54" t="s">
        <v>120</v>
      </c>
      <c r="K79" s="54" t="s">
        <v>121</v>
      </c>
      <c r="L79" s="54" t="s">
        <v>122</v>
      </c>
      <c r="M79" s="54" t="s">
        <v>123</v>
      </c>
      <c r="N79" s="54" t="s">
        <v>124</v>
      </c>
      <c r="O79" s="74">
        <v>46139</v>
      </c>
      <c r="P79" s="57"/>
      <c r="Q79" s="57"/>
      <c r="R79" s="61" t="s">
        <v>934</v>
      </c>
      <c r="S79" s="61" t="s">
        <v>31</v>
      </c>
    </row>
    <row r="80" spans="2:19" s="62" customFormat="1" outlineLevel="1" x14ac:dyDescent="0.25">
      <c r="B80" s="53"/>
      <c r="C80" s="54">
        <v>75</v>
      </c>
      <c r="D80" s="54" t="s">
        <v>554</v>
      </c>
      <c r="E80" s="55" t="s">
        <v>1348</v>
      </c>
      <c r="F80" s="53" t="s">
        <v>555</v>
      </c>
      <c r="G80" s="63">
        <v>1</v>
      </c>
      <c r="H80" s="57" t="s">
        <v>61</v>
      </c>
      <c r="I80" s="54" t="s">
        <v>556</v>
      </c>
      <c r="J80" s="54" t="s">
        <v>557</v>
      </c>
      <c r="K80" s="54" t="s">
        <v>558</v>
      </c>
      <c r="L80" s="54" t="s">
        <v>559</v>
      </c>
      <c r="M80" s="54" t="s">
        <v>1354</v>
      </c>
      <c r="N80" s="54" t="s">
        <v>561</v>
      </c>
      <c r="O80" s="74">
        <v>46139</v>
      </c>
      <c r="P80" s="57"/>
      <c r="Q80" s="57"/>
      <c r="R80" s="61" t="s">
        <v>934</v>
      </c>
      <c r="S80" s="61" t="s">
        <v>31</v>
      </c>
    </row>
    <row r="81" spans="2:19" s="62" customFormat="1" outlineLevel="1" x14ac:dyDescent="0.25">
      <c r="B81" s="53"/>
      <c r="C81" s="54">
        <v>76</v>
      </c>
      <c r="D81" s="54" t="s">
        <v>159</v>
      </c>
      <c r="E81" s="55" t="s">
        <v>1348</v>
      </c>
      <c r="F81" s="53" t="s">
        <v>160</v>
      </c>
      <c r="G81" s="63">
        <v>1</v>
      </c>
      <c r="H81" s="57" t="s">
        <v>61</v>
      </c>
      <c r="I81" s="54" t="s">
        <v>161</v>
      </c>
      <c r="J81" s="54" t="s">
        <v>162</v>
      </c>
      <c r="K81" s="54" t="s">
        <v>163</v>
      </c>
      <c r="L81" s="54" t="s">
        <v>164</v>
      </c>
      <c r="M81" s="54" t="s">
        <v>164</v>
      </c>
      <c r="N81" s="54" t="s">
        <v>165</v>
      </c>
      <c r="O81" s="74">
        <v>46139</v>
      </c>
      <c r="P81" s="57"/>
      <c r="Q81" s="57"/>
      <c r="R81" s="61" t="s">
        <v>934</v>
      </c>
      <c r="S81" s="61" t="s">
        <v>31</v>
      </c>
    </row>
    <row r="82" spans="2:19" s="62" customFormat="1" outlineLevel="1" x14ac:dyDescent="0.25">
      <c r="B82" s="53"/>
      <c r="C82" s="54">
        <v>77</v>
      </c>
      <c r="D82" s="54" t="s">
        <v>166</v>
      </c>
      <c r="E82" s="55" t="s">
        <v>1348</v>
      </c>
      <c r="F82" s="53" t="s">
        <v>167</v>
      </c>
      <c r="G82" s="63">
        <v>1</v>
      </c>
      <c r="H82" s="57" t="s">
        <v>61</v>
      </c>
      <c r="I82" s="54" t="s">
        <v>168</v>
      </c>
      <c r="J82" s="54" t="s">
        <v>169</v>
      </c>
      <c r="K82" s="54" t="s">
        <v>170</v>
      </c>
      <c r="L82" s="54" t="s">
        <v>171</v>
      </c>
      <c r="M82" s="54" t="s">
        <v>172</v>
      </c>
      <c r="N82" s="54" t="s">
        <v>173</v>
      </c>
      <c r="O82" s="74">
        <v>46139</v>
      </c>
      <c r="P82" s="57"/>
      <c r="Q82" s="57"/>
      <c r="R82" s="61" t="s">
        <v>934</v>
      </c>
      <c r="S82" s="61" t="s">
        <v>84</v>
      </c>
    </row>
    <row r="83" spans="2:19" s="62" customFormat="1" ht="30" customHeight="1" outlineLevel="1" x14ac:dyDescent="0.25">
      <c r="B83" s="53"/>
      <c r="C83" s="54">
        <v>78</v>
      </c>
      <c r="D83" s="54" t="s">
        <v>667</v>
      </c>
      <c r="E83" s="55" t="s">
        <v>1348</v>
      </c>
      <c r="F83" s="53" t="s">
        <v>668</v>
      </c>
      <c r="G83" s="63">
        <v>1</v>
      </c>
      <c r="H83" s="57" t="s">
        <v>61</v>
      </c>
      <c r="I83" s="54" t="s">
        <v>1355</v>
      </c>
      <c r="J83" s="54" t="s">
        <v>1356</v>
      </c>
      <c r="K83" s="68" t="s">
        <v>1357</v>
      </c>
      <c r="L83" s="54" t="s">
        <v>672</v>
      </c>
      <c r="M83" s="54" t="s">
        <v>1358</v>
      </c>
      <c r="N83" s="54" t="s">
        <v>673</v>
      </c>
      <c r="O83" s="74">
        <v>46139</v>
      </c>
      <c r="P83" s="57"/>
      <c r="Q83" s="57"/>
      <c r="R83" s="61" t="s">
        <v>934</v>
      </c>
      <c r="S83" s="61" t="s">
        <v>84</v>
      </c>
    </row>
    <row r="84" spans="2:19" s="62" customFormat="1" ht="54" customHeight="1" outlineLevel="1" x14ac:dyDescent="0.25">
      <c r="B84" s="53"/>
      <c r="C84" s="54" t="s">
        <v>1359</v>
      </c>
      <c r="D84" s="54" t="s">
        <v>190</v>
      </c>
      <c r="E84" s="55" t="s">
        <v>1348</v>
      </c>
      <c r="F84" s="53" t="s">
        <v>191</v>
      </c>
      <c r="G84" s="63">
        <v>3</v>
      </c>
      <c r="H84" s="57" t="s">
        <v>24</v>
      </c>
      <c r="I84" s="54" t="s">
        <v>1360</v>
      </c>
      <c r="J84" s="54" t="s">
        <v>1361</v>
      </c>
      <c r="K84" s="54" t="s">
        <v>1362</v>
      </c>
      <c r="L84" s="54" t="s">
        <v>195</v>
      </c>
      <c r="M84" s="54" t="s">
        <v>1363</v>
      </c>
      <c r="N84" s="54" t="s">
        <v>197</v>
      </c>
      <c r="O84" s="74">
        <v>46139</v>
      </c>
      <c r="P84" s="57"/>
      <c r="Q84" s="57"/>
      <c r="R84" s="61" t="s">
        <v>934</v>
      </c>
      <c r="S84" s="61" t="s">
        <v>31</v>
      </c>
    </row>
    <row r="85" spans="2:19" s="62" customFormat="1" outlineLevel="1" x14ac:dyDescent="0.25">
      <c r="B85" s="53"/>
      <c r="C85" s="54">
        <v>80</v>
      </c>
      <c r="D85" s="54" t="s">
        <v>635</v>
      </c>
      <c r="E85" s="55" t="s">
        <v>1348</v>
      </c>
      <c r="F85" s="53" t="s">
        <v>636</v>
      </c>
      <c r="G85" s="63">
        <v>2</v>
      </c>
      <c r="H85" s="57" t="s">
        <v>637</v>
      </c>
      <c r="I85" s="54" t="s">
        <v>638</v>
      </c>
      <c r="J85" s="54" t="s">
        <v>639</v>
      </c>
      <c r="K85" s="54" t="s">
        <v>640</v>
      </c>
      <c r="L85" s="54" t="s">
        <v>641</v>
      </c>
      <c r="M85" s="54" t="s">
        <v>642</v>
      </c>
      <c r="N85" s="54" t="s">
        <v>643</v>
      </c>
      <c r="O85" s="74">
        <v>46139</v>
      </c>
      <c r="P85" s="57"/>
      <c r="Q85" s="57"/>
      <c r="R85" s="61" t="s">
        <v>934</v>
      </c>
      <c r="S85" s="61" t="s">
        <v>31</v>
      </c>
    </row>
    <row r="86" spans="2:19" s="62" customFormat="1" outlineLevel="1" x14ac:dyDescent="0.25">
      <c r="B86" s="53"/>
      <c r="C86" s="54">
        <v>81</v>
      </c>
      <c r="D86" s="54" t="s">
        <v>198</v>
      </c>
      <c r="E86" s="55" t="s">
        <v>1348</v>
      </c>
      <c r="F86" s="53" t="s">
        <v>199</v>
      </c>
      <c r="G86" s="63">
        <v>10</v>
      </c>
      <c r="H86" s="57" t="s">
        <v>200</v>
      </c>
      <c r="I86" s="54" t="s">
        <v>201</v>
      </c>
      <c r="J86" s="54" t="s">
        <v>202</v>
      </c>
      <c r="K86" s="54" t="s">
        <v>203</v>
      </c>
      <c r="L86" s="54" t="s">
        <v>204</v>
      </c>
      <c r="M86" s="54" t="s">
        <v>1015</v>
      </c>
      <c r="N86" s="54" t="s">
        <v>206</v>
      </c>
      <c r="O86" s="74">
        <v>46139</v>
      </c>
      <c r="P86" s="57"/>
      <c r="Q86" s="57"/>
      <c r="R86" s="61" t="s">
        <v>934</v>
      </c>
      <c r="S86" s="61" t="s">
        <v>84</v>
      </c>
    </row>
    <row r="87" spans="2:19" s="62" customFormat="1" outlineLevel="1" x14ac:dyDescent="0.25">
      <c r="B87" s="53"/>
      <c r="C87" s="54">
        <v>82</v>
      </c>
      <c r="D87" s="54" t="s">
        <v>207</v>
      </c>
      <c r="E87" s="55" t="s">
        <v>1348</v>
      </c>
      <c r="F87" s="53" t="s">
        <v>208</v>
      </c>
      <c r="G87" s="63">
        <v>2</v>
      </c>
      <c r="H87" s="57" t="s">
        <v>61</v>
      </c>
      <c r="I87" s="54" t="s">
        <v>209</v>
      </c>
      <c r="J87" s="54" t="s">
        <v>210</v>
      </c>
      <c r="K87" s="54" t="s">
        <v>211</v>
      </c>
      <c r="L87" s="54" t="s">
        <v>212</v>
      </c>
      <c r="M87" s="54" t="s">
        <v>213</v>
      </c>
      <c r="N87" s="54" t="s">
        <v>214</v>
      </c>
      <c r="O87" s="74">
        <v>46139</v>
      </c>
      <c r="P87" s="57"/>
      <c r="Q87" s="57"/>
      <c r="R87" s="61" t="s">
        <v>934</v>
      </c>
      <c r="S87" s="61" t="s">
        <v>31</v>
      </c>
    </row>
    <row r="88" spans="2:19" s="62" customFormat="1" ht="36" customHeight="1" outlineLevel="1" x14ac:dyDescent="0.25">
      <c r="B88" s="53"/>
      <c r="C88" s="54" t="s">
        <v>1364</v>
      </c>
      <c r="D88" s="54" t="s">
        <v>795</v>
      </c>
      <c r="E88" s="55" t="s">
        <v>1348</v>
      </c>
      <c r="F88" s="53" t="s">
        <v>796</v>
      </c>
      <c r="G88" s="63">
        <v>1</v>
      </c>
      <c r="H88" s="57" t="s">
        <v>61</v>
      </c>
      <c r="I88" s="54" t="s">
        <v>797</v>
      </c>
      <c r="J88" s="54" t="s">
        <v>798</v>
      </c>
      <c r="K88" s="65" t="s">
        <v>799</v>
      </c>
      <c r="L88" s="54" t="s">
        <v>236</v>
      </c>
      <c r="M88" s="54" t="s">
        <v>1365</v>
      </c>
      <c r="N88" s="54" t="s">
        <v>801</v>
      </c>
      <c r="O88" s="74">
        <v>46139</v>
      </c>
      <c r="P88" s="57"/>
      <c r="Q88" s="57"/>
      <c r="R88" s="61" t="s">
        <v>934</v>
      </c>
      <c r="S88" s="61" t="s">
        <v>84</v>
      </c>
    </row>
    <row r="89" spans="2:19" s="62" customFormat="1" outlineLevel="1" x14ac:dyDescent="0.25">
      <c r="B89" s="53"/>
      <c r="C89" s="54">
        <v>84</v>
      </c>
      <c r="D89" s="54" t="s">
        <v>651</v>
      </c>
      <c r="E89" s="55" t="s">
        <v>1348</v>
      </c>
      <c r="F89" s="53" t="s">
        <v>652</v>
      </c>
      <c r="G89" s="63">
        <v>2</v>
      </c>
      <c r="H89" s="57" t="s">
        <v>111</v>
      </c>
      <c r="I89" s="54" t="s">
        <v>653</v>
      </c>
      <c r="J89" s="54" t="s">
        <v>654</v>
      </c>
      <c r="K89" s="54" t="s">
        <v>655</v>
      </c>
      <c r="L89" s="54" t="s">
        <v>656</v>
      </c>
      <c r="M89" s="54" t="s">
        <v>657</v>
      </c>
      <c r="N89" s="54" t="s">
        <v>658</v>
      </c>
      <c r="O89" s="74">
        <v>46139</v>
      </c>
      <c r="P89" s="57"/>
      <c r="Q89" s="57"/>
      <c r="R89" s="61" t="s">
        <v>934</v>
      </c>
      <c r="S89" s="61" t="s">
        <v>31</v>
      </c>
    </row>
    <row r="90" spans="2:19" s="62" customFormat="1" outlineLevel="1" x14ac:dyDescent="0.25">
      <c r="B90" s="53"/>
      <c r="C90" s="54">
        <v>85</v>
      </c>
      <c r="D90" s="54" t="s">
        <v>270</v>
      </c>
      <c r="E90" s="55" t="s">
        <v>1348</v>
      </c>
      <c r="F90" s="53" t="s">
        <v>271</v>
      </c>
      <c r="G90" s="63">
        <v>1</v>
      </c>
      <c r="H90" s="57" t="s">
        <v>61</v>
      </c>
      <c r="I90" s="54" t="s">
        <v>272</v>
      </c>
      <c r="J90" s="54" t="s">
        <v>273</v>
      </c>
      <c r="K90" s="54" t="s">
        <v>274</v>
      </c>
      <c r="L90" s="54" t="s">
        <v>1366</v>
      </c>
      <c r="M90" s="54" t="s">
        <v>1366</v>
      </c>
      <c r="N90" s="54" t="s">
        <v>277</v>
      </c>
      <c r="O90" s="74">
        <v>46139</v>
      </c>
      <c r="P90" s="57"/>
      <c r="Q90" s="57"/>
      <c r="R90" s="61" t="s">
        <v>934</v>
      </c>
      <c r="S90" s="61" t="s">
        <v>31</v>
      </c>
    </row>
    <row r="91" spans="2:19" s="62" customFormat="1" outlineLevel="1" x14ac:dyDescent="0.25">
      <c r="B91" s="53"/>
      <c r="C91" s="54">
        <v>86</v>
      </c>
      <c r="D91" s="54" t="s">
        <v>278</v>
      </c>
      <c r="E91" s="55" t="s">
        <v>1348</v>
      </c>
      <c r="F91" s="53" t="s">
        <v>279</v>
      </c>
      <c r="G91" s="63">
        <v>1</v>
      </c>
      <c r="H91" s="57" t="s">
        <v>61</v>
      </c>
      <c r="I91" s="54" t="s">
        <v>280</v>
      </c>
      <c r="J91" s="54" t="s">
        <v>281</v>
      </c>
      <c r="K91" s="54" t="s">
        <v>282</v>
      </c>
      <c r="L91" s="54" t="s">
        <v>283</v>
      </c>
      <c r="M91" s="54" t="s">
        <v>284</v>
      </c>
      <c r="N91" s="54" t="s">
        <v>285</v>
      </c>
      <c r="O91" s="74">
        <v>46139</v>
      </c>
      <c r="P91" s="57"/>
      <c r="Q91" s="57"/>
      <c r="R91" s="61" t="s">
        <v>934</v>
      </c>
      <c r="S91" s="61" t="s">
        <v>31</v>
      </c>
    </row>
    <row r="92" spans="2:19" s="62" customFormat="1" outlineLevel="1" x14ac:dyDescent="0.25">
      <c r="B92" s="53"/>
      <c r="C92" s="54">
        <v>87</v>
      </c>
      <c r="D92" s="54" t="s">
        <v>859</v>
      </c>
      <c r="E92" s="55" t="s">
        <v>1348</v>
      </c>
      <c r="F92" s="53" t="s">
        <v>860</v>
      </c>
      <c r="G92" s="63">
        <v>1</v>
      </c>
      <c r="H92" s="57" t="s">
        <v>861</v>
      </c>
      <c r="I92" s="54" t="s">
        <v>862</v>
      </c>
      <c r="J92" s="54" t="s">
        <v>863</v>
      </c>
      <c r="K92" s="54" t="s">
        <v>864</v>
      </c>
      <c r="L92" s="54" t="s">
        <v>865</v>
      </c>
      <c r="M92" s="54" t="s">
        <v>866</v>
      </c>
      <c r="N92" s="54" t="s">
        <v>867</v>
      </c>
      <c r="O92" s="74">
        <v>46139</v>
      </c>
      <c r="P92" s="57"/>
      <c r="Q92" s="57"/>
      <c r="R92" s="61" t="s">
        <v>934</v>
      </c>
      <c r="S92" s="61" t="s">
        <v>31</v>
      </c>
    </row>
    <row r="93" spans="2:19" s="62" customFormat="1" ht="45" customHeight="1" outlineLevel="1" x14ac:dyDescent="0.25">
      <c r="B93" s="53"/>
      <c r="C93" s="54" t="s">
        <v>1367</v>
      </c>
      <c r="D93" s="54" t="s">
        <v>294</v>
      </c>
      <c r="E93" s="55" t="s">
        <v>1348</v>
      </c>
      <c r="F93" s="53" t="s">
        <v>295</v>
      </c>
      <c r="G93" s="63">
        <v>3</v>
      </c>
      <c r="H93" s="57" t="s">
        <v>61</v>
      </c>
      <c r="I93" s="54" t="s">
        <v>908</v>
      </c>
      <c r="J93" s="54" t="s">
        <v>909</v>
      </c>
      <c r="K93" s="54" t="s">
        <v>910</v>
      </c>
      <c r="L93" s="54" t="s">
        <v>299</v>
      </c>
      <c r="M93" s="54" t="s">
        <v>1368</v>
      </c>
      <c r="N93" s="54" t="s">
        <v>301</v>
      </c>
      <c r="O93" s="74">
        <v>46139</v>
      </c>
      <c r="P93" s="57"/>
      <c r="Q93" s="57"/>
      <c r="R93" s="61" t="s">
        <v>934</v>
      </c>
      <c r="S93" s="61" t="s">
        <v>31</v>
      </c>
    </row>
    <row r="94" spans="2:19" s="62" customFormat="1" outlineLevel="1" x14ac:dyDescent="0.25">
      <c r="B94" s="53"/>
      <c r="C94" s="54">
        <v>89</v>
      </c>
      <c r="D94" s="54" t="s">
        <v>310</v>
      </c>
      <c r="E94" s="55" t="s">
        <v>1348</v>
      </c>
      <c r="F94" s="53" t="s">
        <v>311</v>
      </c>
      <c r="G94" s="63">
        <v>1</v>
      </c>
      <c r="H94" s="57" t="s">
        <v>152</v>
      </c>
      <c r="I94" s="54" t="s">
        <v>312</v>
      </c>
      <c r="J94" s="54" t="s">
        <v>313</v>
      </c>
      <c r="K94" s="54" t="s">
        <v>314</v>
      </c>
      <c r="L94" s="54" t="s">
        <v>315</v>
      </c>
      <c r="M94" s="54" t="s">
        <v>316</v>
      </c>
      <c r="N94" s="54" t="s">
        <v>317</v>
      </c>
      <c r="O94" s="74">
        <v>46139</v>
      </c>
      <c r="P94" s="57"/>
      <c r="Q94" s="57"/>
      <c r="R94" s="61" t="s">
        <v>934</v>
      </c>
      <c r="S94" s="61" t="s">
        <v>31</v>
      </c>
    </row>
    <row r="95" spans="2:19" s="62" customFormat="1" outlineLevel="1" x14ac:dyDescent="0.25">
      <c r="B95" s="53"/>
      <c r="C95" s="54">
        <v>90</v>
      </c>
      <c r="D95" s="54" t="s">
        <v>350</v>
      </c>
      <c r="E95" s="55" t="s">
        <v>1348</v>
      </c>
      <c r="F95" s="53" t="s">
        <v>351</v>
      </c>
      <c r="G95" s="63">
        <v>1</v>
      </c>
      <c r="H95" s="57" t="s">
        <v>152</v>
      </c>
      <c r="I95" s="54" t="s">
        <v>352</v>
      </c>
      <c r="J95" s="54" t="s">
        <v>353</v>
      </c>
      <c r="K95" s="54" t="s">
        <v>354</v>
      </c>
      <c r="L95" s="54" t="s">
        <v>355</v>
      </c>
      <c r="M95" s="54" t="s">
        <v>355</v>
      </c>
      <c r="N95" s="54" t="s">
        <v>356</v>
      </c>
      <c r="O95" s="74">
        <v>46139</v>
      </c>
      <c r="P95" s="57"/>
      <c r="Q95" s="57"/>
      <c r="R95" s="61" t="s">
        <v>934</v>
      </c>
      <c r="S95" s="61" t="s">
        <v>84</v>
      </c>
    </row>
    <row r="96" spans="2:19" s="62" customFormat="1" outlineLevel="1" x14ac:dyDescent="0.25">
      <c r="B96" s="53"/>
      <c r="C96" s="54">
        <v>91</v>
      </c>
      <c r="D96" s="54" t="s">
        <v>963</v>
      </c>
      <c r="E96" s="55" t="s">
        <v>1348</v>
      </c>
      <c r="F96" s="53" t="s">
        <v>917</v>
      </c>
      <c r="G96" s="63">
        <v>1</v>
      </c>
      <c r="H96" s="57" t="s">
        <v>152</v>
      </c>
      <c r="I96" s="54" t="s">
        <v>964</v>
      </c>
      <c r="J96" s="54" t="s">
        <v>965</v>
      </c>
      <c r="K96" s="54" t="s">
        <v>966</v>
      </c>
      <c r="L96" s="54" t="s">
        <v>967</v>
      </c>
      <c r="M96" s="54" t="s">
        <v>985</v>
      </c>
      <c r="N96" s="54" t="s">
        <v>969</v>
      </c>
      <c r="O96" s="74">
        <v>46139</v>
      </c>
      <c r="P96" s="57"/>
      <c r="Q96" s="57"/>
      <c r="R96" s="61" t="s">
        <v>934</v>
      </c>
      <c r="S96" s="61" t="s">
        <v>84</v>
      </c>
    </row>
    <row r="97" spans="2:19" s="62" customFormat="1" ht="54" customHeight="1" outlineLevel="1" x14ac:dyDescent="0.25">
      <c r="B97" s="53"/>
      <c r="C97" s="54" t="s">
        <v>1369</v>
      </c>
      <c r="D97" s="54" t="s">
        <v>366</v>
      </c>
      <c r="E97" s="55" t="s">
        <v>1348</v>
      </c>
      <c r="F97" s="53" t="s">
        <v>367</v>
      </c>
      <c r="G97" s="63">
        <v>6</v>
      </c>
      <c r="H97" s="57" t="s">
        <v>368</v>
      </c>
      <c r="I97" s="54" t="s">
        <v>369</v>
      </c>
      <c r="J97" s="54" t="s">
        <v>370</v>
      </c>
      <c r="K97" s="54" t="s">
        <v>371</v>
      </c>
      <c r="L97" s="54" t="s">
        <v>372</v>
      </c>
      <c r="M97" s="54" t="s">
        <v>1370</v>
      </c>
      <c r="N97" s="54" t="s">
        <v>374</v>
      </c>
      <c r="O97" s="74">
        <v>46139</v>
      </c>
      <c r="P97" s="57"/>
      <c r="Q97" s="57"/>
      <c r="R97" s="61" t="s">
        <v>934</v>
      </c>
      <c r="S97" s="61" t="s">
        <v>84</v>
      </c>
    </row>
    <row r="98" spans="2:19" s="62" customFormat="1" ht="36" customHeight="1" outlineLevel="1" x14ac:dyDescent="0.25">
      <c r="B98" s="53"/>
      <c r="C98" s="54" t="s">
        <v>1371</v>
      </c>
      <c r="D98" s="54" t="s">
        <v>375</v>
      </c>
      <c r="E98" s="53" t="s">
        <v>1348</v>
      </c>
      <c r="F98" s="53" t="s">
        <v>376</v>
      </c>
      <c r="G98" s="63">
        <v>6</v>
      </c>
      <c r="H98" s="57" t="s">
        <v>111</v>
      </c>
      <c r="I98" s="54" t="s">
        <v>1372</v>
      </c>
      <c r="J98" s="54" t="s">
        <v>685</v>
      </c>
      <c r="K98" s="54" t="s">
        <v>686</v>
      </c>
      <c r="L98" s="54" t="s">
        <v>380</v>
      </c>
      <c r="M98" s="54" t="s">
        <v>1373</v>
      </c>
      <c r="N98" s="54" t="s">
        <v>382</v>
      </c>
      <c r="O98" s="74">
        <v>46139</v>
      </c>
      <c r="P98" s="57"/>
      <c r="Q98" s="57"/>
      <c r="R98" s="61" t="s">
        <v>934</v>
      </c>
      <c r="S98" s="61" t="s">
        <v>31</v>
      </c>
    </row>
    <row r="99" spans="2:19" s="62" customFormat="1" outlineLevel="1" x14ac:dyDescent="0.25">
      <c r="B99" s="53"/>
      <c r="C99" s="54">
        <v>94</v>
      </c>
      <c r="D99" s="54" t="s">
        <v>399</v>
      </c>
      <c r="E99" s="55" t="s">
        <v>1348</v>
      </c>
      <c r="F99" s="53" t="s">
        <v>400</v>
      </c>
      <c r="G99" s="63">
        <v>1</v>
      </c>
      <c r="H99" s="57" t="s">
        <v>152</v>
      </c>
      <c r="I99" s="54" t="s">
        <v>401</v>
      </c>
      <c r="J99" s="54" t="s">
        <v>402</v>
      </c>
      <c r="K99" s="54" t="s">
        <v>403</v>
      </c>
      <c r="L99" s="54" t="s">
        <v>404</v>
      </c>
      <c r="M99" s="54" t="s">
        <v>791</v>
      </c>
      <c r="N99" s="54" t="s">
        <v>406</v>
      </c>
      <c r="O99" s="74">
        <v>46139</v>
      </c>
      <c r="P99" s="57"/>
      <c r="Q99" s="57"/>
      <c r="R99" s="61" t="s">
        <v>934</v>
      </c>
      <c r="S99" s="61" t="s">
        <v>84</v>
      </c>
    </row>
    <row r="100" spans="2:19" s="62" customFormat="1" ht="30" customHeight="1" outlineLevel="1" x14ac:dyDescent="0.25">
      <c r="B100" s="53"/>
      <c r="C100" s="54" t="s">
        <v>1374</v>
      </c>
      <c r="D100" s="54" t="s">
        <v>431</v>
      </c>
      <c r="E100" s="55" t="s">
        <v>1348</v>
      </c>
      <c r="F100" s="53" t="s">
        <v>432</v>
      </c>
      <c r="G100" s="63">
        <v>4</v>
      </c>
      <c r="H100" s="57" t="s">
        <v>152</v>
      </c>
      <c r="I100" s="54" t="s">
        <v>1375</v>
      </c>
      <c r="J100" s="54" t="s">
        <v>1376</v>
      </c>
      <c r="K100" s="54" t="s">
        <v>1377</v>
      </c>
      <c r="L100" s="54" t="s">
        <v>436</v>
      </c>
      <c r="M100" s="54" t="s">
        <v>1378</v>
      </c>
      <c r="N100" s="54" t="s">
        <v>438</v>
      </c>
      <c r="O100" s="74">
        <v>46139</v>
      </c>
      <c r="P100" s="57"/>
      <c r="Q100" s="57"/>
      <c r="R100" s="61" t="s">
        <v>934</v>
      </c>
      <c r="S100" s="61" t="s">
        <v>31</v>
      </c>
    </row>
    <row r="101" spans="2:19" s="62" customFormat="1" outlineLevel="1" x14ac:dyDescent="0.25">
      <c r="B101" s="53"/>
      <c r="C101" s="54">
        <v>96</v>
      </c>
      <c r="D101" s="54" t="s">
        <v>544</v>
      </c>
      <c r="E101" s="55" t="s">
        <v>1348</v>
      </c>
      <c r="F101" s="53" t="s">
        <v>545</v>
      </c>
      <c r="G101" s="63">
        <v>1</v>
      </c>
      <c r="H101" s="57" t="s">
        <v>24</v>
      </c>
      <c r="I101" s="54" t="s">
        <v>546</v>
      </c>
      <c r="J101" s="54" t="s">
        <v>547</v>
      </c>
      <c r="K101" s="54" t="s">
        <v>548</v>
      </c>
      <c r="L101" s="54" t="s">
        <v>549</v>
      </c>
      <c r="M101" s="54" t="s">
        <v>550</v>
      </c>
      <c r="N101" s="54" t="s">
        <v>551</v>
      </c>
      <c r="O101" s="74">
        <v>46139</v>
      </c>
      <c r="P101" s="57"/>
      <c r="Q101" s="57"/>
      <c r="R101" s="61" t="s">
        <v>934</v>
      </c>
      <c r="S101" s="61" t="s">
        <v>31</v>
      </c>
    </row>
    <row r="102" spans="2:19" s="62" customFormat="1" outlineLevel="1" x14ac:dyDescent="0.25">
      <c r="B102" s="53"/>
      <c r="C102" s="54">
        <v>97</v>
      </c>
      <c r="D102" s="54" t="s">
        <v>439</v>
      </c>
      <c r="E102" s="55" t="s">
        <v>1348</v>
      </c>
      <c r="F102" s="53" t="s">
        <v>440</v>
      </c>
      <c r="G102" s="63">
        <v>1</v>
      </c>
      <c r="H102" s="57" t="s">
        <v>152</v>
      </c>
      <c r="I102" s="54" t="s">
        <v>1028</v>
      </c>
      <c r="J102" s="54" t="s">
        <v>1029</v>
      </c>
      <c r="K102" s="54" t="s">
        <v>1030</v>
      </c>
      <c r="L102" s="54" t="s">
        <v>444</v>
      </c>
      <c r="M102" s="54" t="s">
        <v>1031</v>
      </c>
      <c r="N102" s="54" t="s">
        <v>446</v>
      </c>
      <c r="O102" s="74">
        <v>46139</v>
      </c>
      <c r="P102" s="57"/>
      <c r="Q102" s="57"/>
      <c r="R102" s="61" t="s">
        <v>934</v>
      </c>
      <c r="S102" s="61" t="s">
        <v>31</v>
      </c>
    </row>
    <row r="103" spans="2:19" s="62" customFormat="1" outlineLevel="1" x14ac:dyDescent="0.25">
      <c r="B103" s="53"/>
      <c r="C103" s="54">
        <v>98</v>
      </c>
      <c r="D103" s="54" t="s">
        <v>571</v>
      </c>
      <c r="E103" s="55" t="s">
        <v>1348</v>
      </c>
      <c r="F103" s="53" t="s">
        <v>572</v>
      </c>
      <c r="G103" s="63">
        <v>1</v>
      </c>
      <c r="H103" s="57" t="s">
        <v>573</v>
      </c>
      <c r="I103" s="54" t="s">
        <v>574</v>
      </c>
      <c r="J103" s="54" t="s">
        <v>575</v>
      </c>
      <c r="K103" s="54" t="s">
        <v>576</v>
      </c>
      <c r="L103" s="54" t="s">
        <v>577</v>
      </c>
      <c r="M103" s="54" t="s">
        <v>578</v>
      </c>
      <c r="N103" s="54" t="s">
        <v>579</v>
      </c>
      <c r="O103" s="74">
        <v>46139</v>
      </c>
      <c r="P103" s="57"/>
      <c r="Q103" s="57"/>
      <c r="R103" s="61" t="s">
        <v>934</v>
      </c>
      <c r="S103" s="61" t="s">
        <v>84</v>
      </c>
    </row>
    <row r="104" spans="2:19" s="62" customFormat="1" ht="36" customHeight="1" outlineLevel="1" x14ac:dyDescent="0.25">
      <c r="B104" s="53"/>
      <c r="C104" s="54" t="s">
        <v>1379</v>
      </c>
      <c r="D104" s="54" t="s">
        <v>596</v>
      </c>
      <c r="E104" s="55" t="s">
        <v>1348</v>
      </c>
      <c r="F104" s="53" t="s">
        <v>597</v>
      </c>
      <c r="G104" s="63">
        <v>1</v>
      </c>
      <c r="H104" s="57" t="s">
        <v>61</v>
      </c>
      <c r="I104" s="54" t="s">
        <v>598</v>
      </c>
      <c r="J104" s="54" t="s">
        <v>599</v>
      </c>
      <c r="K104" s="54" t="s">
        <v>600</v>
      </c>
      <c r="L104" s="54" t="s">
        <v>601</v>
      </c>
      <c r="M104" s="54" t="s">
        <v>1380</v>
      </c>
      <c r="N104" s="54" t="s">
        <v>603</v>
      </c>
      <c r="O104" s="74">
        <v>46139</v>
      </c>
      <c r="P104" s="57"/>
      <c r="Q104" s="57"/>
      <c r="R104" s="61" t="s">
        <v>934</v>
      </c>
      <c r="S104" s="61" t="s">
        <v>84</v>
      </c>
    </row>
    <row r="105" spans="2:19" s="62" customFormat="1" outlineLevel="1" x14ac:dyDescent="0.25">
      <c r="B105" s="53"/>
      <c r="C105" s="54">
        <v>100</v>
      </c>
      <c r="D105" s="54" t="s">
        <v>471</v>
      </c>
      <c r="E105" s="55" t="s">
        <v>1348</v>
      </c>
      <c r="F105" s="53" t="s">
        <v>472</v>
      </c>
      <c r="G105" s="63">
        <v>1</v>
      </c>
      <c r="H105" s="57" t="s">
        <v>111</v>
      </c>
      <c r="I105" s="54" t="s">
        <v>473</v>
      </c>
      <c r="J105" s="54" t="s">
        <v>474</v>
      </c>
      <c r="K105" s="54" t="s">
        <v>475</v>
      </c>
      <c r="L105" s="54" t="s">
        <v>476</v>
      </c>
      <c r="M105" s="54" t="s">
        <v>476</v>
      </c>
      <c r="N105" s="54" t="s">
        <v>477</v>
      </c>
      <c r="O105" s="74">
        <v>46139</v>
      </c>
      <c r="P105" s="57"/>
      <c r="Q105" s="57"/>
      <c r="R105" s="61" t="s">
        <v>934</v>
      </c>
      <c r="S105" s="61" t="s">
        <v>84</v>
      </c>
    </row>
    <row r="106" spans="2:19" s="62" customFormat="1" ht="30" customHeight="1" outlineLevel="1" x14ac:dyDescent="0.25">
      <c r="B106" s="53"/>
      <c r="C106" s="54">
        <v>101</v>
      </c>
      <c r="D106" s="54" t="s">
        <v>478</v>
      </c>
      <c r="E106" s="55" t="s">
        <v>1348</v>
      </c>
      <c r="F106" s="53" t="s">
        <v>479</v>
      </c>
      <c r="G106" s="63">
        <v>2</v>
      </c>
      <c r="H106" s="57" t="s">
        <v>111</v>
      </c>
      <c r="I106" s="54" t="s">
        <v>480</v>
      </c>
      <c r="J106" s="54" t="s">
        <v>481</v>
      </c>
      <c r="K106" s="54" t="s">
        <v>482</v>
      </c>
      <c r="L106" s="54" t="s">
        <v>483</v>
      </c>
      <c r="M106" s="54" t="s">
        <v>634</v>
      </c>
      <c r="N106" s="54" t="s">
        <v>485</v>
      </c>
      <c r="O106" s="74">
        <v>46139</v>
      </c>
      <c r="P106" s="57"/>
      <c r="Q106" s="57"/>
      <c r="R106" s="61" t="s">
        <v>934</v>
      </c>
      <c r="S106" s="61" t="s">
        <v>84</v>
      </c>
    </row>
    <row r="107" spans="2:19" s="62" customFormat="1" outlineLevel="1" x14ac:dyDescent="0.25">
      <c r="B107" s="53"/>
      <c r="C107" s="54">
        <v>102</v>
      </c>
      <c r="D107" s="54" t="s">
        <v>502</v>
      </c>
      <c r="E107" s="55" t="s">
        <v>1348</v>
      </c>
      <c r="F107" s="53" t="s">
        <v>503</v>
      </c>
      <c r="G107" s="63">
        <v>2</v>
      </c>
      <c r="H107" s="57" t="s">
        <v>61</v>
      </c>
      <c r="I107" s="54" t="s">
        <v>504</v>
      </c>
      <c r="J107" s="54" t="s">
        <v>505</v>
      </c>
      <c r="K107" s="54" t="s">
        <v>506</v>
      </c>
      <c r="L107" s="54" t="s">
        <v>283</v>
      </c>
      <c r="M107" s="54" t="s">
        <v>284</v>
      </c>
      <c r="N107" s="54" t="s">
        <v>507</v>
      </c>
      <c r="O107" s="74">
        <v>46139</v>
      </c>
      <c r="P107" s="57"/>
      <c r="Q107" s="57"/>
      <c r="R107" s="61" t="s">
        <v>934</v>
      </c>
      <c r="S107" s="61" t="s">
        <v>84</v>
      </c>
    </row>
    <row r="108" spans="2:19" s="62" customFormat="1" outlineLevel="1" x14ac:dyDescent="0.25">
      <c r="B108" s="53"/>
      <c r="C108" s="54">
        <v>103</v>
      </c>
      <c r="D108" s="54" t="s">
        <v>516</v>
      </c>
      <c r="E108" s="55" t="s">
        <v>1348</v>
      </c>
      <c r="F108" s="71" t="s">
        <v>517</v>
      </c>
      <c r="G108" s="63">
        <v>3</v>
      </c>
      <c r="H108" s="57" t="s">
        <v>61</v>
      </c>
      <c r="I108" s="54" t="s">
        <v>518</v>
      </c>
      <c r="J108" s="54" t="s">
        <v>519</v>
      </c>
      <c r="K108" s="54" t="s">
        <v>520</v>
      </c>
      <c r="L108" s="54" t="s">
        <v>521</v>
      </c>
      <c r="M108" s="54" t="s">
        <v>522</v>
      </c>
      <c r="N108" s="54" t="s">
        <v>523</v>
      </c>
      <c r="O108" s="74">
        <v>46139</v>
      </c>
      <c r="P108" s="57"/>
      <c r="Q108" s="57"/>
      <c r="R108" s="61" t="s">
        <v>934</v>
      </c>
      <c r="S108" s="61" t="s">
        <v>31</v>
      </c>
    </row>
    <row r="109" spans="2:19" s="33" customFormat="1" x14ac:dyDescent="0.25">
      <c r="B109" s="42"/>
      <c r="C109" s="42"/>
      <c r="D109" s="42"/>
      <c r="E109" s="28" t="s">
        <v>1381</v>
      </c>
      <c r="F109" s="28"/>
      <c r="G109" s="29">
        <f>SUM(G110:G151)</f>
        <v>88</v>
      </c>
      <c r="H109" s="34"/>
      <c r="I109" s="49"/>
      <c r="J109" s="50"/>
      <c r="K109" s="51"/>
      <c r="L109" s="42"/>
      <c r="M109" s="42"/>
      <c r="N109" s="36"/>
      <c r="O109" s="34"/>
      <c r="P109" s="35"/>
      <c r="Q109" s="35"/>
      <c r="R109" s="32" t="s">
        <v>31</v>
      </c>
      <c r="S109" s="32"/>
    </row>
    <row r="110" spans="2:19" s="62" customFormat="1" ht="36" customHeight="1" outlineLevel="1" x14ac:dyDescent="0.25">
      <c r="B110" s="53"/>
      <c r="C110" s="54" t="s">
        <v>1382</v>
      </c>
      <c r="D110" s="54" t="s">
        <v>811</v>
      </c>
      <c r="E110" s="55" t="s">
        <v>1381</v>
      </c>
      <c r="F110" s="53" t="s">
        <v>812</v>
      </c>
      <c r="G110" s="63">
        <v>4</v>
      </c>
      <c r="H110" s="57" t="s">
        <v>813</v>
      </c>
      <c r="I110" s="54" t="s">
        <v>814</v>
      </c>
      <c r="J110" s="54" t="s">
        <v>815</v>
      </c>
      <c r="K110" s="54" t="s">
        <v>816</v>
      </c>
      <c r="L110" s="54" t="s">
        <v>817</v>
      </c>
      <c r="M110" s="54" t="s">
        <v>1383</v>
      </c>
      <c r="N110" s="54" t="s">
        <v>819</v>
      </c>
      <c r="O110" s="59">
        <v>46153</v>
      </c>
      <c r="P110" s="57"/>
      <c r="Q110" s="57"/>
      <c r="R110" s="61" t="s">
        <v>31</v>
      </c>
      <c r="S110" s="61" t="s">
        <v>84</v>
      </c>
    </row>
    <row r="111" spans="2:19" s="62" customFormat="1" ht="30" customHeight="1" outlineLevel="1" x14ac:dyDescent="0.25">
      <c r="B111" s="53"/>
      <c r="C111" s="54">
        <v>105</v>
      </c>
      <c r="D111" s="54" t="s">
        <v>1079</v>
      </c>
      <c r="E111" s="55" t="s">
        <v>1381</v>
      </c>
      <c r="F111" s="53" t="s">
        <v>918</v>
      </c>
      <c r="G111" s="63">
        <v>1</v>
      </c>
      <c r="H111" s="57" t="s">
        <v>152</v>
      </c>
      <c r="I111" s="54" t="s">
        <v>1080</v>
      </c>
      <c r="J111" s="54" t="s">
        <v>1081</v>
      </c>
      <c r="K111" s="54" t="s">
        <v>1082</v>
      </c>
      <c r="L111" s="54" t="s">
        <v>1083</v>
      </c>
      <c r="M111" s="54" t="s">
        <v>1084</v>
      </c>
      <c r="N111" s="54" t="s">
        <v>1085</v>
      </c>
      <c r="O111" s="74">
        <v>46132</v>
      </c>
      <c r="P111" s="57"/>
      <c r="Q111" s="57"/>
      <c r="R111" s="61" t="s">
        <v>31</v>
      </c>
      <c r="S111" s="61" t="s">
        <v>84</v>
      </c>
    </row>
    <row r="112" spans="2:19" s="62" customFormat="1" ht="90" customHeight="1" outlineLevel="1" x14ac:dyDescent="0.25">
      <c r="B112" s="53"/>
      <c r="C112" s="54" t="s">
        <v>1384</v>
      </c>
      <c r="D112" s="54" t="s">
        <v>68</v>
      </c>
      <c r="E112" s="55" t="s">
        <v>1381</v>
      </c>
      <c r="F112" s="53" t="s">
        <v>69</v>
      </c>
      <c r="G112" s="63">
        <v>5</v>
      </c>
      <c r="H112" s="57" t="s">
        <v>61</v>
      </c>
      <c r="I112" s="54" t="s">
        <v>1385</v>
      </c>
      <c r="J112" s="54" t="s">
        <v>1386</v>
      </c>
      <c r="K112" s="54" t="s">
        <v>1387</v>
      </c>
      <c r="L112" s="54" t="s">
        <v>73</v>
      </c>
      <c r="M112" s="54" t="s">
        <v>1388</v>
      </c>
      <c r="N112" s="54" t="s">
        <v>74</v>
      </c>
      <c r="O112" s="74">
        <v>46132</v>
      </c>
      <c r="P112" s="57"/>
      <c r="Q112" s="57"/>
      <c r="R112" s="61" t="s">
        <v>31</v>
      </c>
      <c r="S112" s="61" t="s">
        <v>31</v>
      </c>
    </row>
    <row r="113" spans="2:19" s="62" customFormat="1" ht="36" customHeight="1" outlineLevel="1" x14ac:dyDescent="0.25">
      <c r="B113" s="53"/>
      <c r="C113" s="54" t="s">
        <v>1389</v>
      </c>
      <c r="D113" s="54" t="s">
        <v>75</v>
      </c>
      <c r="E113" s="55" t="s">
        <v>1381</v>
      </c>
      <c r="F113" s="53" t="s">
        <v>76</v>
      </c>
      <c r="G113" s="63">
        <v>2</v>
      </c>
      <c r="H113" s="57" t="s">
        <v>77</v>
      </c>
      <c r="I113" s="54" t="s">
        <v>1390</v>
      </c>
      <c r="J113" s="54" t="s">
        <v>1391</v>
      </c>
      <c r="K113" s="54" t="s">
        <v>1392</v>
      </c>
      <c r="L113" s="54" t="s">
        <v>81</v>
      </c>
      <c r="M113" s="54" t="s">
        <v>1393</v>
      </c>
      <c r="N113" s="54" t="s">
        <v>83</v>
      </c>
      <c r="O113" s="74">
        <v>46132</v>
      </c>
      <c r="P113" s="57"/>
      <c r="Q113" s="57"/>
      <c r="R113" s="61" t="s">
        <v>31</v>
      </c>
      <c r="S113" s="61" t="s">
        <v>84</v>
      </c>
    </row>
    <row r="114" spans="2:19" s="62" customFormat="1" ht="36" customHeight="1" outlineLevel="1" x14ac:dyDescent="0.25">
      <c r="B114" s="53"/>
      <c r="C114" s="54">
        <v>108</v>
      </c>
      <c r="D114" s="54" t="s">
        <v>899</v>
      </c>
      <c r="E114" s="55" t="s">
        <v>1381</v>
      </c>
      <c r="F114" s="53" t="s">
        <v>900</v>
      </c>
      <c r="G114" s="63">
        <v>1</v>
      </c>
      <c r="H114" s="57" t="s">
        <v>901</v>
      </c>
      <c r="I114" s="54" t="s">
        <v>902</v>
      </c>
      <c r="J114" s="54" t="s">
        <v>903</v>
      </c>
      <c r="K114" s="54" t="s">
        <v>904</v>
      </c>
      <c r="L114" s="54" t="s">
        <v>905</v>
      </c>
      <c r="M114" s="54" t="s">
        <v>906</v>
      </c>
      <c r="N114" s="54" t="s">
        <v>907</v>
      </c>
      <c r="O114" s="74">
        <v>46132</v>
      </c>
      <c r="P114" s="57"/>
      <c r="Q114" s="57"/>
      <c r="R114" s="61" t="s">
        <v>31</v>
      </c>
      <c r="S114" s="61" t="s">
        <v>31</v>
      </c>
    </row>
    <row r="115" spans="2:19" s="62" customFormat="1" outlineLevel="1" x14ac:dyDescent="0.25">
      <c r="B115" s="53"/>
      <c r="C115" s="54">
        <v>109</v>
      </c>
      <c r="D115" s="54" t="s">
        <v>580</v>
      </c>
      <c r="E115" s="55" t="s">
        <v>1381</v>
      </c>
      <c r="F115" s="53" t="s">
        <v>581</v>
      </c>
      <c r="G115" s="63">
        <v>1</v>
      </c>
      <c r="H115" s="57" t="s">
        <v>61</v>
      </c>
      <c r="I115" s="54" t="s">
        <v>582</v>
      </c>
      <c r="J115" s="54" t="s">
        <v>583</v>
      </c>
      <c r="K115" s="54" t="s">
        <v>584</v>
      </c>
      <c r="L115" s="54" t="s">
        <v>585</v>
      </c>
      <c r="M115" s="54" t="s">
        <v>1009</v>
      </c>
      <c r="N115" s="54" t="s">
        <v>587</v>
      </c>
      <c r="O115" s="74">
        <v>46132</v>
      </c>
      <c r="P115" s="57"/>
      <c r="Q115" s="57"/>
      <c r="R115" s="61" t="s">
        <v>31</v>
      </c>
      <c r="S115" s="61" t="s">
        <v>84</v>
      </c>
    </row>
    <row r="116" spans="2:19" s="62" customFormat="1" outlineLevel="1" x14ac:dyDescent="0.25">
      <c r="B116" s="53"/>
      <c r="C116" s="54">
        <v>110</v>
      </c>
      <c r="D116" s="54" t="s">
        <v>626</v>
      </c>
      <c r="E116" s="55" t="s">
        <v>1381</v>
      </c>
      <c r="F116" s="53" t="s">
        <v>627</v>
      </c>
      <c r="G116" s="63">
        <v>1</v>
      </c>
      <c r="H116" s="57" t="s">
        <v>152</v>
      </c>
      <c r="I116" s="54" t="s">
        <v>628</v>
      </c>
      <c r="J116" s="54" t="s">
        <v>629</v>
      </c>
      <c r="K116" s="54" t="s">
        <v>630</v>
      </c>
      <c r="L116" s="54" t="s">
        <v>631</v>
      </c>
      <c r="M116" s="54" t="s">
        <v>632</v>
      </c>
      <c r="N116" s="54" t="s">
        <v>633</v>
      </c>
      <c r="O116" s="74">
        <v>46132</v>
      </c>
      <c r="P116" s="57"/>
      <c r="Q116" s="57"/>
      <c r="R116" s="61" t="s">
        <v>31</v>
      </c>
      <c r="S116" s="61" t="s">
        <v>84</v>
      </c>
    </row>
    <row r="117" spans="2:19" s="62" customFormat="1" outlineLevel="1" x14ac:dyDescent="0.25">
      <c r="B117" s="53"/>
      <c r="C117" s="54">
        <v>111</v>
      </c>
      <c r="D117" s="54" t="s">
        <v>102</v>
      </c>
      <c r="E117" s="55" t="s">
        <v>1381</v>
      </c>
      <c r="F117" s="53" t="s">
        <v>103</v>
      </c>
      <c r="G117" s="63">
        <v>1</v>
      </c>
      <c r="H117" s="57" t="s">
        <v>61</v>
      </c>
      <c r="I117" s="54" t="s">
        <v>104</v>
      </c>
      <c r="J117" s="54" t="s">
        <v>105</v>
      </c>
      <c r="K117" s="54" t="s">
        <v>106</v>
      </c>
      <c r="L117" s="54" t="s">
        <v>107</v>
      </c>
      <c r="M117" s="54" t="s">
        <v>107</v>
      </c>
      <c r="N117" s="54" t="s">
        <v>108</v>
      </c>
      <c r="O117" s="74">
        <v>46132</v>
      </c>
      <c r="P117" s="57"/>
      <c r="Q117" s="57"/>
      <c r="R117" s="61" t="s">
        <v>31</v>
      </c>
      <c r="S117" s="61" t="s">
        <v>84</v>
      </c>
    </row>
    <row r="118" spans="2:19" s="62" customFormat="1" outlineLevel="1" x14ac:dyDescent="0.25">
      <c r="B118" s="53"/>
      <c r="C118" s="54">
        <v>112</v>
      </c>
      <c r="D118" s="54" t="s">
        <v>125</v>
      </c>
      <c r="E118" s="55" t="s">
        <v>1381</v>
      </c>
      <c r="F118" s="53" t="s">
        <v>126</v>
      </c>
      <c r="G118" s="63">
        <v>1</v>
      </c>
      <c r="H118" s="57" t="s">
        <v>127</v>
      </c>
      <c r="I118" s="54" t="s">
        <v>128</v>
      </c>
      <c r="J118" s="54" t="s">
        <v>129</v>
      </c>
      <c r="K118" s="54" t="s">
        <v>130</v>
      </c>
      <c r="L118" s="54" t="s">
        <v>131</v>
      </c>
      <c r="M118" s="54" t="s">
        <v>132</v>
      </c>
      <c r="N118" s="54" t="s">
        <v>133</v>
      </c>
      <c r="O118" s="74">
        <v>46132</v>
      </c>
      <c r="P118" s="57"/>
      <c r="Q118" s="57"/>
      <c r="R118" s="61" t="s">
        <v>31</v>
      </c>
      <c r="S118" s="61" t="s">
        <v>84</v>
      </c>
    </row>
    <row r="119" spans="2:19" s="62" customFormat="1" outlineLevel="1" x14ac:dyDescent="0.25">
      <c r="B119" s="53"/>
      <c r="C119" s="54">
        <v>113</v>
      </c>
      <c r="D119" s="54" t="s">
        <v>618</v>
      </c>
      <c r="E119" s="55" t="s">
        <v>1381</v>
      </c>
      <c r="F119" s="53" t="s">
        <v>619</v>
      </c>
      <c r="G119" s="63">
        <v>2</v>
      </c>
      <c r="H119" s="57" t="s">
        <v>61</v>
      </c>
      <c r="I119" s="54" t="s">
        <v>620</v>
      </c>
      <c r="J119" s="54" t="s">
        <v>621</v>
      </c>
      <c r="K119" s="54" t="s">
        <v>622</v>
      </c>
      <c r="L119" s="54" t="s">
        <v>623</v>
      </c>
      <c r="M119" s="54" t="s">
        <v>624</v>
      </c>
      <c r="N119" s="54" t="s">
        <v>625</v>
      </c>
      <c r="O119" s="74">
        <v>46132</v>
      </c>
      <c r="P119" s="57"/>
      <c r="Q119" s="57"/>
      <c r="R119" s="61" t="s">
        <v>31</v>
      </c>
      <c r="S119" s="61" t="s">
        <v>31</v>
      </c>
    </row>
    <row r="120" spans="2:19" s="62" customFormat="1" outlineLevel="1" x14ac:dyDescent="0.25">
      <c r="B120" s="53"/>
      <c r="C120" s="54">
        <v>114</v>
      </c>
      <c r="D120" s="54" t="s">
        <v>150</v>
      </c>
      <c r="E120" s="55" t="s">
        <v>1381</v>
      </c>
      <c r="F120" s="53" t="s">
        <v>151</v>
      </c>
      <c r="G120" s="63">
        <v>1</v>
      </c>
      <c r="H120" s="57" t="s">
        <v>152</v>
      </c>
      <c r="I120" s="54" t="s">
        <v>153</v>
      </c>
      <c r="J120" s="54" t="s">
        <v>154</v>
      </c>
      <c r="K120" s="54" t="s">
        <v>155</v>
      </c>
      <c r="L120" s="54" t="s">
        <v>156</v>
      </c>
      <c r="M120" s="54" t="s">
        <v>1114</v>
      </c>
      <c r="N120" s="54" t="s">
        <v>158</v>
      </c>
      <c r="O120" s="74">
        <v>46132</v>
      </c>
      <c r="P120" s="57"/>
      <c r="Q120" s="57"/>
      <c r="R120" s="61" t="s">
        <v>31</v>
      </c>
      <c r="S120" s="61" t="s">
        <v>84</v>
      </c>
    </row>
    <row r="121" spans="2:19" s="62" customFormat="1" outlineLevel="1" x14ac:dyDescent="0.25">
      <c r="B121" s="53"/>
      <c r="C121" s="54">
        <v>115</v>
      </c>
      <c r="D121" s="54" t="s">
        <v>667</v>
      </c>
      <c r="E121" s="55" t="s">
        <v>1381</v>
      </c>
      <c r="F121" s="53" t="s">
        <v>668</v>
      </c>
      <c r="G121" s="63">
        <v>2</v>
      </c>
      <c r="H121" s="57" t="s">
        <v>61</v>
      </c>
      <c r="I121" s="54" t="s">
        <v>669</v>
      </c>
      <c r="J121" s="54" t="s">
        <v>670</v>
      </c>
      <c r="K121" s="68" t="s">
        <v>671</v>
      </c>
      <c r="L121" s="54" t="s">
        <v>672</v>
      </c>
      <c r="M121" s="54" t="s">
        <v>672</v>
      </c>
      <c r="N121" s="54" t="s">
        <v>673</v>
      </c>
      <c r="O121" s="74">
        <v>46132</v>
      </c>
      <c r="P121" s="57"/>
      <c r="Q121" s="57"/>
      <c r="R121" s="61" t="s">
        <v>31</v>
      </c>
      <c r="S121" s="61" t="s">
        <v>84</v>
      </c>
    </row>
    <row r="122" spans="2:19" s="62" customFormat="1" ht="72" customHeight="1" outlineLevel="1" x14ac:dyDescent="0.25">
      <c r="B122" s="53"/>
      <c r="C122" s="54" t="s">
        <v>1394</v>
      </c>
      <c r="D122" s="54" t="s">
        <v>190</v>
      </c>
      <c r="E122" s="55" t="s">
        <v>1381</v>
      </c>
      <c r="F122" s="53" t="s">
        <v>191</v>
      </c>
      <c r="G122" s="63">
        <v>4</v>
      </c>
      <c r="H122" s="57" t="s">
        <v>24</v>
      </c>
      <c r="I122" s="54" t="s">
        <v>1395</v>
      </c>
      <c r="J122" s="54" t="s">
        <v>1396</v>
      </c>
      <c r="K122" s="54" t="s">
        <v>1397</v>
      </c>
      <c r="L122" s="54" t="s">
        <v>195</v>
      </c>
      <c r="M122" s="54" t="s">
        <v>1398</v>
      </c>
      <c r="N122" s="54" t="s">
        <v>197</v>
      </c>
      <c r="O122" s="74">
        <v>46132</v>
      </c>
      <c r="P122" s="57"/>
      <c r="Q122" s="57"/>
      <c r="R122" s="61" t="s">
        <v>31</v>
      </c>
      <c r="S122" s="61" t="s">
        <v>31</v>
      </c>
    </row>
    <row r="123" spans="2:19" s="62" customFormat="1" ht="36" customHeight="1" outlineLevel="1" x14ac:dyDescent="0.25">
      <c r="B123" s="53"/>
      <c r="C123" s="54" t="s">
        <v>1399</v>
      </c>
      <c r="D123" s="54" t="s">
        <v>635</v>
      </c>
      <c r="E123" s="55" t="s">
        <v>1381</v>
      </c>
      <c r="F123" s="53" t="s">
        <v>636</v>
      </c>
      <c r="G123" s="63">
        <v>2</v>
      </c>
      <c r="H123" s="57" t="s">
        <v>637</v>
      </c>
      <c r="I123" s="54" t="s">
        <v>638</v>
      </c>
      <c r="J123" s="54" t="s">
        <v>639</v>
      </c>
      <c r="K123" s="54" t="s">
        <v>640</v>
      </c>
      <c r="L123" s="54" t="s">
        <v>641</v>
      </c>
      <c r="M123" s="54" t="s">
        <v>1400</v>
      </c>
      <c r="N123" s="54" t="s">
        <v>643</v>
      </c>
      <c r="O123" s="74">
        <v>46132</v>
      </c>
      <c r="P123" s="57"/>
      <c r="Q123" s="57"/>
      <c r="R123" s="61" t="s">
        <v>31</v>
      </c>
      <c r="S123" s="61" t="s">
        <v>31</v>
      </c>
    </row>
    <row r="124" spans="2:19" s="62" customFormat="1" outlineLevel="1" x14ac:dyDescent="0.25">
      <c r="B124" s="53"/>
      <c r="C124" s="54">
        <v>118</v>
      </c>
      <c r="D124" s="54" t="s">
        <v>198</v>
      </c>
      <c r="E124" s="55" t="s">
        <v>1381</v>
      </c>
      <c r="F124" s="53" t="s">
        <v>199</v>
      </c>
      <c r="G124" s="63">
        <v>3</v>
      </c>
      <c r="H124" s="57" t="s">
        <v>200</v>
      </c>
      <c r="I124" s="54" t="s">
        <v>201</v>
      </c>
      <c r="J124" s="54" t="s">
        <v>202</v>
      </c>
      <c r="K124" s="54" t="s">
        <v>203</v>
      </c>
      <c r="L124" s="54" t="s">
        <v>204</v>
      </c>
      <c r="M124" s="54" t="s">
        <v>1401</v>
      </c>
      <c r="N124" s="54" t="s">
        <v>206</v>
      </c>
      <c r="O124" s="74">
        <v>46132</v>
      </c>
      <c r="P124" s="57"/>
      <c r="Q124" s="57"/>
      <c r="R124" s="61" t="s">
        <v>31</v>
      </c>
      <c r="S124" s="61" t="s">
        <v>84</v>
      </c>
    </row>
    <row r="125" spans="2:19" s="62" customFormat="1" outlineLevel="1" x14ac:dyDescent="0.25">
      <c r="B125" s="53"/>
      <c r="C125" s="54">
        <v>119</v>
      </c>
      <c r="D125" s="54" t="s">
        <v>215</v>
      </c>
      <c r="E125" s="55" t="s">
        <v>1381</v>
      </c>
      <c r="F125" s="53" t="s">
        <v>216</v>
      </c>
      <c r="G125" s="63">
        <v>1</v>
      </c>
      <c r="H125" s="57" t="s">
        <v>24</v>
      </c>
      <c r="I125" s="54" t="s">
        <v>217</v>
      </c>
      <c r="J125" s="54" t="s">
        <v>218</v>
      </c>
      <c r="K125" s="54" t="s">
        <v>219</v>
      </c>
      <c r="L125" s="54" t="s">
        <v>220</v>
      </c>
      <c r="M125" s="54" t="s">
        <v>221</v>
      </c>
      <c r="N125" s="54" t="s">
        <v>222</v>
      </c>
      <c r="O125" s="74">
        <v>46132</v>
      </c>
      <c r="P125" s="57"/>
      <c r="Q125" s="57"/>
      <c r="R125" s="61" t="s">
        <v>31</v>
      </c>
      <c r="S125" s="61" t="s">
        <v>31</v>
      </c>
    </row>
    <row r="126" spans="2:19" s="62" customFormat="1" outlineLevel="1" x14ac:dyDescent="0.25">
      <c r="B126" s="53"/>
      <c r="C126" s="54">
        <v>120</v>
      </c>
      <c r="D126" s="54" t="s">
        <v>223</v>
      </c>
      <c r="E126" s="55" t="s">
        <v>1381</v>
      </c>
      <c r="F126" s="53" t="s">
        <v>224</v>
      </c>
      <c r="G126" s="63">
        <v>1</v>
      </c>
      <c r="H126" s="57" t="s">
        <v>61</v>
      </c>
      <c r="I126" s="54" t="s">
        <v>225</v>
      </c>
      <c r="J126" s="54" t="s">
        <v>226</v>
      </c>
      <c r="K126" s="54" t="s">
        <v>227</v>
      </c>
      <c r="L126" s="54" t="s">
        <v>228</v>
      </c>
      <c r="M126" s="54" t="s">
        <v>229</v>
      </c>
      <c r="N126" s="54" t="s">
        <v>230</v>
      </c>
      <c r="O126" s="74">
        <v>46132</v>
      </c>
      <c r="P126" s="57"/>
      <c r="Q126" s="57"/>
      <c r="R126" s="61" t="s">
        <v>31</v>
      </c>
      <c r="S126" s="61" t="s">
        <v>31</v>
      </c>
    </row>
    <row r="127" spans="2:19" s="62" customFormat="1" outlineLevel="1" x14ac:dyDescent="0.25">
      <c r="B127" s="53"/>
      <c r="C127" s="54">
        <v>121</v>
      </c>
      <c r="D127" s="54" t="s">
        <v>263</v>
      </c>
      <c r="E127" s="55" t="s">
        <v>1381</v>
      </c>
      <c r="F127" s="53" t="s">
        <v>264</v>
      </c>
      <c r="G127" s="63">
        <v>1</v>
      </c>
      <c r="H127" s="57" t="s">
        <v>61</v>
      </c>
      <c r="I127" s="54" t="s">
        <v>265</v>
      </c>
      <c r="J127" s="54" t="s">
        <v>266</v>
      </c>
      <c r="K127" s="54" t="s">
        <v>267</v>
      </c>
      <c r="L127" s="54" t="s">
        <v>252</v>
      </c>
      <c r="M127" s="54" t="s">
        <v>268</v>
      </c>
      <c r="N127" s="54" t="s">
        <v>269</v>
      </c>
      <c r="O127" s="74">
        <v>46132</v>
      </c>
      <c r="P127" s="57"/>
      <c r="Q127" s="57"/>
      <c r="R127" s="61" t="s">
        <v>31</v>
      </c>
      <c r="S127" s="61" t="s">
        <v>31</v>
      </c>
    </row>
    <row r="128" spans="2:19" s="62" customFormat="1" outlineLevel="1" x14ac:dyDescent="0.25">
      <c r="B128" s="53"/>
      <c r="C128" s="54">
        <v>122</v>
      </c>
      <c r="D128" s="54" t="s">
        <v>270</v>
      </c>
      <c r="E128" s="55" t="s">
        <v>1381</v>
      </c>
      <c r="F128" s="53" t="s">
        <v>271</v>
      </c>
      <c r="G128" s="63">
        <v>1</v>
      </c>
      <c r="H128" s="57" t="s">
        <v>61</v>
      </c>
      <c r="I128" s="54" t="s">
        <v>272</v>
      </c>
      <c r="J128" s="54" t="s">
        <v>273</v>
      </c>
      <c r="K128" s="54" t="s">
        <v>274</v>
      </c>
      <c r="L128" s="54" t="s">
        <v>275</v>
      </c>
      <c r="M128" s="54" t="s">
        <v>275</v>
      </c>
      <c r="N128" s="54" t="s">
        <v>277</v>
      </c>
      <c r="O128" s="74">
        <v>46132</v>
      </c>
      <c r="P128" s="57"/>
      <c r="Q128" s="57"/>
      <c r="R128" s="61" t="s">
        <v>31</v>
      </c>
      <c r="S128" s="61" t="s">
        <v>31</v>
      </c>
    </row>
    <row r="129" spans="2:19" s="62" customFormat="1" outlineLevel="1" x14ac:dyDescent="0.25">
      <c r="B129" s="53"/>
      <c r="C129" s="54">
        <v>123</v>
      </c>
      <c r="D129" s="54" t="s">
        <v>859</v>
      </c>
      <c r="E129" s="55" t="s">
        <v>1381</v>
      </c>
      <c r="F129" s="53" t="s">
        <v>860</v>
      </c>
      <c r="G129" s="63">
        <v>1</v>
      </c>
      <c r="H129" s="57" t="s">
        <v>861</v>
      </c>
      <c r="I129" s="54" t="s">
        <v>862</v>
      </c>
      <c r="J129" s="54" t="s">
        <v>863</v>
      </c>
      <c r="K129" s="54" t="s">
        <v>864</v>
      </c>
      <c r="L129" s="54" t="s">
        <v>865</v>
      </c>
      <c r="M129" s="54" t="s">
        <v>866</v>
      </c>
      <c r="N129" s="54" t="s">
        <v>867</v>
      </c>
      <c r="O129" s="74">
        <v>46132</v>
      </c>
      <c r="P129" s="57"/>
      <c r="Q129" s="57"/>
      <c r="R129" s="61" t="s">
        <v>31</v>
      </c>
      <c r="S129" s="61" t="s">
        <v>31</v>
      </c>
    </row>
    <row r="130" spans="2:19" s="62" customFormat="1" outlineLevel="1" x14ac:dyDescent="0.25">
      <c r="B130" s="53"/>
      <c r="C130" s="54">
        <v>124</v>
      </c>
      <c r="D130" s="54" t="s">
        <v>286</v>
      </c>
      <c r="E130" s="55" t="s">
        <v>1381</v>
      </c>
      <c r="F130" s="53" t="s">
        <v>287</v>
      </c>
      <c r="G130" s="63">
        <v>1</v>
      </c>
      <c r="H130" s="57" t="s">
        <v>61</v>
      </c>
      <c r="I130" s="54" t="s">
        <v>288</v>
      </c>
      <c r="J130" s="54" t="s">
        <v>289</v>
      </c>
      <c r="K130" s="54" t="s">
        <v>290</v>
      </c>
      <c r="L130" s="54" t="s">
        <v>291</v>
      </c>
      <c r="M130" s="54" t="s">
        <v>292</v>
      </c>
      <c r="N130" s="54" t="s">
        <v>293</v>
      </c>
      <c r="O130" s="74">
        <v>46132</v>
      </c>
      <c r="P130" s="57"/>
      <c r="Q130" s="57"/>
      <c r="R130" s="61" t="s">
        <v>31</v>
      </c>
      <c r="S130" s="61" t="s">
        <v>84</v>
      </c>
    </row>
    <row r="131" spans="2:19" s="62" customFormat="1" ht="36" customHeight="1" outlineLevel="1" x14ac:dyDescent="0.25">
      <c r="B131" s="53"/>
      <c r="C131" s="54" t="s">
        <v>1402</v>
      </c>
      <c r="D131" s="54" t="s">
        <v>294</v>
      </c>
      <c r="E131" s="55" t="s">
        <v>1381</v>
      </c>
      <c r="F131" s="53" t="s">
        <v>295</v>
      </c>
      <c r="G131" s="63">
        <v>2</v>
      </c>
      <c r="H131" s="57" t="s">
        <v>61</v>
      </c>
      <c r="I131" s="54" t="s">
        <v>908</v>
      </c>
      <c r="J131" s="54" t="s">
        <v>909</v>
      </c>
      <c r="K131" s="54" t="s">
        <v>910</v>
      </c>
      <c r="L131" s="54" t="s">
        <v>299</v>
      </c>
      <c r="M131" s="54" t="s">
        <v>1403</v>
      </c>
      <c r="N131" s="54" t="s">
        <v>301</v>
      </c>
      <c r="O131" s="74">
        <v>46132</v>
      </c>
      <c r="P131" s="57"/>
      <c r="Q131" s="57"/>
      <c r="R131" s="61" t="s">
        <v>31</v>
      </c>
      <c r="S131" s="61" t="s">
        <v>31</v>
      </c>
    </row>
    <row r="132" spans="2:19" s="62" customFormat="1" outlineLevel="1" x14ac:dyDescent="0.25">
      <c r="B132" s="53"/>
      <c r="C132" s="54">
        <v>126</v>
      </c>
      <c r="D132" s="54" t="s">
        <v>310</v>
      </c>
      <c r="E132" s="55" t="s">
        <v>1381</v>
      </c>
      <c r="F132" s="53" t="s">
        <v>311</v>
      </c>
      <c r="G132" s="63">
        <v>1</v>
      </c>
      <c r="H132" s="57" t="s">
        <v>152</v>
      </c>
      <c r="I132" s="54" t="s">
        <v>312</v>
      </c>
      <c r="J132" s="54" t="s">
        <v>313</v>
      </c>
      <c r="K132" s="54" t="s">
        <v>314</v>
      </c>
      <c r="L132" s="54" t="s">
        <v>315</v>
      </c>
      <c r="M132" s="54" t="s">
        <v>316</v>
      </c>
      <c r="N132" s="54" t="s">
        <v>317</v>
      </c>
      <c r="O132" s="74">
        <v>46132</v>
      </c>
      <c r="P132" s="57"/>
      <c r="Q132" s="57"/>
      <c r="R132" s="61" t="s">
        <v>31</v>
      </c>
      <c r="S132" s="61" t="s">
        <v>31</v>
      </c>
    </row>
    <row r="133" spans="2:19" s="62" customFormat="1" outlineLevel="1" x14ac:dyDescent="0.25">
      <c r="B133" s="53"/>
      <c r="C133" s="54">
        <v>127</v>
      </c>
      <c r="D133" s="54" t="s">
        <v>326</v>
      </c>
      <c r="E133" s="55" t="s">
        <v>1381</v>
      </c>
      <c r="F133" s="53" t="s">
        <v>327</v>
      </c>
      <c r="G133" s="63">
        <v>1</v>
      </c>
      <c r="H133" s="57" t="s">
        <v>152</v>
      </c>
      <c r="I133" s="54" t="s">
        <v>328</v>
      </c>
      <c r="J133" s="54" t="s">
        <v>329</v>
      </c>
      <c r="K133" s="54" t="s">
        <v>330</v>
      </c>
      <c r="L133" s="54" t="s">
        <v>331</v>
      </c>
      <c r="M133" s="54" t="s">
        <v>332</v>
      </c>
      <c r="N133" s="54" t="s">
        <v>333</v>
      </c>
      <c r="O133" s="74">
        <v>46132</v>
      </c>
      <c r="P133" s="57"/>
      <c r="Q133" s="57"/>
      <c r="R133" s="61" t="s">
        <v>31</v>
      </c>
      <c r="S133" s="61" t="s">
        <v>31</v>
      </c>
    </row>
    <row r="134" spans="2:19" s="62" customFormat="1" outlineLevel="1" x14ac:dyDescent="0.25">
      <c r="B134" s="53"/>
      <c r="C134" s="54">
        <v>128</v>
      </c>
      <c r="D134" s="54" t="s">
        <v>334</v>
      </c>
      <c r="E134" s="55" t="s">
        <v>1381</v>
      </c>
      <c r="F134" s="53" t="s">
        <v>335</v>
      </c>
      <c r="G134" s="63">
        <v>3</v>
      </c>
      <c r="H134" s="57" t="s">
        <v>61</v>
      </c>
      <c r="I134" s="54" t="s">
        <v>336</v>
      </c>
      <c r="J134" s="54" t="s">
        <v>337</v>
      </c>
      <c r="K134" s="54" t="s">
        <v>338</v>
      </c>
      <c r="L134" s="54" t="s">
        <v>339</v>
      </c>
      <c r="M134" s="54" t="s">
        <v>1404</v>
      </c>
      <c r="N134" s="54" t="s">
        <v>341</v>
      </c>
      <c r="O134" s="74">
        <v>46132</v>
      </c>
      <c r="P134" s="57"/>
      <c r="Q134" s="57"/>
      <c r="R134" s="61" t="s">
        <v>31</v>
      </c>
      <c r="S134" s="61" t="s">
        <v>84</v>
      </c>
    </row>
    <row r="135" spans="2:19" s="62" customFormat="1" ht="36" customHeight="1" outlineLevel="1" x14ac:dyDescent="0.25">
      <c r="B135" s="53"/>
      <c r="C135" s="54" t="s">
        <v>1405</v>
      </c>
      <c r="D135" s="54" t="s">
        <v>342</v>
      </c>
      <c r="E135" s="55" t="s">
        <v>1381</v>
      </c>
      <c r="F135" s="53" t="s">
        <v>343</v>
      </c>
      <c r="G135" s="63">
        <v>1</v>
      </c>
      <c r="H135" s="57" t="s">
        <v>24</v>
      </c>
      <c r="I135" s="54" t="s">
        <v>344</v>
      </c>
      <c r="J135" s="54" t="s">
        <v>345</v>
      </c>
      <c r="K135" s="54" t="s">
        <v>346</v>
      </c>
      <c r="L135" s="54" t="s">
        <v>348</v>
      </c>
      <c r="M135" s="54" t="s">
        <v>1406</v>
      </c>
      <c r="N135" s="54" t="s">
        <v>349</v>
      </c>
      <c r="O135" s="74">
        <v>46132</v>
      </c>
      <c r="P135" s="57"/>
      <c r="Q135" s="57"/>
      <c r="R135" s="61" t="s">
        <v>31</v>
      </c>
      <c r="S135" s="61" t="s">
        <v>31</v>
      </c>
    </row>
    <row r="136" spans="2:19" s="62" customFormat="1" outlineLevel="1" x14ac:dyDescent="0.25">
      <c r="B136" s="53"/>
      <c r="C136" s="54">
        <v>130</v>
      </c>
      <c r="D136" s="54" t="s">
        <v>963</v>
      </c>
      <c r="E136" s="55" t="s">
        <v>1381</v>
      </c>
      <c r="F136" s="53" t="s">
        <v>917</v>
      </c>
      <c r="G136" s="63">
        <v>1</v>
      </c>
      <c r="H136" s="57" t="s">
        <v>152</v>
      </c>
      <c r="I136" s="54" t="s">
        <v>964</v>
      </c>
      <c r="J136" s="54" t="s">
        <v>965</v>
      </c>
      <c r="K136" s="54" t="s">
        <v>966</v>
      </c>
      <c r="L136" s="54" t="s">
        <v>967</v>
      </c>
      <c r="M136" s="54" t="s">
        <v>985</v>
      </c>
      <c r="N136" s="54" t="s">
        <v>969</v>
      </c>
      <c r="O136" s="74">
        <v>46132</v>
      </c>
      <c r="P136" s="57"/>
      <c r="Q136" s="57"/>
      <c r="R136" s="61" t="s">
        <v>31</v>
      </c>
      <c r="S136" s="61" t="s">
        <v>84</v>
      </c>
    </row>
    <row r="137" spans="2:19" s="62" customFormat="1" ht="54" customHeight="1" outlineLevel="1" x14ac:dyDescent="0.25">
      <c r="B137" s="53"/>
      <c r="C137" s="54" t="s">
        <v>1407</v>
      </c>
      <c r="D137" s="54" t="s">
        <v>366</v>
      </c>
      <c r="E137" s="55" t="s">
        <v>1381</v>
      </c>
      <c r="F137" s="53" t="s">
        <v>367</v>
      </c>
      <c r="G137" s="63">
        <v>6</v>
      </c>
      <c r="H137" s="57" t="s">
        <v>368</v>
      </c>
      <c r="I137" s="54" t="s">
        <v>369</v>
      </c>
      <c r="J137" s="54" t="s">
        <v>370</v>
      </c>
      <c r="K137" s="54" t="s">
        <v>371</v>
      </c>
      <c r="L137" s="54" t="s">
        <v>372</v>
      </c>
      <c r="M137" s="54" t="s">
        <v>1188</v>
      </c>
      <c r="N137" s="54" t="s">
        <v>374</v>
      </c>
      <c r="O137" s="74">
        <v>46132</v>
      </c>
      <c r="P137" s="57"/>
      <c r="Q137" s="57"/>
      <c r="R137" s="61" t="s">
        <v>31</v>
      </c>
      <c r="S137" s="61" t="s">
        <v>84</v>
      </c>
    </row>
    <row r="138" spans="2:19" s="62" customFormat="1" outlineLevel="1" x14ac:dyDescent="0.25">
      <c r="B138" s="53"/>
      <c r="C138" s="54">
        <v>132</v>
      </c>
      <c r="D138" s="54" t="s">
        <v>734</v>
      </c>
      <c r="E138" s="55" t="s">
        <v>1381</v>
      </c>
      <c r="F138" s="53" t="s">
        <v>735</v>
      </c>
      <c r="G138" s="63">
        <v>1</v>
      </c>
      <c r="H138" s="57" t="s">
        <v>736</v>
      </c>
      <c r="I138" s="54" t="s">
        <v>737</v>
      </c>
      <c r="J138" s="54" t="s">
        <v>738</v>
      </c>
      <c r="K138" s="54" t="s">
        <v>739</v>
      </c>
      <c r="L138" s="54" t="s">
        <v>740</v>
      </c>
      <c r="M138" s="54" t="s">
        <v>741</v>
      </c>
      <c r="N138" s="54" t="s">
        <v>742</v>
      </c>
      <c r="O138" s="74">
        <v>46132</v>
      </c>
      <c r="P138" s="57"/>
      <c r="Q138" s="57"/>
      <c r="R138" s="61" t="s">
        <v>31</v>
      </c>
      <c r="S138" s="61" t="s">
        <v>84</v>
      </c>
    </row>
    <row r="139" spans="2:19" s="62" customFormat="1" ht="72" customHeight="1" outlineLevel="1" x14ac:dyDescent="0.25">
      <c r="B139" s="53"/>
      <c r="C139" s="54" t="s">
        <v>1408</v>
      </c>
      <c r="D139" s="54" t="s">
        <v>375</v>
      </c>
      <c r="E139" s="55" t="s">
        <v>1381</v>
      </c>
      <c r="F139" s="53" t="s">
        <v>376</v>
      </c>
      <c r="G139" s="63">
        <v>7</v>
      </c>
      <c r="H139" s="57" t="s">
        <v>111</v>
      </c>
      <c r="I139" s="54" t="s">
        <v>1409</v>
      </c>
      <c r="J139" s="54" t="s">
        <v>1410</v>
      </c>
      <c r="K139" s="54" t="s">
        <v>1411</v>
      </c>
      <c r="L139" s="54" t="s">
        <v>380</v>
      </c>
      <c r="M139" s="54" t="s">
        <v>1412</v>
      </c>
      <c r="N139" s="54" t="s">
        <v>382</v>
      </c>
      <c r="O139" s="74">
        <v>46132</v>
      </c>
      <c r="P139" s="57"/>
      <c r="Q139" s="57"/>
      <c r="R139" s="61" t="s">
        <v>31</v>
      </c>
      <c r="S139" s="61" t="s">
        <v>31</v>
      </c>
    </row>
    <row r="140" spans="2:19" s="62" customFormat="1" outlineLevel="1" x14ac:dyDescent="0.25">
      <c r="B140" s="53"/>
      <c r="C140" s="54">
        <v>134</v>
      </c>
      <c r="D140" s="54" t="s">
        <v>391</v>
      </c>
      <c r="E140" s="55" t="s">
        <v>1381</v>
      </c>
      <c r="F140" s="53" t="s">
        <v>392</v>
      </c>
      <c r="G140" s="63">
        <v>1</v>
      </c>
      <c r="H140" s="57" t="s">
        <v>111</v>
      </c>
      <c r="I140" s="54" t="s">
        <v>393</v>
      </c>
      <c r="J140" s="54" t="s">
        <v>394</v>
      </c>
      <c r="K140" s="54" t="s">
        <v>395</v>
      </c>
      <c r="L140" s="54" t="s">
        <v>396</v>
      </c>
      <c r="M140" s="54" t="s">
        <v>397</v>
      </c>
      <c r="N140" s="54" t="s">
        <v>398</v>
      </c>
      <c r="O140" s="74">
        <v>46132</v>
      </c>
      <c r="P140" s="57"/>
      <c r="Q140" s="57"/>
      <c r="R140" s="61" t="s">
        <v>31</v>
      </c>
      <c r="S140" s="61" t="s">
        <v>84</v>
      </c>
    </row>
    <row r="141" spans="2:19" s="62" customFormat="1" ht="30" customHeight="1" outlineLevel="1" x14ac:dyDescent="0.25">
      <c r="B141" s="53"/>
      <c r="C141" s="54">
        <v>135</v>
      </c>
      <c r="D141" s="54" t="s">
        <v>399</v>
      </c>
      <c r="E141" s="55" t="s">
        <v>1381</v>
      </c>
      <c r="F141" s="53" t="s">
        <v>400</v>
      </c>
      <c r="G141" s="63">
        <v>1</v>
      </c>
      <c r="H141" s="57" t="s">
        <v>152</v>
      </c>
      <c r="I141" s="54" t="s">
        <v>401</v>
      </c>
      <c r="J141" s="54" t="s">
        <v>402</v>
      </c>
      <c r="K141" s="54" t="s">
        <v>403</v>
      </c>
      <c r="L141" s="54" t="s">
        <v>404</v>
      </c>
      <c r="M141" s="54" t="s">
        <v>1413</v>
      </c>
      <c r="N141" s="54" t="s">
        <v>406</v>
      </c>
      <c r="O141" s="74">
        <v>46132</v>
      </c>
      <c r="P141" s="57"/>
      <c r="Q141" s="57"/>
      <c r="R141" s="61" t="s">
        <v>31</v>
      </c>
      <c r="S141" s="61" t="s">
        <v>84</v>
      </c>
    </row>
    <row r="142" spans="2:19" s="62" customFormat="1" ht="30" customHeight="1" outlineLevel="1" x14ac:dyDescent="0.25">
      <c r="B142" s="53"/>
      <c r="C142" s="54">
        <v>136</v>
      </c>
      <c r="D142" s="54" t="s">
        <v>407</v>
      </c>
      <c r="E142" s="55" t="s">
        <v>1381</v>
      </c>
      <c r="F142" s="53" t="s">
        <v>408</v>
      </c>
      <c r="G142" s="63">
        <v>1</v>
      </c>
      <c r="H142" s="57" t="s">
        <v>61</v>
      </c>
      <c r="I142" s="54" t="s">
        <v>409</v>
      </c>
      <c r="J142" s="54" t="s">
        <v>410</v>
      </c>
      <c r="K142" s="54" t="s">
        <v>411</v>
      </c>
      <c r="L142" s="54" t="s">
        <v>412</v>
      </c>
      <c r="M142" s="54" t="s">
        <v>1414</v>
      </c>
      <c r="N142" s="54" t="s">
        <v>414</v>
      </c>
      <c r="O142" s="74">
        <v>46132</v>
      </c>
      <c r="P142" s="57"/>
      <c r="Q142" s="57"/>
      <c r="R142" s="61" t="s">
        <v>31</v>
      </c>
      <c r="S142" s="61" t="s">
        <v>84</v>
      </c>
    </row>
    <row r="143" spans="2:19" s="62" customFormat="1" outlineLevel="1" x14ac:dyDescent="0.25">
      <c r="B143" s="53"/>
      <c r="C143" s="54">
        <v>137</v>
      </c>
      <c r="D143" s="54" t="s">
        <v>1016</v>
      </c>
      <c r="E143" s="55" t="s">
        <v>1381</v>
      </c>
      <c r="F143" s="53" t="s">
        <v>919</v>
      </c>
      <c r="G143" s="63">
        <v>6</v>
      </c>
      <c r="H143" s="57" t="s">
        <v>61</v>
      </c>
      <c r="I143" s="54" t="s">
        <v>1017</v>
      </c>
      <c r="J143" s="54" t="s">
        <v>1018</v>
      </c>
      <c r="K143" s="54" t="s">
        <v>1019</v>
      </c>
      <c r="L143" s="54" t="s">
        <v>1020</v>
      </c>
      <c r="M143" s="54" t="s">
        <v>1257</v>
      </c>
      <c r="N143" s="54" t="s">
        <v>1022</v>
      </c>
      <c r="O143" s="74">
        <v>46132</v>
      </c>
      <c r="P143" s="57"/>
      <c r="Q143" s="57"/>
      <c r="R143" s="61" t="s">
        <v>31</v>
      </c>
      <c r="S143" s="61" t="s">
        <v>31</v>
      </c>
    </row>
    <row r="144" spans="2:19" s="62" customFormat="1" ht="30" customHeight="1" outlineLevel="1" x14ac:dyDescent="0.25">
      <c r="B144" s="53"/>
      <c r="C144" s="54" t="s">
        <v>1415</v>
      </c>
      <c r="D144" s="54" t="s">
        <v>431</v>
      </c>
      <c r="E144" s="55" t="s">
        <v>1381</v>
      </c>
      <c r="F144" s="53" t="s">
        <v>432</v>
      </c>
      <c r="G144" s="63">
        <v>5</v>
      </c>
      <c r="H144" s="57" t="s">
        <v>152</v>
      </c>
      <c r="I144" s="54" t="s">
        <v>1416</v>
      </c>
      <c r="J144" s="54" t="s">
        <v>1417</v>
      </c>
      <c r="K144" s="54" t="s">
        <v>1418</v>
      </c>
      <c r="L144" s="54" t="s">
        <v>436</v>
      </c>
      <c r="M144" s="54" t="s">
        <v>1419</v>
      </c>
      <c r="N144" s="54" t="s">
        <v>438</v>
      </c>
      <c r="O144" s="74">
        <v>46132</v>
      </c>
      <c r="P144" s="57"/>
      <c r="Q144" s="57"/>
      <c r="R144" s="61" t="s">
        <v>31</v>
      </c>
      <c r="S144" s="61" t="s">
        <v>31</v>
      </c>
    </row>
    <row r="145" spans="2:19" s="62" customFormat="1" ht="30" customHeight="1" outlineLevel="1" x14ac:dyDescent="0.25">
      <c r="B145" s="53"/>
      <c r="C145" s="54">
        <v>139</v>
      </c>
      <c r="D145" s="54" t="s">
        <v>439</v>
      </c>
      <c r="E145" s="55" t="s">
        <v>1381</v>
      </c>
      <c r="F145" s="53" t="s">
        <v>440</v>
      </c>
      <c r="G145" s="63">
        <v>1</v>
      </c>
      <c r="H145" s="57" t="s">
        <v>152</v>
      </c>
      <c r="I145" s="54" t="s">
        <v>441</v>
      </c>
      <c r="J145" s="54" t="s">
        <v>442</v>
      </c>
      <c r="K145" s="54" t="s">
        <v>443</v>
      </c>
      <c r="L145" s="54" t="s">
        <v>444</v>
      </c>
      <c r="M145" s="54" t="s">
        <v>1170</v>
      </c>
      <c r="N145" s="54" t="s">
        <v>446</v>
      </c>
      <c r="O145" s="74">
        <v>46132</v>
      </c>
      <c r="P145" s="57"/>
      <c r="Q145" s="57"/>
      <c r="R145" s="61" t="s">
        <v>31</v>
      </c>
      <c r="S145" s="61" t="s">
        <v>31</v>
      </c>
    </row>
    <row r="146" spans="2:19" s="62" customFormat="1" outlineLevel="1" x14ac:dyDescent="0.25">
      <c r="B146" s="53"/>
      <c r="C146" s="54">
        <v>140</v>
      </c>
      <c r="D146" s="54" t="s">
        <v>571</v>
      </c>
      <c r="E146" s="55" t="s">
        <v>1381</v>
      </c>
      <c r="F146" s="53" t="s">
        <v>572</v>
      </c>
      <c r="G146" s="63">
        <v>8</v>
      </c>
      <c r="H146" s="57" t="s">
        <v>573</v>
      </c>
      <c r="I146" s="54" t="s">
        <v>574</v>
      </c>
      <c r="J146" s="54" t="s">
        <v>575</v>
      </c>
      <c r="K146" s="54" t="s">
        <v>576</v>
      </c>
      <c r="L146" s="54" t="s">
        <v>577</v>
      </c>
      <c r="M146" s="54" t="s">
        <v>578</v>
      </c>
      <c r="N146" s="54" t="s">
        <v>579</v>
      </c>
      <c r="O146" s="74">
        <v>46132</v>
      </c>
      <c r="P146" s="57"/>
      <c r="Q146" s="57"/>
      <c r="R146" s="61" t="s">
        <v>31</v>
      </c>
      <c r="S146" s="61" t="s">
        <v>84</v>
      </c>
    </row>
    <row r="147" spans="2:19" s="62" customFormat="1" outlineLevel="1" x14ac:dyDescent="0.25">
      <c r="B147" s="53"/>
      <c r="C147" s="54">
        <v>141</v>
      </c>
      <c r="D147" s="54" t="s">
        <v>471</v>
      </c>
      <c r="E147" s="55" t="s">
        <v>1381</v>
      </c>
      <c r="F147" s="53" t="s">
        <v>472</v>
      </c>
      <c r="G147" s="63">
        <v>1</v>
      </c>
      <c r="H147" s="57" t="s">
        <v>111</v>
      </c>
      <c r="I147" s="54" t="s">
        <v>473</v>
      </c>
      <c r="J147" s="54" t="s">
        <v>474</v>
      </c>
      <c r="K147" s="54" t="s">
        <v>475</v>
      </c>
      <c r="L147" s="54" t="s">
        <v>476</v>
      </c>
      <c r="M147" s="54" t="s">
        <v>476</v>
      </c>
      <c r="N147" s="54" t="s">
        <v>477</v>
      </c>
      <c r="O147" s="74">
        <v>46132</v>
      </c>
      <c r="P147" s="57"/>
      <c r="Q147" s="57"/>
      <c r="R147" s="61" t="s">
        <v>31</v>
      </c>
      <c r="S147" s="61" t="s">
        <v>84</v>
      </c>
    </row>
    <row r="148" spans="2:19" s="62" customFormat="1" outlineLevel="1" x14ac:dyDescent="0.25">
      <c r="B148" s="53"/>
      <c r="C148" s="54">
        <v>142</v>
      </c>
      <c r="D148" s="54" t="s">
        <v>502</v>
      </c>
      <c r="E148" s="55" t="s">
        <v>1381</v>
      </c>
      <c r="F148" s="53" t="s">
        <v>503</v>
      </c>
      <c r="G148" s="63">
        <v>1</v>
      </c>
      <c r="H148" s="57" t="s">
        <v>61</v>
      </c>
      <c r="I148" s="54" t="s">
        <v>504</v>
      </c>
      <c r="J148" s="54" t="s">
        <v>505</v>
      </c>
      <c r="K148" s="54" t="s">
        <v>506</v>
      </c>
      <c r="L148" s="54" t="s">
        <v>283</v>
      </c>
      <c r="M148" s="54" t="s">
        <v>284</v>
      </c>
      <c r="N148" s="54" t="s">
        <v>507</v>
      </c>
      <c r="O148" s="74">
        <v>46132</v>
      </c>
      <c r="P148" s="57"/>
      <c r="Q148" s="57"/>
      <c r="R148" s="61" t="s">
        <v>31</v>
      </c>
      <c r="S148" s="61" t="s">
        <v>84</v>
      </c>
    </row>
    <row r="149" spans="2:19" s="62" customFormat="1" outlineLevel="1" x14ac:dyDescent="0.25">
      <c r="B149" s="53"/>
      <c r="C149" s="54">
        <v>143</v>
      </c>
      <c r="D149" s="54" t="s">
        <v>508</v>
      </c>
      <c r="E149" s="55" t="s">
        <v>1381</v>
      </c>
      <c r="F149" s="53" t="s">
        <v>509</v>
      </c>
      <c r="G149" s="63">
        <v>1</v>
      </c>
      <c r="H149" s="57" t="s">
        <v>61</v>
      </c>
      <c r="I149" s="54" t="s">
        <v>510</v>
      </c>
      <c r="J149" s="54" t="s">
        <v>511</v>
      </c>
      <c r="K149" s="54" t="s">
        <v>512</v>
      </c>
      <c r="L149" s="54" t="s">
        <v>513</v>
      </c>
      <c r="M149" s="54" t="s">
        <v>514</v>
      </c>
      <c r="N149" s="54" t="s">
        <v>515</v>
      </c>
      <c r="O149" s="74">
        <v>46132</v>
      </c>
      <c r="P149" s="57"/>
      <c r="Q149" s="57"/>
      <c r="R149" s="61" t="s">
        <v>31</v>
      </c>
      <c r="S149" s="61" t="s">
        <v>31</v>
      </c>
    </row>
    <row r="150" spans="2:19" s="62" customFormat="1" outlineLevel="1" x14ac:dyDescent="0.25">
      <c r="B150" s="53"/>
      <c r="C150" s="54">
        <v>144</v>
      </c>
      <c r="D150" s="54" t="s">
        <v>516</v>
      </c>
      <c r="E150" s="55" t="s">
        <v>1381</v>
      </c>
      <c r="F150" s="71" t="s">
        <v>517</v>
      </c>
      <c r="G150" s="63">
        <v>1</v>
      </c>
      <c r="H150" s="57" t="s">
        <v>61</v>
      </c>
      <c r="I150" s="54" t="s">
        <v>518</v>
      </c>
      <c r="J150" s="54" t="s">
        <v>519</v>
      </c>
      <c r="K150" s="54" t="s">
        <v>520</v>
      </c>
      <c r="L150" s="54" t="s">
        <v>521</v>
      </c>
      <c r="M150" s="54" t="s">
        <v>522</v>
      </c>
      <c r="N150" s="54" t="s">
        <v>523</v>
      </c>
      <c r="O150" s="74">
        <v>46132</v>
      </c>
      <c r="P150" s="57"/>
      <c r="Q150" s="57"/>
      <c r="R150" s="61" t="s">
        <v>31</v>
      </c>
      <c r="S150" s="61" t="s">
        <v>31</v>
      </c>
    </row>
    <row r="151" spans="2:19" s="62" customFormat="1" outlineLevel="1" x14ac:dyDescent="0.25">
      <c r="B151" s="53"/>
      <c r="C151" s="54">
        <v>145</v>
      </c>
      <c r="D151" s="54" t="s">
        <v>644</v>
      </c>
      <c r="E151" s="55" t="s">
        <v>1381</v>
      </c>
      <c r="F151" s="53" t="s">
        <v>645</v>
      </c>
      <c r="G151" s="63">
        <v>1</v>
      </c>
      <c r="H151" s="57" t="s">
        <v>61</v>
      </c>
      <c r="I151" s="54" t="s">
        <v>646</v>
      </c>
      <c r="J151" s="54" t="s">
        <v>647</v>
      </c>
      <c r="K151" s="54" t="s">
        <v>648</v>
      </c>
      <c r="L151" s="54" t="s">
        <v>649</v>
      </c>
      <c r="M151" s="54" t="s">
        <v>650</v>
      </c>
      <c r="N151" s="54"/>
      <c r="O151" s="74">
        <v>46132</v>
      </c>
      <c r="P151" s="57"/>
      <c r="Q151" s="57"/>
      <c r="R151" s="61" t="s">
        <v>31</v>
      </c>
      <c r="S151" s="61" t="s">
        <v>793</v>
      </c>
    </row>
    <row r="152" spans="2:19" s="33" customFormat="1" x14ac:dyDescent="0.25">
      <c r="B152" s="42"/>
      <c r="C152" s="42"/>
      <c r="D152" s="42"/>
      <c r="E152" s="28" t="s">
        <v>1420</v>
      </c>
      <c r="F152" s="28"/>
      <c r="G152" s="29">
        <f>SUM(G153,G154)</f>
        <v>2</v>
      </c>
      <c r="H152" s="34"/>
      <c r="I152" s="49"/>
      <c r="J152" s="50"/>
      <c r="K152" s="51"/>
      <c r="L152" s="42"/>
      <c r="M152" s="42"/>
      <c r="N152" s="36"/>
      <c r="O152" s="34"/>
      <c r="P152" s="35"/>
      <c r="Q152" s="35"/>
      <c r="R152" s="32" t="s">
        <v>934</v>
      </c>
      <c r="S152" s="32"/>
    </row>
    <row r="153" spans="2:19" s="62" customFormat="1" outlineLevel="1" x14ac:dyDescent="0.25">
      <c r="B153" s="53"/>
      <c r="C153" s="54">
        <v>146</v>
      </c>
      <c r="D153" s="54" t="s">
        <v>59</v>
      </c>
      <c r="E153" s="55" t="s">
        <v>1420</v>
      </c>
      <c r="F153" s="53" t="s">
        <v>60</v>
      </c>
      <c r="G153" s="63">
        <v>1</v>
      </c>
      <c r="H153" s="57" t="s">
        <v>61</v>
      </c>
      <c r="I153" s="54" t="s">
        <v>62</v>
      </c>
      <c r="J153" s="54" t="s">
        <v>63</v>
      </c>
      <c r="K153" s="54" t="s">
        <v>64</v>
      </c>
      <c r="L153" s="54" t="s">
        <v>65</v>
      </c>
      <c r="M153" s="54" t="s">
        <v>66</v>
      </c>
      <c r="N153" s="54" t="s">
        <v>67</v>
      </c>
      <c r="O153" s="74">
        <v>46181</v>
      </c>
      <c r="P153" s="57"/>
      <c r="Q153" s="57"/>
      <c r="R153" s="61" t="s">
        <v>934</v>
      </c>
      <c r="S153" s="61" t="s">
        <v>31</v>
      </c>
    </row>
    <row r="154" spans="2:19" s="62" customFormat="1" outlineLevel="1" x14ac:dyDescent="0.25">
      <c r="B154" s="53"/>
      <c r="C154" s="54">
        <v>147</v>
      </c>
      <c r="D154" s="54" t="s">
        <v>366</v>
      </c>
      <c r="E154" s="55" t="s">
        <v>1420</v>
      </c>
      <c r="F154" s="53" t="s">
        <v>367</v>
      </c>
      <c r="G154" s="63">
        <v>1</v>
      </c>
      <c r="H154" s="57" t="s">
        <v>368</v>
      </c>
      <c r="I154" s="54" t="s">
        <v>369</v>
      </c>
      <c r="J154" s="54" t="s">
        <v>370</v>
      </c>
      <c r="K154" s="54" t="s">
        <v>371</v>
      </c>
      <c r="L154" s="54" t="s">
        <v>372</v>
      </c>
      <c r="M154" s="54" t="s">
        <v>1421</v>
      </c>
      <c r="N154" s="54" t="s">
        <v>374</v>
      </c>
      <c r="O154" s="74">
        <v>46181</v>
      </c>
      <c r="P154" s="57"/>
      <c r="Q154" s="57"/>
      <c r="R154" s="61" t="s">
        <v>934</v>
      </c>
      <c r="S154" s="61" t="s">
        <v>84</v>
      </c>
    </row>
    <row r="155" spans="2:19" s="33" customFormat="1" ht="30" customHeight="1" x14ac:dyDescent="0.25">
      <c r="B155" s="42"/>
      <c r="C155" s="42"/>
      <c r="D155" s="42"/>
      <c r="E155" s="28" t="s">
        <v>1256</v>
      </c>
      <c r="F155" s="28"/>
      <c r="G155" s="29">
        <f>SUM(G156:G181)</f>
        <v>85</v>
      </c>
      <c r="H155" s="34"/>
      <c r="I155" s="49"/>
      <c r="J155" s="50"/>
      <c r="K155" s="51"/>
      <c r="L155" s="42"/>
      <c r="M155" s="42"/>
      <c r="N155" s="36"/>
      <c r="O155" s="34"/>
      <c r="P155" s="35"/>
      <c r="Q155" s="35"/>
      <c r="R155" s="32" t="s">
        <v>31</v>
      </c>
      <c r="S155" s="32"/>
    </row>
    <row r="156" spans="2:19" s="62" customFormat="1" outlineLevel="1" x14ac:dyDescent="0.25">
      <c r="B156" s="53"/>
      <c r="C156" s="54">
        <v>149</v>
      </c>
      <c r="D156" s="54" t="s">
        <v>21</v>
      </c>
      <c r="E156" s="55" t="s">
        <v>1256</v>
      </c>
      <c r="F156" s="53" t="s">
        <v>22</v>
      </c>
      <c r="G156" s="63">
        <v>2</v>
      </c>
      <c r="H156" s="57" t="s">
        <v>24</v>
      </c>
      <c r="I156" s="54" t="s">
        <v>25</v>
      </c>
      <c r="J156" s="54" t="s">
        <v>26</v>
      </c>
      <c r="K156" s="54" t="s">
        <v>27</v>
      </c>
      <c r="L156" s="54" t="s">
        <v>28</v>
      </c>
      <c r="M156" s="54" t="s">
        <v>29</v>
      </c>
      <c r="N156" s="54" t="s">
        <v>30</v>
      </c>
      <c r="O156" s="74">
        <v>46125</v>
      </c>
      <c r="P156" s="57"/>
      <c r="Q156" s="57"/>
      <c r="R156" s="61" t="s">
        <v>31</v>
      </c>
      <c r="S156" s="78"/>
    </row>
    <row r="157" spans="2:19" s="62" customFormat="1" outlineLevel="1" x14ac:dyDescent="0.25">
      <c r="B157" s="53"/>
      <c r="C157" s="54">
        <v>150</v>
      </c>
      <c r="D157" s="54" t="s">
        <v>811</v>
      </c>
      <c r="E157" s="55" t="s">
        <v>1256</v>
      </c>
      <c r="F157" s="53" t="s">
        <v>812</v>
      </c>
      <c r="G157" s="63">
        <v>5</v>
      </c>
      <c r="H157" s="57" t="s">
        <v>813</v>
      </c>
      <c r="I157" s="54" t="s">
        <v>814</v>
      </c>
      <c r="J157" s="54" t="s">
        <v>815</v>
      </c>
      <c r="K157" s="54" t="s">
        <v>816</v>
      </c>
      <c r="L157" s="54" t="s">
        <v>817</v>
      </c>
      <c r="M157" s="54" t="s">
        <v>1148</v>
      </c>
      <c r="N157" s="54" t="s">
        <v>819</v>
      </c>
      <c r="O157" s="59">
        <v>46160</v>
      </c>
      <c r="P157" s="57"/>
      <c r="Q157" s="57"/>
      <c r="R157" s="61" t="s">
        <v>31</v>
      </c>
      <c r="S157" s="78"/>
    </row>
    <row r="158" spans="2:19" s="62" customFormat="1" outlineLevel="1" x14ac:dyDescent="0.25">
      <c r="B158" s="53"/>
      <c r="C158" s="54">
        <v>151</v>
      </c>
      <c r="D158" s="54" t="s">
        <v>626</v>
      </c>
      <c r="E158" s="55" t="s">
        <v>1256</v>
      </c>
      <c r="F158" s="53" t="s">
        <v>627</v>
      </c>
      <c r="G158" s="63">
        <v>2</v>
      </c>
      <c r="H158" s="57" t="s">
        <v>152</v>
      </c>
      <c r="I158" s="54" t="s">
        <v>628</v>
      </c>
      <c r="J158" s="54" t="s">
        <v>629</v>
      </c>
      <c r="K158" s="54" t="s">
        <v>630</v>
      </c>
      <c r="L158" s="54" t="s">
        <v>631</v>
      </c>
      <c r="M158" s="54" t="s">
        <v>632</v>
      </c>
      <c r="N158" s="54" t="s">
        <v>633</v>
      </c>
      <c r="O158" s="74">
        <v>46125</v>
      </c>
      <c r="P158" s="57"/>
      <c r="Q158" s="57"/>
      <c r="R158" s="61" t="s">
        <v>31</v>
      </c>
      <c r="S158" s="78"/>
    </row>
    <row r="159" spans="2:19" s="62" customFormat="1" ht="36" customHeight="1" outlineLevel="1" x14ac:dyDescent="0.25">
      <c r="B159" s="53"/>
      <c r="C159" s="54" t="s">
        <v>1265</v>
      </c>
      <c r="D159" s="54" t="s">
        <v>554</v>
      </c>
      <c r="E159" s="55" t="s">
        <v>1256</v>
      </c>
      <c r="F159" s="53" t="s">
        <v>555</v>
      </c>
      <c r="G159" s="63">
        <v>2</v>
      </c>
      <c r="H159" s="57" t="s">
        <v>61</v>
      </c>
      <c r="I159" s="54" t="s">
        <v>556</v>
      </c>
      <c r="J159" s="54" t="s">
        <v>557</v>
      </c>
      <c r="K159" s="54" t="s">
        <v>558</v>
      </c>
      <c r="L159" s="54" t="s">
        <v>559</v>
      </c>
      <c r="M159" s="54" t="s">
        <v>1266</v>
      </c>
      <c r="N159" s="54" t="s">
        <v>561</v>
      </c>
      <c r="O159" s="74">
        <v>46125</v>
      </c>
      <c r="P159" s="57"/>
      <c r="Q159" s="57"/>
      <c r="R159" s="61" t="s">
        <v>31</v>
      </c>
      <c r="S159" s="78"/>
    </row>
    <row r="160" spans="2:19" s="62" customFormat="1" outlineLevel="1" x14ac:dyDescent="0.25">
      <c r="B160" s="53"/>
      <c r="C160" s="54">
        <v>153</v>
      </c>
      <c r="D160" s="54" t="s">
        <v>159</v>
      </c>
      <c r="E160" s="55" t="s">
        <v>1256</v>
      </c>
      <c r="F160" s="53" t="s">
        <v>160</v>
      </c>
      <c r="G160" s="63">
        <v>1</v>
      </c>
      <c r="H160" s="57" t="s">
        <v>61</v>
      </c>
      <c r="I160" s="54" t="s">
        <v>161</v>
      </c>
      <c r="J160" s="54" t="s">
        <v>162</v>
      </c>
      <c r="K160" s="54" t="s">
        <v>163</v>
      </c>
      <c r="L160" s="54" t="s">
        <v>164</v>
      </c>
      <c r="M160" s="54" t="s">
        <v>164</v>
      </c>
      <c r="N160" s="54" t="s">
        <v>165</v>
      </c>
      <c r="O160" s="74">
        <v>46125</v>
      </c>
      <c r="P160" s="57"/>
      <c r="Q160" s="57"/>
      <c r="R160" s="61" t="s">
        <v>31</v>
      </c>
      <c r="S160" s="78"/>
    </row>
    <row r="161" spans="2:19" s="62" customFormat="1" ht="36" customHeight="1" outlineLevel="1" x14ac:dyDescent="0.25">
      <c r="B161" s="53"/>
      <c r="C161" s="54" t="s">
        <v>1280</v>
      </c>
      <c r="D161" s="54" t="s">
        <v>190</v>
      </c>
      <c r="E161" s="55" t="s">
        <v>1256</v>
      </c>
      <c r="F161" s="53" t="s">
        <v>191</v>
      </c>
      <c r="G161" s="63">
        <v>2</v>
      </c>
      <c r="H161" s="57" t="s">
        <v>24</v>
      </c>
      <c r="I161" s="54" t="s">
        <v>1281</v>
      </c>
      <c r="J161" s="54" t="s">
        <v>1282</v>
      </c>
      <c r="K161" s="68" t="s">
        <v>1283</v>
      </c>
      <c r="L161" s="54" t="s">
        <v>195</v>
      </c>
      <c r="M161" s="54" t="s">
        <v>1284</v>
      </c>
      <c r="N161" s="54" t="s">
        <v>197</v>
      </c>
      <c r="O161" s="74">
        <v>46125</v>
      </c>
      <c r="P161" s="57"/>
      <c r="Q161" s="57"/>
      <c r="R161" s="61" t="s">
        <v>31</v>
      </c>
      <c r="S161" s="78"/>
    </row>
    <row r="162" spans="2:19" s="62" customFormat="1" ht="30" customHeight="1" outlineLevel="1" x14ac:dyDescent="0.25">
      <c r="B162" s="53"/>
      <c r="C162" s="54">
        <v>155</v>
      </c>
      <c r="D162" s="54" t="s">
        <v>255</v>
      </c>
      <c r="E162" s="55" t="s">
        <v>1256</v>
      </c>
      <c r="F162" s="53" t="s">
        <v>256</v>
      </c>
      <c r="G162" s="63">
        <v>1</v>
      </c>
      <c r="H162" s="57" t="s">
        <v>61</v>
      </c>
      <c r="I162" s="54" t="s">
        <v>1290</v>
      </c>
      <c r="J162" s="54" t="s">
        <v>1291</v>
      </c>
      <c r="K162" s="54" t="s">
        <v>1292</v>
      </c>
      <c r="L162" s="54" t="s">
        <v>260</v>
      </c>
      <c r="M162" s="54" t="s">
        <v>1293</v>
      </c>
      <c r="N162" s="54" t="s">
        <v>262</v>
      </c>
      <c r="O162" s="74">
        <v>46125</v>
      </c>
      <c r="P162" s="57"/>
      <c r="Q162" s="57"/>
      <c r="R162" s="61" t="s">
        <v>31</v>
      </c>
      <c r="S162" s="78"/>
    </row>
    <row r="163" spans="2:19" s="62" customFormat="1" outlineLevel="1" x14ac:dyDescent="0.25">
      <c r="B163" s="53"/>
      <c r="C163" s="54">
        <v>156</v>
      </c>
      <c r="D163" s="54" t="s">
        <v>263</v>
      </c>
      <c r="E163" s="55" t="s">
        <v>1256</v>
      </c>
      <c r="F163" s="53" t="s">
        <v>264</v>
      </c>
      <c r="G163" s="63">
        <v>3</v>
      </c>
      <c r="H163" s="57" t="s">
        <v>61</v>
      </c>
      <c r="I163" s="54" t="s">
        <v>265</v>
      </c>
      <c r="J163" s="54" t="s">
        <v>266</v>
      </c>
      <c r="K163" s="54" t="s">
        <v>267</v>
      </c>
      <c r="L163" s="54" t="s">
        <v>252</v>
      </c>
      <c r="M163" s="54" t="s">
        <v>268</v>
      </c>
      <c r="N163" s="54" t="s">
        <v>269</v>
      </c>
      <c r="O163" s="59">
        <v>46160</v>
      </c>
      <c r="P163" s="57"/>
      <c r="Q163" s="57"/>
      <c r="R163" s="61" t="s">
        <v>31</v>
      </c>
      <c r="S163" s="78"/>
    </row>
    <row r="164" spans="2:19" s="62" customFormat="1" outlineLevel="1" x14ac:dyDescent="0.25">
      <c r="B164" s="53"/>
      <c r="C164" s="54">
        <v>157</v>
      </c>
      <c r="D164" s="54" t="s">
        <v>651</v>
      </c>
      <c r="E164" s="55" t="s">
        <v>1256</v>
      </c>
      <c r="F164" s="53" t="s">
        <v>652</v>
      </c>
      <c r="G164" s="63">
        <v>2</v>
      </c>
      <c r="H164" s="57" t="s">
        <v>111</v>
      </c>
      <c r="I164" s="54" t="s">
        <v>653</v>
      </c>
      <c r="J164" s="54" t="s">
        <v>654</v>
      </c>
      <c r="K164" s="54" t="s">
        <v>655</v>
      </c>
      <c r="L164" s="54" t="s">
        <v>656</v>
      </c>
      <c r="M164" s="54" t="s">
        <v>657</v>
      </c>
      <c r="N164" s="54" t="s">
        <v>658</v>
      </c>
      <c r="O164" s="74">
        <v>46125</v>
      </c>
      <c r="P164" s="57"/>
      <c r="Q164" s="57"/>
      <c r="R164" s="61" t="s">
        <v>31</v>
      </c>
      <c r="S164" s="78"/>
    </row>
    <row r="165" spans="2:19" s="62" customFormat="1" outlineLevel="1" x14ac:dyDescent="0.25">
      <c r="B165" s="53"/>
      <c r="C165" s="54">
        <v>158</v>
      </c>
      <c r="D165" s="54" t="s">
        <v>270</v>
      </c>
      <c r="E165" s="55" t="s">
        <v>1256</v>
      </c>
      <c r="F165" s="53" t="s">
        <v>271</v>
      </c>
      <c r="G165" s="63">
        <v>3</v>
      </c>
      <c r="H165" s="57" t="s">
        <v>61</v>
      </c>
      <c r="I165" s="54" t="s">
        <v>272</v>
      </c>
      <c r="J165" s="54" t="s">
        <v>273</v>
      </c>
      <c r="K165" s="54" t="s">
        <v>274</v>
      </c>
      <c r="L165" s="54" t="s">
        <v>792</v>
      </c>
      <c r="M165" s="54" t="s">
        <v>792</v>
      </c>
      <c r="N165" s="54" t="s">
        <v>277</v>
      </c>
      <c r="O165" s="74">
        <v>46125</v>
      </c>
      <c r="P165" s="57"/>
      <c r="Q165" s="57"/>
      <c r="R165" s="61" t="s">
        <v>31</v>
      </c>
      <c r="S165" s="78"/>
    </row>
    <row r="166" spans="2:19" s="62" customFormat="1" outlineLevel="1" x14ac:dyDescent="0.25">
      <c r="B166" s="53"/>
      <c r="C166" s="54">
        <v>159</v>
      </c>
      <c r="D166" s="54" t="s">
        <v>743</v>
      </c>
      <c r="E166" s="55" t="s">
        <v>1256</v>
      </c>
      <c r="F166" s="53" t="s">
        <v>744</v>
      </c>
      <c r="G166" s="63">
        <v>1</v>
      </c>
      <c r="H166" s="57" t="s">
        <v>745</v>
      </c>
      <c r="I166" s="54" t="s">
        <v>746</v>
      </c>
      <c r="J166" s="54" t="s">
        <v>747</v>
      </c>
      <c r="K166" s="54" t="s">
        <v>748</v>
      </c>
      <c r="L166" s="54" t="s">
        <v>749</v>
      </c>
      <c r="M166" s="54" t="s">
        <v>750</v>
      </c>
      <c r="N166" s="54" t="s">
        <v>751</v>
      </c>
      <c r="O166" s="59">
        <v>46160</v>
      </c>
      <c r="P166" s="57"/>
      <c r="Q166" s="57"/>
      <c r="R166" s="61" t="s">
        <v>31</v>
      </c>
      <c r="S166" s="78"/>
    </row>
    <row r="167" spans="2:19" s="62" customFormat="1" outlineLevel="1" x14ac:dyDescent="0.25">
      <c r="B167" s="53"/>
      <c r="C167" s="54">
        <v>160</v>
      </c>
      <c r="D167" s="54" t="s">
        <v>859</v>
      </c>
      <c r="E167" s="55" t="s">
        <v>1256</v>
      </c>
      <c r="F167" s="53" t="s">
        <v>860</v>
      </c>
      <c r="G167" s="63">
        <v>2</v>
      </c>
      <c r="H167" s="57" t="s">
        <v>861</v>
      </c>
      <c r="I167" s="54" t="s">
        <v>862</v>
      </c>
      <c r="J167" s="54" t="s">
        <v>863</v>
      </c>
      <c r="K167" s="54" t="s">
        <v>864</v>
      </c>
      <c r="L167" s="54" t="s">
        <v>865</v>
      </c>
      <c r="M167" s="54" t="s">
        <v>866</v>
      </c>
      <c r="N167" s="54" t="s">
        <v>867</v>
      </c>
      <c r="O167" s="59">
        <v>46160</v>
      </c>
      <c r="P167" s="57"/>
      <c r="Q167" s="57"/>
      <c r="R167" s="61" t="s">
        <v>31</v>
      </c>
      <c r="S167" s="78"/>
    </row>
    <row r="168" spans="2:19" s="62" customFormat="1" outlineLevel="1" x14ac:dyDescent="0.25">
      <c r="B168" s="53"/>
      <c r="C168" s="54">
        <v>161</v>
      </c>
      <c r="D168" s="54" t="s">
        <v>318</v>
      </c>
      <c r="E168" s="55" t="s">
        <v>1256</v>
      </c>
      <c r="F168" s="53" t="s">
        <v>319</v>
      </c>
      <c r="G168" s="63">
        <v>4</v>
      </c>
      <c r="H168" s="57" t="s">
        <v>111</v>
      </c>
      <c r="I168" s="54" t="s">
        <v>320</v>
      </c>
      <c r="J168" s="54" t="s">
        <v>321</v>
      </c>
      <c r="K168" s="54" t="s">
        <v>322</v>
      </c>
      <c r="L168" s="54" t="s">
        <v>323</v>
      </c>
      <c r="M168" s="54" t="s">
        <v>324</v>
      </c>
      <c r="N168" s="54" t="s">
        <v>325</v>
      </c>
      <c r="O168" s="74">
        <v>46125</v>
      </c>
      <c r="P168" s="57"/>
      <c r="Q168" s="57"/>
      <c r="R168" s="61" t="s">
        <v>31</v>
      </c>
      <c r="S168" s="78"/>
    </row>
    <row r="169" spans="2:19" s="62" customFormat="1" outlineLevel="1" x14ac:dyDescent="0.25">
      <c r="B169" s="53"/>
      <c r="C169" s="54">
        <v>162</v>
      </c>
      <c r="D169" s="54" t="s">
        <v>326</v>
      </c>
      <c r="E169" s="55" t="s">
        <v>1256</v>
      </c>
      <c r="F169" s="53" t="s">
        <v>327</v>
      </c>
      <c r="G169" s="63">
        <v>1</v>
      </c>
      <c r="H169" s="57" t="s">
        <v>152</v>
      </c>
      <c r="I169" s="54" t="s">
        <v>328</v>
      </c>
      <c r="J169" s="54" t="s">
        <v>329</v>
      </c>
      <c r="K169" s="54" t="s">
        <v>330</v>
      </c>
      <c r="L169" s="54" t="s">
        <v>331</v>
      </c>
      <c r="M169" s="54" t="s">
        <v>332</v>
      </c>
      <c r="N169" s="54" t="s">
        <v>333</v>
      </c>
      <c r="O169" s="74">
        <v>46125</v>
      </c>
      <c r="P169" s="57"/>
      <c r="Q169" s="57"/>
      <c r="R169" s="61" t="s">
        <v>31</v>
      </c>
      <c r="S169" s="78"/>
    </row>
    <row r="170" spans="2:19" s="62" customFormat="1" ht="36" customHeight="1" outlineLevel="1" x14ac:dyDescent="0.25">
      <c r="B170" s="53"/>
      <c r="C170" s="54" t="s">
        <v>1269</v>
      </c>
      <c r="D170" s="54" t="s">
        <v>802</v>
      </c>
      <c r="E170" s="55" t="s">
        <v>1256</v>
      </c>
      <c r="F170" s="53" t="s">
        <v>803</v>
      </c>
      <c r="G170" s="63">
        <v>15</v>
      </c>
      <c r="H170" s="57" t="s">
        <v>804</v>
      </c>
      <c r="I170" s="54" t="s">
        <v>874</v>
      </c>
      <c r="J170" s="54" t="s">
        <v>875</v>
      </c>
      <c r="K170" s="54" t="s">
        <v>876</v>
      </c>
      <c r="L170" s="54" t="s">
        <v>808</v>
      </c>
      <c r="M170" s="54" t="s">
        <v>1270</v>
      </c>
      <c r="N170" s="54" t="s">
        <v>810</v>
      </c>
      <c r="O170" s="74">
        <v>46125</v>
      </c>
      <c r="P170" s="57"/>
      <c r="Q170" s="57"/>
      <c r="R170" s="61" t="s">
        <v>31</v>
      </c>
      <c r="S170" s="78"/>
    </row>
    <row r="171" spans="2:19" s="62" customFormat="1" ht="30" customHeight="1" outlineLevel="1" x14ac:dyDescent="0.25">
      <c r="B171" s="53"/>
      <c r="C171" s="54" t="s">
        <v>1294</v>
      </c>
      <c r="D171" s="54" t="s">
        <v>734</v>
      </c>
      <c r="E171" s="55" t="s">
        <v>1256</v>
      </c>
      <c r="F171" s="53" t="s">
        <v>735</v>
      </c>
      <c r="G171" s="63">
        <v>6</v>
      </c>
      <c r="H171" s="57" t="s">
        <v>736</v>
      </c>
      <c r="I171" s="54" t="s">
        <v>737</v>
      </c>
      <c r="J171" s="54" t="s">
        <v>738</v>
      </c>
      <c r="K171" s="54" t="s">
        <v>739</v>
      </c>
      <c r="L171" s="54" t="s">
        <v>740</v>
      </c>
      <c r="M171" s="54" t="s">
        <v>1295</v>
      </c>
      <c r="N171" s="54" t="s">
        <v>742</v>
      </c>
      <c r="O171" s="74">
        <v>46125</v>
      </c>
      <c r="P171" s="57"/>
      <c r="Q171" s="57"/>
      <c r="R171" s="61" t="s">
        <v>31</v>
      </c>
      <c r="S171" s="78"/>
    </row>
    <row r="172" spans="2:19" s="62" customFormat="1" outlineLevel="1" x14ac:dyDescent="0.25">
      <c r="B172" s="53"/>
      <c r="C172" s="54">
        <v>165</v>
      </c>
      <c r="D172" s="54" t="s">
        <v>604</v>
      </c>
      <c r="E172" s="55" t="s">
        <v>1256</v>
      </c>
      <c r="F172" s="53" t="s">
        <v>605</v>
      </c>
      <c r="G172" s="63">
        <v>12</v>
      </c>
      <c r="H172" s="57" t="s">
        <v>61</v>
      </c>
      <c r="I172" s="54" t="s">
        <v>606</v>
      </c>
      <c r="J172" s="54" t="s">
        <v>607</v>
      </c>
      <c r="K172" s="54" t="s">
        <v>608</v>
      </c>
      <c r="L172" s="54" t="s">
        <v>252</v>
      </c>
      <c r="M172" s="54" t="s">
        <v>609</v>
      </c>
      <c r="N172" s="54" t="s">
        <v>610</v>
      </c>
      <c r="O172" s="74">
        <v>46125</v>
      </c>
      <c r="P172" s="57"/>
      <c r="Q172" s="57"/>
      <c r="R172" s="61" t="s">
        <v>31</v>
      </c>
      <c r="S172" s="78"/>
    </row>
    <row r="173" spans="2:19" s="62" customFormat="1" ht="36" customHeight="1" outlineLevel="1" x14ac:dyDescent="0.25">
      <c r="B173" s="53"/>
      <c r="C173" s="54" t="s">
        <v>1422</v>
      </c>
      <c r="D173" s="54" t="s">
        <v>375</v>
      </c>
      <c r="E173" s="55" t="s">
        <v>1256</v>
      </c>
      <c r="F173" s="53" t="s">
        <v>376</v>
      </c>
      <c r="G173" s="63">
        <v>6</v>
      </c>
      <c r="H173" s="57" t="s">
        <v>111</v>
      </c>
      <c r="I173" s="54" t="s">
        <v>1372</v>
      </c>
      <c r="J173" s="54" t="s">
        <v>685</v>
      </c>
      <c r="K173" s="54" t="s">
        <v>686</v>
      </c>
      <c r="L173" s="54" t="s">
        <v>380</v>
      </c>
      <c r="M173" s="54" t="s">
        <v>1423</v>
      </c>
      <c r="N173" s="54" t="s">
        <v>382</v>
      </c>
      <c r="O173" s="59">
        <v>46160</v>
      </c>
      <c r="P173" s="57"/>
      <c r="Q173" s="57"/>
      <c r="R173" s="61" t="s">
        <v>31</v>
      </c>
      <c r="S173" s="78"/>
    </row>
    <row r="174" spans="2:19" s="62" customFormat="1" ht="36" customHeight="1" outlineLevel="1" x14ac:dyDescent="0.25">
      <c r="B174" s="53"/>
      <c r="C174" s="54" t="s">
        <v>1010</v>
      </c>
      <c r="D174" s="54" t="s">
        <v>399</v>
      </c>
      <c r="E174" s="55" t="s">
        <v>1256</v>
      </c>
      <c r="F174" s="53" t="s">
        <v>400</v>
      </c>
      <c r="G174" s="63">
        <v>2</v>
      </c>
      <c r="H174" s="57" t="s">
        <v>152</v>
      </c>
      <c r="I174" s="54" t="s">
        <v>401</v>
      </c>
      <c r="J174" s="54" t="s">
        <v>402</v>
      </c>
      <c r="K174" s="54" t="s">
        <v>403</v>
      </c>
      <c r="L174" s="54" t="s">
        <v>404</v>
      </c>
      <c r="M174" s="54" t="s">
        <v>1424</v>
      </c>
      <c r="N174" s="54" t="s">
        <v>406</v>
      </c>
      <c r="O174" s="59">
        <v>46160</v>
      </c>
      <c r="P174" s="57"/>
      <c r="Q174" s="57"/>
      <c r="R174" s="61" t="s">
        <v>31</v>
      </c>
      <c r="S174" s="78"/>
    </row>
    <row r="175" spans="2:19" s="62" customFormat="1" outlineLevel="1" x14ac:dyDescent="0.25">
      <c r="B175" s="53"/>
      <c r="C175" s="54">
        <v>168</v>
      </c>
      <c r="D175" s="54" t="s">
        <v>407</v>
      </c>
      <c r="E175" s="55" t="s">
        <v>1256</v>
      </c>
      <c r="F175" s="53" t="s">
        <v>408</v>
      </c>
      <c r="G175" s="63">
        <v>1</v>
      </c>
      <c r="H175" s="57" t="s">
        <v>61</v>
      </c>
      <c r="I175" s="54" t="s">
        <v>409</v>
      </c>
      <c r="J175" s="54" t="s">
        <v>410</v>
      </c>
      <c r="K175" s="54" t="s">
        <v>411</v>
      </c>
      <c r="L175" s="54" t="s">
        <v>412</v>
      </c>
      <c r="M175" s="54" t="s">
        <v>552</v>
      </c>
      <c r="N175" s="54" t="s">
        <v>414</v>
      </c>
      <c r="O175" s="74">
        <v>46125</v>
      </c>
      <c r="P175" s="57"/>
      <c r="Q175" s="57"/>
      <c r="R175" s="61" t="s">
        <v>31</v>
      </c>
      <c r="S175" s="78"/>
    </row>
    <row r="176" spans="2:19" s="62" customFormat="1" outlineLevel="1" x14ac:dyDescent="0.25">
      <c r="B176" s="53"/>
      <c r="C176" s="54">
        <v>169</v>
      </c>
      <c r="D176" s="54" t="s">
        <v>1016</v>
      </c>
      <c r="E176" s="55" t="s">
        <v>1256</v>
      </c>
      <c r="F176" s="53" t="s">
        <v>919</v>
      </c>
      <c r="G176" s="63">
        <v>1</v>
      </c>
      <c r="H176" s="57" t="s">
        <v>61</v>
      </c>
      <c r="I176" s="54" t="s">
        <v>1017</v>
      </c>
      <c r="J176" s="54" t="s">
        <v>1018</v>
      </c>
      <c r="K176" s="54" t="s">
        <v>1019</v>
      </c>
      <c r="L176" s="54" t="s">
        <v>1020</v>
      </c>
      <c r="M176" s="54" t="s">
        <v>1257</v>
      </c>
      <c r="N176" s="54" t="s">
        <v>1022</v>
      </c>
      <c r="O176" s="74">
        <v>46125</v>
      </c>
      <c r="P176" s="57"/>
      <c r="Q176" s="57"/>
      <c r="R176" s="61" t="s">
        <v>31</v>
      </c>
      <c r="S176" s="78"/>
    </row>
    <row r="177" spans="2:19" s="62" customFormat="1" outlineLevel="1" x14ac:dyDescent="0.25">
      <c r="B177" s="53"/>
      <c r="C177" s="54">
        <v>170</v>
      </c>
      <c r="D177" s="54" t="s">
        <v>424</v>
      </c>
      <c r="E177" s="55" t="s">
        <v>1256</v>
      </c>
      <c r="F177" s="53" t="s">
        <v>425</v>
      </c>
      <c r="G177" s="63">
        <v>4</v>
      </c>
      <c r="H177" s="57" t="s">
        <v>111</v>
      </c>
      <c r="I177" s="54" t="s">
        <v>426</v>
      </c>
      <c r="J177" s="54" t="s">
        <v>427</v>
      </c>
      <c r="K177" s="54" t="s">
        <v>428</v>
      </c>
      <c r="L177" s="54" t="s">
        <v>429</v>
      </c>
      <c r="M177" s="54" t="s">
        <v>429</v>
      </c>
      <c r="N177" s="54" t="s">
        <v>430</v>
      </c>
      <c r="O177" s="74">
        <v>46125</v>
      </c>
      <c r="P177" s="57"/>
      <c r="Q177" s="57"/>
      <c r="R177" s="61" t="s">
        <v>31</v>
      </c>
      <c r="S177" s="78"/>
    </row>
    <row r="178" spans="2:19" s="62" customFormat="1" outlineLevel="1" x14ac:dyDescent="0.25">
      <c r="B178" s="53"/>
      <c r="C178" s="54">
        <v>171</v>
      </c>
      <c r="D178" s="54" t="s">
        <v>431</v>
      </c>
      <c r="E178" s="55" t="s">
        <v>1256</v>
      </c>
      <c r="F178" s="53" t="s">
        <v>432</v>
      </c>
      <c r="G178" s="63">
        <v>4</v>
      </c>
      <c r="H178" s="57" t="s">
        <v>152</v>
      </c>
      <c r="I178" s="54" t="s">
        <v>1425</v>
      </c>
      <c r="J178" s="54" t="s">
        <v>1426</v>
      </c>
      <c r="K178" s="54" t="s">
        <v>1427</v>
      </c>
      <c r="L178" s="54" t="s">
        <v>436</v>
      </c>
      <c r="M178" s="54" t="s">
        <v>1428</v>
      </c>
      <c r="N178" s="54" t="s">
        <v>438</v>
      </c>
      <c r="O178" s="59">
        <v>46160</v>
      </c>
      <c r="P178" s="57"/>
      <c r="Q178" s="57"/>
      <c r="R178" s="61" t="s">
        <v>31</v>
      </c>
      <c r="S178" s="78"/>
    </row>
    <row r="179" spans="2:19" s="62" customFormat="1" ht="30" customHeight="1" outlineLevel="1" x14ac:dyDescent="0.25">
      <c r="B179" s="53"/>
      <c r="C179" s="54">
        <v>172</v>
      </c>
      <c r="D179" s="54" t="s">
        <v>439</v>
      </c>
      <c r="E179" s="55" t="s">
        <v>1256</v>
      </c>
      <c r="F179" s="53" t="s">
        <v>440</v>
      </c>
      <c r="G179" s="63">
        <v>1</v>
      </c>
      <c r="H179" s="57" t="s">
        <v>152</v>
      </c>
      <c r="I179" s="54" t="s">
        <v>441</v>
      </c>
      <c r="J179" s="54" t="s">
        <v>442</v>
      </c>
      <c r="K179" s="54" t="s">
        <v>443</v>
      </c>
      <c r="L179" s="54" t="s">
        <v>444</v>
      </c>
      <c r="M179" s="54" t="s">
        <v>570</v>
      </c>
      <c r="N179" s="54" t="s">
        <v>446</v>
      </c>
      <c r="O179" s="59">
        <v>46160</v>
      </c>
      <c r="P179" s="57"/>
      <c r="Q179" s="57"/>
      <c r="R179" s="61" t="s">
        <v>31</v>
      </c>
      <c r="S179" s="78"/>
    </row>
    <row r="180" spans="2:19" s="62" customFormat="1" outlineLevel="1" x14ac:dyDescent="0.25">
      <c r="B180" s="53"/>
      <c r="C180" s="54">
        <v>173</v>
      </c>
      <c r="D180" s="54" t="s">
        <v>455</v>
      </c>
      <c r="E180" s="55" t="s">
        <v>1256</v>
      </c>
      <c r="F180" s="53" t="s">
        <v>456</v>
      </c>
      <c r="G180" s="63">
        <v>1</v>
      </c>
      <c r="H180" s="57" t="s">
        <v>111</v>
      </c>
      <c r="I180" s="54" t="s">
        <v>457</v>
      </c>
      <c r="J180" s="54" t="s">
        <v>458</v>
      </c>
      <c r="K180" s="54" t="s">
        <v>459</v>
      </c>
      <c r="L180" s="54" t="s">
        <v>460</v>
      </c>
      <c r="M180" s="54" t="s">
        <v>461</v>
      </c>
      <c r="N180" s="54" t="s">
        <v>462</v>
      </c>
      <c r="O180" s="59">
        <v>46160</v>
      </c>
      <c r="P180" s="57"/>
      <c r="Q180" s="57"/>
      <c r="R180" s="61" t="s">
        <v>31</v>
      </c>
      <c r="S180" s="78"/>
    </row>
    <row r="181" spans="2:19" s="62" customFormat="1" outlineLevel="1" x14ac:dyDescent="0.25">
      <c r="B181" s="53"/>
      <c r="C181" s="54">
        <v>174</v>
      </c>
      <c r="D181" s="54" t="s">
        <v>486</v>
      </c>
      <c r="E181" s="55" t="s">
        <v>1256</v>
      </c>
      <c r="F181" s="53" t="s">
        <v>487</v>
      </c>
      <c r="G181" s="63">
        <v>1</v>
      </c>
      <c r="H181" s="57" t="s">
        <v>152</v>
      </c>
      <c r="I181" s="54" t="s">
        <v>488</v>
      </c>
      <c r="J181" s="54" t="s">
        <v>489</v>
      </c>
      <c r="K181" s="54" t="s">
        <v>490</v>
      </c>
      <c r="L181" s="54" t="s">
        <v>491</v>
      </c>
      <c r="M181" s="54" t="s">
        <v>492</v>
      </c>
      <c r="N181" s="54" t="s">
        <v>493</v>
      </c>
      <c r="O181" s="74">
        <v>46125</v>
      </c>
      <c r="P181" s="57"/>
      <c r="Q181" s="57"/>
      <c r="R181" s="61" t="s">
        <v>31</v>
      </c>
      <c r="S181" s="78"/>
    </row>
    <row r="182" spans="2:19" s="33" customFormat="1" ht="30" customHeight="1" x14ac:dyDescent="0.25">
      <c r="B182" s="42"/>
      <c r="C182" s="42"/>
      <c r="D182" s="42"/>
      <c r="E182" s="28" t="s">
        <v>1259</v>
      </c>
      <c r="F182" s="28"/>
      <c r="G182" s="29">
        <f>SUM(G183:G250)</f>
        <v>325</v>
      </c>
      <c r="H182" s="34"/>
      <c r="I182" s="49"/>
      <c r="J182" s="50"/>
      <c r="K182" s="51"/>
      <c r="L182" s="42"/>
      <c r="M182" s="42"/>
      <c r="N182" s="36"/>
      <c r="O182" s="34"/>
      <c r="P182" s="35"/>
      <c r="Q182" s="35"/>
      <c r="R182" s="32" t="s">
        <v>31</v>
      </c>
      <c r="S182" s="32"/>
    </row>
    <row r="183" spans="2:19" s="62" customFormat="1" outlineLevel="1" x14ac:dyDescent="0.25">
      <c r="B183" s="53"/>
      <c r="C183" s="54">
        <v>175</v>
      </c>
      <c r="D183" s="54" t="s">
        <v>21</v>
      </c>
      <c r="E183" s="55" t="s">
        <v>1259</v>
      </c>
      <c r="F183" s="53" t="s">
        <v>22</v>
      </c>
      <c r="G183" s="63">
        <v>3</v>
      </c>
      <c r="H183" s="57" t="s">
        <v>24</v>
      </c>
      <c r="I183" s="54" t="s">
        <v>25</v>
      </c>
      <c r="J183" s="54" t="s">
        <v>26</v>
      </c>
      <c r="K183" s="54" t="s">
        <v>27</v>
      </c>
      <c r="L183" s="54" t="s">
        <v>28</v>
      </c>
      <c r="M183" s="54" t="s">
        <v>29</v>
      </c>
      <c r="N183" s="54" t="s">
        <v>30</v>
      </c>
      <c r="O183" s="74">
        <v>46125</v>
      </c>
      <c r="P183" s="57"/>
      <c r="Q183" s="57"/>
      <c r="R183" s="61" t="s">
        <v>31</v>
      </c>
      <c r="S183" s="78"/>
    </row>
    <row r="184" spans="2:19" s="62" customFormat="1" outlineLevel="1" x14ac:dyDescent="0.25">
      <c r="B184" s="53"/>
      <c r="C184" s="54">
        <v>176</v>
      </c>
      <c r="D184" s="54" t="s">
        <v>811</v>
      </c>
      <c r="E184" s="55" t="s">
        <v>1259</v>
      </c>
      <c r="F184" s="53" t="s">
        <v>812</v>
      </c>
      <c r="G184" s="63">
        <v>5</v>
      </c>
      <c r="H184" s="57" t="s">
        <v>813</v>
      </c>
      <c r="I184" s="54" t="s">
        <v>814</v>
      </c>
      <c r="J184" s="54" t="s">
        <v>815</v>
      </c>
      <c r="K184" s="54" t="s">
        <v>816</v>
      </c>
      <c r="L184" s="54" t="s">
        <v>817</v>
      </c>
      <c r="M184" s="54" t="s">
        <v>1148</v>
      </c>
      <c r="N184" s="54" t="s">
        <v>819</v>
      </c>
      <c r="O184" s="59">
        <v>46160</v>
      </c>
      <c r="P184" s="57"/>
      <c r="Q184" s="57"/>
      <c r="R184" s="61" t="s">
        <v>31</v>
      </c>
      <c r="S184" s="78"/>
    </row>
    <row r="185" spans="2:19" s="62" customFormat="1" outlineLevel="1" x14ac:dyDescent="0.25">
      <c r="B185" s="53"/>
      <c r="C185" s="54">
        <v>177</v>
      </c>
      <c r="D185" s="54" t="s">
        <v>34</v>
      </c>
      <c r="E185" s="55" t="s">
        <v>1259</v>
      </c>
      <c r="F185" s="53" t="s">
        <v>35</v>
      </c>
      <c r="G185" s="63">
        <v>5</v>
      </c>
      <c r="H185" s="57" t="s">
        <v>36</v>
      </c>
      <c r="I185" s="54" t="s">
        <v>37</v>
      </c>
      <c r="J185" s="54" t="s">
        <v>38</v>
      </c>
      <c r="K185" s="54" t="s">
        <v>39</v>
      </c>
      <c r="L185" s="54" t="s">
        <v>40</v>
      </c>
      <c r="M185" s="54" t="s">
        <v>858</v>
      </c>
      <c r="N185" s="54" t="s">
        <v>42</v>
      </c>
      <c r="O185" s="59">
        <v>46160</v>
      </c>
      <c r="P185" s="57"/>
      <c r="Q185" s="57"/>
      <c r="R185" s="61" t="s">
        <v>31</v>
      </c>
      <c r="S185" s="78"/>
    </row>
    <row r="186" spans="2:19" s="62" customFormat="1" outlineLevel="1" x14ac:dyDescent="0.25">
      <c r="B186" s="53"/>
      <c r="C186" s="54">
        <v>178</v>
      </c>
      <c r="D186" s="54" t="s">
        <v>43</v>
      </c>
      <c r="E186" s="55" t="s">
        <v>1259</v>
      </c>
      <c r="F186" s="53" t="s">
        <v>44</v>
      </c>
      <c r="G186" s="63">
        <v>4</v>
      </c>
      <c r="H186" s="57" t="s">
        <v>24</v>
      </c>
      <c r="I186" s="54" t="s">
        <v>45</v>
      </c>
      <c r="J186" s="54" t="s">
        <v>46</v>
      </c>
      <c r="K186" s="54" t="s">
        <v>47</v>
      </c>
      <c r="L186" s="54" t="s">
        <v>48</v>
      </c>
      <c r="M186" s="54" t="s">
        <v>49</v>
      </c>
      <c r="N186" s="54" t="s">
        <v>50</v>
      </c>
      <c r="O186" s="59">
        <v>46160</v>
      </c>
      <c r="P186" s="57"/>
      <c r="Q186" s="57"/>
      <c r="R186" s="61" t="s">
        <v>31</v>
      </c>
      <c r="S186" s="78"/>
    </row>
    <row r="187" spans="2:19" s="62" customFormat="1" outlineLevel="1" x14ac:dyDescent="0.25">
      <c r="B187" s="53"/>
      <c r="C187" s="54">
        <v>179</v>
      </c>
      <c r="D187" s="54" t="s">
        <v>51</v>
      </c>
      <c r="E187" s="55" t="s">
        <v>1259</v>
      </c>
      <c r="F187" s="53" t="s">
        <v>52</v>
      </c>
      <c r="G187" s="63">
        <v>3</v>
      </c>
      <c r="H187" s="57" t="s">
        <v>24</v>
      </c>
      <c r="I187" s="54" t="s">
        <v>53</v>
      </c>
      <c r="J187" s="54" t="s">
        <v>54</v>
      </c>
      <c r="K187" s="54" t="s">
        <v>55</v>
      </c>
      <c r="L187" s="54" t="s">
        <v>56</v>
      </c>
      <c r="M187" s="54" t="s">
        <v>57</v>
      </c>
      <c r="N187" s="54" t="s">
        <v>58</v>
      </c>
      <c r="O187" s="59">
        <v>46160</v>
      </c>
      <c r="P187" s="57"/>
      <c r="Q187" s="57"/>
      <c r="R187" s="61" t="s">
        <v>31</v>
      </c>
      <c r="S187" s="78"/>
    </row>
    <row r="188" spans="2:19" s="62" customFormat="1" ht="30" customHeight="1" outlineLevel="1" x14ac:dyDescent="0.25">
      <c r="B188" s="53"/>
      <c r="C188" s="54">
        <v>180</v>
      </c>
      <c r="D188" s="54" t="s">
        <v>1079</v>
      </c>
      <c r="E188" s="55" t="s">
        <v>1259</v>
      </c>
      <c r="F188" s="53" t="s">
        <v>918</v>
      </c>
      <c r="G188" s="63">
        <v>2</v>
      </c>
      <c r="H188" s="57" t="s">
        <v>152</v>
      </c>
      <c r="I188" s="54" t="s">
        <v>1080</v>
      </c>
      <c r="J188" s="54" t="s">
        <v>1081</v>
      </c>
      <c r="K188" s="54" t="s">
        <v>1082</v>
      </c>
      <c r="L188" s="54" t="s">
        <v>1083</v>
      </c>
      <c r="M188" s="54" t="s">
        <v>1084</v>
      </c>
      <c r="N188" s="54" t="s">
        <v>1085</v>
      </c>
      <c r="O188" s="59">
        <v>46160</v>
      </c>
      <c r="P188" s="57"/>
      <c r="Q188" s="57"/>
      <c r="R188" s="61" t="s">
        <v>31</v>
      </c>
      <c r="S188" s="78"/>
    </row>
    <row r="189" spans="2:19" s="62" customFormat="1" outlineLevel="1" x14ac:dyDescent="0.25">
      <c r="B189" s="53"/>
      <c r="C189" s="54">
        <v>181</v>
      </c>
      <c r="D189" s="54" t="s">
        <v>59</v>
      </c>
      <c r="E189" s="55" t="s">
        <v>1259</v>
      </c>
      <c r="F189" s="53" t="s">
        <v>60</v>
      </c>
      <c r="G189" s="63">
        <v>16</v>
      </c>
      <c r="H189" s="57" t="s">
        <v>61</v>
      </c>
      <c r="I189" s="54" t="s">
        <v>62</v>
      </c>
      <c r="J189" s="54" t="s">
        <v>63</v>
      </c>
      <c r="K189" s="54" t="s">
        <v>64</v>
      </c>
      <c r="L189" s="54" t="s">
        <v>65</v>
      </c>
      <c r="M189" s="54" t="s">
        <v>66</v>
      </c>
      <c r="N189" s="54" t="s">
        <v>67</v>
      </c>
      <c r="O189" s="59">
        <v>46160</v>
      </c>
      <c r="P189" s="57"/>
      <c r="Q189" s="57"/>
      <c r="R189" s="61" t="s">
        <v>31</v>
      </c>
      <c r="S189" s="78"/>
    </row>
    <row r="190" spans="2:19" s="62" customFormat="1" ht="72" customHeight="1" outlineLevel="1" x14ac:dyDescent="0.25">
      <c r="B190" s="53"/>
      <c r="C190" s="54" t="s">
        <v>1429</v>
      </c>
      <c r="D190" s="54" t="s">
        <v>75</v>
      </c>
      <c r="E190" s="55" t="s">
        <v>1259</v>
      </c>
      <c r="F190" s="53" t="s">
        <v>76</v>
      </c>
      <c r="G190" s="63">
        <v>8</v>
      </c>
      <c r="H190" s="57" t="s">
        <v>77</v>
      </c>
      <c r="I190" s="54" t="s">
        <v>1209</v>
      </c>
      <c r="J190" s="54" t="s">
        <v>1210</v>
      </c>
      <c r="K190" s="54" t="s">
        <v>1211</v>
      </c>
      <c r="L190" s="54" t="s">
        <v>81</v>
      </c>
      <c r="M190" s="54" t="s">
        <v>1430</v>
      </c>
      <c r="N190" s="54" t="s">
        <v>83</v>
      </c>
      <c r="O190" s="59">
        <v>46160</v>
      </c>
      <c r="P190" s="57"/>
      <c r="Q190" s="57"/>
      <c r="R190" s="61" t="s">
        <v>31</v>
      </c>
      <c r="S190" s="78"/>
    </row>
    <row r="191" spans="2:19" s="62" customFormat="1" outlineLevel="1" x14ac:dyDescent="0.25">
      <c r="B191" s="53"/>
      <c r="C191" s="54">
        <v>183</v>
      </c>
      <c r="D191" s="54" t="s">
        <v>85</v>
      </c>
      <c r="E191" s="55" t="s">
        <v>1259</v>
      </c>
      <c r="F191" s="53" t="s">
        <v>86</v>
      </c>
      <c r="G191" s="63">
        <v>1</v>
      </c>
      <c r="H191" s="57" t="s">
        <v>87</v>
      </c>
      <c r="I191" s="54" t="s">
        <v>88</v>
      </c>
      <c r="J191" s="54" t="s">
        <v>89</v>
      </c>
      <c r="K191" s="54" t="s">
        <v>90</v>
      </c>
      <c r="L191" s="54" t="s">
        <v>91</v>
      </c>
      <c r="M191" s="54" t="s">
        <v>92</v>
      </c>
      <c r="N191" s="54" t="s">
        <v>93</v>
      </c>
      <c r="O191" s="59">
        <v>46160</v>
      </c>
      <c r="P191" s="57"/>
      <c r="Q191" s="57"/>
      <c r="R191" s="61" t="s">
        <v>31</v>
      </c>
      <c r="S191" s="78"/>
    </row>
    <row r="192" spans="2:19" s="62" customFormat="1" outlineLevel="1" x14ac:dyDescent="0.25">
      <c r="B192" s="53"/>
      <c r="C192" s="54">
        <v>184</v>
      </c>
      <c r="D192" s="54" t="s">
        <v>94</v>
      </c>
      <c r="E192" s="55" t="s">
        <v>1259</v>
      </c>
      <c r="F192" s="53" t="s">
        <v>95</v>
      </c>
      <c r="G192" s="63">
        <v>1</v>
      </c>
      <c r="H192" s="57" t="s">
        <v>36</v>
      </c>
      <c r="I192" s="54" t="s">
        <v>96</v>
      </c>
      <c r="J192" s="54" t="s">
        <v>97</v>
      </c>
      <c r="K192" s="54" t="s">
        <v>98</v>
      </c>
      <c r="L192" s="54" t="s">
        <v>99</v>
      </c>
      <c r="M192" s="54" t="s">
        <v>100</v>
      </c>
      <c r="N192" s="54" t="s">
        <v>101</v>
      </c>
      <c r="O192" s="59">
        <v>46160</v>
      </c>
      <c r="P192" s="57"/>
      <c r="Q192" s="57"/>
      <c r="R192" s="61" t="s">
        <v>31</v>
      </c>
      <c r="S192" s="78"/>
    </row>
    <row r="193" spans="2:19" s="62" customFormat="1" outlineLevel="1" x14ac:dyDescent="0.25">
      <c r="B193" s="53"/>
      <c r="C193" s="54">
        <v>185</v>
      </c>
      <c r="D193" s="54" t="s">
        <v>626</v>
      </c>
      <c r="E193" s="55" t="s">
        <v>1259</v>
      </c>
      <c r="F193" s="53" t="s">
        <v>627</v>
      </c>
      <c r="G193" s="63">
        <v>1</v>
      </c>
      <c r="H193" s="57" t="s">
        <v>152</v>
      </c>
      <c r="I193" s="54" t="s">
        <v>628</v>
      </c>
      <c r="J193" s="54" t="s">
        <v>629</v>
      </c>
      <c r="K193" s="54" t="s">
        <v>630</v>
      </c>
      <c r="L193" s="54" t="s">
        <v>631</v>
      </c>
      <c r="M193" s="54" t="s">
        <v>632</v>
      </c>
      <c r="N193" s="54" t="s">
        <v>633</v>
      </c>
      <c r="O193" s="59">
        <v>46160</v>
      </c>
      <c r="P193" s="57"/>
      <c r="Q193" s="57"/>
      <c r="R193" s="61" t="s">
        <v>31</v>
      </c>
      <c r="S193" s="78"/>
    </row>
    <row r="194" spans="2:19" s="62" customFormat="1" ht="36" customHeight="1" outlineLevel="1" x14ac:dyDescent="0.25">
      <c r="B194" s="53"/>
      <c r="C194" s="54" t="s">
        <v>1431</v>
      </c>
      <c r="D194" s="54" t="s">
        <v>725</v>
      </c>
      <c r="E194" s="55" t="s">
        <v>1259</v>
      </c>
      <c r="F194" s="53" t="s">
        <v>726</v>
      </c>
      <c r="G194" s="63">
        <v>1</v>
      </c>
      <c r="H194" s="57" t="s">
        <v>727</v>
      </c>
      <c r="I194" s="54" t="s">
        <v>1351</v>
      </c>
      <c r="J194" s="54" t="s">
        <v>1352</v>
      </c>
      <c r="K194" s="54" t="s">
        <v>1353</v>
      </c>
      <c r="L194" s="54" t="s">
        <v>731</v>
      </c>
      <c r="M194" s="54" t="s">
        <v>732</v>
      </c>
      <c r="N194" s="54" t="s">
        <v>733</v>
      </c>
      <c r="O194" s="59">
        <v>46160</v>
      </c>
      <c r="P194" s="57"/>
      <c r="Q194" s="57"/>
      <c r="R194" s="61" t="s">
        <v>31</v>
      </c>
      <c r="S194" s="78"/>
    </row>
    <row r="195" spans="2:19" s="62" customFormat="1" outlineLevel="1" x14ac:dyDescent="0.25">
      <c r="B195" s="53"/>
      <c r="C195" s="54">
        <v>187</v>
      </c>
      <c r="D195" s="54" t="s">
        <v>102</v>
      </c>
      <c r="E195" s="55" t="s">
        <v>1259</v>
      </c>
      <c r="F195" s="53" t="s">
        <v>103</v>
      </c>
      <c r="G195" s="63">
        <v>3</v>
      </c>
      <c r="H195" s="57" t="s">
        <v>61</v>
      </c>
      <c r="I195" s="54" t="s">
        <v>104</v>
      </c>
      <c r="J195" s="54" t="s">
        <v>105</v>
      </c>
      <c r="K195" s="54" t="s">
        <v>106</v>
      </c>
      <c r="L195" s="54" t="s">
        <v>107</v>
      </c>
      <c r="M195" s="54" t="s">
        <v>107</v>
      </c>
      <c r="N195" s="54" t="s">
        <v>108</v>
      </c>
      <c r="O195" s="59">
        <v>46160</v>
      </c>
      <c r="P195" s="57"/>
      <c r="Q195" s="57"/>
      <c r="R195" s="61" t="s">
        <v>31</v>
      </c>
      <c r="S195" s="78"/>
    </row>
    <row r="196" spans="2:19" s="62" customFormat="1" outlineLevel="1" x14ac:dyDescent="0.25">
      <c r="B196" s="53"/>
      <c r="C196" s="54">
        <v>188</v>
      </c>
      <c r="D196" s="54" t="s">
        <v>117</v>
      </c>
      <c r="E196" s="55" t="s">
        <v>1259</v>
      </c>
      <c r="F196" s="53" t="s">
        <v>118</v>
      </c>
      <c r="G196" s="63">
        <v>9</v>
      </c>
      <c r="H196" s="57" t="s">
        <v>24</v>
      </c>
      <c r="I196" s="54" t="s">
        <v>119</v>
      </c>
      <c r="J196" s="54" t="s">
        <v>120</v>
      </c>
      <c r="K196" s="54" t="s">
        <v>121</v>
      </c>
      <c r="L196" s="54" t="s">
        <v>122</v>
      </c>
      <c r="M196" s="54" t="s">
        <v>123</v>
      </c>
      <c r="N196" s="54" t="s">
        <v>124</v>
      </c>
      <c r="O196" s="59">
        <v>46160</v>
      </c>
      <c r="P196" s="57"/>
      <c r="Q196" s="57"/>
      <c r="R196" s="61" t="s">
        <v>31</v>
      </c>
      <c r="S196" s="78"/>
    </row>
    <row r="197" spans="2:19" s="62" customFormat="1" outlineLevel="1" x14ac:dyDescent="0.25">
      <c r="B197" s="53"/>
      <c r="C197" s="54">
        <v>189</v>
      </c>
      <c r="D197" s="54" t="s">
        <v>618</v>
      </c>
      <c r="E197" s="55" t="s">
        <v>1259</v>
      </c>
      <c r="F197" s="53" t="s">
        <v>619</v>
      </c>
      <c r="G197" s="63">
        <v>8</v>
      </c>
      <c r="H197" s="57" t="s">
        <v>61</v>
      </c>
      <c r="I197" s="54" t="s">
        <v>620</v>
      </c>
      <c r="J197" s="54" t="s">
        <v>621</v>
      </c>
      <c r="K197" s="54" t="s">
        <v>622</v>
      </c>
      <c r="L197" s="54" t="s">
        <v>623</v>
      </c>
      <c r="M197" s="54" t="s">
        <v>624</v>
      </c>
      <c r="N197" s="54" t="s">
        <v>625</v>
      </c>
      <c r="O197" s="59">
        <v>46160</v>
      </c>
      <c r="P197" s="57"/>
      <c r="Q197" s="57"/>
      <c r="R197" s="61" t="s">
        <v>31</v>
      </c>
      <c r="S197" s="78"/>
    </row>
    <row r="198" spans="2:19" s="62" customFormat="1" ht="36" customHeight="1" outlineLevel="1" x14ac:dyDescent="0.25">
      <c r="B198" s="53"/>
      <c r="C198" s="54" t="s">
        <v>1260</v>
      </c>
      <c r="D198" s="54" t="s">
        <v>554</v>
      </c>
      <c r="E198" s="55" t="s">
        <v>1259</v>
      </c>
      <c r="F198" s="53" t="s">
        <v>555</v>
      </c>
      <c r="G198" s="63">
        <v>10</v>
      </c>
      <c r="H198" s="57" t="s">
        <v>61</v>
      </c>
      <c r="I198" s="54" t="s">
        <v>1261</v>
      </c>
      <c r="J198" s="54" t="s">
        <v>1262</v>
      </c>
      <c r="K198" s="54" t="s">
        <v>1263</v>
      </c>
      <c r="L198" s="54" t="s">
        <v>559</v>
      </c>
      <c r="M198" s="54" t="s">
        <v>1264</v>
      </c>
      <c r="N198" s="54" t="s">
        <v>561</v>
      </c>
      <c r="O198" s="74">
        <v>46125</v>
      </c>
      <c r="P198" s="57"/>
      <c r="Q198" s="57"/>
      <c r="R198" s="61" t="s">
        <v>31</v>
      </c>
      <c r="S198" s="78"/>
    </row>
    <row r="199" spans="2:19" s="62" customFormat="1" outlineLevel="1" x14ac:dyDescent="0.25">
      <c r="B199" s="53"/>
      <c r="C199" s="54">
        <v>191</v>
      </c>
      <c r="D199" s="54" t="s">
        <v>142</v>
      </c>
      <c r="E199" s="55" t="s">
        <v>1259</v>
      </c>
      <c r="F199" s="53" t="s">
        <v>143</v>
      </c>
      <c r="G199" s="63">
        <v>1</v>
      </c>
      <c r="H199" s="57" t="s">
        <v>61</v>
      </c>
      <c r="I199" s="54" t="s">
        <v>144</v>
      </c>
      <c r="J199" s="54" t="s">
        <v>145</v>
      </c>
      <c r="K199" s="54" t="s">
        <v>146</v>
      </c>
      <c r="L199" s="54" t="s">
        <v>147</v>
      </c>
      <c r="M199" s="54" t="s">
        <v>148</v>
      </c>
      <c r="N199" s="54" t="s">
        <v>149</v>
      </c>
      <c r="O199" s="59">
        <v>46160</v>
      </c>
      <c r="P199" s="57"/>
      <c r="Q199" s="57"/>
      <c r="R199" s="61" t="s">
        <v>31</v>
      </c>
      <c r="S199" s="78"/>
    </row>
    <row r="200" spans="2:19" s="62" customFormat="1" outlineLevel="1" x14ac:dyDescent="0.25">
      <c r="B200" s="53"/>
      <c r="C200" s="54">
        <v>192</v>
      </c>
      <c r="D200" s="54" t="s">
        <v>536</v>
      </c>
      <c r="E200" s="55" t="s">
        <v>1259</v>
      </c>
      <c r="F200" s="53" t="s">
        <v>537</v>
      </c>
      <c r="G200" s="63">
        <v>1</v>
      </c>
      <c r="H200" s="57" t="s">
        <v>111</v>
      </c>
      <c r="I200" s="54" t="s">
        <v>538</v>
      </c>
      <c r="J200" s="54" t="s">
        <v>539</v>
      </c>
      <c r="K200" s="54" t="s">
        <v>540</v>
      </c>
      <c r="L200" s="54" t="s">
        <v>541</v>
      </c>
      <c r="M200" s="54" t="s">
        <v>541</v>
      </c>
      <c r="N200" s="54" t="s">
        <v>542</v>
      </c>
      <c r="O200" s="59">
        <v>46160</v>
      </c>
      <c r="P200" s="57"/>
      <c r="Q200" s="57"/>
      <c r="R200" s="61" t="s">
        <v>31</v>
      </c>
      <c r="S200" s="78"/>
    </row>
    <row r="201" spans="2:19" s="62" customFormat="1" outlineLevel="1" x14ac:dyDescent="0.25">
      <c r="B201" s="53"/>
      <c r="C201" s="54">
        <v>193</v>
      </c>
      <c r="D201" s="54" t="s">
        <v>150</v>
      </c>
      <c r="E201" s="55" t="s">
        <v>1259</v>
      </c>
      <c r="F201" s="53" t="s">
        <v>151</v>
      </c>
      <c r="G201" s="63">
        <v>2</v>
      </c>
      <c r="H201" s="57" t="s">
        <v>152</v>
      </c>
      <c r="I201" s="54" t="s">
        <v>153</v>
      </c>
      <c r="J201" s="54" t="s">
        <v>154</v>
      </c>
      <c r="K201" s="54" t="s">
        <v>155</v>
      </c>
      <c r="L201" s="54" t="s">
        <v>156</v>
      </c>
      <c r="M201" s="54" t="s">
        <v>1172</v>
      </c>
      <c r="N201" s="54" t="s">
        <v>158</v>
      </c>
      <c r="O201" s="59">
        <v>46160</v>
      </c>
      <c r="P201" s="57"/>
      <c r="Q201" s="57"/>
      <c r="R201" s="61" t="s">
        <v>31</v>
      </c>
      <c r="S201" s="78"/>
    </row>
    <row r="202" spans="2:19" s="62" customFormat="1" outlineLevel="1" x14ac:dyDescent="0.25">
      <c r="B202" s="53"/>
      <c r="C202" s="54">
        <v>194</v>
      </c>
      <c r="D202" s="54" t="s">
        <v>159</v>
      </c>
      <c r="E202" s="55" t="s">
        <v>1259</v>
      </c>
      <c r="F202" s="53" t="s">
        <v>160</v>
      </c>
      <c r="G202" s="63">
        <v>1</v>
      </c>
      <c r="H202" s="57" t="s">
        <v>61</v>
      </c>
      <c r="I202" s="54" t="s">
        <v>161</v>
      </c>
      <c r="J202" s="54" t="s">
        <v>162</v>
      </c>
      <c r="K202" s="54" t="s">
        <v>163</v>
      </c>
      <c r="L202" s="54" t="s">
        <v>164</v>
      </c>
      <c r="M202" s="54" t="s">
        <v>164</v>
      </c>
      <c r="N202" s="54" t="s">
        <v>165</v>
      </c>
      <c r="O202" s="74">
        <v>46125</v>
      </c>
      <c r="P202" s="57"/>
      <c r="Q202" s="57"/>
      <c r="R202" s="61" t="s">
        <v>31</v>
      </c>
      <c r="S202" s="78"/>
    </row>
    <row r="203" spans="2:19" s="62" customFormat="1" outlineLevel="1" x14ac:dyDescent="0.25">
      <c r="B203" s="53"/>
      <c r="C203" s="54">
        <v>195</v>
      </c>
      <c r="D203" s="54" t="s">
        <v>166</v>
      </c>
      <c r="E203" s="55" t="s">
        <v>1259</v>
      </c>
      <c r="F203" s="53" t="s">
        <v>167</v>
      </c>
      <c r="G203" s="63">
        <v>1</v>
      </c>
      <c r="H203" s="57" t="s">
        <v>61</v>
      </c>
      <c r="I203" s="54" t="s">
        <v>168</v>
      </c>
      <c r="J203" s="54" t="s">
        <v>169</v>
      </c>
      <c r="K203" s="54" t="s">
        <v>170</v>
      </c>
      <c r="L203" s="54" t="s">
        <v>171</v>
      </c>
      <c r="M203" s="54" t="s">
        <v>172</v>
      </c>
      <c r="N203" s="54" t="s">
        <v>173</v>
      </c>
      <c r="O203" s="59">
        <v>46160</v>
      </c>
      <c r="P203" s="57"/>
      <c r="Q203" s="57"/>
      <c r="R203" s="61" t="s">
        <v>31</v>
      </c>
      <c r="S203" s="78"/>
    </row>
    <row r="204" spans="2:19" s="62" customFormat="1" outlineLevel="1" x14ac:dyDescent="0.25">
      <c r="B204" s="53"/>
      <c r="C204" s="54">
        <v>196</v>
      </c>
      <c r="D204" s="54" t="s">
        <v>667</v>
      </c>
      <c r="E204" s="55" t="s">
        <v>1259</v>
      </c>
      <c r="F204" s="53" t="s">
        <v>668</v>
      </c>
      <c r="G204" s="63">
        <v>3</v>
      </c>
      <c r="H204" s="57" t="s">
        <v>61</v>
      </c>
      <c r="I204" s="54" t="s">
        <v>669</v>
      </c>
      <c r="J204" s="54" t="s">
        <v>670</v>
      </c>
      <c r="K204" s="68" t="s">
        <v>671</v>
      </c>
      <c r="L204" s="54" t="s">
        <v>672</v>
      </c>
      <c r="M204" s="54" t="s">
        <v>672</v>
      </c>
      <c r="N204" s="54" t="s">
        <v>673</v>
      </c>
      <c r="O204" s="59">
        <v>46160</v>
      </c>
      <c r="P204" s="57"/>
      <c r="Q204" s="57"/>
      <c r="R204" s="61" t="s">
        <v>31</v>
      </c>
      <c r="S204" s="78"/>
    </row>
    <row r="205" spans="2:19" s="62" customFormat="1" ht="108" customHeight="1" outlineLevel="1" x14ac:dyDescent="0.25">
      <c r="B205" s="53"/>
      <c r="C205" s="54" t="s">
        <v>1275</v>
      </c>
      <c r="D205" s="54" t="s">
        <v>190</v>
      </c>
      <c r="E205" s="55" t="s">
        <v>1259</v>
      </c>
      <c r="F205" s="53" t="s">
        <v>191</v>
      </c>
      <c r="G205" s="63">
        <v>18</v>
      </c>
      <c r="H205" s="57" t="s">
        <v>24</v>
      </c>
      <c r="I205" s="54" t="s">
        <v>1276</v>
      </c>
      <c r="J205" s="54" t="s">
        <v>1277</v>
      </c>
      <c r="K205" s="54" t="s">
        <v>1278</v>
      </c>
      <c r="L205" s="54" t="s">
        <v>195</v>
      </c>
      <c r="M205" s="54" t="s">
        <v>1279</v>
      </c>
      <c r="N205" s="54" t="s">
        <v>197</v>
      </c>
      <c r="O205" s="74">
        <v>46125</v>
      </c>
      <c r="P205" s="57"/>
      <c r="Q205" s="57"/>
      <c r="R205" s="61" t="s">
        <v>31</v>
      </c>
      <c r="S205" s="78"/>
    </row>
    <row r="206" spans="2:19" s="62" customFormat="1" outlineLevel="1" x14ac:dyDescent="0.25">
      <c r="B206" s="53"/>
      <c r="C206" s="54">
        <v>198</v>
      </c>
      <c r="D206" s="54" t="s">
        <v>198</v>
      </c>
      <c r="E206" s="55" t="s">
        <v>1259</v>
      </c>
      <c r="F206" s="53" t="s">
        <v>199</v>
      </c>
      <c r="G206" s="63">
        <v>1</v>
      </c>
      <c r="H206" s="57" t="s">
        <v>200</v>
      </c>
      <c r="I206" s="54" t="s">
        <v>201</v>
      </c>
      <c r="J206" s="54" t="s">
        <v>202</v>
      </c>
      <c r="K206" s="54" t="s">
        <v>203</v>
      </c>
      <c r="L206" s="54" t="s">
        <v>204</v>
      </c>
      <c r="M206" s="54" t="s">
        <v>1197</v>
      </c>
      <c r="N206" s="54" t="s">
        <v>206</v>
      </c>
      <c r="O206" s="59">
        <v>46160</v>
      </c>
      <c r="P206" s="57"/>
      <c r="Q206" s="57"/>
      <c r="R206" s="61" t="s">
        <v>31</v>
      </c>
      <c r="S206" s="78"/>
    </row>
    <row r="207" spans="2:19" s="62" customFormat="1" outlineLevel="1" x14ac:dyDescent="0.25">
      <c r="B207" s="53"/>
      <c r="C207" s="54">
        <v>199</v>
      </c>
      <c r="D207" s="54" t="s">
        <v>215</v>
      </c>
      <c r="E207" s="55" t="s">
        <v>1259</v>
      </c>
      <c r="F207" s="53" t="s">
        <v>216</v>
      </c>
      <c r="G207" s="63">
        <v>9</v>
      </c>
      <c r="H207" s="57" t="s">
        <v>24</v>
      </c>
      <c r="I207" s="54" t="s">
        <v>217</v>
      </c>
      <c r="J207" s="54" t="s">
        <v>218</v>
      </c>
      <c r="K207" s="54" t="s">
        <v>219</v>
      </c>
      <c r="L207" s="54" t="s">
        <v>220</v>
      </c>
      <c r="M207" s="54" t="s">
        <v>221</v>
      </c>
      <c r="N207" s="54" t="s">
        <v>222</v>
      </c>
      <c r="O207" s="59">
        <v>46160</v>
      </c>
      <c r="P207" s="57"/>
      <c r="Q207" s="57"/>
      <c r="R207" s="61" t="s">
        <v>31</v>
      </c>
      <c r="S207" s="78"/>
    </row>
    <row r="208" spans="2:19" s="62" customFormat="1" outlineLevel="1" x14ac:dyDescent="0.25">
      <c r="B208" s="53"/>
      <c r="C208" s="54">
        <v>200</v>
      </c>
      <c r="D208" s="54" t="s">
        <v>223</v>
      </c>
      <c r="E208" s="55" t="s">
        <v>1259</v>
      </c>
      <c r="F208" s="53" t="s">
        <v>224</v>
      </c>
      <c r="G208" s="63">
        <v>2</v>
      </c>
      <c r="H208" s="57" t="s">
        <v>61</v>
      </c>
      <c r="I208" s="54" t="s">
        <v>225</v>
      </c>
      <c r="J208" s="54" t="s">
        <v>226</v>
      </c>
      <c r="K208" s="54" t="s">
        <v>227</v>
      </c>
      <c r="L208" s="54" t="s">
        <v>228</v>
      </c>
      <c r="M208" s="54" t="s">
        <v>229</v>
      </c>
      <c r="N208" s="54" t="s">
        <v>230</v>
      </c>
      <c r="O208" s="59">
        <v>46160</v>
      </c>
      <c r="P208" s="57"/>
      <c r="Q208" s="57"/>
      <c r="R208" s="61" t="s">
        <v>31</v>
      </c>
      <c r="S208" s="78"/>
    </row>
    <row r="209" spans="2:19" s="62" customFormat="1" ht="36" customHeight="1" outlineLevel="1" x14ac:dyDescent="0.25">
      <c r="B209" s="53"/>
      <c r="C209" s="54" t="s">
        <v>1432</v>
      </c>
      <c r="D209" s="54" t="s">
        <v>231</v>
      </c>
      <c r="E209" s="55" t="s">
        <v>1259</v>
      </c>
      <c r="F209" s="53" t="s">
        <v>232</v>
      </c>
      <c r="G209" s="63">
        <v>5</v>
      </c>
      <c r="H209" s="57" t="s">
        <v>61</v>
      </c>
      <c r="I209" s="54" t="s">
        <v>702</v>
      </c>
      <c r="J209" s="54" t="s">
        <v>703</v>
      </c>
      <c r="K209" s="54" t="s">
        <v>704</v>
      </c>
      <c r="L209" s="54" t="s">
        <v>236</v>
      </c>
      <c r="M209" s="54" t="s">
        <v>1214</v>
      </c>
      <c r="N209" s="54" t="s">
        <v>238</v>
      </c>
      <c r="O209" s="59">
        <v>46160</v>
      </c>
      <c r="P209" s="57"/>
      <c r="Q209" s="57"/>
      <c r="R209" s="61" t="s">
        <v>31</v>
      </c>
      <c r="S209" s="78"/>
    </row>
    <row r="210" spans="2:19" s="62" customFormat="1" ht="36" customHeight="1" outlineLevel="1" x14ac:dyDescent="0.25">
      <c r="B210" s="53"/>
      <c r="C210" s="54" t="s">
        <v>1433</v>
      </c>
      <c r="D210" s="54" t="s">
        <v>795</v>
      </c>
      <c r="E210" s="55" t="s">
        <v>1259</v>
      </c>
      <c r="F210" s="53" t="s">
        <v>796</v>
      </c>
      <c r="G210" s="63">
        <v>16</v>
      </c>
      <c r="H210" s="57" t="s">
        <v>61</v>
      </c>
      <c r="I210" s="54" t="s">
        <v>797</v>
      </c>
      <c r="J210" s="54" t="s">
        <v>798</v>
      </c>
      <c r="K210" s="65" t="s">
        <v>799</v>
      </c>
      <c r="L210" s="54" t="s">
        <v>236</v>
      </c>
      <c r="M210" s="54" t="s">
        <v>1217</v>
      </c>
      <c r="N210" s="54" t="s">
        <v>801</v>
      </c>
      <c r="O210" s="59">
        <v>46160</v>
      </c>
      <c r="P210" s="57"/>
      <c r="Q210" s="57"/>
      <c r="R210" s="61" t="s">
        <v>31</v>
      </c>
      <c r="S210" s="78"/>
    </row>
    <row r="211" spans="2:19" s="62" customFormat="1" outlineLevel="1" x14ac:dyDescent="0.25">
      <c r="B211" s="53"/>
      <c r="C211" s="54">
        <v>203</v>
      </c>
      <c r="D211" s="54" t="s">
        <v>239</v>
      </c>
      <c r="E211" s="55" t="s">
        <v>1259</v>
      </c>
      <c r="F211" s="53" t="s">
        <v>240</v>
      </c>
      <c r="G211" s="63">
        <v>1</v>
      </c>
      <c r="H211" s="57" t="s">
        <v>24</v>
      </c>
      <c r="I211" s="54" t="s">
        <v>241</v>
      </c>
      <c r="J211" s="54" t="s">
        <v>242</v>
      </c>
      <c r="K211" s="54" t="s">
        <v>243</v>
      </c>
      <c r="L211" s="54" t="s">
        <v>244</v>
      </c>
      <c r="M211" s="54" t="s">
        <v>244</v>
      </c>
      <c r="N211" s="54" t="s">
        <v>246</v>
      </c>
      <c r="O211" s="59">
        <v>46160</v>
      </c>
      <c r="P211" s="57"/>
      <c r="Q211" s="57"/>
      <c r="R211" s="61" t="s">
        <v>31</v>
      </c>
      <c r="S211" s="78"/>
    </row>
    <row r="212" spans="2:19" s="62" customFormat="1" ht="30" customHeight="1" outlineLevel="1" x14ac:dyDescent="0.25">
      <c r="B212" s="53"/>
      <c r="C212" s="54">
        <v>204</v>
      </c>
      <c r="D212" s="54" t="s">
        <v>247</v>
      </c>
      <c r="E212" s="55" t="s">
        <v>1259</v>
      </c>
      <c r="F212" s="53" t="s">
        <v>248</v>
      </c>
      <c r="G212" s="63">
        <v>2</v>
      </c>
      <c r="H212" s="57" t="s">
        <v>61</v>
      </c>
      <c r="I212" s="54" t="s">
        <v>249</v>
      </c>
      <c r="J212" s="54" t="s">
        <v>250</v>
      </c>
      <c r="K212" s="54" t="s">
        <v>251</v>
      </c>
      <c r="L212" s="54" t="s">
        <v>252</v>
      </c>
      <c r="M212" s="54" t="s">
        <v>535</v>
      </c>
      <c r="N212" s="54" t="s">
        <v>254</v>
      </c>
      <c r="O212" s="59">
        <v>46160</v>
      </c>
      <c r="P212" s="57"/>
      <c r="Q212" s="57"/>
      <c r="R212" s="61" t="s">
        <v>31</v>
      </c>
      <c r="S212" s="78"/>
    </row>
    <row r="213" spans="2:19" s="62" customFormat="1" ht="36" customHeight="1" outlineLevel="1" x14ac:dyDescent="0.25">
      <c r="B213" s="53"/>
      <c r="C213" s="54" t="s">
        <v>1285</v>
      </c>
      <c r="D213" s="54" t="s">
        <v>255</v>
      </c>
      <c r="E213" s="55" t="s">
        <v>1259</v>
      </c>
      <c r="F213" s="53" t="s">
        <v>256</v>
      </c>
      <c r="G213" s="63">
        <v>3</v>
      </c>
      <c r="H213" s="57" t="s">
        <v>61</v>
      </c>
      <c r="I213" s="54" t="s">
        <v>1286</v>
      </c>
      <c r="J213" s="54" t="s">
        <v>1287</v>
      </c>
      <c r="K213" s="54" t="s">
        <v>1288</v>
      </c>
      <c r="L213" s="54" t="s">
        <v>260</v>
      </c>
      <c r="M213" s="54" t="s">
        <v>1289</v>
      </c>
      <c r="N213" s="54" t="s">
        <v>262</v>
      </c>
      <c r="O213" s="74">
        <v>46125</v>
      </c>
      <c r="P213" s="57"/>
      <c r="Q213" s="57"/>
      <c r="R213" s="61" t="s">
        <v>31</v>
      </c>
      <c r="S213" s="78"/>
    </row>
    <row r="214" spans="2:19" s="62" customFormat="1" outlineLevel="1" x14ac:dyDescent="0.25">
      <c r="B214" s="53"/>
      <c r="C214" s="54">
        <v>206</v>
      </c>
      <c r="D214" s="54" t="s">
        <v>651</v>
      </c>
      <c r="E214" s="55" t="s">
        <v>1259</v>
      </c>
      <c r="F214" s="53" t="s">
        <v>652</v>
      </c>
      <c r="G214" s="63">
        <v>3</v>
      </c>
      <c r="H214" s="57" t="s">
        <v>111</v>
      </c>
      <c r="I214" s="54" t="s">
        <v>653</v>
      </c>
      <c r="J214" s="54" t="s">
        <v>654</v>
      </c>
      <c r="K214" s="54" t="s">
        <v>655</v>
      </c>
      <c r="L214" s="54" t="s">
        <v>656</v>
      </c>
      <c r="M214" s="54" t="s">
        <v>657</v>
      </c>
      <c r="N214" s="54" t="s">
        <v>658</v>
      </c>
      <c r="O214" s="74">
        <v>46125</v>
      </c>
      <c r="P214" s="57"/>
      <c r="Q214" s="57"/>
      <c r="R214" s="61" t="s">
        <v>31</v>
      </c>
      <c r="S214" s="78"/>
    </row>
    <row r="215" spans="2:19" s="62" customFormat="1" outlineLevel="1" x14ac:dyDescent="0.25">
      <c r="B215" s="53"/>
      <c r="C215" s="54">
        <v>207</v>
      </c>
      <c r="D215" s="54" t="s">
        <v>270</v>
      </c>
      <c r="E215" s="55" t="s">
        <v>1259</v>
      </c>
      <c r="F215" s="53" t="s">
        <v>271</v>
      </c>
      <c r="G215" s="63">
        <v>1</v>
      </c>
      <c r="H215" s="57" t="s">
        <v>61</v>
      </c>
      <c r="I215" s="54" t="s">
        <v>272</v>
      </c>
      <c r="J215" s="54" t="s">
        <v>273</v>
      </c>
      <c r="K215" s="54" t="s">
        <v>274</v>
      </c>
      <c r="L215" s="54" t="s">
        <v>792</v>
      </c>
      <c r="M215" s="54" t="s">
        <v>792</v>
      </c>
      <c r="N215" s="54" t="s">
        <v>277</v>
      </c>
      <c r="O215" s="74">
        <v>46125</v>
      </c>
      <c r="P215" s="57"/>
      <c r="Q215" s="57"/>
      <c r="R215" s="61" t="s">
        <v>31</v>
      </c>
      <c r="S215" s="78"/>
    </row>
    <row r="216" spans="2:19" s="62" customFormat="1" outlineLevel="1" x14ac:dyDescent="0.25">
      <c r="B216" s="53"/>
      <c r="C216" s="54">
        <v>208</v>
      </c>
      <c r="D216" s="54" t="s">
        <v>706</v>
      </c>
      <c r="E216" s="55" t="s">
        <v>1259</v>
      </c>
      <c r="F216" s="53" t="s">
        <v>707</v>
      </c>
      <c r="G216" s="63">
        <v>5</v>
      </c>
      <c r="H216" s="57" t="s">
        <v>111</v>
      </c>
      <c r="I216" s="54" t="s">
        <v>708</v>
      </c>
      <c r="J216" s="54" t="s">
        <v>709</v>
      </c>
      <c r="K216" s="54" t="s">
        <v>710</v>
      </c>
      <c r="L216" s="54" t="s">
        <v>711</v>
      </c>
      <c r="M216" s="54" t="s">
        <v>712</v>
      </c>
      <c r="N216" s="54" t="s">
        <v>713</v>
      </c>
      <c r="O216" s="59">
        <v>46160</v>
      </c>
      <c r="P216" s="57"/>
      <c r="Q216" s="57"/>
      <c r="R216" s="61" t="s">
        <v>31</v>
      </c>
      <c r="S216" s="78"/>
    </row>
    <row r="217" spans="2:19" s="62" customFormat="1" outlineLevel="1" x14ac:dyDescent="0.25">
      <c r="B217" s="53"/>
      <c r="C217" s="54">
        <v>209</v>
      </c>
      <c r="D217" s="54" t="s">
        <v>743</v>
      </c>
      <c r="E217" s="55" t="s">
        <v>1259</v>
      </c>
      <c r="F217" s="53" t="s">
        <v>744</v>
      </c>
      <c r="G217" s="63">
        <v>2</v>
      </c>
      <c r="H217" s="57" t="s">
        <v>745</v>
      </c>
      <c r="I217" s="54" t="s">
        <v>746</v>
      </c>
      <c r="J217" s="54" t="s">
        <v>747</v>
      </c>
      <c r="K217" s="54" t="s">
        <v>748</v>
      </c>
      <c r="L217" s="54" t="s">
        <v>749</v>
      </c>
      <c r="M217" s="54" t="s">
        <v>750</v>
      </c>
      <c r="N217" s="54" t="s">
        <v>751</v>
      </c>
      <c r="O217" s="59">
        <v>46160</v>
      </c>
      <c r="P217" s="57"/>
      <c r="Q217" s="57"/>
      <c r="R217" s="61" t="s">
        <v>31</v>
      </c>
      <c r="S217" s="78"/>
    </row>
    <row r="218" spans="2:19" s="62" customFormat="1" outlineLevel="1" x14ac:dyDescent="0.25">
      <c r="B218" s="53"/>
      <c r="C218" s="54">
        <v>210</v>
      </c>
      <c r="D218" s="54" t="s">
        <v>859</v>
      </c>
      <c r="E218" s="55" t="s">
        <v>1259</v>
      </c>
      <c r="F218" s="53" t="s">
        <v>860</v>
      </c>
      <c r="G218" s="63">
        <v>2</v>
      </c>
      <c r="H218" s="57" t="s">
        <v>861</v>
      </c>
      <c r="I218" s="54" t="s">
        <v>862</v>
      </c>
      <c r="J218" s="54" t="s">
        <v>863</v>
      </c>
      <c r="K218" s="54" t="s">
        <v>864</v>
      </c>
      <c r="L218" s="54" t="s">
        <v>865</v>
      </c>
      <c r="M218" s="54" t="s">
        <v>866</v>
      </c>
      <c r="N218" s="54" t="s">
        <v>867</v>
      </c>
      <c r="O218" s="59">
        <v>46160</v>
      </c>
      <c r="P218" s="57"/>
      <c r="Q218" s="57"/>
      <c r="R218" s="61" t="s">
        <v>31</v>
      </c>
      <c r="S218" s="78"/>
    </row>
    <row r="219" spans="2:19" s="62" customFormat="1" outlineLevel="1" x14ac:dyDescent="0.25">
      <c r="B219" s="53"/>
      <c r="C219" s="54">
        <v>211</v>
      </c>
      <c r="D219" s="54" t="s">
        <v>286</v>
      </c>
      <c r="E219" s="55" t="s">
        <v>1259</v>
      </c>
      <c r="F219" s="53" t="s">
        <v>287</v>
      </c>
      <c r="G219" s="63">
        <v>1</v>
      </c>
      <c r="H219" s="57" t="s">
        <v>61</v>
      </c>
      <c r="I219" s="54" t="s">
        <v>288</v>
      </c>
      <c r="J219" s="54" t="s">
        <v>289</v>
      </c>
      <c r="K219" s="54" t="s">
        <v>290</v>
      </c>
      <c r="L219" s="54" t="s">
        <v>291</v>
      </c>
      <c r="M219" s="54" t="s">
        <v>292</v>
      </c>
      <c r="N219" s="54" t="s">
        <v>293</v>
      </c>
      <c r="O219" s="59">
        <v>46160</v>
      </c>
      <c r="P219" s="57"/>
      <c r="Q219" s="57"/>
      <c r="R219" s="61" t="s">
        <v>31</v>
      </c>
      <c r="S219" s="78"/>
    </row>
    <row r="220" spans="2:19" s="62" customFormat="1" ht="36" customHeight="1" outlineLevel="1" x14ac:dyDescent="0.25">
      <c r="B220" s="53"/>
      <c r="C220" s="54" t="s">
        <v>1434</v>
      </c>
      <c r="D220" s="54" t="s">
        <v>294</v>
      </c>
      <c r="E220" s="55" t="s">
        <v>1259</v>
      </c>
      <c r="F220" s="53" t="s">
        <v>295</v>
      </c>
      <c r="G220" s="63">
        <v>9</v>
      </c>
      <c r="H220" s="57" t="s">
        <v>61</v>
      </c>
      <c r="I220" s="54" t="s">
        <v>908</v>
      </c>
      <c r="J220" s="54" t="s">
        <v>909</v>
      </c>
      <c r="K220" s="54" t="s">
        <v>910</v>
      </c>
      <c r="L220" s="54" t="s">
        <v>299</v>
      </c>
      <c r="M220" s="54" t="s">
        <v>1435</v>
      </c>
      <c r="N220" s="54" t="s">
        <v>301</v>
      </c>
      <c r="O220" s="59">
        <v>46160</v>
      </c>
      <c r="P220" s="57"/>
      <c r="Q220" s="57"/>
      <c r="R220" s="61" t="s">
        <v>31</v>
      </c>
      <c r="S220" s="78"/>
    </row>
    <row r="221" spans="2:19" s="62" customFormat="1" ht="36" customHeight="1" outlineLevel="1" x14ac:dyDescent="0.25">
      <c r="B221" s="53"/>
      <c r="C221" s="54">
        <v>213</v>
      </c>
      <c r="D221" s="54" t="s">
        <v>302</v>
      </c>
      <c r="E221" s="55" t="s">
        <v>1259</v>
      </c>
      <c r="F221" s="53" t="s">
        <v>303</v>
      </c>
      <c r="G221" s="63">
        <v>2</v>
      </c>
      <c r="H221" s="57" t="s">
        <v>61</v>
      </c>
      <c r="I221" s="54" t="s">
        <v>304</v>
      </c>
      <c r="J221" s="54" t="s">
        <v>305</v>
      </c>
      <c r="K221" s="54" t="s">
        <v>306</v>
      </c>
      <c r="L221" s="54" t="s">
        <v>307</v>
      </c>
      <c r="M221" s="54" t="s">
        <v>759</v>
      </c>
      <c r="N221" s="54" t="s">
        <v>309</v>
      </c>
      <c r="O221" s="59">
        <v>46160</v>
      </c>
      <c r="P221" s="57"/>
      <c r="Q221" s="57"/>
      <c r="R221" s="61" t="s">
        <v>31</v>
      </c>
      <c r="S221" s="78"/>
    </row>
    <row r="222" spans="2:19" s="62" customFormat="1" outlineLevel="1" x14ac:dyDescent="0.25">
      <c r="B222" s="53"/>
      <c r="C222" s="54">
        <v>214</v>
      </c>
      <c r="D222" s="54" t="s">
        <v>326</v>
      </c>
      <c r="E222" s="55" t="s">
        <v>1259</v>
      </c>
      <c r="F222" s="53" t="s">
        <v>327</v>
      </c>
      <c r="G222" s="63">
        <v>1</v>
      </c>
      <c r="H222" s="57" t="s">
        <v>152</v>
      </c>
      <c r="I222" s="54" t="s">
        <v>328</v>
      </c>
      <c r="J222" s="54" t="s">
        <v>329</v>
      </c>
      <c r="K222" s="54" t="s">
        <v>330</v>
      </c>
      <c r="L222" s="54" t="s">
        <v>331</v>
      </c>
      <c r="M222" s="54" t="s">
        <v>332</v>
      </c>
      <c r="N222" s="54" t="s">
        <v>333</v>
      </c>
      <c r="O222" s="74">
        <v>46125</v>
      </c>
      <c r="P222" s="57"/>
      <c r="Q222" s="57"/>
      <c r="R222" s="61" t="s">
        <v>31</v>
      </c>
      <c r="S222" s="78"/>
    </row>
    <row r="223" spans="2:19" s="62" customFormat="1" ht="30" customHeight="1" outlineLevel="1" x14ac:dyDescent="0.25">
      <c r="B223" s="53"/>
      <c r="C223" s="54">
        <v>215</v>
      </c>
      <c r="D223" s="54" t="s">
        <v>334</v>
      </c>
      <c r="E223" s="55" t="s">
        <v>1259</v>
      </c>
      <c r="F223" s="53" t="s">
        <v>335</v>
      </c>
      <c r="G223" s="63">
        <v>1</v>
      </c>
      <c r="H223" s="57" t="s">
        <v>61</v>
      </c>
      <c r="I223" s="54" t="s">
        <v>336</v>
      </c>
      <c r="J223" s="54" t="s">
        <v>337</v>
      </c>
      <c r="K223" s="54" t="s">
        <v>338</v>
      </c>
      <c r="L223" s="54" t="s">
        <v>339</v>
      </c>
      <c r="M223" s="54" t="s">
        <v>340</v>
      </c>
      <c r="N223" s="54" t="s">
        <v>341</v>
      </c>
      <c r="O223" s="59">
        <v>46160</v>
      </c>
      <c r="P223" s="57"/>
      <c r="Q223" s="57"/>
      <c r="R223" s="61" t="s">
        <v>31</v>
      </c>
      <c r="S223" s="78"/>
    </row>
    <row r="224" spans="2:19" s="62" customFormat="1" ht="36" customHeight="1" outlineLevel="1" x14ac:dyDescent="0.25">
      <c r="B224" s="53"/>
      <c r="C224" s="54" t="s">
        <v>1436</v>
      </c>
      <c r="D224" s="54" t="s">
        <v>342</v>
      </c>
      <c r="E224" s="55" t="s">
        <v>1259</v>
      </c>
      <c r="F224" s="53" t="s">
        <v>343</v>
      </c>
      <c r="G224" s="63">
        <v>4</v>
      </c>
      <c r="H224" s="57" t="s">
        <v>24</v>
      </c>
      <c r="I224" s="54" t="s">
        <v>344</v>
      </c>
      <c r="J224" s="54" t="s">
        <v>345</v>
      </c>
      <c r="K224" s="54" t="s">
        <v>346</v>
      </c>
      <c r="L224" s="54" t="s">
        <v>1437</v>
      </c>
      <c r="M224" s="54" t="s">
        <v>1406</v>
      </c>
      <c r="N224" s="54" t="s">
        <v>349</v>
      </c>
      <c r="O224" s="59">
        <v>46160</v>
      </c>
      <c r="P224" s="57"/>
      <c r="Q224" s="57"/>
      <c r="R224" s="61" t="s">
        <v>31</v>
      </c>
      <c r="S224" s="78"/>
    </row>
    <row r="225" spans="2:19" s="62" customFormat="1" ht="30" customHeight="1" outlineLevel="1" x14ac:dyDescent="0.25">
      <c r="B225" s="53"/>
      <c r="C225" s="54" t="s">
        <v>873</v>
      </c>
      <c r="D225" s="54" t="s">
        <v>802</v>
      </c>
      <c r="E225" s="55" t="s">
        <v>1259</v>
      </c>
      <c r="F225" s="53" t="s">
        <v>803</v>
      </c>
      <c r="G225" s="63">
        <v>20</v>
      </c>
      <c r="H225" s="57" t="s">
        <v>804</v>
      </c>
      <c r="I225" s="54" t="s">
        <v>874</v>
      </c>
      <c r="J225" s="54" t="s">
        <v>875</v>
      </c>
      <c r="K225" s="54" t="s">
        <v>876</v>
      </c>
      <c r="L225" s="54" t="s">
        <v>808</v>
      </c>
      <c r="M225" s="54" t="s">
        <v>1438</v>
      </c>
      <c r="N225" s="54" t="s">
        <v>810</v>
      </c>
      <c r="O225" s="59">
        <v>46160</v>
      </c>
      <c r="P225" s="57"/>
      <c r="Q225" s="57"/>
      <c r="R225" s="61" t="s">
        <v>31</v>
      </c>
      <c r="S225" s="78"/>
    </row>
    <row r="226" spans="2:19" s="62" customFormat="1" outlineLevel="1" x14ac:dyDescent="0.25">
      <c r="B226" s="53"/>
      <c r="C226" s="54">
        <v>218</v>
      </c>
      <c r="D226" s="54" t="s">
        <v>357</v>
      </c>
      <c r="E226" s="55" t="s">
        <v>1259</v>
      </c>
      <c r="F226" s="53" t="s">
        <v>358</v>
      </c>
      <c r="G226" s="63">
        <v>1</v>
      </c>
      <c r="H226" s="57" t="s">
        <v>359</v>
      </c>
      <c r="I226" s="54" t="s">
        <v>360</v>
      </c>
      <c r="J226" s="54" t="s">
        <v>361</v>
      </c>
      <c r="K226" s="54" t="s">
        <v>362</v>
      </c>
      <c r="L226" s="54" t="s">
        <v>363</v>
      </c>
      <c r="M226" s="54" t="s">
        <v>364</v>
      </c>
      <c r="N226" s="54" t="s">
        <v>365</v>
      </c>
      <c r="O226" s="59">
        <v>46160</v>
      </c>
      <c r="P226" s="57"/>
      <c r="Q226" s="57"/>
      <c r="R226" s="61" t="s">
        <v>31</v>
      </c>
      <c r="S226" s="78"/>
    </row>
    <row r="227" spans="2:19" s="62" customFormat="1" ht="72" customHeight="1" outlineLevel="1" x14ac:dyDescent="0.25">
      <c r="B227" s="53"/>
      <c r="C227" s="54" t="s">
        <v>1439</v>
      </c>
      <c r="D227" s="54" t="s">
        <v>366</v>
      </c>
      <c r="E227" s="55" t="s">
        <v>1259</v>
      </c>
      <c r="F227" s="53" t="s">
        <v>367</v>
      </c>
      <c r="G227" s="63">
        <v>15</v>
      </c>
      <c r="H227" s="57" t="s">
        <v>368</v>
      </c>
      <c r="I227" s="54" t="s">
        <v>369</v>
      </c>
      <c r="J227" s="54" t="s">
        <v>370</v>
      </c>
      <c r="K227" s="54" t="s">
        <v>371</v>
      </c>
      <c r="L227" s="54" t="s">
        <v>372</v>
      </c>
      <c r="M227" s="54" t="s">
        <v>1190</v>
      </c>
      <c r="N227" s="54" t="s">
        <v>374</v>
      </c>
      <c r="O227" s="59">
        <v>46160</v>
      </c>
      <c r="P227" s="57"/>
      <c r="Q227" s="57"/>
      <c r="R227" s="61" t="s">
        <v>31</v>
      </c>
      <c r="S227" s="78"/>
    </row>
    <row r="228" spans="2:19" s="62" customFormat="1" outlineLevel="1" x14ac:dyDescent="0.25">
      <c r="B228" s="53"/>
      <c r="C228" s="54">
        <v>220</v>
      </c>
      <c r="D228" s="54" t="s">
        <v>734</v>
      </c>
      <c r="E228" s="55" t="s">
        <v>1259</v>
      </c>
      <c r="F228" s="53" t="s">
        <v>735</v>
      </c>
      <c r="G228" s="63">
        <v>3</v>
      </c>
      <c r="H228" s="57" t="s">
        <v>736</v>
      </c>
      <c r="I228" s="54" t="s">
        <v>737</v>
      </c>
      <c r="J228" s="54" t="s">
        <v>738</v>
      </c>
      <c r="K228" s="54" t="s">
        <v>739</v>
      </c>
      <c r="L228" s="54" t="s">
        <v>740</v>
      </c>
      <c r="M228" s="54" t="s">
        <v>741</v>
      </c>
      <c r="N228" s="54" t="s">
        <v>742</v>
      </c>
      <c r="O228" s="74">
        <v>46125</v>
      </c>
      <c r="P228" s="57"/>
      <c r="Q228" s="57"/>
      <c r="R228" s="61" t="s">
        <v>31</v>
      </c>
      <c r="S228" s="78"/>
    </row>
    <row r="229" spans="2:19" s="62" customFormat="1" outlineLevel="1" x14ac:dyDescent="0.25">
      <c r="B229" s="53"/>
      <c r="C229" s="54">
        <v>221</v>
      </c>
      <c r="D229" s="54" t="s">
        <v>604</v>
      </c>
      <c r="E229" s="55" t="s">
        <v>1259</v>
      </c>
      <c r="F229" s="53" t="s">
        <v>605</v>
      </c>
      <c r="G229" s="63">
        <v>6</v>
      </c>
      <c r="H229" s="57" t="s">
        <v>61</v>
      </c>
      <c r="I229" s="54" t="s">
        <v>606</v>
      </c>
      <c r="J229" s="54" t="s">
        <v>607</v>
      </c>
      <c r="K229" s="54" t="s">
        <v>608</v>
      </c>
      <c r="L229" s="54" t="s">
        <v>252</v>
      </c>
      <c r="M229" s="54" t="s">
        <v>609</v>
      </c>
      <c r="N229" s="54" t="s">
        <v>610</v>
      </c>
      <c r="O229" s="74">
        <v>46125</v>
      </c>
      <c r="P229" s="57"/>
      <c r="Q229" s="57"/>
      <c r="R229" s="61" t="s">
        <v>31</v>
      </c>
      <c r="S229" s="78"/>
    </row>
    <row r="230" spans="2:19" s="62" customFormat="1" outlineLevel="1" x14ac:dyDescent="0.25">
      <c r="B230" s="53"/>
      <c r="C230" s="54">
        <v>222</v>
      </c>
      <c r="D230" s="54" t="s">
        <v>375</v>
      </c>
      <c r="E230" s="55" t="s">
        <v>1259</v>
      </c>
      <c r="F230" s="53" t="s">
        <v>376</v>
      </c>
      <c r="G230" s="63">
        <v>10</v>
      </c>
      <c r="H230" s="57" t="s">
        <v>111</v>
      </c>
      <c r="I230" s="54" t="s">
        <v>473</v>
      </c>
      <c r="J230" s="54" t="s">
        <v>878</v>
      </c>
      <c r="K230" s="54" t="s">
        <v>475</v>
      </c>
      <c r="L230" s="54" t="s">
        <v>380</v>
      </c>
      <c r="M230" s="54" t="s">
        <v>381</v>
      </c>
      <c r="N230" s="54" t="s">
        <v>382</v>
      </c>
      <c r="O230" s="59">
        <v>46160</v>
      </c>
      <c r="P230" s="57"/>
      <c r="Q230" s="57"/>
      <c r="R230" s="61" t="s">
        <v>31</v>
      </c>
      <c r="S230" s="78"/>
    </row>
    <row r="231" spans="2:19" s="62" customFormat="1" outlineLevel="1" x14ac:dyDescent="0.25">
      <c r="B231" s="53"/>
      <c r="C231" s="54">
        <v>223</v>
      </c>
      <c r="D231" s="54" t="s">
        <v>383</v>
      </c>
      <c r="E231" s="55" t="s">
        <v>1259</v>
      </c>
      <c r="F231" s="53" t="s">
        <v>384</v>
      </c>
      <c r="G231" s="63">
        <v>1</v>
      </c>
      <c r="H231" s="57" t="s">
        <v>61</v>
      </c>
      <c r="I231" s="54" t="s">
        <v>385</v>
      </c>
      <c r="J231" s="54" t="s">
        <v>386</v>
      </c>
      <c r="K231" s="54" t="s">
        <v>387</v>
      </c>
      <c r="L231" s="54" t="s">
        <v>388</v>
      </c>
      <c r="M231" s="54" t="s">
        <v>389</v>
      </c>
      <c r="N231" s="54" t="s">
        <v>390</v>
      </c>
      <c r="O231" s="59">
        <v>46160</v>
      </c>
      <c r="P231" s="57"/>
      <c r="Q231" s="57"/>
      <c r="R231" s="61" t="s">
        <v>31</v>
      </c>
      <c r="S231" s="78"/>
    </row>
    <row r="232" spans="2:19" s="62" customFormat="1" ht="36" customHeight="1" outlineLevel="1" x14ac:dyDescent="0.25">
      <c r="B232" s="53"/>
      <c r="C232" s="54">
        <v>224</v>
      </c>
      <c r="D232" s="54" t="s">
        <v>399</v>
      </c>
      <c r="E232" s="55" t="s">
        <v>1259</v>
      </c>
      <c r="F232" s="53" t="s">
        <v>400</v>
      </c>
      <c r="G232" s="63">
        <v>1</v>
      </c>
      <c r="H232" s="57" t="s">
        <v>152</v>
      </c>
      <c r="I232" s="54" t="s">
        <v>401</v>
      </c>
      <c r="J232" s="54" t="s">
        <v>402</v>
      </c>
      <c r="K232" s="54" t="s">
        <v>403</v>
      </c>
      <c r="L232" s="54" t="s">
        <v>404</v>
      </c>
      <c r="M232" s="54" t="s">
        <v>791</v>
      </c>
      <c r="N232" s="54" t="s">
        <v>406</v>
      </c>
      <c r="O232" s="59">
        <v>46160</v>
      </c>
      <c r="P232" s="57"/>
      <c r="Q232" s="57"/>
      <c r="R232" s="61" t="s">
        <v>31</v>
      </c>
      <c r="S232" s="78"/>
    </row>
    <row r="233" spans="2:19" s="62" customFormat="1" outlineLevel="1" x14ac:dyDescent="0.25">
      <c r="B233" s="53"/>
      <c r="C233" s="54">
        <v>225</v>
      </c>
      <c r="D233" s="54" t="s">
        <v>415</v>
      </c>
      <c r="E233" s="55" t="s">
        <v>1259</v>
      </c>
      <c r="F233" s="53" t="s">
        <v>416</v>
      </c>
      <c r="G233" s="63">
        <v>5</v>
      </c>
      <c r="H233" s="57" t="s">
        <v>417</v>
      </c>
      <c r="I233" s="54" t="s">
        <v>418</v>
      </c>
      <c r="J233" s="54" t="s">
        <v>419</v>
      </c>
      <c r="K233" s="54" t="s">
        <v>420</v>
      </c>
      <c r="L233" s="54" t="s">
        <v>421</v>
      </c>
      <c r="M233" s="54" t="s">
        <v>422</v>
      </c>
      <c r="N233" s="54" t="s">
        <v>423</v>
      </c>
      <c r="O233" s="59">
        <v>46160</v>
      </c>
      <c r="P233" s="57"/>
      <c r="Q233" s="57"/>
      <c r="R233" s="61" t="s">
        <v>31</v>
      </c>
      <c r="S233" s="78"/>
    </row>
    <row r="234" spans="2:19" s="62" customFormat="1" ht="30" customHeight="1" outlineLevel="1" x14ac:dyDescent="0.25">
      <c r="B234" s="53"/>
      <c r="C234" s="54" t="s">
        <v>1440</v>
      </c>
      <c r="D234" s="54" t="s">
        <v>431</v>
      </c>
      <c r="E234" s="55" t="s">
        <v>1259</v>
      </c>
      <c r="F234" s="53" t="s">
        <v>432</v>
      </c>
      <c r="G234" s="63">
        <v>5</v>
      </c>
      <c r="H234" s="57" t="s">
        <v>152</v>
      </c>
      <c r="I234" s="54" t="s">
        <v>1416</v>
      </c>
      <c r="J234" s="54" t="s">
        <v>1417</v>
      </c>
      <c r="K234" s="54" t="s">
        <v>1418</v>
      </c>
      <c r="L234" s="54" t="s">
        <v>436</v>
      </c>
      <c r="M234" s="54" t="s">
        <v>1441</v>
      </c>
      <c r="N234" s="54" t="s">
        <v>438</v>
      </c>
      <c r="O234" s="59">
        <v>46160</v>
      </c>
      <c r="P234" s="57"/>
      <c r="Q234" s="57"/>
      <c r="R234" s="61" t="s">
        <v>31</v>
      </c>
      <c r="S234" s="78"/>
    </row>
    <row r="235" spans="2:19" s="62" customFormat="1" outlineLevel="1" x14ac:dyDescent="0.25">
      <c r="B235" s="53"/>
      <c r="C235" s="54">
        <v>227</v>
      </c>
      <c r="D235" s="54" t="s">
        <v>544</v>
      </c>
      <c r="E235" s="55" t="s">
        <v>1259</v>
      </c>
      <c r="F235" s="53" t="s">
        <v>545</v>
      </c>
      <c r="G235" s="63">
        <v>1</v>
      </c>
      <c r="H235" s="57" t="s">
        <v>24</v>
      </c>
      <c r="I235" s="54" t="s">
        <v>546</v>
      </c>
      <c r="J235" s="54" t="s">
        <v>547</v>
      </c>
      <c r="K235" s="54" t="s">
        <v>548</v>
      </c>
      <c r="L235" s="54" t="s">
        <v>549</v>
      </c>
      <c r="M235" s="54" t="s">
        <v>550</v>
      </c>
      <c r="N235" s="54" t="s">
        <v>551</v>
      </c>
      <c r="O235" s="59">
        <v>46160</v>
      </c>
      <c r="P235" s="57"/>
      <c r="Q235" s="57"/>
      <c r="R235" s="61" t="s">
        <v>31</v>
      </c>
      <c r="S235" s="78"/>
    </row>
    <row r="236" spans="2:19" s="62" customFormat="1" outlineLevel="1" x14ac:dyDescent="0.25">
      <c r="B236" s="53"/>
      <c r="C236" s="54">
        <v>228</v>
      </c>
      <c r="D236" s="54" t="s">
        <v>447</v>
      </c>
      <c r="E236" s="55" t="s">
        <v>1259</v>
      </c>
      <c r="F236" s="53" t="s">
        <v>448</v>
      </c>
      <c r="G236" s="63">
        <v>1</v>
      </c>
      <c r="H236" s="57" t="s">
        <v>24</v>
      </c>
      <c r="I236" s="54" t="s">
        <v>449</v>
      </c>
      <c r="J236" s="54" t="s">
        <v>450</v>
      </c>
      <c r="K236" s="54" t="s">
        <v>451</v>
      </c>
      <c r="L236" s="54" t="s">
        <v>452</v>
      </c>
      <c r="M236" s="54" t="s">
        <v>453</v>
      </c>
      <c r="N236" s="54" t="s">
        <v>454</v>
      </c>
      <c r="O236" s="59">
        <v>46160</v>
      </c>
      <c r="P236" s="57"/>
      <c r="Q236" s="57"/>
      <c r="R236" s="61" t="s">
        <v>31</v>
      </c>
      <c r="S236" s="78"/>
    </row>
    <row r="237" spans="2:19" s="62" customFormat="1" outlineLevel="1" x14ac:dyDescent="0.25">
      <c r="B237" s="53"/>
      <c r="C237" s="54">
        <v>229</v>
      </c>
      <c r="D237" s="54" t="s">
        <v>571</v>
      </c>
      <c r="E237" s="55" t="s">
        <v>1259</v>
      </c>
      <c r="F237" s="53" t="s">
        <v>572</v>
      </c>
      <c r="G237" s="63">
        <v>1</v>
      </c>
      <c r="H237" s="57" t="s">
        <v>573</v>
      </c>
      <c r="I237" s="54" t="s">
        <v>574</v>
      </c>
      <c r="J237" s="54" t="s">
        <v>575</v>
      </c>
      <c r="K237" s="54" t="s">
        <v>576</v>
      </c>
      <c r="L237" s="54" t="s">
        <v>577</v>
      </c>
      <c r="M237" s="54" t="s">
        <v>578</v>
      </c>
      <c r="N237" s="54" t="s">
        <v>579</v>
      </c>
      <c r="O237" s="59">
        <v>46160</v>
      </c>
      <c r="P237" s="57"/>
      <c r="Q237" s="57"/>
      <c r="R237" s="61" t="s">
        <v>31</v>
      </c>
      <c r="S237" s="78"/>
    </row>
    <row r="238" spans="2:19" s="62" customFormat="1" ht="36" customHeight="1" outlineLevel="1" x14ac:dyDescent="0.25">
      <c r="B238" s="53"/>
      <c r="C238" s="54" t="s">
        <v>1267</v>
      </c>
      <c r="D238" s="54" t="s">
        <v>596</v>
      </c>
      <c r="E238" s="55" t="s">
        <v>1259</v>
      </c>
      <c r="F238" s="53" t="s">
        <v>597</v>
      </c>
      <c r="G238" s="63">
        <v>30</v>
      </c>
      <c r="H238" s="57" t="s">
        <v>61</v>
      </c>
      <c r="I238" s="54" t="s">
        <v>598</v>
      </c>
      <c r="J238" s="54" t="s">
        <v>599</v>
      </c>
      <c r="K238" s="54" t="s">
        <v>600</v>
      </c>
      <c r="L238" s="54" t="s">
        <v>601</v>
      </c>
      <c r="M238" s="54" t="s">
        <v>1268</v>
      </c>
      <c r="N238" s="54" t="s">
        <v>603</v>
      </c>
      <c r="O238" s="74">
        <v>46125</v>
      </c>
      <c r="P238" s="57"/>
      <c r="Q238" s="57"/>
      <c r="R238" s="61" t="s">
        <v>31</v>
      </c>
      <c r="S238" s="78"/>
    </row>
    <row r="239" spans="2:19" s="62" customFormat="1" outlineLevel="1" x14ac:dyDescent="0.25">
      <c r="B239" s="53"/>
      <c r="C239" s="54">
        <v>231</v>
      </c>
      <c r="D239" s="54" t="s">
        <v>455</v>
      </c>
      <c r="E239" s="55" t="s">
        <v>1259</v>
      </c>
      <c r="F239" s="53" t="s">
        <v>456</v>
      </c>
      <c r="G239" s="63">
        <v>1</v>
      </c>
      <c r="H239" s="57" t="s">
        <v>111</v>
      </c>
      <c r="I239" s="54" t="s">
        <v>457</v>
      </c>
      <c r="J239" s="54" t="s">
        <v>458</v>
      </c>
      <c r="K239" s="54" t="s">
        <v>459</v>
      </c>
      <c r="L239" s="54" t="s">
        <v>460</v>
      </c>
      <c r="M239" s="54" t="s">
        <v>461</v>
      </c>
      <c r="N239" s="54" t="s">
        <v>462</v>
      </c>
      <c r="O239" s="59">
        <v>46160</v>
      </c>
      <c r="P239" s="57"/>
      <c r="Q239" s="57"/>
      <c r="R239" s="61" t="s">
        <v>31</v>
      </c>
      <c r="S239" s="78"/>
    </row>
    <row r="240" spans="2:19" s="62" customFormat="1" outlineLevel="1" x14ac:dyDescent="0.25">
      <c r="B240" s="53"/>
      <c r="C240" s="54">
        <v>232</v>
      </c>
      <c r="D240" s="54" t="s">
        <v>463</v>
      </c>
      <c r="E240" s="55" t="s">
        <v>1259</v>
      </c>
      <c r="F240" s="53" t="s">
        <v>464</v>
      </c>
      <c r="G240" s="63">
        <v>1</v>
      </c>
      <c r="H240" s="57" t="s">
        <v>152</v>
      </c>
      <c r="I240" s="54" t="s">
        <v>465</v>
      </c>
      <c r="J240" s="54" t="s">
        <v>466</v>
      </c>
      <c r="K240" s="54" t="s">
        <v>467</v>
      </c>
      <c r="L240" s="54" t="s">
        <v>468</v>
      </c>
      <c r="M240" s="54" t="s">
        <v>469</v>
      </c>
      <c r="N240" s="54" t="s">
        <v>470</v>
      </c>
      <c r="O240" s="59">
        <v>46160</v>
      </c>
      <c r="P240" s="57"/>
      <c r="Q240" s="57"/>
      <c r="R240" s="61" t="s">
        <v>31</v>
      </c>
      <c r="S240" s="78"/>
    </row>
    <row r="241" spans="2:19" s="62" customFormat="1" outlineLevel="1" x14ac:dyDescent="0.25">
      <c r="B241" s="53"/>
      <c r="C241" s="54">
        <v>233</v>
      </c>
      <c r="D241" s="54" t="s">
        <v>760</v>
      </c>
      <c r="E241" s="55" t="s">
        <v>1259</v>
      </c>
      <c r="F241" s="53" t="s">
        <v>761</v>
      </c>
      <c r="G241" s="63">
        <v>1</v>
      </c>
      <c r="H241" s="57" t="s">
        <v>61</v>
      </c>
      <c r="I241" s="54" t="s">
        <v>762</v>
      </c>
      <c r="J241" s="54" t="s">
        <v>763</v>
      </c>
      <c r="K241" s="54" t="s">
        <v>764</v>
      </c>
      <c r="L241" s="54" t="s">
        <v>765</v>
      </c>
      <c r="M241" s="54" t="s">
        <v>765</v>
      </c>
      <c r="N241" s="54" t="s">
        <v>766</v>
      </c>
      <c r="O241" s="59">
        <v>46160</v>
      </c>
      <c r="P241" s="57"/>
      <c r="Q241" s="57"/>
      <c r="R241" s="61" t="s">
        <v>31</v>
      </c>
      <c r="S241" s="78"/>
    </row>
    <row r="242" spans="2:19" s="62" customFormat="1" outlineLevel="1" x14ac:dyDescent="0.25">
      <c r="B242" s="53"/>
      <c r="C242" s="54">
        <v>234</v>
      </c>
      <c r="D242" s="54" t="s">
        <v>659</v>
      </c>
      <c r="E242" s="55" t="s">
        <v>1259</v>
      </c>
      <c r="F242" s="53" t="s">
        <v>660</v>
      </c>
      <c r="G242" s="63">
        <v>1</v>
      </c>
      <c r="H242" s="57" t="s">
        <v>152</v>
      </c>
      <c r="I242" s="54" t="s">
        <v>661</v>
      </c>
      <c r="J242" s="54" t="s">
        <v>662</v>
      </c>
      <c r="K242" s="54" t="s">
        <v>663</v>
      </c>
      <c r="L242" s="54" t="s">
        <v>664</v>
      </c>
      <c r="M242" s="54" t="s">
        <v>665</v>
      </c>
      <c r="N242" s="54" t="s">
        <v>666</v>
      </c>
      <c r="O242" s="59">
        <v>46160</v>
      </c>
      <c r="P242" s="57"/>
      <c r="Q242" s="57"/>
      <c r="R242" s="61" t="s">
        <v>31</v>
      </c>
      <c r="S242" s="78"/>
    </row>
    <row r="243" spans="2:19" s="62" customFormat="1" outlineLevel="1" x14ac:dyDescent="0.25">
      <c r="B243" s="53"/>
      <c r="C243" s="54">
        <v>235</v>
      </c>
      <c r="D243" s="54" t="s">
        <v>471</v>
      </c>
      <c r="E243" s="55" t="s">
        <v>1259</v>
      </c>
      <c r="F243" s="53" t="s">
        <v>472</v>
      </c>
      <c r="G243" s="63">
        <v>1</v>
      </c>
      <c r="H243" s="57" t="s">
        <v>111</v>
      </c>
      <c r="I243" s="54" t="s">
        <v>473</v>
      </c>
      <c r="J243" s="54" t="s">
        <v>474</v>
      </c>
      <c r="K243" s="54" t="s">
        <v>475</v>
      </c>
      <c r="L243" s="54" t="s">
        <v>476</v>
      </c>
      <c r="M243" s="54" t="s">
        <v>476</v>
      </c>
      <c r="N243" s="54" t="s">
        <v>477</v>
      </c>
      <c r="O243" s="59">
        <v>46160</v>
      </c>
      <c r="P243" s="57"/>
      <c r="Q243" s="57"/>
      <c r="R243" s="61" t="s">
        <v>31</v>
      </c>
      <c r="S243" s="78"/>
    </row>
    <row r="244" spans="2:19" s="62" customFormat="1" outlineLevel="1" x14ac:dyDescent="0.25">
      <c r="B244" s="53"/>
      <c r="C244" s="54">
        <v>236</v>
      </c>
      <c r="D244" s="54" t="s">
        <v>588</v>
      </c>
      <c r="E244" s="55" t="s">
        <v>1259</v>
      </c>
      <c r="F244" s="53" t="s">
        <v>589</v>
      </c>
      <c r="G244" s="63">
        <v>9</v>
      </c>
      <c r="H244" s="57" t="s">
        <v>24</v>
      </c>
      <c r="I244" s="54" t="s">
        <v>590</v>
      </c>
      <c r="J244" s="54" t="s">
        <v>591</v>
      </c>
      <c r="K244" s="54" t="s">
        <v>592</v>
      </c>
      <c r="L244" s="54" t="s">
        <v>593</v>
      </c>
      <c r="M244" s="54" t="s">
        <v>594</v>
      </c>
      <c r="N244" s="54" t="s">
        <v>595</v>
      </c>
      <c r="O244" s="74">
        <v>46125</v>
      </c>
      <c r="P244" s="57"/>
      <c r="Q244" s="57"/>
      <c r="R244" s="61" t="s">
        <v>31</v>
      </c>
      <c r="S244" s="78"/>
    </row>
    <row r="245" spans="2:19" s="62" customFormat="1" ht="30" customHeight="1" outlineLevel="1" x14ac:dyDescent="0.25">
      <c r="B245" s="53"/>
      <c r="C245" s="54">
        <v>237</v>
      </c>
      <c r="D245" s="54" t="s">
        <v>478</v>
      </c>
      <c r="E245" s="55" t="s">
        <v>1259</v>
      </c>
      <c r="F245" s="53" t="s">
        <v>479</v>
      </c>
      <c r="G245" s="63">
        <v>1</v>
      </c>
      <c r="H245" s="57" t="s">
        <v>111</v>
      </c>
      <c r="I245" s="54" t="s">
        <v>480</v>
      </c>
      <c r="J245" s="54" t="s">
        <v>481</v>
      </c>
      <c r="K245" s="54" t="s">
        <v>482</v>
      </c>
      <c r="L245" s="54" t="s">
        <v>483</v>
      </c>
      <c r="M245" s="54" t="s">
        <v>634</v>
      </c>
      <c r="N245" s="54" t="s">
        <v>485</v>
      </c>
      <c r="O245" s="59">
        <v>46160</v>
      </c>
      <c r="P245" s="57"/>
      <c r="Q245" s="57"/>
      <c r="R245" s="61" t="s">
        <v>31</v>
      </c>
      <c r="S245" s="78"/>
    </row>
    <row r="246" spans="2:19" s="62" customFormat="1" outlineLevel="1" x14ac:dyDescent="0.25">
      <c r="B246" s="53"/>
      <c r="C246" s="54">
        <v>238</v>
      </c>
      <c r="D246" s="54" t="s">
        <v>486</v>
      </c>
      <c r="E246" s="55" t="s">
        <v>1259</v>
      </c>
      <c r="F246" s="53" t="s">
        <v>487</v>
      </c>
      <c r="G246" s="63">
        <v>1</v>
      </c>
      <c r="H246" s="57" t="s">
        <v>152</v>
      </c>
      <c r="I246" s="54" t="s">
        <v>488</v>
      </c>
      <c r="J246" s="54" t="s">
        <v>489</v>
      </c>
      <c r="K246" s="54" t="s">
        <v>490</v>
      </c>
      <c r="L246" s="54" t="s">
        <v>491</v>
      </c>
      <c r="M246" s="54" t="s">
        <v>492</v>
      </c>
      <c r="N246" s="54" t="s">
        <v>493</v>
      </c>
      <c r="O246" s="74">
        <v>46125</v>
      </c>
      <c r="P246" s="57"/>
      <c r="Q246" s="57"/>
      <c r="R246" s="61" t="s">
        <v>31</v>
      </c>
      <c r="S246" s="78"/>
    </row>
    <row r="247" spans="2:19" s="62" customFormat="1" outlineLevel="1" x14ac:dyDescent="0.25">
      <c r="B247" s="53"/>
      <c r="C247" s="54">
        <v>239</v>
      </c>
      <c r="D247" s="54" t="s">
        <v>611</v>
      </c>
      <c r="E247" s="55" t="s">
        <v>1259</v>
      </c>
      <c r="F247" s="53" t="s">
        <v>612</v>
      </c>
      <c r="G247" s="63">
        <v>7</v>
      </c>
      <c r="H247" s="57" t="s">
        <v>24</v>
      </c>
      <c r="I247" s="54" t="s">
        <v>613</v>
      </c>
      <c r="J247" s="54" t="s">
        <v>614</v>
      </c>
      <c r="K247" s="54" t="s">
        <v>615</v>
      </c>
      <c r="L247" s="54" t="s">
        <v>616</v>
      </c>
      <c r="M247" s="54" t="s">
        <v>616</v>
      </c>
      <c r="N247" s="54" t="s">
        <v>617</v>
      </c>
      <c r="O247" s="59">
        <v>46160</v>
      </c>
      <c r="P247" s="57"/>
      <c r="Q247" s="57"/>
      <c r="R247" s="61" t="s">
        <v>31</v>
      </c>
      <c r="S247" s="78"/>
    </row>
    <row r="248" spans="2:19" s="62" customFormat="1" outlineLevel="1" x14ac:dyDescent="0.25">
      <c r="B248" s="53"/>
      <c r="C248" s="54">
        <v>240</v>
      </c>
      <c r="D248" s="54" t="s">
        <v>508</v>
      </c>
      <c r="E248" s="55" t="s">
        <v>1259</v>
      </c>
      <c r="F248" s="53" t="s">
        <v>509</v>
      </c>
      <c r="G248" s="63">
        <v>20</v>
      </c>
      <c r="H248" s="57" t="s">
        <v>61</v>
      </c>
      <c r="I248" s="54" t="s">
        <v>510</v>
      </c>
      <c r="J248" s="54" t="s">
        <v>511</v>
      </c>
      <c r="K248" s="54" t="s">
        <v>512</v>
      </c>
      <c r="L248" s="54" t="s">
        <v>513</v>
      </c>
      <c r="M248" s="54" t="s">
        <v>514</v>
      </c>
      <c r="N248" s="54" t="s">
        <v>515</v>
      </c>
      <c r="O248" s="74">
        <v>46125</v>
      </c>
      <c r="P248" s="57"/>
      <c r="Q248" s="57"/>
      <c r="R248" s="61" t="s">
        <v>31</v>
      </c>
      <c r="S248" s="78"/>
    </row>
    <row r="249" spans="2:19" s="62" customFormat="1" outlineLevel="1" x14ac:dyDescent="0.25">
      <c r="B249" s="53"/>
      <c r="C249" s="54">
        <v>241</v>
      </c>
      <c r="D249" s="54" t="s">
        <v>516</v>
      </c>
      <c r="E249" s="55" t="s">
        <v>1259</v>
      </c>
      <c r="F249" s="67" t="s">
        <v>517</v>
      </c>
      <c r="G249" s="63">
        <v>2</v>
      </c>
      <c r="H249" s="57" t="s">
        <v>61</v>
      </c>
      <c r="I249" s="54" t="s">
        <v>518</v>
      </c>
      <c r="J249" s="54" t="s">
        <v>519</v>
      </c>
      <c r="K249" s="54" t="s">
        <v>520</v>
      </c>
      <c r="L249" s="54" t="s">
        <v>521</v>
      </c>
      <c r="M249" s="54" t="s">
        <v>522</v>
      </c>
      <c r="N249" s="54" t="s">
        <v>523</v>
      </c>
      <c r="O249" s="59">
        <v>46160</v>
      </c>
      <c r="P249" s="57"/>
      <c r="Q249" s="57"/>
      <c r="R249" s="61" t="s">
        <v>31</v>
      </c>
      <c r="S249" s="78"/>
    </row>
    <row r="250" spans="2:19" s="62" customFormat="1" outlineLevel="1" x14ac:dyDescent="0.25">
      <c r="B250" s="53"/>
      <c r="C250" s="54">
        <v>242</v>
      </c>
      <c r="D250" s="54" t="s">
        <v>644</v>
      </c>
      <c r="E250" s="55" t="s">
        <v>1259</v>
      </c>
      <c r="F250" s="53" t="s">
        <v>645</v>
      </c>
      <c r="G250" s="63">
        <v>3</v>
      </c>
      <c r="H250" s="57" t="s">
        <v>61</v>
      </c>
      <c r="I250" s="54" t="s">
        <v>646</v>
      </c>
      <c r="J250" s="54" t="s">
        <v>647</v>
      </c>
      <c r="K250" s="54" t="s">
        <v>648</v>
      </c>
      <c r="L250" s="54" t="s">
        <v>649</v>
      </c>
      <c r="M250" s="54" t="s">
        <v>650</v>
      </c>
      <c r="N250" s="54"/>
      <c r="O250" s="74">
        <v>46125</v>
      </c>
      <c r="P250" s="57"/>
      <c r="Q250" s="57"/>
      <c r="R250" s="61" t="s">
        <v>31</v>
      </c>
      <c r="S250" s="78"/>
    </row>
    <row r="251" spans="2:19" s="33" customFormat="1" x14ac:dyDescent="0.25">
      <c r="B251" s="42"/>
      <c r="C251" s="42"/>
      <c r="D251" s="42"/>
      <c r="E251" s="28" t="s">
        <v>1442</v>
      </c>
      <c r="F251" s="28"/>
      <c r="G251" s="29">
        <f>SUM(G252:G310)</f>
        <v>278</v>
      </c>
      <c r="H251" s="34"/>
      <c r="I251" s="49"/>
      <c r="J251" s="50"/>
      <c r="K251" s="51"/>
      <c r="L251" s="42"/>
      <c r="M251" s="42"/>
      <c r="N251" s="36"/>
      <c r="O251" s="34"/>
      <c r="P251" s="35"/>
      <c r="Q251" s="35"/>
      <c r="R251" s="32" t="s">
        <v>31</v>
      </c>
      <c r="S251" s="32"/>
    </row>
    <row r="252" spans="2:19" s="62" customFormat="1" outlineLevel="1" x14ac:dyDescent="0.25">
      <c r="B252" s="53"/>
      <c r="C252" s="54">
        <v>243</v>
      </c>
      <c r="D252" s="54" t="s">
        <v>21</v>
      </c>
      <c r="E252" s="55" t="s">
        <v>1442</v>
      </c>
      <c r="F252" s="53" t="s">
        <v>22</v>
      </c>
      <c r="G252" s="63">
        <v>5</v>
      </c>
      <c r="H252" s="57" t="s">
        <v>24</v>
      </c>
      <c r="I252" s="54" t="s">
        <v>25</v>
      </c>
      <c r="J252" s="54" t="s">
        <v>26</v>
      </c>
      <c r="K252" s="54" t="s">
        <v>27</v>
      </c>
      <c r="L252" s="54" t="s">
        <v>28</v>
      </c>
      <c r="M252" s="54" t="s">
        <v>29</v>
      </c>
      <c r="N252" s="54" t="s">
        <v>30</v>
      </c>
      <c r="O252" s="74">
        <v>46139</v>
      </c>
      <c r="P252" s="57"/>
      <c r="Q252" s="57"/>
      <c r="R252" s="61" t="s">
        <v>31</v>
      </c>
      <c r="S252" s="78"/>
    </row>
    <row r="253" spans="2:19" s="62" customFormat="1" outlineLevel="1" x14ac:dyDescent="0.25">
      <c r="B253" s="53"/>
      <c r="C253" s="54">
        <v>244</v>
      </c>
      <c r="D253" s="54" t="s">
        <v>811</v>
      </c>
      <c r="E253" s="55" t="s">
        <v>1442</v>
      </c>
      <c r="F253" s="53" t="s">
        <v>812</v>
      </c>
      <c r="G253" s="63">
        <v>10</v>
      </c>
      <c r="H253" s="57" t="s">
        <v>813</v>
      </c>
      <c r="I253" s="54" t="s">
        <v>814</v>
      </c>
      <c r="J253" s="54" t="s">
        <v>815</v>
      </c>
      <c r="K253" s="54" t="s">
        <v>816</v>
      </c>
      <c r="L253" s="54" t="s">
        <v>817</v>
      </c>
      <c r="M253" s="54" t="s">
        <v>1148</v>
      </c>
      <c r="N253" s="54" t="s">
        <v>819</v>
      </c>
      <c r="O253" s="59">
        <v>46153</v>
      </c>
      <c r="P253" s="57"/>
      <c r="Q253" s="57"/>
      <c r="R253" s="61" t="s">
        <v>31</v>
      </c>
      <c r="S253" s="78"/>
    </row>
    <row r="254" spans="2:19" s="62" customFormat="1" outlineLevel="1" x14ac:dyDescent="0.25">
      <c r="B254" s="53"/>
      <c r="C254" s="54">
        <v>245</v>
      </c>
      <c r="D254" s="54" t="s">
        <v>34</v>
      </c>
      <c r="E254" s="55" t="s">
        <v>1442</v>
      </c>
      <c r="F254" s="53" t="s">
        <v>35</v>
      </c>
      <c r="G254" s="63">
        <v>5</v>
      </c>
      <c r="H254" s="57" t="s">
        <v>36</v>
      </c>
      <c r="I254" s="54" t="s">
        <v>37</v>
      </c>
      <c r="J254" s="54" t="s">
        <v>38</v>
      </c>
      <c r="K254" s="54" t="s">
        <v>39</v>
      </c>
      <c r="L254" s="54" t="s">
        <v>40</v>
      </c>
      <c r="M254" s="54" t="s">
        <v>858</v>
      </c>
      <c r="N254" s="54" t="s">
        <v>42</v>
      </c>
      <c r="O254" s="74">
        <v>46139</v>
      </c>
      <c r="P254" s="57"/>
      <c r="Q254" s="57"/>
      <c r="R254" s="61" t="s">
        <v>31</v>
      </c>
      <c r="S254" s="78"/>
    </row>
    <row r="255" spans="2:19" s="62" customFormat="1" outlineLevel="1" x14ac:dyDescent="0.25">
      <c r="B255" s="53"/>
      <c r="C255" s="54">
        <v>246</v>
      </c>
      <c r="D255" s="54" t="s">
        <v>43</v>
      </c>
      <c r="E255" s="55" t="s">
        <v>1442</v>
      </c>
      <c r="F255" s="53" t="s">
        <v>44</v>
      </c>
      <c r="G255" s="63">
        <v>2</v>
      </c>
      <c r="H255" s="57" t="s">
        <v>24</v>
      </c>
      <c r="I255" s="54" t="s">
        <v>45</v>
      </c>
      <c r="J255" s="54" t="s">
        <v>46</v>
      </c>
      <c r="K255" s="54" t="s">
        <v>47</v>
      </c>
      <c r="L255" s="54" t="s">
        <v>48</v>
      </c>
      <c r="M255" s="54" t="s">
        <v>49</v>
      </c>
      <c r="N255" s="54" t="s">
        <v>50</v>
      </c>
      <c r="O255" s="74">
        <v>46139</v>
      </c>
      <c r="P255" s="57"/>
      <c r="Q255" s="57"/>
      <c r="R255" s="61" t="s">
        <v>31</v>
      </c>
      <c r="S255" s="78"/>
    </row>
    <row r="256" spans="2:19" s="62" customFormat="1" ht="30" customHeight="1" outlineLevel="1" x14ac:dyDescent="0.25">
      <c r="B256" s="53"/>
      <c r="C256" s="54">
        <v>247</v>
      </c>
      <c r="D256" s="54" t="s">
        <v>1079</v>
      </c>
      <c r="E256" s="55" t="s">
        <v>1442</v>
      </c>
      <c r="F256" s="53" t="s">
        <v>918</v>
      </c>
      <c r="G256" s="63">
        <v>2</v>
      </c>
      <c r="H256" s="57" t="s">
        <v>152</v>
      </c>
      <c r="I256" s="54" t="s">
        <v>1080</v>
      </c>
      <c r="J256" s="54" t="s">
        <v>1081</v>
      </c>
      <c r="K256" s="54" t="s">
        <v>1082</v>
      </c>
      <c r="L256" s="54" t="s">
        <v>1083</v>
      </c>
      <c r="M256" s="54" t="s">
        <v>1084</v>
      </c>
      <c r="N256" s="54" t="s">
        <v>1085</v>
      </c>
      <c r="O256" s="74">
        <v>46139</v>
      </c>
      <c r="P256" s="57"/>
      <c r="Q256" s="57"/>
      <c r="R256" s="61" t="s">
        <v>31</v>
      </c>
      <c r="S256" s="78"/>
    </row>
    <row r="257" spans="2:19" s="62" customFormat="1" outlineLevel="1" x14ac:dyDescent="0.25">
      <c r="B257" s="53"/>
      <c r="C257" s="54">
        <v>248</v>
      </c>
      <c r="D257" s="54" t="s">
        <v>59</v>
      </c>
      <c r="E257" s="55" t="s">
        <v>1442</v>
      </c>
      <c r="F257" s="53" t="s">
        <v>60</v>
      </c>
      <c r="G257" s="63">
        <v>16</v>
      </c>
      <c r="H257" s="57" t="s">
        <v>61</v>
      </c>
      <c r="I257" s="54" t="s">
        <v>62</v>
      </c>
      <c r="J257" s="54" t="s">
        <v>63</v>
      </c>
      <c r="K257" s="54" t="s">
        <v>64</v>
      </c>
      <c r="L257" s="54" t="s">
        <v>65</v>
      </c>
      <c r="M257" s="54" t="s">
        <v>66</v>
      </c>
      <c r="N257" s="54" t="s">
        <v>67</v>
      </c>
      <c r="O257" s="74">
        <v>46139</v>
      </c>
      <c r="P257" s="57"/>
      <c r="Q257" s="57"/>
      <c r="R257" s="61" t="s">
        <v>31</v>
      </c>
      <c r="S257" s="78"/>
    </row>
    <row r="258" spans="2:19" s="62" customFormat="1" ht="72" customHeight="1" outlineLevel="1" x14ac:dyDescent="0.25">
      <c r="B258" s="53"/>
      <c r="C258" s="54" t="s">
        <v>1443</v>
      </c>
      <c r="D258" s="54" t="s">
        <v>75</v>
      </c>
      <c r="E258" s="55" t="s">
        <v>1442</v>
      </c>
      <c r="F258" s="53" t="s">
        <v>76</v>
      </c>
      <c r="G258" s="63">
        <v>8</v>
      </c>
      <c r="H258" s="57" t="s">
        <v>77</v>
      </c>
      <c r="I258" s="54" t="s">
        <v>1209</v>
      </c>
      <c r="J258" s="54" t="s">
        <v>1210</v>
      </c>
      <c r="K258" s="54" t="s">
        <v>1211</v>
      </c>
      <c r="L258" s="54" t="s">
        <v>81</v>
      </c>
      <c r="M258" s="54" t="s">
        <v>1430</v>
      </c>
      <c r="N258" s="54" t="s">
        <v>83</v>
      </c>
      <c r="O258" s="74">
        <v>46139</v>
      </c>
      <c r="P258" s="57"/>
      <c r="Q258" s="57"/>
      <c r="R258" s="61" t="s">
        <v>31</v>
      </c>
      <c r="S258" s="78"/>
    </row>
    <row r="259" spans="2:19" s="62" customFormat="1" outlineLevel="1" x14ac:dyDescent="0.25">
      <c r="B259" s="53"/>
      <c r="C259" s="54">
        <v>250</v>
      </c>
      <c r="D259" s="54" t="s">
        <v>85</v>
      </c>
      <c r="E259" s="55" t="s">
        <v>1442</v>
      </c>
      <c r="F259" s="53" t="s">
        <v>86</v>
      </c>
      <c r="G259" s="63">
        <v>1</v>
      </c>
      <c r="H259" s="57" t="s">
        <v>87</v>
      </c>
      <c r="I259" s="54" t="s">
        <v>88</v>
      </c>
      <c r="J259" s="54" t="s">
        <v>89</v>
      </c>
      <c r="K259" s="54" t="s">
        <v>90</v>
      </c>
      <c r="L259" s="54" t="s">
        <v>91</v>
      </c>
      <c r="M259" s="54" t="s">
        <v>92</v>
      </c>
      <c r="N259" s="54" t="s">
        <v>93</v>
      </c>
      <c r="O259" s="74">
        <v>46139</v>
      </c>
      <c r="P259" s="57"/>
      <c r="Q259" s="57"/>
      <c r="R259" s="61" t="s">
        <v>31</v>
      </c>
      <c r="S259" s="78"/>
    </row>
    <row r="260" spans="2:19" s="62" customFormat="1" outlineLevel="1" x14ac:dyDescent="0.25">
      <c r="B260" s="53"/>
      <c r="C260" s="54">
        <v>251</v>
      </c>
      <c r="D260" s="54" t="s">
        <v>626</v>
      </c>
      <c r="E260" s="55" t="s">
        <v>1442</v>
      </c>
      <c r="F260" s="53" t="s">
        <v>627</v>
      </c>
      <c r="G260" s="63">
        <v>3</v>
      </c>
      <c r="H260" s="57" t="s">
        <v>152</v>
      </c>
      <c r="I260" s="54" t="s">
        <v>628</v>
      </c>
      <c r="J260" s="54" t="s">
        <v>629</v>
      </c>
      <c r="K260" s="54" t="s">
        <v>630</v>
      </c>
      <c r="L260" s="54" t="s">
        <v>631</v>
      </c>
      <c r="M260" s="54" t="s">
        <v>632</v>
      </c>
      <c r="N260" s="54" t="s">
        <v>633</v>
      </c>
      <c r="O260" s="74">
        <v>46139</v>
      </c>
      <c r="P260" s="57"/>
      <c r="Q260" s="57"/>
      <c r="R260" s="61" t="s">
        <v>31</v>
      </c>
      <c r="S260" s="78"/>
    </row>
    <row r="261" spans="2:19" s="62" customFormat="1" outlineLevel="1" x14ac:dyDescent="0.25">
      <c r="B261" s="53"/>
      <c r="C261" s="54">
        <v>252</v>
      </c>
      <c r="D261" s="54" t="s">
        <v>102</v>
      </c>
      <c r="E261" s="55" t="s">
        <v>1442</v>
      </c>
      <c r="F261" s="53" t="s">
        <v>103</v>
      </c>
      <c r="G261" s="63">
        <v>3</v>
      </c>
      <c r="H261" s="57" t="s">
        <v>61</v>
      </c>
      <c r="I261" s="54" t="s">
        <v>104</v>
      </c>
      <c r="J261" s="54" t="s">
        <v>105</v>
      </c>
      <c r="K261" s="54" t="s">
        <v>106</v>
      </c>
      <c r="L261" s="54" t="s">
        <v>107</v>
      </c>
      <c r="M261" s="54" t="s">
        <v>107</v>
      </c>
      <c r="N261" s="54" t="s">
        <v>108</v>
      </c>
      <c r="O261" s="74">
        <v>46139</v>
      </c>
      <c r="P261" s="57"/>
      <c r="Q261" s="57"/>
      <c r="R261" s="61" t="s">
        <v>31</v>
      </c>
      <c r="S261" s="78"/>
    </row>
    <row r="262" spans="2:19" s="62" customFormat="1" outlineLevel="1" x14ac:dyDescent="0.25">
      <c r="B262" s="53"/>
      <c r="C262" s="54">
        <v>253</v>
      </c>
      <c r="D262" s="54" t="s">
        <v>125</v>
      </c>
      <c r="E262" s="55" t="s">
        <v>1442</v>
      </c>
      <c r="F262" s="53" t="s">
        <v>126</v>
      </c>
      <c r="G262" s="63">
        <v>1</v>
      </c>
      <c r="H262" s="57" t="s">
        <v>127</v>
      </c>
      <c r="I262" s="54" t="s">
        <v>128</v>
      </c>
      <c r="J262" s="54" t="s">
        <v>129</v>
      </c>
      <c r="K262" s="54" t="s">
        <v>130</v>
      </c>
      <c r="L262" s="54" t="s">
        <v>131</v>
      </c>
      <c r="M262" s="54" t="s">
        <v>132</v>
      </c>
      <c r="N262" s="54" t="s">
        <v>133</v>
      </c>
      <c r="O262" s="74">
        <v>46139</v>
      </c>
      <c r="P262" s="57"/>
      <c r="Q262" s="57"/>
      <c r="R262" s="61" t="s">
        <v>31</v>
      </c>
      <c r="S262" s="78"/>
    </row>
    <row r="263" spans="2:19" s="62" customFormat="1" outlineLevel="1" x14ac:dyDescent="0.25">
      <c r="B263" s="53"/>
      <c r="C263" s="54">
        <v>254</v>
      </c>
      <c r="D263" s="54" t="s">
        <v>618</v>
      </c>
      <c r="E263" s="55" t="s">
        <v>1442</v>
      </c>
      <c r="F263" s="53" t="s">
        <v>619</v>
      </c>
      <c r="G263" s="63">
        <v>8</v>
      </c>
      <c r="H263" s="57" t="s">
        <v>61</v>
      </c>
      <c r="I263" s="54" t="s">
        <v>620</v>
      </c>
      <c r="J263" s="54" t="s">
        <v>621</v>
      </c>
      <c r="K263" s="54" t="s">
        <v>622</v>
      </c>
      <c r="L263" s="54" t="s">
        <v>623</v>
      </c>
      <c r="M263" s="54" t="s">
        <v>624</v>
      </c>
      <c r="N263" s="54" t="s">
        <v>625</v>
      </c>
      <c r="O263" s="74">
        <v>46139</v>
      </c>
      <c r="P263" s="57"/>
      <c r="Q263" s="57"/>
      <c r="R263" s="61" t="s">
        <v>31</v>
      </c>
      <c r="S263" s="78"/>
    </row>
    <row r="264" spans="2:19" s="62" customFormat="1" outlineLevel="1" x14ac:dyDescent="0.25">
      <c r="B264" s="53"/>
      <c r="C264" s="54">
        <v>255</v>
      </c>
      <c r="D264" s="54" t="s">
        <v>159</v>
      </c>
      <c r="E264" s="55" t="s">
        <v>1442</v>
      </c>
      <c r="F264" s="53" t="s">
        <v>160</v>
      </c>
      <c r="G264" s="63">
        <v>2</v>
      </c>
      <c r="H264" s="57" t="s">
        <v>61</v>
      </c>
      <c r="I264" s="54" t="s">
        <v>161</v>
      </c>
      <c r="J264" s="54" t="s">
        <v>162</v>
      </c>
      <c r="K264" s="54" t="s">
        <v>163</v>
      </c>
      <c r="L264" s="54" t="s">
        <v>164</v>
      </c>
      <c r="M264" s="54" t="s">
        <v>164</v>
      </c>
      <c r="N264" s="54" t="s">
        <v>165</v>
      </c>
      <c r="O264" s="74">
        <v>46139</v>
      </c>
      <c r="P264" s="57"/>
      <c r="Q264" s="57"/>
      <c r="R264" s="61" t="s">
        <v>31</v>
      </c>
      <c r="S264" s="78"/>
    </row>
    <row r="265" spans="2:19" s="62" customFormat="1" outlineLevel="1" x14ac:dyDescent="0.25">
      <c r="B265" s="53"/>
      <c r="C265" s="54">
        <v>256</v>
      </c>
      <c r="D265" s="54" t="s">
        <v>166</v>
      </c>
      <c r="E265" s="55" t="s">
        <v>1442</v>
      </c>
      <c r="F265" s="53" t="s">
        <v>167</v>
      </c>
      <c r="G265" s="63">
        <v>1</v>
      </c>
      <c r="H265" s="57" t="s">
        <v>61</v>
      </c>
      <c r="I265" s="54" t="s">
        <v>168</v>
      </c>
      <c r="J265" s="54" t="s">
        <v>169</v>
      </c>
      <c r="K265" s="54" t="s">
        <v>170</v>
      </c>
      <c r="L265" s="54" t="s">
        <v>171</v>
      </c>
      <c r="M265" s="54" t="s">
        <v>172</v>
      </c>
      <c r="N265" s="54" t="s">
        <v>173</v>
      </c>
      <c r="O265" s="74">
        <v>46139</v>
      </c>
      <c r="P265" s="57"/>
      <c r="Q265" s="57"/>
      <c r="R265" s="61" t="s">
        <v>31</v>
      </c>
      <c r="S265" s="78"/>
    </row>
    <row r="266" spans="2:19" s="62" customFormat="1" outlineLevel="1" x14ac:dyDescent="0.25">
      <c r="B266" s="53"/>
      <c r="C266" s="54">
        <v>257</v>
      </c>
      <c r="D266" s="54" t="s">
        <v>667</v>
      </c>
      <c r="E266" s="55" t="s">
        <v>1442</v>
      </c>
      <c r="F266" s="53" t="s">
        <v>668</v>
      </c>
      <c r="G266" s="63">
        <v>2</v>
      </c>
      <c r="H266" s="57" t="s">
        <v>61</v>
      </c>
      <c r="I266" s="54" t="s">
        <v>669</v>
      </c>
      <c r="J266" s="54" t="s">
        <v>670</v>
      </c>
      <c r="K266" s="68" t="s">
        <v>671</v>
      </c>
      <c r="L266" s="54" t="s">
        <v>672</v>
      </c>
      <c r="M266" s="54" t="s">
        <v>672</v>
      </c>
      <c r="N266" s="54" t="s">
        <v>673</v>
      </c>
      <c r="O266" s="74">
        <v>46139</v>
      </c>
      <c r="P266" s="57"/>
      <c r="Q266" s="57"/>
      <c r="R266" s="61" t="s">
        <v>31</v>
      </c>
      <c r="S266" s="78"/>
    </row>
    <row r="267" spans="2:19" s="62" customFormat="1" ht="108" customHeight="1" outlineLevel="1" x14ac:dyDescent="0.25">
      <c r="B267" s="53"/>
      <c r="C267" s="54" t="s">
        <v>1444</v>
      </c>
      <c r="D267" s="54" t="s">
        <v>190</v>
      </c>
      <c r="E267" s="55" t="s">
        <v>1442</v>
      </c>
      <c r="F267" s="53" t="s">
        <v>191</v>
      </c>
      <c r="G267" s="63">
        <v>19</v>
      </c>
      <c r="H267" s="57" t="s">
        <v>24</v>
      </c>
      <c r="I267" s="54" t="s">
        <v>1445</v>
      </c>
      <c r="J267" s="54" t="s">
        <v>1446</v>
      </c>
      <c r="K267" s="54" t="s">
        <v>1447</v>
      </c>
      <c r="L267" s="54" t="s">
        <v>195</v>
      </c>
      <c r="M267" s="54" t="s">
        <v>1448</v>
      </c>
      <c r="N267" s="54" t="s">
        <v>197</v>
      </c>
      <c r="O267" s="74">
        <v>46139</v>
      </c>
      <c r="P267" s="57"/>
      <c r="Q267" s="57"/>
      <c r="R267" s="61" t="s">
        <v>31</v>
      </c>
      <c r="S267" s="78"/>
    </row>
    <row r="268" spans="2:19" s="62" customFormat="1" outlineLevel="1" x14ac:dyDescent="0.25">
      <c r="B268" s="53"/>
      <c r="C268" s="54">
        <v>259</v>
      </c>
      <c r="D268" s="54" t="s">
        <v>198</v>
      </c>
      <c r="E268" s="55" t="s">
        <v>1442</v>
      </c>
      <c r="F268" s="53" t="s">
        <v>199</v>
      </c>
      <c r="G268" s="63">
        <v>1</v>
      </c>
      <c r="H268" s="57" t="s">
        <v>200</v>
      </c>
      <c r="I268" s="54" t="s">
        <v>201</v>
      </c>
      <c r="J268" s="54" t="s">
        <v>202</v>
      </c>
      <c r="K268" s="54" t="s">
        <v>203</v>
      </c>
      <c r="L268" s="54" t="s">
        <v>204</v>
      </c>
      <c r="M268" s="54" t="s">
        <v>1197</v>
      </c>
      <c r="N268" s="54" t="s">
        <v>206</v>
      </c>
      <c r="O268" s="74">
        <v>46139</v>
      </c>
      <c r="P268" s="57"/>
      <c r="Q268" s="57"/>
      <c r="R268" s="61" t="s">
        <v>31</v>
      </c>
      <c r="S268" s="78"/>
    </row>
    <row r="269" spans="2:19" s="62" customFormat="1" outlineLevel="1" x14ac:dyDescent="0.25">
      <c r="B269" s="53"/>
      <c r="C269" s="54">
        <v>260</v>
      </c>
      <c r="D269" s="54" t="s">
        <v>215</v>
      </c>
      <c r="E269" s="55" t="s">
        <v>1442</v>
      </c>
      <c r="F269" s="53" t="s">
        <v>216</v>
      </c>
      <c r="G269" s="63">
        <v>9</v>
      </c>
      <c r="H269" s="57" t="s">
        <v>24</v>
      </c>
      <c r="I269" s="54" t="s">
        <v>217</v>
      </c>
      <c r="J269" s="54" t="s">
        <v>218</v>
      </c>
      <c r="K269" s="54" t="s">
        <v>219</v>
      </c>
      <c r="L269" s="54" t="s">
        <v>220</v>
      </c>
      <c r="M269" s="54" t="s">
        <v>221</v>
      </c>
      <c r="N269" s="54" t="s">
        <v>222</v>
      </c>
      <c r="O269" s="74">
        <v>46139</v>
      </c>
      <c r="P269" s="57"/>
      <c r="Q269" s="57"/>
      <c r="R269" s="61" t="s">
        <v>31</v>
      </c>
      <c r="S269" s="78"/>
    </row>
    <row r="270" spans="2:19" s="62" customFormat="1" outlineLevel="1" x14ac:dyDescent="0.25">
      <c r="B270" s="53"/>
      <c r="C270" s="54">
        <v>261</v>
      </c>
      <c r="D270" s="54" t="s">
        <v>223</v>
      </c>
      <c r="E270" s="55" t="s">
        <v>1442</v>
      </c>
      <c r="F270" s="53" t="s">
        <v>224</v>
      </c>
      <c r="G270" s="63">
        <v>1</v>
      </c>
      <c r="H270" s="57" t="s">
        <v>61</v>
      </c>
      <c r="I270" s="54" t="s">
        <v>225</v>
      </c>
      <c r="J270" s="54" t="s">
        <v>226</v>
      </c>
      <c r="K270" s="54" t="s">
        <v>227</v>
      </c>
      <c r="L270" s="54" t="s">
        <v>228</v>
      </c>
      <c r="M270" s="54" t="s">
        <v>229</v>
      </c>
      <c r="N270" s="54" t="s">
        <v>230</v>
      </c>
      <c r="O270" s="74">
        <v>46139</v>
      </c>
      <c r="P270" s="57"/>
      <c r="Q270" s="57"/>
      <c r="R270" s="61" t="s">
        <v>31</v>
      </c>
      <c r="S270" s="78"/>
    </row>
    <row r="271" spans="2:19" s="62" customFormat="1" ht="36" customHeight="1" outlineLevel="1" x14ac:dyDescent="0.25">
      <c r="B271" s="53"/>
      <c r="C271" s="54" t="s">
        <v>1449</v>
      </c>
      <c r="D271" s="54" t="s">
        <v>231</v>
      </c>
      <c r="E271" s="55" t="s">
        <v>1442</v>
      </c>
      <c r="F271" s="53" t="s">
        <v>232</v>
      </c>
      <c r="G271" s="63">
        <v>11</v>
      </c>
      <c r="H271" s="57" t="s">
        <v>61</v>
      </c>
      <c r="I271" s="54" t="s">
        <v>702</v>
      </c>
      <c r="J271" s="54" t="s">
        <v>703</v>
      </c>
      <c r="K271" s="54" t="s">
        <v>704</v>
      </c>
      <c r="L271" s="54" t="s">
        <v>236</v>
      </c>
      <c r="M271" s="54" t="s">
        <v>1450</v>
      </c>
      <c r="N271" s="54" t="s">
        <v>238</v>
      </c>
      <c r="O271" s="74">
        <v>46139</v>
      </c>
      <c r="P271" s="57"/>
      <c r="Q271" s="57"/>
      <c r="R271" s="61" t="s">
        <v>31</v>
      </c>
      <c r="S271" s="78"/>
    </row>
    <row r="272" spans="2:19" s="62" customFormat="1" ht="36" customHeight="1" outlineLevel="1" x14ac:dyDescent="0.25">
      <c r="B272" s="53"/>
      <c r="C272" s="54" t="s">
        <v>1451</v>
      </c>
      <c r="D272" s="54" t="s">
        <v>795</v>
      </c>
      <c r="E272" s="55" t="s">
        <v>1442</v>
      </c>
      <c r="F272" s="53" t="s">
        <v>796</v>
      </c>
      <c r="G272" s="63">
        <v>16</v>
      </c>
      <c r="H272" s="57" t="s">
        <v>61</v>
      </c>
      <c r="I272" s="54" t="s">
        <v>797</v>
      </c>
      <c r="J272" s="54" t="s">
        <v>798</v>
      </c>
      <c r="K272" s="65" t="s">
        <v>799</v>
      </c>
      <c r="L272" s="54" t="s">
        <v>236</v>
      </c>
      <c r="M272" s="54" t="s">
        <v>1217</v>
      </c>
      <c r="N272" s="54" t="s">
        <v>801</v>
      </c>
      <c r="O272" s="74">
        <v>46139</v>
      </c>
      <c r="P272" s="57"/>
      <c r="Q272" s="57"/>
      <c r="R272" s="61" t="s">
        <v>31</v>
      </c>
      <c r="S272" s="78"/>
    </row>
    <row r="273" spans="2:19" s="62" customFormat="1" outlineLevel="1" x14ac:dyDescent="0.25">
      <c r="B273" s="53"/>
      <c r="C273" s="54">
        <v>264</v>
      </c>
      <c r="D273" s="54" t="s">
        <v>239</v>
      </c>
      <c r="E273" s="55" t="s">
        <v>1442</v>
      </c>
      <c r="F273" s="53" t="s">
        <v>240</v>
      </c>
      <c r="G273" s="63">
        <v>1</v>
      </c>
      <c r="H273" s="57" t="s">
        <v>24</v>
      </c>
      <c r="I273" s="54" t="s">
        <v>241</v>
      </c>
      <c r="J273" s="54" t="s">
        <v>242</v>
      </c>
      <c r="K273" s="54" t="s">
        <v>243</v>
      </c>
      <c r="L273" s="54" t="s">
        <v>244</v>
      </c>
      <c r="M273" s="54" t="s">
        <v>244</v>
      </c>
      <c r="N273" s="54" t="s">
        <v>246</v>
      </c>
      <c r="O273" s="74">
        <v>46139</v>
      </c>
      <c r="P273" s="57"/>
      <c r="Q273" s="57"/>
      <c r="R273" s="61" t="s">
        <v>31</v>
      </c>
      <c r="S273" s="78"/>
    </row>
    <row r="274" spans="2:19" s="62" customFormat="1" ht="30" customHeight="1" outlineLevel="1" x14ac:dyDescent="0.25">
      <c r="B274" s="53"/>
      <c r="C274" s="54">
        <v>265</v>
      </c>
      <c r="D274" s="54" t="s">
        <v>247</v>
      </c>
      <c r="E274" s="55" t="s">
        <v>1442</v>
      </c>
      <c r="F274" s="53" t="s">
        <v>248</v>
      </c>
      <c r="G274" s="63">
        <v>3</v>
      </c>
      <c r="H274" s="57" t="s">
        <v>61</v>
      </c>
      <c r="I274" s="54" t="s">
        <v>528</v>
      </c>
      <c r="J274" s="54" t="s">
        <v>1068</v>
      </c>
      <c r="K274" s="68" t="s">
        <v>530</v>
      </c>
      <c r="L274" s="54" t="s">
        <v>252</v>
      </c>
      <c r="M274" s="54" t="s">
        <v>531</v>
      </c>
      <c r="N274" s="54" t="s">
        <v>254</v>
      </c>
      <c r="O274" s="74">
        <v>46139</v>
      </c>
      <c r="P274" s="57"/>
      <c r="Q274" s="57"/>
      <c r="R274" s="61" t="s">
        <v>31</v>
      </c>
      <c r="S274" s="78"/>
    </row>
    <row r="275" spans="2:19" s="62" customFormat="1" ht="54" customHeight="1" outlineLevel="1" x14ac:dyDescent="0.25">
      <c r="B275" s="53"/>
      <c r="C275" s="54" t="s">
        <v>1452</v>
      </c>
      <c r="D275" s="54" t="s">
        <v>255</v>
      </c>
      <c r="E275" s="55" t="s">
        <v>1442</v>
      </c>
      <c r="F275" s="53" t="s">
        <v>256</v>
      </c>
      <c r="G275" s="63">
        <v>4</v>
      </c>
      <c r="H275" s="57" t="s">
        <v>61</v>
      </c>
      <c r="I275" s="54" t="s">
        <v>1453</v>
      </c>
      <c r="J275" s="54" t="s">
        <v>1454</v>
      </c>
      <c r="K275" s="54" t="s">
        <v>1455</v>
      </c>
      <c r="L275" s="54" t="s">
        <v>260</v>
      </c>
      <c r="M275" s="54" t="s">
        <v>1456</v>
      </c>
      <c r="N275" s="54" t="s">
        <v>262</v>
      </c>
      <c r="O275" s="74">
        <v>46139</v>
      </c>
      <c r="P275" s="57"/>
      <c r="Q275" s="57"/>
      <c r="R275" s="61" t="s">
        <v>31</v>
      </c>
      <c r="S275" s="78"/>
    </row>
    <row r="276" spans="2:19" s="62" customFormat="1" outlineLevel="1" x14ac:dyDescent="0.25">
      <c r="B276" s="53"/>
      <c r="C276" s="54">
        <v>267</v>
      </c>
      <c r="D276" s="54" t="s">
        <v>263</v>
      </c>
      <c r="E276" s="55" t="s">
        <v>1442</v>
      </c>
      <c r="F276" s="53" t="s">
        <v>264</v>
      </c>
      <c r="G276" s="63">
        <v>3</v>
      </c>
      <c r="H276" s="57" t="s">
        <v>61</v>
      </c>
      <c r="I276" s="54" t="s">
        <v>265</v>
      </c>
      <c r="J276" s="54" t="s">
        <v>266</v>
      </c>
      <c r="K276" s="54" t="s">
        <v>267</v>
      </c>
      <c r="L276" s="54" t="s">
        <v>252</v>
      </c>
      <c r="M276" s="54" t="s">
        <v>268</v>
      </c>
      <c r="N276" s="54" t="s">
        <v>269</v>
      </c>
      <c r="O276" s="74">
        <v>46139</v>
      </c>
      <c r="P276" s="57"/>
      <c r="Q276" s="57"/>
      <c r="R276" s="61" t="s">
        <v>31</v>
      </c>
      <c r="S276" s="78"/>
    </row>
    <row r="277" spans="2:19" s="62" customFormat="1" outlineLevel="1" x14ac:dyDescent="0.25">
      <c r="B277" s="53"/>
      <c r="C277" s="54">
        <v>268</v>
      </c>
      <c r="D277" s="54" t="s">
        <v>651</v>
      </c>
      <c r="E277" s="55" t="s">
        <v>1442</v>
      </c>
      <c r="F277" s="53" t="s">
        <v>652</v>
      </c>
      <c r="G277" s="63">
        <v>5</v>
      </c>
      <c r="H277" s="57" t="s">
        <v>111</v>
      </c>
      <c r="I277" s="54" t="s">
        <v>653</v>
      </c>
      <c r="J277" s="54" t="s">
        <v>654</v>
      </c>
      <c r="K277" s="54" t="s">
        <v>655</v>
      </c>
      <c r="L277" s="54" t="s">
        <v>656</v>
      </c>
      <c r="M277" s="54" t="s">
        <v>657</v>
      </c>
      <c r="N277" s="54" t="s">
        <v>658</v>
      </c>
      <c r="O277" s="74">
        <v>46139</v>
      </c>
      <c r="P277" s="57"/>
      <c r="Q277" s="57"/>
      <c r="R277" s="61" t="s">
        <v>31</v>
      </c>
      <c r="S277" s="78"/>
    </row>
    <row r="278" spans="2:19" s="62" customFormat="1" outlineLevel="1" x14ac:dyDescent="0.25">
      <c r="B278" s="53"/>
      <c r="C278" s="54">
        <v>269</v>
      </c>
      <c r="D278" s="54" t="s">
        <v>270</v>
      </c>
      <c r="E278" s="55" t="s">
        <v>1442</v>
      </c>
      <c r="F278" s="53" t="s">
        <v>271</v>
      </c>
      <c r="G278" s="63">
        <v>1</v>
      </c>
      <c r="H278" s="57" t="s">
        <v>61</v>
      </c>
      <c r="I278" s="54" t="s">
        <v>272</v>
      </c>
      <c r="J278" s="54" t="s">
        <v>273</v>
      </c>
      <c r="K278" s="54" t="s">
        <v>274</v>
      </c>
      <c r="L278" s="54" t="s">
        <v>792</v>
      </c>
      <c r="M278" s="54" t="s">
        <v>792</v>
      </c>
      <c r="N278" s="54" t="s">
        <v>277</v>
      </c>
      <c r="O278" s="74">
        <v>46139</v>
      </c>
      <c r="P278" s="57"/>
      <c r="Q278" s="57"/>
      <c r="R278" s="61" t="s">
        <v>31</v>
      </c>
      <c r="S278" s="78"/>
    </row>
    <row r="279" spans="2:19" s="62" customFormat="1" outlineLevel="1" x14ac:dyDescent="0.25">
      <c r="B279" s="53"/>
      <c r="C279" s="54">
        <v>270</v>
      </c>
      <c r="D279" s="54" t="s">
        <v>706</v>
      </c>
      <c r="E279" s="55" t="s">
        <v>1442</v>
      </c>
      <c r="F279" s="53" t="s">
        <v>707</v>
      </c>
      <c r="G279" s="63">
        <v>2</v>
      </c>
      <c r="H279" s="57" t="s">
        <v>111</v>
      </c>
      <c r="I279" s="54" t="s">
        <v>708</v>
      </c>
      <c r="J279" s="54" t="s">
        <v>709</v>
      </c>
      <c r="K279" s="54" t="s">
        <v>710</v>
      </c>
      <c r="L279" s="54" t="s">
        <v>711</v>
      </c>
      <c r="M279" s="54" t="s">
        <v>712</v>
      </c>
      <c r="N279" s="54" t="s">
        <v>713</v>
      </c>
      <c r="O279" s="74">
        <v>46139</v>
      </c>
      <c r="P279" s="57"/>
      <c r="Q279" s="57"/>
      <c r="R279" s="61" t="s">
        <v>31</v>
      </c>
      <c r="S279" s="78"/>
    </row>
    <row r="280" spans="2:19" s="62" customFormat="1" outlineLevel="1" x14ac:dyDescent="0.25">
      <c r="B280" s="53"/>
      <c r="C280" s="54">
        <v>271</v>
      </c>
      <c r="D280" s="54" t="s">
        <v>743</v>
      </c>
      <c r="E280" s="55" t="s">
        <v>1442</v>
      </c>
      <c r="F280" s="53" t="s">
        <v>744</v>
      </c>
      <c r="G280" s="63">
        <v>2</v>
      </c>
      <c r="H280" s="57" t="s">
        <v>745</v>
      </c>
      <c r="I280" s="54" t="s">
        <v>746</v>
      </c>
      <c r="J280" s="54" t="s">
        <v>747</v>
      </c>
      <c r="K280" s="54" t="s">
        <v>748</v>
      </c>
      <c r="L280" s="54" t="s">
        <v>749</v>
      </c>
      <c r="M280" s="54" t="s">
        <v>750</v>
      </c>
      <c r="N280" s="54" t="s">
        <v>751</v>
      </c>
      <c r="O280" s="74">
        <v>46139</v>
      </c>
      <c r="P280" s="57"/>
      <c r="Q280" s="57"/>
      <c r="R280" s="61" t="s">
        <v>31</v>
      </c>
      <c r="S280" s="78"/>
    </row>
    <row r="281" spans="2:19" s="62" customFormat="1" outlineLevel="1" x14ac:dyDescent="0.25">
      <c r="B281" s="53"/>
      <c r="C281" s="54">
        <v>272</v>
      </c>
      <c r="D281" s="54" t="s">
        <v>859</v>
      </c>
      <c r="E281" s="55" t="s">
        <v>1442</v>
      </c>
      <c r="F281" s="53" t="s">
        <v>860</v>
      </c>
      <c r="G281" s="63">
        <v>4</v>
      </c>
      <c r="H281" s="57" t="s">
        <v>861</v>
      </c>
      <c r="I281" s="54" t="s">
        <v>862</v>
      </c>
      <c r="J281" s="54" t="s">
        <v>863</v>
      </c>
      <c r="K281" s="54" t="s">
        <v>864</v>
      </c>
      <c r="L281" s="54" t="s">
        <v>865</v>
      </c>
      <c r="M281" s="54" t="s">
        <v>866</v>
      </c>
      <c r="N281" s="54" t="s">
        <v>867</v>
      </c>
      <c r="O281" s="74">
        <v>46139</v>
      </c>
      <c r="P281" s="57"/>
      <c r="Q281" s="57"/>
      <c r="R281" s="61" t="s">
        <v>31</v>
      </c>
      <c r="S281" s="78"/>
    </row>
    <row r="282" spans="2:19" s="62" customFormat="1" outlineLevel="1" x14ac:dyDescent="0.25">
      <c r="B282" s="53"/>
      <c r="C282" s="54">
        <v>273</v>
      </c>
      <c r="D282" s="54" t="s">
        <v>286</v>
      </c>
      <c r="E282" s="55" t="s">
        <v>1442</v>
      </c>
      <c r="F282" s="53" t="s">
        <v>287</v>
      </c>
      <c r="G282" s="63">
        <v>1</v>
      </c>
      <c r="H282" s="57" t="s">
        <v>61</v>
      </c>
      <c r="I282" s="54" t="s">
        <v>288</v>
      </c>
      <c r="J282" s="54" t="s">
        <v>289</v>
      </c>
      <c r="K282" s="54" t="s">
        <v>290</v>
      </c>
      <c r="L282" s="54" t="s">
        <v>291</v>
      </c>
      <c r="M282" s="54" t="s">
        <v>292</v>
      </c>
      <c r="N282" s="54" t="s">
        <v>293</v>
      </c>
      <c r="O282" s="74">
        <v>46139</v>
      </c>
      <c r="P282" s="57"/>
      <c r="Q282" s="57"/>
      <c r="R282" s="61" t="s">
        <v>31</v>
      </c>
      <c r="S282" s="78"/>
    </row>
    <row r="283" spans="2:19" s="62" customFormat="1" ht="36" customHeight="1" outlineLevel="1" x14ac:dyDescent="0.25">
      <c r="B283" s="53"/>
      <c r="C283" s="54" t="s">
        <v>1457</v>
      </c>
      <c r="D283" s="54" t="s">
        <v>294</v>
      </c>
      <c r="E283" s="55" t="s">
        <v>1442</v>
      </c>
      <c r="F283" s="53" t="s">
        <v>295</v>
      </c>
      <c r="G283" s="63">
        <v>9</v>
      </c>
      <c r="H283" s="57" t="s">
        <v>61</v>
      </c>
      <c r="I283" s="54" t="s">
        <v>908</v>
      </c>
      <c r="J283" s="54" t="s">
        <v>909</v>
      </c>
      <c r="K283" s="54" t="s">
        <v>910</v>
      </c>
      <c r="L283" s="54" t="s">
        <v>299</v>
      </c>
      <c r="M283" s="54" t="s">
        <v>1435</v>
      </c>
      <c r="N283" s="54" t="s">
        <v>301</v>
      </c>
      <c r="O283" s="74">
        <v>46139</v>
      </c>
      <c r="P283" s="57"/>
      <c r="Q283" s="57"/>
      <c r="R283" s="61" t="s">
        <v>31</v>
      </c>
      <c r="S283" s="78"/>
    </row>
    <row r="284" spans="2:19" s="62" customFormat="1" outlineLevel="1" x14ac:dyDescent="0.25">
      <c r="B284" s="53"/>
      <c r="C284" s="54">
        <v>275</v>
      </c>
      <c r="D284" s="54" t="s">
        <v>318</v>
      </c>
      <c r="E284" s="55" t="s">
        <v>1442</v>
      </c>
      <c r="F284" s="53" t="s">
        <v>319</v>
      </c>
      <c r="G284" s="63">
        <v>4</v>
      </c>
      <c r="H284" s="57" t="s">
        <v>111</v>
      </c>
      <c r="I284" s="54" t="s">
        <v>320</v>
      </c>
      <c r="J284" s="54" t="s">
        <v>321</v>
      </c>
      <c r="K284" s="54" t="s">
        <v>322</v>
      </c>
      <c r="L284" s="54" t="s">
        <v>323</v>
      </c>
      <c r="M284" s="54" t="s">
        <v>324</v>
      </c>
      <c r="N284" s="54" t="s">
        <v>325</v>
      </c>
      <c r="O284" s="74">
        <v>46139</v>
      </c>
      <c r="P284" s="57"/>
      <c r="Q284" s="57"/>
      <c r="R284" s="61" t="s">
        <v>31</v>
      </c>
      <c r="S284" s="78"/>
    </row>
    <row r="285" spans="2:19" s="62" customFormat="1" outlineLevel="1" x14ac:dyDescent="0.25">
      <c r="B285" s="53"/>
      <c r="C285" s="54">
        <v>276</v>
      </c>
      <c r="D285" s="54" t="s">
        <v>326</v>
      </c>
      <c r="E285" s="55" t="s">
        <v>1442</v>
      </c>
      <c r="F285" s="53" t="s">
        <v>327</v>
      </c>
      <c r="G285" s="63">
        <v>2</v>
      </c>
      <c r="H285" s="57" t="s">
        <v>152</v>
      </c>
      <c r="I285" s="54" t="s">
        <v>328</v>
      </c>
      <c r="J285" s="54" t="s">
        <v>329</v>
      </c>
      <c r="K285" s="54" t="s">
        <v>330</v>
      </c>
      <c r="L285" s="54" t="s">
        <v>331</v>
      </c>
      <c r="M285" s="54" t="s">
        <v>332</v>
      </c>
      <c r="N285" s="54" t="s">
        <v>333</v>
      </c>
      <c r="O285" s="74">
        <v>46139</v>
      </c>
      <c r="P285" s="57"/>
      <c r="Q285" s="57"/>
      <c r="R285" s="61" t="s">
        <v>31</v>
      </c>
      <c r="S285" s="78"/>
    </row>
    <row r="286" spans="2:19" s="62" customFormat="1" ht="30" customHeight="1" outlineLevel="1" x14ac:dyDescent="0.25">
      <c r="B286" s="53"/>
      <c r="C286" s="54">
        <v>277</v>
      </c>
      <c r="D286" s="54" t="s">
        <v>334</v>
      </c>
      <c r="E286" s="55" t="s">
        <v>1442</v>
      </c>
      <c r="F286" s="53" t="s">
        <v>335</v>
      </c>
      <c r="G286" s="63">
        <v>1</v>
      </c>
      <c r="H286" s="57" t="s">
        <v>61</v>
      </c>
      <c r="I286" s="54" t="s">
        <v>336</v>
      </c>
      <c r="J286" s="54" t="s">
        <v>337</v>
      </c>
      <c r="K286" s="54" t="s">
        <v>338</v>
      </c>
      <c r="L286" s="54" t="s">
        <v>339</v>
      </c>
      <c r="M286" s="54" t="s">
        <v>340</v>
      </c>
      <c r="N286" s="54" t="s">
        <v>341</v>
      </c>
      <c r="O286" s="74">
        <v>46139</v>
      </c>
      <c r="P286" s="57"/>
      <c r="Q286" s="57"/>
      <c r="R286" s="61" t="s">
        <v>31</v>
      </c>
      <c r="S286" s="78"/>
    </row>
    <row r="287" spans="2:19" s="62" customFormat="1" ht="30" customHeight="1" outlineLevel="1" x14ac:dyDescent="0.25">
      <c r="B287" s="53"/>
      <c r="C287" s="54">
        <v>278</v>
      </c>
      <c r="D287" s="54" t="s">
        <v>342</v>
      </c>
      <c r="E287" s="55" t="s">
        <v>1442</v>
      </c>
      <c r="F287" s="53" t="s">
        <v>343</v>
      </c>
      <c r="G287" s="63">
        <v>4</v>
      </c>
      <c r="H287" s="57" t="s">
        <v>24</v>
      </c>
      <c r="I287" s="54" t="s">
        <v>344</v>
      </c>
      <c r="J287" s="54" t="s">
        <v>345</v>
      </c>
      <c r="K287" s="54" t="s">
        <v>346</v>
      </c>
      <c r="L287" s="54" t="s">
        <v>1437</v>
      </c>
      <c r="M287" s="54" t="s">
        <v>348</v>
      </c>
      <c r="N287" s="54" t="s">
        <v>349</v>
      </c>
      <c r="O287" s="74">
        <v>46139</v>
      </c>
      <c r="P287" s="57"/>
      <c r="Q287" s="57"/>
      <c r="R287" s="61" t="s">
        <v>31</v>
      </c>
      <c r="S287" s="78"/>
    </row>
    <row r="288" spans="2:19" s="62" customFormat="1" outlineLevel="1" x14ac:dyDescent="0.25">
      <c r="B288" s="53"/>
      <c r="C288" s="54">
        <v>279</v>
      </c>
      <c r="D288" s="54" t="s">
        <v>802</v>
      </c>
      <c r="E288" s="55" t="s">
        <v>1442</v>
      </c>
      <c r="F288" s="53" t="s">
        <v>803</v>
      </c>
      <c r="G288" s="63">
        <v>11</v>
      </c>
      <c r="H288" s="57" t="s">
        <v>804</v>
      </c>
      <c r="I288" s="54" t="s">
        <v>805</v>
      </c>
      <c r="J288" s="54" t="s">
        <v>806</v>
      </c>
      <c r="K288" s="54" t="s">
        <v>807</v>
      </c>
      <c r="L288" s="54" t="s">
        <v>808</v>
      </c>
      <c r="M288" s="54" t="s">
        <v>809</v>
      </c>
      <c r="N288" s="54" t="s">
        <v>810</v>
      </c>
      <c r="O288" s="74">
        <v>46139</v>
      </c>
      <c r="P288" s="57"/>
      <c r="Q288" s="57"/>
      <c r="R288" s="61" t="s">
        <v>31</v>
      </c>
      <c r="S288" s="78"/>
    </row>
    <row r="289" spans="2:19" s="62" customFormat="1" outlineLevel="1" x14ac:dyDescent="0.25">
      <c r="B289" s="53"/>
      <c r="C289" s="54">
        <v>280</v>
      </c>
      <c r="D289" s="54" t="s">
        <v>604</v>
      </c>
      <c r="E289" s="55" t="s">
        <v>1442</v>
      </c>
      <c r="F289" s="53" t="s">
        <v>605</v>
      </c>
      <c r="G289" s="63">
        <v>18</v>
      </c>
      <c r="H289" s="57" t="s">
        <v>61</v>
      </c>
      <c r="I289" s="54" t="s">
        <v>606</v>
      </c>
      <c r="J289" s="54" t="s">
        <v>607</v>
      </c>
      <c r="K289" s="54" t="s">
        <v>608</v>
      </c>
      <c r="L289" s="54" t="s">
        <v>252</v>
      </c>
      <c r="M289" s="54" t="s">
        <v>609</v>
      </c>
      <c r="N289" s="54" t="s">
        <v>610</v>
      </c>
      <c r="O289" s="74">
        <v>46139</v>
      </c>
      <c r="P289" s="57"/>
      <c r="Q289" s="57"/>
      <c r="R289" s="61" t="s">
        <v>31</v>
      </c>
      <c r="S289" s="78"/>
    </row>
    <row r="290" spans="2:19" s="62" customFormat="1" outlineLevel="1" x14ac:dyDescent="0.25">
      <c r="B290" s="53"/>
      <c r="C290" s="54">
        <v>281</v>
      </c>
      <c r="D290" s="54" t="s">
        <v>375</v>
      </c>
      <c r="E290" s="55" t="s">
        <v>1442</v>
      </c>
      <c r="F290" s="53" t="s">
        <v>376</v>
      </c>
      <c r="G290" s="63">
        <v>13</v>
      </c>
      <c r="H290" s="57" t="s">
        <v>111</v>
      </c>
      <c r="I290" s="54" t="s">
        <v>377</v>
      </c>
      <c r="J290" s="54" t="s">
        <v>378</v>
      </c>
      <c r="K290" s="54" t="s">
        <v>379</v>
      </c>
      <c r="L290" s="54" t="s">
        <v>380</v>
      </c>
      <c r="M290" s="54" t="s">
        <v>381</v>
      </c>
      <c r="N290" s="54" t="s">
        <v>382</v>
      </c>
      <c r="O290" s="74">
        <v>46139</v>
      </c>
      <c r="P290" s="57"/>
      <c r="Q290" s="57"/>
      <c r="R290" s="61" t="s">
        <v>31</v>
      </c>
      <c r="S290" s="78"/>
    </row>
    <row r="291" spans="2:19" s="62" customFormat="1" ht="45" customHeight="1" outlineLevel="1" x14ac:dyDescent="0.25">
      <c r="B291" s="53"/>
      <c r="C291" s="54">
        <v>282</v>
      </c>
      <c r="D291" s="54" t="s">
        <v>399</v>
      </c>
      <c r="E291" s="55" t="s">
        <v>1442</v>
      </c>
      <c r="F291" s="53" t="s">
        <v>400</v>
      </c>
      <c r="G291" s="63">
        <v>2</v>
      </c>
      <c r="H291" s="57" t="s">
        <v>152</v>
      </c>
      <c r="I291" s="54" t="s">
        <v>401</v>
      </c>
      <c r="J291" s="54" t="s">
        <v>402</v>
      </c>
      <c r="K291" s="54" t="s">
        <v>403</v>
      </c>
      <c r="L291" s="54" t="s">
        <v>404</v>
      </c>
      <c r="M291" s="54" t="s">
        <v>405</v>
      </c>
      <c r="N291" s="54" t="s">
        <v>406</v>
      </c>
      <c r="O291" s="74">
        <v>46139</v>
      </c>
      <c r="P291" s="57"/>
      <c r="Q291" s="57"/>
      <c r="R291" s="61" t="s">
        <v>31</v>
      </c>
      <c r="S291" s="78"/>
    </row>
    <row r="292" spans="2:19" s="62" customFormat="1" ht="30" customHeight="1" outlineLevel="1" x14ac:dyDescent="0.25">
      <c r="B292" s="53"/>
      <c r="C292" s="54">
        <v>283</v>
      </c>
      <c r="D292" s="54" t="s">
        <v>407</v>
      </c>
      <c r="E292" s="55" t="s">
        <v>1442</v>
      </c>
      <c r="F292" s="53" t="s">
        <v>408</v>
      </c>
      <c r="G292" s="63">
        <v>1</v>
      </c>
      <c r="H292" s="57" t="s">
        <v>61</v>
      </c>
      <c r="I292" s="54" t="s">
        <v>409</v>
      </c>
      <c r="J292" s="54" t="s">
        <v>410</v>
      </c>
      <c r="K292" s="54" t="s">
        <v>411</v>
      </c>
      <c r="L292" s="54" t="s">
        <v>412</v>
      </c>
      <c r="M292" s="54" t="s">
        <v>1414</v>
      </c>
      <c r="N292" s="54" t="s">
        <v>414</v>
      </c>
      <c r="O292" s="74">
        <v>46139</v>
      </c>
      <c r="P292" s="57"/>
      <c r="Q292" s="57"/>
      <c r="R292" s="61" t="s">
        <v>31</v>
      </c>
      <c r="S292" s="78"/>
    </row>
    <row r="293" spans="2:19" s="62" customFormat="1" outlineLevel="1" x14ac:dyDescent="0.25">
      <c r="B293" s="53"/>
      <c r="C293" s="54">
        <v>284</v>
      </c>
      <c r="D293" s="54" t="s">
        <v>415</v>
      </c>
      <c r="E293" s="55" t="s">
        <v>1442</v>
      </c>
      <c r="F293" s="53" t="s">
        <v>416</v>
      </c>
      <c r="G293" s="63">
        <v>5</v>
      </c>
      <c r="H293" s="57" t="s">
        <v>417</v>
      </c>
      <c r="I293" s="54" t="s">
        <v>418</v>
      </c>
      <c r="J293" s="54" t="s">
        <v>419</v>
      </c>
      <c r="K293" s="54" t="s">
        <v>420</v>
      </c>
      <c r="L293" s="54" t="s">
        <v>421</v>
      </c>
      <c r="M293" s="54" t="s">
        <v>422</v>
      </c>
      <c r="N293" s="54" t="s">
        <v>423</v>
      </c>
      <c r="O293" s="74">
        <v>46139</v>
      </c>
      <c r="P293" s="57"/>
      <c r="Q293" s="57"/>
      <c r="R293" s="61" t="s">
        <v>31</v>
      </c>
      <c r="S293" s="78"/>
    </row>
    <row r="294" spans="2:19" s="62" customFormat="1" outlineLevel="1" x14ac:dyDescent="0.25">
      <c r="B294" s="53"/>
      <c r="C294" s="54">
        <v>285</v>
      </c>
      <c r="D294" s="54" t="s">
        <v>424</v>
      </c>
      <c r="E294" s="55" t="s">
        <v>1442</v>
      </c>
      <c r="F294" s="53" t="s">
        <v>425</v>
      </c>
      <c r="G294" s="63">
        <v>4</v>
      </c>
      <c r="H294" s="57" t="s">
        <v>111</v>
      </c>
      <c r="I294" s="54" t="s">
        <v>426</v>
      </c>
      <c r="J294" s="54" t="s">
        <v>427</v>
      </c>
      <c r="K294" s="54" t="s">
        <v>428</v>
      </c>
      <c r="L294" s="54" t="s">
        <v>429</v>
      </c>
      <c r="M294" s="54" t="s">
        <v>429</v>
      </c>
      <c r="N294" s="54" t="s">
        <v>430</v>
      </c>
      <c r="O294" s="74">
        <v>46139</v>
      </c>
      <c r="P294" s="57"/>
      <c r="Q294" s="57"/>
      <c r="R294" s="61" t="s">
        <v>31</v>
      </c>
      <c r="S294" s="78"/>
    </row>
    <row r="295" spans="2:19" s="62" customFormat="1" ht="36" customHeight="1" outlineLevel="1" x14ac:dyDescent="0.25">
      <c r="B295" s="53"/>
      <c r="C295" s="54" t="s">
        <v>1070</v>
      </c>
      <c r="D295" s="54" t="s">
        <v>431</v>
      </c>
      <c r="E295" s="55" t="s">
        <v>1442</v>
      </c>
      <c r="F295" s="53" t="s">
        <v>432</v>
      </c>
      <c r="G295" s="63">
        <v>5</v>
      </c>
      <c r="H295" s="57" t="s">
        <v>152</v>
      </c>
      <c r="I295" s="54" t="s">
        <v>1458</v>
      </c>
      <c r="J295" s="54" t="s">
        <v>1459</v>
      </c>
      <c r="K295" s="54" t="s">
        <v>1460</v>
      </c>
      <c r="L295" s="54" t="s">
        <v>436</v>
      </c>
      <c r="M295" s="54" t="s">
        <v>1461</v>
      </c>
      <c r="N295" s="54" t="s">
        <v>438</v>
      </c>
      <c r="O295" s="74">
        <v>46139</v>
      </c>
      <c r="P295" s="57"/>
      <c r="Q295" s="57"/>
      <c r="R295" s="61" t="s">
        <v>31</v>
      </c>
      <c r="S295" s="78"/>
    </row>
    <row r="296" spans="2:19" s="62" customFormat="1" outlineLevel="1" x14ac:dyDescent="0.25">
      <c r="B296" s="53"/>
      <c r="C296" s="54">
        <v>287</v>
      </c>
      <c r="D296" s="54" t="s">
        <v>544</v>
      </c>
      <c r="E296" s="55" t="s">
        <v>1442</v>
      </c>
      <c r="F296" s="53" t="s">
        <v>545</v>
      </c>
      <c r="G296" s="63">
        <v>1</v>
      </c>
      <c r="H296" s="57" t="s">
        <v>24</v>
      </c>
      <c r="I296" s="54" t="s">
        <v>546</v>
      </c>
      <c r="J296" s="54" t="s">
        <v>547</v>
      </c>
      <c r="K296" s="54" t="s">
        <v>548</v>
      </c>
      <c r="L296" s="54" t="s">
        <v>549</v>
      </c>
      <c r="M296" s="54" t="s">
        <v>550</v>
      </c>
      <c r="N296" s="54" t="s">
        <v>551</v>
      </c>
      <c r="O296" s="74">
        <v>46139</v>
      </c>
      <c r="P296" s="57"/>
      <c r="Q296" s="57"/>
      <c r="R296" s="61" t="s">
        <v>31</v>
      </c>
      <c r="S296" s="78"/>
    </row>
    <row r="297" spans="2:19" s="62" customFormat="1" ht="30" customHeight="1" outlineLevel="1" x14ac:dyDescent="0.25">
      <c r="B297" s="53"/>
      <c r="C297" s="54">
        <v>288</v>
      </c>
      <c r="D297" s="54" t="s">
        <v>439</v>
      </c>
      <c r="E297" s="55" t="s">
        <v>1442</v>
      </c>
      <c r="F297" s="53" t="s">
        <v>440</v>
      </c>
      <c r="G297" s="63">
        <v>1</v>
      </c>
      <c r="H297" s="57" t="s">
        <v>152</v>
      </c>
      <c r="I297" s="54" t="s">
        <v>441</v>
      </c>
      <c r="J297" s="54" t="s">
        <v>442</v>
      </c>
      <c r="K297" s="54" t="s">
        <v>443</v>
      </c>
      <c r="L297" s="54" t="s">
        <v>444</v>
      </c>
      <c r="M297" s="54" t="s">
        <v>445</v>
      </c>
      <c r="N297" s="54" t="s">
        <v>446</v>
      </c>
      <c r="O297" s="74">
        <v>46139</v>
      </c>
      <c r="P297" s="57"/>
      <c r="Q297" s="57"/>
      <c r="R297" s="61" t="s">
        <v>31</v>
      </c>
      <c r="S297" s="78"/>
    </row>
    <row r="298" spans="2:19" s="62" customFormat="1" outlineLevel="1" x14ac:dyDescent="0.25">
      <c r="B298" s="53"/>
      <c r="C298" s="54">
        <v>289</v>
      </c>
      <c r="D298" s="54" t="s">
        <v>447</v>
      </c>
      <c r="E298" s="55" t="s">
        <v>1442</v>
      </c>
      <c r="F298" s="53" t="s">
        <v>448</v>
      </c>
      <c r="G298" s="63">
        <v>1</v>
      </c>
      <c r="H298" s="57" t="s">
        <v>24</v>
      </c>
      <c r="I298" s="54" t="s">
        <v>449</v>
      </c>
      <c r="J298" s="54" t="s">
        <v>450</v>
      </c>
      <c r="K298" s="54" t="s">
        <v>451</v>
      </c>
      <c r="L298" s="54" t="s">
        <v>452</v>
      </c>
      <c r="M298" s="54" t="s">
        <v>453</v>
      </c>
      <c r="N298" s="54" t="s">
        <v>454</v>
      </c>
      <c r="O298" s="74">
        <v>46139</v>
      </c>
      <c r="P298" s="57"/>
      <c r="Q298" s="57"/>
      <c r="R298" s="61" t="s">
        <v>31</v>
      </c>
      <c r="S298" s="78"/>
    </row>
    <row r="299" spans="2:19" s="62" customFormat="1" outlineLevel="1" x14ac:dyDescent="0.25">
      <c r="B299" s="53"/>
      <c r="C299" s="54">
        <v>290</v>
      </c>
      <c r="D299" s="54" t="s">
        <v>571</v>
      </c>
      <c r="E299" s="55" t="s">
        <v>1442</v>
      </c>
      <c r="F299" s="53" t="s">
        <v>572</v>
      </c>
      <c r="G299" s="63">
        <v>1</v>
      </c>
      <c r="H299" s="57" t="s">
        <v>573</v>
      </c>
      <c r="I299" s="54" t="s">
        <v>574</v>
      </c>
      <c r="J299" s="54" t="s">
        <v>575</v>
      </c>
      <c r="K299" s="54" t="s">
        <v>576</v>
      </c>
      <c r="L299" s="54" t="s">
        <v>577</v>
      </c>
      <c r="M299" s="54" t="s">
        <v>578</v>
      </c>
      <c r="N299" s="54" t="s">
        <v>579</v>
      </c>
      <c r="O299" s="74">
        <v>46139</v>
      </c>
      <c r="P299" s="57"/>
      <c r="Q299" s="57"/>
      <c r="R299" s="61" t="s">
        <v>31</v>
      </c>
      <c r="S299" s="78"/>
    </row>
    <row r="300" spans="2:19" s="62" customFormat="1" outlineLevel="1" x14ac:dyDescent="0.25">
      <c r="B300" s="53"/>
      <c r="C300" s="54">
        <v>291</v>
      </c>
      <c r="D300" s="54" t="s">
        <v>455</v>
      </c>
      <c r="E300" s="55" t="s">
        <v>1442</v>
      </c>
      <c r="F300" s="53" t="s">
        <v>456</v>
      </c>
      <c r="G300" s="63">
        <v>2</v>
      </c>
      <c r="H300" s="57" t="s">
        <v>111</v>
      </c>
      <c r="I300" s="54" t="s">
        <v>457</v>
      </c>
      <c r="J300" s="54" t="s">
        <v>458</v>
      </c>
      <c r="K300" s="54" t="s">
        <v>459</v>
      </c>
      <c r="L300" s="54" t="s">
        <v>460</v>
      </c>
      <c r="M300" s="54" t="s">
        <v>461</v>
      </c>
      <c r="N300" s="54" t="s">
        <v>462</v>
      </c>
      <c r="O300" s="74">
        <v>46139</v>
      </c>
      <c r="P300" s="57"/>
      <c r="Q300" s="57"/>
      <c r="R300" s="61" t="s">
        <v>31</v>
      </c>
      <c r="S300" s="78"/>
    </row>
    <row r="301" spans="2:19" s="62" customFormat="1" outlineLevel="1" x14ac:dyDescent="0.25">
      <c r="B301" s="53"/>
      <c r="C301" s="54">
        <v>292</v>
      </c>
      <c r="D301" s="54" t="s">
        <v>463</v>
      </c>
      <c r="E301" s="55" t="s">
        <v>1442</v>
      </c>
      <c r="F301" s="53" t="s">
        <v>464</v>
      </c>
      <c r="G301" s="63">
        <v>1</v>
      </c>
      <c r="H301" s="57" t="s">
        <v>152</v>
      </c>
      <c r="I301" s="54" t="s">
        <v>465</v>
      </c>
      <c r="J301" s="54" t="s">
        <v>466</v>
      </c>
      <c r="K301" s="54" t="s">
        <v>467</v>
      </c>
      <c r="L301" s="54" t="s">
        <v>468</v>
      </c>
      <c r="M301" s="54" t="s">
        <v>469</v>
      </c>
      <c r="N301" s="54" t="s">
        <v>470</v>
      </c>
      <c r="O301" s="74">
        <v>46139</v>
      </c>
      <c r="P301" s="57"/>
      <c r="Q301" s="57"/>
      <c r="R301" s="61" t="s">
        <v>31</v>
      </c>
      <c r="S301" s="78"/>
    </row>
    <row r="302" spans="2:19" s="62" customFormat="1" outlineLevel="1" x14ac:dyDescent="0.25">
      <c r="B302" s="53"/>
      <c r="C302" s="54">
        <v>293</v>
      </c>
      <c r="D302" s="54" t="s">
        <v>760</v>
      </c>
      <c r="E302" s="55" t="s">
        <v>1442</v>
      </c>
      <c r="F302" s="53" t="s">
        <v>761</v>
      </c>
      <c r="G302" s="63">
        <v>1</v>
      </c>
      <c r="H302" s="57" t="s">
        <v>61</v>
      </c>
      <c r="I302" s="54" t="s">
        <v>762</v>
      </c>
      <c r="J302" s="54" t="s">
        <v>763</v>
      </c>
      <c r="K302" s="54" t="s">
        <v>764</v>
      </c>
      <c r="L302" s="54" t="s">
        <v>765</v>
      </c>
      <c r="M302" s="54" t="s">
        <v>765</v>
      </c>
      <c r="N302" s="54" t="s">
        <v>766</v>
      </c>
      <c r="O302" s="74">
        <v>46139</v>
      </c>
      <c r="P302" s="57"/>
      <c r="Q302" s="57"/>
      <c r="R302" s="61" t="s">
        <v>31</v>
      </c>
      <c r="S302" s="78"/>
    </row>
    <row r="303" spans="2:19" s="62" customFormat="1" outlineLevel="1" x14ac:dyDescent="0.25">
      <c r="B303" s="53"/>
      <c r="C303" s="54">
        <v>294</v>
      </c>
      <c r="D303" s="54" t="s">
        <v>659</v>
      </c>
      <c r="E303" s="55" t="s">
        <v>1442</v>
      </c>
      <c r="F303" s="53" t="s">
        <v>660</v>
      </c>
      <c r="G303" s="63">
        <v>1</v>
      </c>
      <c r="H303" s="57" t="s">
        <v>152</v>
      </c>
      <c r="I303" s="54" t="s">
        <v>661</v>
      </c>
      <c r="J303" s="54" t="s">
        <v>662</v>
      </c>
      <c r="K303" s="54" t="s">
        <v>663</v>
      </c>
      <c r="L303" s="54" t="s">
        <v>664</v>
      </c>
      <c r="M303" s="54" t="s">
        <v>665</v>
      </c>
      <c r="N303" s="54" t="s">
        <v>666</v>
      </c>
      <c r="O303" s="74">
        <v>46139</v>
      </c>
      <c r="P303" s="57"/>
      <c r="Q303" s="57"/>
      <c r="R303" s="61" t="s">
        <v>31</v>
      </c>
      <c r="S303" s="78"/>
    </row>
    <row r="304" spans="2:19" s="62" customFormat="1" outlineLevel="1" x14ac:dyDescent="0.25">
      <c r="B304" s="53"/>
      <c r="C304" s="54">
        <v>295</v>
      </c>
      <c r="D304" s="54" t="s">
        <v>471</v>
      </c>
      <c r="E304" s="55" t="s">
        <v>1442</v>
      </c>
      <c r="F304" s="53" t="s">
        <v>472</v>
      </c>
      <c r="G304" s="63">
        <v>1</v>
      </c>
      <c r="H304" s="57" t="s">
        <v>111</v>
      </c>
      <c r="I304" s="54" t="s">
        <v>473</v>
      </c>
      <c r="J304" s="54" t="s">
        <v>474</v>
      </c>
      <c r="K304" s="54" t="s">
        <v>475</v>
      </c>
      <c r="L304" s="54" t="s">
        <v>476</v>
      </c>
      <c r="M304" s="54" t="s">
        <v>476</v>
      </c>
      <c r="N304" s="54" t="s">
        <v>477</v>
      </c>
      <c r="O304" s="74">
        <v>46139</v>
      </c>
      <c r="P304" s="57"/>
      <c r="Q304" s="57"/>
      <c r="R304" s="61" t="s">
        <v>31</v>
      </c>
      <c r="S304" s="78"/>
    </row>
    <row r="305" spans="2:19" s="62" customFormat="1" outlineLevel="1" x14ac:dyDescent="0.25">
      <c r="B305" s="53"/>
      <c r="C305" s="54">
        <v>296</v>
      </c>
      <c r="D305" s="54" t="s">
        <v>588</v>
      </c>
      <c r="E305" s="55" t="s">
        <v>1442</v>
      </c>
      <c r="F305" s="53" t="s">
        <v>589</v>
      </c>
      <c r="G305" s="63">
        <v>3</v>
      </c>
      <c r="H305" s="57" t="s">
        <v>24</v>
      </c>
      <c r="I305" s="54" t="s">
        <v>590</v>
      </c>
      <c r="J305" s="54" t="s">
        <v>591</v>
      </c>
      <c r="K305" s="54" t="s">
        <v>592</v>
      </c>
      <c r="L305" s="54" t="s">
        <v>593</v>
      </c>
      <c r="M305" s="54" t="s">
        <v>594</v>
      </c>
      <c r="N305" s="54" t="s">
        <v>595</v>
      </c>
      <c r="O305" s="74">
        <v>46139</v>
      </c>
      <c r="P305" s="57"/>
      <c r="Q305" s="57"/>
      <c r="R305" s="61" t="s">
        <v>31</v>
      </c>
      <c r="S305" s="78"/>
    </row>
    <row r="306" spans="2:19" s="62" customFormat="1" outlineLevel="1" x14ac:dyDescent="0.25">
      <c r="B306" s="53"/>
      <c r="C306" s="54">
        <v>297</v>
      </c>
      <c r="D306" s="54" t="s">
        <v>486</v>
      </c>
      <c r="E306" s="55" t="s">
        <v>1442</v>
      </c>
      <c r="F306" s="53" t="s">
        <v>487</v>
      </c>
      <c r="G306" s="63">
        <v>2</v>
      </c>
      <c r="H306" s="57" t="s">
        <v>152</v>
      </c>
      <c r="I306" s="54" t="s">
        <v>488</v>
      </c>
      <c r="J306" s="54" t="s">
        <v>489</v>
      </c>
      <c r="K306" s="54" t="s">
        <v>490</v>
      </c>
      <c r="L306" s="54" t="s">
        <v>491</v>
      </c>
      <c r="M306" s="54" t="s">
        <v>492</v>
      </c>
      <c r="N306" s="54" t="s">
        <v>493</v>
      </c>
      <c r="O306" s="74">
        <v>46139</v>
      </c>
      <c r="P306" s="57"/>
      <c r="Q306" s="57"/>
      <c r="R306" s="61" t="s">
        <v>31</v>
      </c>
      <c r="S306" s="78"/>
    </row>
    <row r="307" spans="2:19" s="62" customFormat="1" outlineLevel="1" x14ac:dyDescent="0.25">
      <c r="B307" s="53"/>
      <c r="C307" s="54">
        <v>298</v>
      </c>
      <c r="D307" s="54" t="s">
        <v>611</v>
      </c>
      <c r="E307" s="55" t="s">
        <v>1442</v>
      </c>
      <c r="F307" s="53" t="s">
        <v>612</v>
      </c>
      <c r="G307" s="63">
        <v>7</v>
      </c>
      <c r="H307" s="57" t="s">
        <v>24</v>
      </c>
      <c r="I307" s="54" t="s">
        <v>613</v>
      </c>
      <c r="J307" s="54" t="s">
        <v>614</v>
      </c>
      <c r="K307" s="54" t="s">
        <v>615</v>
      </c>
      <c r="L307" s="54" t="s">
        <v>616</v>
      </c>
      <c r="M307" s="54" t="s">
        <v>616</v>
      </c>
      <c r="N307" s="54" t="s">
        <v>617</v>
      </c>
      <c r="O307" s="74">
        <v>46139</v>
      </c>
      <c r="P307" s="57"/>
      <c r="Q307" s="57"/>
      <c r="R307" s="61" t="s">
        <v>31</v>
      </c>
      <c r="S307" s="78"/>
    </row>
    <row r="308" spans="2:19" s="62" customFormat="1" outlineLevel="1" x14ac:dyDescent="0.25">
      <c r="B308" s="53"/>
      <c r="C308" s="54">
        <v>299</v>
      </c>
      <c r="D308" s="54" t="s">
        <v>508</v>
      </c>
      <c r="E308" s="55" t="s">
        <v>1442</v>
      </c>
      <c r="F308" s="53" t="s">
        <v>509</v>
      </c>
      <c r="G308" s="63">
        <v>20</v>
      </c>
      <c r="H308" s="57" t="s">
        <v>61</v>
      </c>
      <c r="I308" s="54" t="s">
        <v>510</v>
      </c>
      <c r="J308" s="54" t="s">
        <v>511</v>
      </c>
      <c r="K308" s="54" t="s">
        <v>512</v>
      </c>
      <c r="L308" s="54" t="s">
        <v>513</v>
      </c>
      <c r="M308" s="54" t="s">
        <v>514</v>
      </c>
      <c r="N308" s="54" t="s">
        <v>515</v>
      </c>
      <c r="O308" s="74">
        <v>46139</v>
      </c>
      <c r="P308" s="57"/>
      <c r="Q308" s="57"/>
      <c r="R308" s="61" t="s">
        <v>31</v>
      </c>
      <c r="S308" s="78"/>
    </row>
    <row r="309" spans="2:19" s="62" customFormat="1" outlineLevel="1" x14ac:dyDescent="0.25">
      <c r="B309" s="53"/>
      <c r="C309" s="54">
        <v>300</v>
      </c>
      <c r="D309" s="54" t="s">
        <v>516</v>
      </c>
      <c r="E309" s="55" t="s">
        <v>1442</v>
      </c>
      <c r="F309" s="67" t="s">
        <v>517</v>
      </c>
      <c r="G309" s="63">
        <v>1</v>
      </c>
      <c r="H309" s="57" t="s">
        <v>61</v>
      </c>
      <c r="I309" s="54" t="s">
        <v>518</v>
      </c>
      <c r="J309" s="54" t="s">
        <v>519</v>
      </c>
      <c r="K309" s="54" t="s">
        <v>520</v>
      </c>
      <c r="L309" s="54" t="s">
        <v>521</v>
      </c>
      <c r="M309" s="54" t="s">
        <v>522</v>
      </c>
      <c r="N309" s="54" t="s">
        <v>523</v>
      </c>
      <c r="O309" s="74">
        <v>46139</v>
      </c>
      <c r="P309" s="57"/>
      <c r="Q309" s="57"/>
      <c r="R309" s="61" t="s">
        <v>31</v>
      </c>
      <c r="S309" s="78"/>
    </row>
    <row r="310" spans="2:19" s="62" customFormat="1" outlineLevel="1" x14ac:dyDescent="0.25">
      <c r="B310" s="53"/>
      <c r="C310" s="54">
        <v>301</v>
      </c>
      <c r="D310" s="54" t="s">
        <v>644</v>
      </c>
      <c r="E310" s="55" t="s">
        <v>1442</v>
      </c>
      <c r="F310" s="53" t="s">
        <v>645</v>
      </c>
      <c r="G310" s="63">
        <v>4</v>
      </c>
      <c r="H310" s="57" t="s">
        <v>61</v>
      </c>
      <c r="I310" s="54" t="s">
        <v>646</v>
      </c>
      <c r="J310" s="54" t="s">
        <v>647</v>
      </c>
      <c r="K310" s="54" t="s">
        <v>648</v>
      </c>
      <c r="L310" s="54" t="s">
        <v>649</v>
      </c>
      <c r="M310" s="54" t="s">
        <v>650</v>
      </c>
      <c r="N310" s="54"/>
      <c r="O310" s="74">
        <v>46139</v>
      </c>
      <c r="P310" s="57"/>
      <c r="Q310" s="57"/>
      <c r="R310" s="61" t="s">
        <v>31</v>
      </c>
      <c r="S310" s="78"/>
    </row>
    <row r="311" spans="2:19" s="33" customFormat="1" x14ac:dyDescent="0.25">
      <c r="B311" s="42"/>
      <c r="C311" s="42"/>
      <c r="D311" s="42"/>
      <c r="E311" s="28" t="s">
        <v>1168</v>
      </c>
      <c r="F311" s="28"/>
      <c r="G311" s="29">
        <f>SUM(G312:G358)</f>
        <v>230</v>
      </c>
      <c r="H311" s="34"/>
      <c r="I311" s="49"/>
      <c r="J311" s="50"/>
      <c r="K311" s="51"/>
      <c r="L311" s="42"/>
      <c r="M311" s="42"/>
      <c r="N311" s="36"/>
      <c r="O311" s="34"/>
      <c r="P311" s="35"/>
      <c r="Q311" s="35"/>
      <c r="R311" s="32" t="s">
        <v>31</v>
      </c>
      <c r="S311" s="32"/>
    </row>
    <row r="312" spans="2:19" s="62" customFormat="1" outlineLevel="1" x14ac:dyDescent="0.25">
      <c r="B312" s="53"/>
      <c r="C312" s="54">
        <v>302</v>
      </c>
      <c r="D312" s="54" t="s">
        <v>21</v>
      </c>
      <c r="E312" s="55" t="s">
        <v>1168</v>
      </c>
      <c r="F312" s="53" t="s">
        <v>22</v>
      </c>
      <c r="G312" s="63">
        <v>5</v>
      </c>
      <c r="H312" s="57" t="s">
        <v>24</v>
      </c>
      <c r="I312" s="54" t="s">
        <v>25</v>
      </c>
      <c r="J312" s="54" t="s">
        <v>26</v>
      </c>
      <c r="K312" s="54" t="s">
        <v>27</v>
      </c>
      <c r="L312" s="54" t="s">
        <v>28</v>
      </c>
      <c r="M312" s="54" t="s">
        <v>29</v>
      </c>
      <c r="N312" s="54" t="s">
        <v>30</v>
      </c>
      <c r="O312" s="74">
        <v>46104</v>
      </c>
      <c r="P312" s="57"/>
      <c r="Q312" s="57"/>
      <c r="R312" s="61" t="s">
        <v>31</v>
      </c>
      <c r="S312" s="61" t="s">
        <v>31</v>
      </c>
    </row>
    <row r="313" spans="2:19" s="62" customFormat="1" outlineLevel="1" x14ac:dyDescent="0.25">
      <c r="B313" s="53"/>
      <c r="C313" s="54">
        <v>303</v>
      </c>
      <c r="D313" s="54" t="s">
        <v>811</v>
      </c>
      <c r="E313" s="55" t="s">
        <v>1168</v>
      </c>
      <c r="F313" s="53" t="s">
        <v>812</v>
      </c>
      <c r="G313" s="63">
        <v>15</v>
      </c>
      <c r="H313" s="57" t="s">
        <v>813</v>
      </c>
      <c r="I313" s="54" t="s">
        <v>814</v>
      </c>
      <c r="J313" s="54" t="s">
        <v>815</v>
      </c>
      <c r="K313" s="54" t="s">
        <v>816</v>
      </c>
      <c r="L313" s="54" t="s">
        <v>817</v>
      </c>
      <c r="M313" s="54" t="s">
        <v>1148</v>
      </c>
      <c r="N313" s="54" t="s">
        <v>819</v>
      </c>
      <c r="O313" s="59">
        <v>46153</v>
      </c>
      <c r="P313" s="57"/>
      <c r="Q313" s="57"/>
      <c r="R313" s="61" t="s">
        <v>31</v>
      </c>
      <c r="S313" s="61" t="s">
        <v>84</v>
      </c>
    </row>
    <row r="314" spans="2:19" s="62" customFormat="1" outlineLevel="1" x14ac:dyDescent="0.25">
      <c r="B314" s="53"/>
      <c r="C314" s="54">
        <v>304</v>
      </c>
      <c r="D314" s="54" t="s">
        <v>34</v>
      </c>
      <c r="E314" s="55" t="s">
        <v>1168</v>
      </c>
      <c r="F314" s="53" t="s">
        <v>35</v>
      </c>
      <c r="G314" s="63">
        <v>5</v>
      </c>
      <c r="H314" s="57" t="s">
        <v>36</v>
      </c>
      <c r="I314" s="54" t="s">
        <v>37</v>
      </c>
      <c r="J314" s="54" t="s">
        <v>38</v>
      </c>
      <c r="K314" s="54" t="s">
        <v>39</v>
      </c>
      <c r="L314" s="54" t="s">
        <v>40</v>
      </c>
      <c r="M314" s="54" t="s">
        <v>858</v>
      </c>
      <c r="N314" s="54" t="s">
        <v>42</v>
      </c>
      <c r="O314" s="74">
        <v>46132</v>
      </c>
      <c r="P314" s="57"/>
      <c r="Q314" s="57"/>
      <c r="R314" s="61" t="s">
        <v>31</v>
      </c>
      <c r="S314" s="61" t="s">
        <v>31</v>
      </c>
    </row>
    <row r="315" spans="2:19" s="62" customFormat="1" outlineLevel="1" x14ac:dyDescent="0.25">
      <c r="B315" s="53"/>
      <c r="C315" s="54">
        <v>305</v>
      </c>
      <c r="D315" s="54" t="s">
        <v>43</v>
      </c>
      <c r="E315" s="55" t="s">
        <v>1168</v>
      </c>
      <c r="F315" s="53" t="s">
        <v>44</v>
      </c>
      <c r="G315" s="63">
        <v>2</v>
      </c>
      <c r="H315" s="57" t="s">
        <v>24</v>
      </c>
      <c r="I315" s="54" t="s">
        <v>45</v>
      </c>
      <c r="J315" s="54" t="s">
        <v>46</v>
      </c>
      <c r="K315" s="54" t="s">
        <v>47</v>
      </c>
      <c r="L315" s="54" t="s">
        <v>48</v>
      </c>
      <c r="M315" s="54" t="s">
        <v>49</v>
      </c>
      <c r="N315" s="54" t="s">
        <v>50</v>
      </c>
      <c r="O315" s="74">
        <v>46104</v>
      </c>
      <c r="P315" s="57"/>
      <c r="Q315" s="57"/>
      <c r="R315" s="61" t="s">
        <v>31</v>
      </c>
      <c r="S315" s="61" t="s">
        <v>31</v>
      </c>
    </row>
    <row r="316" spans="2:19" s="62" customFormat="1" ht="30" customHeight="1" outlineLevel="1" x14ac:dyDescent="0.25">
      <c r="B316" s="53" t="s">
        <v>1154</v>
      </c>
      <c r="C316" s="54">
        <v>306</v>
      </c>
      <c r="D316" s="54" t="s">
        <v>1079</v>
      </c>
      <c r="E316" s="55" t="s">
        <v>1168</v>
      </c>
      <c r="F316" s="53" t="s">
        <v>918</v>
      </c>
      <c r="G316" s="63">
        <v>3</v>
      </c>
      <c r="H316" s="57" t="s">
        <v>152</v>
      </c>
      <c r="I316" s="54" t="s">
        <v>1080</v>
      </c>
      <c r="J316" s="54" t="s">
        <v>1081</v>
      </c>
      <c r="K316" s="54" t="s">
        <v>1082</v>
      </c>
      <c r="L316" s="54" t="s">
        <v>1083</v>
      </c>
      <c r="M316" s="54" t="s">
        <v>1084</v>
      </c>
      <c r="N316" s="54" t="s">
        <v>1085</v>
      </c>
      <c r="O316" s="74">
        <v>46104</v>
      </c>
      <c r="P316" s="57"/>
      <c r="Q316" s="57"/>
      <c r="R316" s="61" t="s">
        <v>31</v>
      </c>
      <c r="S316" s="61" t="s">
        <v>84</v>
      </c>
    </row>
    <row r="317" spans="2:19" s="62" customFormat="1" outlineLevel="1" x14ac:dyDescent="0.25">
      <c r="B317" s="53" t="s">
        <v>1154</v>
      </c>
      <c r="C317" s="54">
        <v>307</v>
      </c>
      <c r="D317" s="54" t="s">
        <v>59</v>
      </c>
      <c r="E317" s="55" t="s">
        <v>1168</v>
      </c>
      <c r="F317" s="53" t="s">
        <v>60</v>
      </c>
      <c r="G317" s="63">
        <v>16</v>
      </c>
      <c r="H317" s="57" t="s">
        <v>61</v>
      </c>
      <c r="I317" s="54" t="s">
        <v>62</v>
      </c>
      <c r="J317" s="54" t="s">
        <v>63</v>
      </c>
      <c r="K317" s="54" t="s">
        <v>64</v>
      </c>
      <c r="L317" s="54" t="s">
        <v>65</v>
      </c>
      <c r="M317" s="54" t="s">
        <v>66</v>
      </c>
      <c r="N317" s="54" t="s">
        <v>67</v>
      </c>
      <c r="O317" s="74">
        <v>46104</v>
      </c>
      <c r="P317" s="57"/>
      <c r="Q317" s="57"/>
      <c r="R317" s="61" t="s">
        <v>31</v>
      </c>
      <c r="S317" s="61" t="s">
        <v>31</v>
      </c>
    </row>
    <row r="318" spans="2:19" s="62" customFormat="1" ht="60" customHeight="1" outlineLevel="1" x14ac:dyDescent="0.25">
      <c r="B318" s="53" t="s">
        <v>1154</v>
      </c>
      <c r="C318" s="54" t="s">
        <v>1208</v>
      </c>
      <c r="D318" s="54" t="s">
        <v>75</v>
      </c>
      <c r="E318" s="55" t="s">
        <v>1168</v>
      </c>
      <c r="F318" s="53" t="s">
        <v>76</v>
      </c>
      <c r="G318" s="63">
        <v>8</v>
      </c>
      <c r="H318" s="57" t="s">
        <v>77</v>
      </c>
      <c r="I318" s="54" t="s">
        <v>1209</v>
      </c>
      <c r="J318" s="54" t="s">
        <v>1210</v>
      </c>
      <c r="K318" s="54" t="s">
        <v>1211</v>
      </c>
      <c r="L318" s="54" t="s">
        <v>81</v>
      </c>
      <c r="M318" s="54" t="s">
        <v>1212</v>
      </c>
      <c r="N318" s="54" t="s">
        <v>83</v>
      </c>
      <c r="O318" s="74">
        <v>46104</v>
      </c>
      <c r="P318" s="57"/>
      <c r="Q318" s="57"/>
      <c r="R318" s="61" t="s">
        <v>31</v>
      </c>
      <c r="S318" s="61" t="s">
        <v>84</v>
      </c>
    </row>
    <row r="319" spans="2:19" s="62" customFormat="1" ht="30" customHeight="1" outlineLevel="1" x14ac:dyDescent="0.25">
      <c r="B319" s="53" t="s">
        <v>1154</v>
      </c>
      <c r="C319" s="54">
        <v>309</v>
      </c>
      <c r="D319" s="54" t="s">
        <v>725</v>
      </c>
      <c r="E319" s="55" t="s">
        <v>1168</v>
      </c>
      <c r="F319" s="53" t="s">
        <v>726</v>
      </c>
      <c r="G319" s="63">
        <v>2</v>
      </c>
      <c r="H319" s="57" t="s">
        <v>727</v>
      </c>
      <c r="I319" s="54" t="s">
        <v>728</v>
      </c>
      <c r="J319" s="54" t="s">
        <v>729</v>
      </c>
      <c r="K319" s="54" t="s">
        <v>730</v>
      </c>
      <c r="L319" s="54" t="s">
        <v>731</v>
      </c>
      <c r="M319" s="54" t="s">
        <v>732</v>
      </c>
      <c r="N319" s="54" t="s">
        <v>733</v>
      </c>
      <c r="O319" s="74">
        <v>46104</v>
      </c>
      <c r="P319" s="57"/>
      <c r="Q319" s="57"/>
      <c r="R319" s="61" t="s">
        <v>31</v>
      </c>
      <c r="S319" s="61" t="s">
        <v>31</v>
      </c>
    </row>
    <row r="320" spans="2:19" s="62" customFormat="1" outlineLevel="1" x14ac:dyDescent="0.25">
      <c r="B320" s="53" t="s">
        <v>1154</v>
      </c>
      <c r="C320" s="54">
        <v>310</v>
      </c>
      <c r="D320" s="54" t="s">
        <v>102</v>
      </c>
      <c r="E320" s="55" t="s">
        <v>1168</v>
      </c>
      <c r="F320" s="53" t="s">
        <v>103</v>
      </c>
      <c r="G320" s="63">
        <v>3</v>
      </c>
      <c r="H320" s="57" t="s">
        <v>61</v>
      </c>
      <c r="I320" s="54" t="s">
        <v>104</v>
      </c>
      <c r="J320" s="54" t="s">
        <v>105</v>
      </c>
      <c r="K320" s="54" t="s">
        <v>106</v>
      </c>
      <c r="L320" s="54" t="s">
        <v>107</v>
      </c>
      <c r="M320" s="54" t="s">
        <v>107</v>
      </c>
      <c r="N320" s="54" t="s">
        <v>108</v>
      </c>
      <c r="O320" s="74">
        <v>46104</v>
      </c>
      <c r="P320" s="57"/>
      <c r="Q320" s="57"/>
      <c r="R320" s="61" t="s">
        <v>31</v>
      </c>
      <c r="S320" s="61" t="s">
        <v>84</v>
      </c>
    </row>
    <row r="321" spans="2:20" s="62" customFormat="1" outlineLevel="1" x14ac:dyDescent="0.25">
      <c r="B321" s="53" t="s">
        <v>1154</v>
      </c>
      <c r="C321" s="54">
        <v>311</v>
      </c>
      <c r="D321" s="54" t="s">
        <v>536</v>
      </c>
      <c r="E321" s="55" t="s">
        <v>1168</v>
      </c>
      <c r="F321" s="53" t="s">
        <v>537</v>
      </c>
      <c r="G321" s="63">
        <v>1</v>
      </c>
      <c r="H321" s="57" t="s">
        <v>111</v>
      </c>
      <c r="I321" s="54" t="s">
        <v>538</v>
      </c>
      <c r="J321" s="54" t="s">
        <v>539</v>
      </c>
      <c r="K321" s="54" t="s">
        <v>540</v>
      </c>
      <c r="L321" s="54" t="s">
        <v>541</v>
      </c>
      <c r="M321" s="54" t="s">
        <v>541</v>
      </c>
      <c r="N321" s="54" t="s">
        <v>542</v>
      </c>
      <c r="O321" s="74">
        <v>46104</v>
      </c>
      <c r="P321" s="57"/>
      <c r="Q321" s="57"/>
      <c r="R321" s="61" t="s">
        <v>31</v>
      </c>
      <c r="S321" s="61" t="s">
        <v>84</v>
      </c>
    </row>
    <row r="322" spans="2:20" s="62" customFormat="1" outlineLevel="1" x14ac:dyDescent="0.25">
      <c r="B322" s="53" t="s">
        <v>1154</v>
      </c>
      <c r="C322" s="54">
        <v>312</v>
      </c>
      <c r="D322" s="54" t="s">
        <v>150</v>
      </c>
      <c r="E322" s="55" t="s">
        <v>1168</v>
      </c>
      <c r="F322" s="53" t="s">
        <v>151</v>
      </c>
      <c r="G322" s="63">
        <v>2</v>
      </c>
      <c r="H322" s="57" t="s">
        <v>152</v>
      </c>
      <c r="I322" s="54" t="s">
        <v>153</v>
      </c>
      <c r="J322" s="54" t="s">
        <v>154</v>
      </c>
      <c r="K322" s="54" t="s">
        <v>155</v>
      </c>
      <c r="L322" s="54" t="s">
        <v>156</v>
      </c>
      <c r="M322" s="54" t="s">
        <v>1172</v>
      </c>
      <c r="N322" s="54" t="s">
        <v>158</v>
      </c>
      <c r="O322" s="74">
        <v>46104</v>
      </c>
      <c r="P322" s="57"/>
      <c r="Q322" s="57"/>
      <c r="R322" s="61" t="s">
        <v>31</v>
      </c>
      <c r="S322" s="61" t="s">
        <v>84</v>
      </c>
    </row>
    <row r="323" spans="2:20" s="62" customFormat="1" outlineLevel="1" x14ac:dyDescent="0.25">
      <c r="B323" s="53" t="s">
        <v>1154</v>
      </c>
      <c r="C323" s="54">
        <v>313</v>
      </c>
      <c r="D323" s="54" t="s">
        <v>166</v>
      </c>
      <c r="E323" s="55" t="s">
        <v>1168</v>
      </c>
      <c r="F323" s="53" t="s">
        <v>167</v>
      </c>
      <c r="G323" s="63">
        <v>1</v>
      </c>
      <c r="H323" s="57" t="s">
        <v>61</v>
      </c>
      <c r="I323" s="54" t="s">
        <v>168</v>
      </c>
      <c r="J323" s="54" t="s">
        <v>169</v>
      </c>
      <c r="K323" s="54" t="s">
        <v>170</v>
      </c>
      <c r="L323" s="54" t="s">
        <v>171</v>
      </c>
      <c r="M323" s="54" t="s">
        <v>172</v>
      </c>
      <c r="N323" s="54" t="s">
        <v>173</v>
      </c>
      <c r="O323" s="74">
        <v>46104</v>
      </c>
      <c r="P323" s="57"/>
      <c r="Q323" s="57"/>
      <c r="R323" s="61" t="s">
        <v>31</v>
      </c>
      <c r="S323" s="61" t="s">
        <v>84</v>
      </c>
    </row>
    <row r="324" spans="2:20" s="62" customFormat="1" outlineLevel="1" x14ac:dyDescent="0.25">
      <c r="B324" s="53" t="s">
        <v>1154</v>
      </c>
      <c r="C324" s="54">
        <v>314</v>
      </c>
      <c r="D324" s="54" t="s">
        <v>667</v>
      </c>
      <c r="E324" s="55" t="s">
        <v>1168</v>
      </c>
      <c r="F324" s="53" t="s">
        <v>668</v>
      </c>
      <c r="G324" s="63">
        <v>1</v>
      </c>
      <c r="H324" s="57" t="s">
        <v>61</v>
      </c>
      <c r="I324" s="54" t="s">
        <v>669</v>
      </c>
      <c r="J324" s="54" t="s">
        <v>670</v>
      </c>
      <c r="K324" s="68" t="s">
        <v>671</v>
      </c>
      <c r="L324" s="54" t="s">
        <v>672</v>
      </c>
      <c r="M324" s="54" t="s">
        <v>672</v>
      </c>
      <c r="N324" s="54" t="s">
        <v>673</v>
      </c>
      <c r="O324" s="74">
        <v>46104</v>
      </c>
      <c r="P324" s="57"/>
      <c r="Q324" s="57"/>
      <c r="R324" s="61" t="s">
        <v>31</v>
      </c>
      <c r="S324" s="61" t="s">
        <v>84</v>
      </c>
    </row>
    <row r="325" spans="2:20" s="62" customFormat="1" ht="75" customHeight="1" outlineLevel="1" x14ac:dyDescent="0.25">
      <c r="B325" s="53"/>
      <c r="C325" s="54" t="s">
        <v>1203</v>
      </c>
      <c r="D325" s="54" t="s">
        <v>190</v>
      </c>
      <c r="E325" s="55" t="s">
        <v>1168</v>
      </c>
      <c r="F325" s="53" t="s">
        <v>191</v>
      </c>
      <c r="G325" s="63">
        <v>6</v>
      </c>
      <c r="H325" s="57" t="s">
        <v>24</v>
      </c>
      <c r="I325" s="54" t="s">
        <v>1204</v>
      </c>
      <c r="J325" s="54" t="s">
        <v>1205</v>
      </c>
      <c r="K325" s="54" t="s">
        <v>1206</v>
      </c>
      <c r="L325" s="54" t="s">
        <v>195</v>
      </c>
      <c r="M325" s="54" t="s">
        <v>1462</v>
      </c>
      <c r="N325" s="54" t="s">
        <v>197</v>
      </c>
      <c r="O325" s="74">
        <v>46104</v>
      </c>
      <c r="P325" s="57"/>
      <c r="Q325" s="57"/>
      <c r="R325" s="61" t="s">
        <v>31</v>
      </c>
      <c r="S325" s="61" t="s">
        <v>31</v>
      </c>
      <c r="T325" s="62" t="s">
        <v>1463</v>
      </c>
    </row>
    <row r="326" spans="2:20" s="62" customFormat="1" outlineLevel="1" x14ac:dyDescent="0.25">
      <c r="B326" s="53" t="s">
        <v>1154</v>
      </c>
      <c r="C326" s="54">
        <v>316</v>
      </c>
      <c r="D326" s="54" t="s">
        <v>198</v>
      </c>
      <c r="E326" s="55" t="s">
        <v>1168</v>
      </c>
      <c r="F326" s="53" t="s">
        <v>199</v>
      </c>
      <c r="G326" s="63">
        <v>1</v>
      </c>
      <c r="H326" s="57" t="s">
        <v>200</v>
      </c>
      <c r="I326" s="54" t="s">
        <v>201</v>
      </c>
      <c r="J326" s="54" t="s">
        <v>202</v>
      </c>
      <c r="K326" s="54" t="s">
        <v>203</v>
      </c>
      <c r="L326" s="54" t="s">
        <v>204</v>
      </c>
      <c r="M326" s="54" t="s">
        <v>1197</v>
      </c>
      <c r="N326" s="54" t="s">
        <v>206</v>
      </c>
      <c r="O326" s="74">
        <v>46104</v>
      </c>
      <c r="P326" s="57"/>
      <c r="Q326" s="57"/>
      <c r="R326" s="61" t="s">
        <v>31</v>
      </c>
      <c r="S326" s="61" t="s">
        <v>84</v>
      </c>
    </row>
    <row r="327" spans="2:20" s="62" customFormat="1" outlineLevel="1" x14ac:dyDescent="0.25">
      <c r="B327" s="53" t="s">
        <v>1154</v>
      </c>
      <c r="C327" s="54">
        <v>317</v>
      </c>
      <c r="D327" s="54" t="s">
        <v>223</v>
      </c>
      <c r="E327" s="55" t="s">
        <v>1168</v>
      </c>
      <c r="F327" s="53" t="s">
        <v>224</v>
      </c>
      <c r="G327" s="63">
        <v>1</v>
      </c>
      <c r="H327" s="57" t="s">
        <v>61</v>
      </c>
      <c r="I327" s="54" t="s">
        <v>225</v>
      </c>
      <c r="J327" s="54" t="s">
        <v>226</v>
      </c>
      <c r="K327" s="54" t="s">
        <v>227</v>
      </c>
      <c r="L327" s="54" t="s">
        <v>228</v>
      </c>
      <c r="M327" s="54" t="s">
        <v>229</v>
      </c>
      <c r="N327" s="54" t="s">
        <v>230</v>
      </c>
      <c r="O327" s="74">
        <v>46104</v>
      </c>
      <c r="P327" s="57"/>
      <c r="Q327" s="57"/>
      <c r="R327" s="61" t="s">
        <v>31</v>
      </c>
      <c r="S327" s="61" t="s">
        <v>31</v>
      </c>
    </row>
    <row r="328" spans="2:20" s="62" customFormat="1" ht="60" customHeight="1" outlineLevel="1" x14ac:dyDescent="0.25">
      <c r="B328" s="53" t="s">
        <v>1464</v>
      </c>
      <c r="C328" s="54" t="s">
        <v>1213</v>
      </c>
      <c r="D328" s="54" t="s">
        <v>231</v>
      </c>
      <c r="E328" s="55" t="s">
        <v>1168</v>
      </c>
      <c r="F328" s="53" t="s">
        <v>232</v>
      </c>
      <c r="G328" s="63">
        <v>5</v>
      </c>
      <c r="H328" s="57" t="s">
        <v>61</v>
      </c>
      <c r="I328" s="54" t="s">
        <v>702</v>
      </c>
      <c r="J328" s="54" t="s">
        <v>703</v>
      </c>
      <c r="K328" s="54" t="s">
        <v>704</v>
      </c>
      <c r="L328" s="54" t="s">
        <v>236</v>
      </c>
      <c r="M328" s="54" t="s">
        <v>1214</v>
      </c>
      <c r="N328" s="54" t="s">
        <v>238</v>
      </c>
      <c r="O328" s="74">
        <v>46104</v>
      </c>
      <c r="P328" s="57"/>
      <c r="Q328" s="57"/>
      <c r="R328" s="61" t="s">
        <v>31</v>
      </c>
      <c r="S328" s="61" t="s">
        <v>84</v>
      </c>
    </row>
    <row r="329" spans="2:20" s="62" customFormat="1" ht="30" customHeight="1" outlineLevel="1" x14ac:dyDescent="0.25">
      <c r="B329" s="53"/>
      <c r="C329" s="54" t="s">
        <v>1216</v>
      </c>
      <c r="D329" s="54" t="s">
        <v>795</v>
      </c>
      <c r="E329" s="55" t="s">
        <v>1168</v>
      </c>
      <c r="F329" s="53" t="s">
        <v>796</v>
      </c>
      <c r="G329" s="63">
        <v>16</v>
      </c>
      <c r="H329" s="57" t="s">
        <v>61</v>
      </c>
      <c r="I329" s="54" t="s">
        <v>797</v>
      </c>
      <c r="J329" s="54" t="s">
        <v>798</v>
      </c>
      <c r="K329" s="65" t="s">
        <v>799</v>
      </c>
      <c r="L329" s="54" t="s">
        <v>236</v>
      </c>
      <c r="M329" s="54" t="s">
        <v>1217</v>
      </c>
      <c r="N329" s="54" t="s">
        <v>801</v>
      </c>
      <c r="O329" s="74">
        <v>46104</v>
      </c>
      <c r="P329" s="57"/>
      <c r="Q329" s="57"/>
      <c r="R329" s="61" t="s">
        <v>31</v>
      </c>
      <c r="S329" s="61" t="s">
        <v>84</v>
      </c>
      <c r="T329" s="62" t="s">
        <v>1465</v>
      </c>
    </row>
    <row r="330" spans="2:20" s="62" customFormat="1" outlineLevel="1" x14ac:dyDescent="0.25">
      <c r="B330" s="53"/>
      <c r="C330" s="54">
        <v>320</v>
      </c>
      <c r="D330" s="54" t="s">
        <v>239</v>
      </c>
      <c r="E330" s="55" t="s">
        <v>1168</v>
      </c>
      <c r="F330" s="53" t="s">
        <v>240</v>
      </c>
      <c r="G330" s="63">
        <v>1</v>
      </c>
      <c r="H330" s="57" t="s">
        <v>24</v>
      </c>
      <c r="I330" s="54" t="s">
        <v>241</v>
      </c>
      <c r="J330" s="54" t="s">
        <v>242</v>
      </c>
      <c r="K330" s="54" t="s">
        <v>243</v>
      </c>
      <c r="L330" s="54" t="s">
        <v>244</v>
      </c>
      <c r="M330" s="54" t="s">
        <v>244</v>
      </c>
      <c r="N330" s="54" t="s">
        <v>246</v>
      </c>
      <c r="O330" s="74">
        <v>46104</v>
      </c>
      <c r="P330" s="57"/>
      <c r="Q330" s="57"/>
      <c r="R330" s="61" t="s">
        <v>31</v>
      </c>
      <c r="S330" s="61" t="s">
        <v>31</v>
      </c>
    </row>
    <row r="331" spans="2:20" s="62" customFormat="1" ht="30" customHeight="1" outlineLevel="1" x14ac:dyDescent="0.25">
      <c r="B331" s="53" t="s">
        <v>1154</v>
      </c>
      <c r="C331" s="54">
        <v>321</v>
      </c>
      <c r="D331" s="54" t="s">
        <v>247</v>
      </c>
      <c r="E331" s="55" t="s">
        <v>1168</v>
      </c>
      <c r="F331" s="53" t="s">
        <v>248</v>
      </c>
      <c r="G331" s="63">
        <v>1</v>
      </c>
      <c r="H331" s="57" t="s">
        <v>61</v>
      </c>
      <c r="I331" s="54" t="s">
        <v>528</v>
      </c>
      <c r="J331" s="54" t="s">
        <v>1068</v>
      </c>
      <c r="K331" s="68" t="s">
        <v>530</v>
      </c>
      <c r="L331" s="54" t="s">
        <v>252</v>
      </c>
      <c r="M331" s="54" t="s">
        <v>531</v>
      </c>
      <c r="N331" s="54" t="s">
        <v>254</v>
      </c>
      <c r="O331" s="74">
        <v>46104</v>
      </c>
      <c r="P331" s="57"/>
      <c r="Q331" s="57"/>
      <c r="R331" s="61" t="s">
        <v>31</v>
      </c>
      <c r="S331" s="61" t="s">
        <v>84</v>
      </c>
    </row>
    <row r="332" spans="2:20" s="62" customFormat="1" outlineLevel="1" x14ac:dyDescent="0.25">
      <c r="B332" s="53" t="s">
        <v>1154</v>
      </c>
      <c r="C332" s="54">
        <v>322</v>
      </c>
      <c r="D332" s="54" t="s">
        <v>263</v>
      </c>
      <c r="E332" s="55" t="s">
        <v>1168</v>
      </c>
      <c r="F332" s="53" t="s">
        <v>264</v>
      </c>
      <c r="G332" s="63">
        <v>3</v>
      </c>
      <c r="H332" s="57" t="s">
        <v>61</v>
      </c>
      <c r="I332" s="54" t="s">
        <v>265</v>
      </c>
      <c r="J332" s="54" t="s">
        <v>266</v>
      </c>
      <c r="K332" s="54" t="s">
        <v>267</v>
      </c>
      <c r="L332" s="54" t="s">
        <v>252</v>
      </c>
      <c r="M332" s="54" t="s">
        <v>268</v>
      </c>
      <c r="N332" s="54" t="s">
        <v>269</v>
      </c>
      <c r="O332" s="74">
        <v>46104</v>
      </c>
      <c r="P332" s="57"/>
      <c r="Q332" s="57"/>
      <c r="R332" s="61" t="s">
        <v>31</v>
      </c>
      <c r="S332" s="61" t="s">
        <v>31</v>
      </c>
    </row>
    <row r="333" spans="2:20" s="62" customFormat="1" outlineLevel="1" x14ac:dyDescent="0.25">
      <c r="B333" s="53" t="s">
        <v>1154</v>
      </c>
      <c r="C333" s="54">
        <v>323</v>
      </c>
      <c r="D333" s="54" t="s">
        <v>651</v>
      </c>
      <c r="E333" s="55" t="s">
        <v>1168</v>
      </c>
      <c r="F333" s="53" t="s">
        <v>652</v>
      </c>
      <c r="G333" s="63">
        <v>5</v>
      </c>
      <c r="H333" s="57" t="s">
        <v>111</v>
      </c>
      <c r="I333" s="54" t="s">
        <v>653</v>
      </c>
      <c r="J333" s="54" t="s">
        <v>654</v>
      </c>
      <c r="K333" s="54" t="s">
        <v>655</v>
      </c>
      <c r="L333" s="54" t="s">
        <v>656</v>
      </c>
      <c r="M333" s="54" t="s">
        <v>657</v>
      </c>
      <c r="N333" s="54" t="s">
        <v>658</v>
      </c>
      <c r="O333" s="74">
        <v>46104</v>
      </c>
      <c r="P333" s="57"/>
      <c r="Q333" s="57"/>
      <c r="R333" s="61" t="s">
        <v>31</v>
      </c>
      <c r="S333" s="61" t="s">
        <v>31</v>
      </c>
    </row>
    <row r="334" spans="2:20" s="62" customFormat="1" outlineLevel="1" x14ac:dyDescent="0.25">
      <c r="B334" s="53" t="s">
        <v>1154</v>
      </c>
      <c r="C334" s="54">
        <v>324</v>
      </c>
      <c r="D334" s="54" t="s">
        <v>270</v>
      </c>
      <c r="E334" s="55" t="s">
        <v>1168</v>
      </c>
      <c r="F334" s="53" t="s">
        <v>271</v>
      </c>
      <c r="G334" s="63">
        <v>4</v>
      </c>
      <c r="H334" s="57" t="s">
        <v>61</v>
      </c>
      <c r="I334" s="54" t="s">
        <v>272</v>
      </c>
      <c r="J334" s="54" t="s">
        <v>273</v>
      </c>
      <c r="K334" s="54" t="s">
        <v>274</v>
      </c>
      <c r="L334" s="54" t="s">
        <v>792</v>
      </c>
      <c r="M334" s="54" t="s">
        <v>792</v>
      </c>
      <c r="N334" s="54" t="s">
        <v>277</v>
      </c>
      <c r="O334" s="74">
        <v>46104</v>
      </c>
      <c r="P334" s="57"/>
      <c r="Q334" s="57"/>
      <c r="R334" s="61" t="s">
        <v>31</v>
      </c>
      <c r="S334" s="61" t="s">
        <v>31</v>
      </c>
    </row>
    <row r="335" spans="2:20" s="62" customFormat="1" outlineLevel="1" x14ac:dyDescent="0.25">
      <c r="B335" s="53" t="s">
        <v>1154</v>
      </c>
      <c r="C335" s="54">
        <v>325</v>
      </c>
      <c r="D335" s="54" t="s">
        <v>743</v>
      </c>
      <c r="E335" s="55" t="s">
        <v>1168</v>
      </c>
      <c r="F335" s="53" t="s">
        <v>744</v>
      </c>
      <c r="G335" s="63">
        <v>2</v>
      </c>
      <c r="H335" s="57" t="s">
        <v>745</v>
      </c>
      <c r="I335" s="54" t="s">
        <v>746</v>
      </c>
      <c r="J335" s="54" t="s">
        <v>747</v>
      </c>
      <c r="K335" s="54" t="s">
        <v>748</v>
      </c>
      <c r="L335" s="54" t="s">
        <v>749</v>
      </c>
      <c r="M335" s="54" t="s">
        <v>750</v>
      </c>
      <c r="N335" s="54" t="s">
        <v>751</v>
      </c>
      <c r="O335" s="74">
        <v>46104</v>
      </c>
      <c r="P335" s="57"/>
      <c r="Q335" s="57"/>
      <c r="R335" s="61" t="s">
        <v>31</v>
      </c>
      <c r="S335" s="61" t="s">
        <v>84</v>
      </c>
    </row>
    <row r="336" spans="2:20" s="62" customFormat="1" outlineLevel="1" x14ac:dyDescent="0.25">
      <c r="B336" s="53" t="s">
        <v>1154</v>
      </c>
      <c r="C336" s="54">
        <v>326</v>
      </c>
      <c r="D336" s="54" t="s">
        <v>859</v>
      </c>
      <c r="E336" s="55" t="s">
        <v>1168</v>
      </c>
      <c r="F336" s="53" t="s">
        <v>860</v>
      </c>
      <c r="G336" s="63">
        <v>1</v>
      </c>
      <c r="H336" s="57" t="s">
        <v>861</v>
      </c>
      <c r="I336" s="54" t="s">
        <v>862</v>
      </c>
      <c r="J336" s="54" t="s">
        <v>863</v>
      </c>
      <c r="K336" s="54" t="s">
        <v>864</v>
      </c>
      <c r="L336" s="54" t="s">
        <v>865</v>
      </c>
      <c r="M336" s="54" t="s">
        <v>866</v>
      </c>
      <c r="N336" s="54" t="s">
        <v>867</v>
      </c>
      <c r="O336" s="74">
        <v>46104</v>
      </c>
      <c r="P336" s="57"/>
      <c r="Q336" s="57"/>
      <c r="R336" s="61" t="s">
        <v>31</v>
      </c>
      <c r="S336" s="61" t="s">
        <v>31</v>
      </c>
    </row>
    <row r="337" spans="2:20" s="62" customFormat="1" outlineLevel="1" x14ac:dyDescent="0.25">
      <c r="B337" s="53" t="s">
        <v>1154</v>
      </c>
      <c r="C337" s="54">
        <v>327</v>
      </c>
      <c r="D337" s="54" t="s">
        <v>318</v>
      </c>
      <c r="E337" s="55" t="s">
        <v>1168</v>
      </c>
      <c r="F337" s="53" t="s">
        <v>319</v>
      </c>
      <c r="G337" s="63">
        <v>2</v>
      </c>
      <c r="H337" s="57" t="s">
        <v>111</v>
      </c>
      <c r="I337" s="54" t="s">
        <v>320</v>
      </c>
      <c r="J337" s="54" t="s">
        <v>321</v>
      </c>
      <c r="K337" s="54" t="s">
        <v>322</v>
      </c>
      <c r="L337" s="54" t="s">
        <v>323</v>
      </c>
      <c r="M337" s="54" t="s">
        <v>324</v>
      </c>
      <c r="N337" s="54" t="s">
        <v>325</v>
      </c>
      <c r="O337" s="74">
        <v>46104</v>
      </c>
      <c r="P337" s="57"/>
      <c r="Q337" s="57"/>
      <c r="R337" s="61" t="s">
        <v>31</v>
      </c>
      <c r="S337" s="61" t="s">
        <v>84</v>
      </c>
    </row>
    <row r="338" spans="2:20" s="62" customFormat="1" outlineLevel="1" x14ac:dyDescent="0.25">
      <c r="B338" s="53" t="s">
        <v>1154</v>
      </c>
      <c r="C338" s="54">
        <v>328</v>
      </c>
      <c r="D338" s="54" t="s">
        <v>326</v>
      </c>
      <c r="E338" s="55" t="s">
        <v>1168</v>
      </c>
      <c r="F338" s="53" t="s">
        <v>327</v>
      </c>
      <c r="G338" s="63">
        <v>1</v>
      </c>
      <c r="H338" s="57" t="s">
        <v>152</v>
      </c>
      <c r="I338" s="54" t="s">
        <v>328</v>
      </c>
      <c r="J338" s="54" t="s">
        <v>329</v>
      </c>
      <c r="K338" s="54" t="s">
        <v>330</v>
      </c>
      <c r="L338" s="54" t="s">
        <v>331</v>
      </c>
      <c r="M338" s="54" t="s">
        <v>332</v>
      </c>
      <c r="N338" s="54" t="s">
        <v>333</v>
      </c>
      <c r="O338" s="74">
        <v>46104</v>
      </c>
      <c r="P338" s="57"/>
      <c r="Q338" s="57"/>
      <c r="R338" s="61" t="s">
        <v>31</v>
      </c>
      <c r="S338" s="61" t="s">
        <v>31</v>
      </c>
    </row>
    <row r="339" spans="2:20" s="62" customFormat="1" outlineLevel="1" x14ac:dyDescent="0.25">
      <c r="B339" s="53" t="s">
        <v>1154</v>
      </c>
      <c r="C339" s="54">
        <v>329</v>
      </c>
      <c r="D339" s="54" t="s">
        <v>334</v>
      </c>
      <c r="E339" s="55" t="s">
        <v>1168</v>
      </c>
      <c r="F339" s="53" t="s">
        <v>335</v>
      </c>
      <c r="G339" s="63">
        <v>1</v>
      </c>
      <c r="H339" s="57" t="s">
        <v>61</v>
      </c>
      <c r="I339" s="54" t="s">
        <v>336</v>
      </c>
      <c r="J339" s="54" t="s">
        <v>337</v>
      </c>
      <c r="K339" s="54" t="s">
        <v>338</v>
      </c>
      <c r="L339" s="54" t="s">
        <v>339</v>
      </c>
      <c r="M339" s="54" t="s">
        <v>543</v>
      </c>
      <c r="N339" s="54" t="s">
        <v>341</v>
      </c>
      <c r="O339" s="74">
        <v>46104</v>
      </c>
      <c r="P339" s="57"/>
      <c r="Q339" s="57"/>
      <c r="R339" s="61" t="s">
        <v>31</v>
      </c>
      <c r="S339" s="61" t="s">
        <v>84</v>
      </c>
    </row>
    <row r="340" spans="2:20" s="62" customFormat="1" outlineLevel="1" x14ac:dyDescent="0.25">
      <c r="B340" s="53" t="s">
        <v>1154</v>
      </c>
      <c r="C340" s="54">
        <v>330</v>
      </c>
      <c r="D340" s="54" t="s">
        <v>802</v>
      </c>
      <c r="E340" s="55" t="s">
        <v>1168</v>
      </c>
      <c r="F340" s="53" t="s">
        <v>803</v>
      </c>
      <c r="G340" s="63">
        <v>10</v>
      </c>
      <c r="H340" s="57" t="s">
        <v>804</v>
      </c>
      <c r="I340" s="54" t="s">
        <v>805</v>
      </c>
      <c r="J340" s="54" t="s">
        <v>806</v>
      </c>
      <c r="K340" s="54" t="s">
        <v>807</v>
      </c>
      <c r="L340" s="54" t="s">
        <v>808</v>
      </c>
      <c r="M340" s="54" t="s">
        <v>809</v>
      </c>
      <c r="N340" s="54" t="s">
        <v>810</v>
      </c>
      <c r="O340" s="74">
        <v>46104</v>
      </c>
      <c r="P340" s="57"/>
      <c r="Q340" s="57"/>
      <c r="R340" s="61" t="s">
        <v>31</v>
      </c>
      <c r="S340" s="61" t="s">
        <v>84</v>
      </c>
    </row>
    <row r="341" spans="2:20" s="62" customFormat="1" ht="60" customHeight="1" outlineLevel="1" x14ac:dyDescent="0.25">
      <c r="B341" s="53" t="s">
        <v>1154</v>
      </c>
      <c r="C341" s="54" t="s">
        <v>1189</v>
      </c>
      <c r="D341" s="54" t="s">
        <v>366</v>
      </c>
      <c r="E341" s="55" t="s">
        <v>1168</v>
      </c>
      <c r="F341" s="53" t="s">
        <v>367</v>
      </c>
      <c r="G341" s="63">
        <v>15</v>
      </c>
      <c r="H341" s="57" t="s">
        <v>368</v>
      </c>
      <c r="I341" s="54" t="s">
        <v>369</v>
      </c>
      <c r="J341" s="54" t="s">
        <v>370</v>
      </c>
      <c r="K341" s="54" t="s">
        <v>371</v>
      </c>
      <c r="L341" s="54" t="s">
        <v>372</v>
      </c>
      <c r="M341" s="54" t="s">
        <v>1190</v>
      </c>
      <c r="N341" s="54" t="s">
        <v>374</v>
      </c>
      <c r="O341" s="74">
        <v>46104</v>
      </c>
      <c r="P341" s="57"/>
      <c r="Q341" s="57"/>
      <c r="R341" s="61" t="s">
        <v>31</v>
      </c>
      <c r="S341" s="61" t="s">
        <v>84</v>
      </c>
    </row>
    <row r="342" spans="2:20" s="62" customFormat="1" outlineLevel="1" x14ac:dyDescent="0.25">
      <c r="B342" s="53" t="s">
        <v>1154</v>
      </c>
      <c r="C342" s="54">
        <v>332</v>
      </c>
      <c r="D342" s="54" t="s">
        <v>604</v>
      </c>
      <c r="E342" s="55" t="s">
        <v>1168</v>
      </c>
      <c r="F342" s="53" t="s">
        <v>605</v>
      </c>
      <c r="G342" s="63">
        <v>15</v>
      </c>
      <c r="H342" s="57" t="s">
        <v>61</v>
      </c>
      <c r="I342" s="54" t="s">
        <v>606</v>
      </c>
      <c r="J342" s="54" t="s">
        <v>607</v>
      </c>
      <c r="K342" s="54" t="s">
        <v>608</v>
      </c>
      <c r="L342" s="54" t="s">
        <v>252</v>
      </c>
      <c r="M342" s="54" t="s">
        <v>609</v>
      </c>
      <c r="N342" s="54" t="s">
        <v>610</v>
      </c>
      <c r="O342" s="74">
        <v>46104</v>
      </c>
      <c r="P342" s="57"/>
      <c r="Q342" s="57"/>
      <c r="R342" s="61" t="s">
        <v>31</v>
      </c>
      <c r="S342" s="61" t="s">
        <v>31</v>
      </c>
    </row>
    <row r="343" spans="2:20" s="62" customFormat="1" ht="54" customHeight="1" outlineLevel="1" x14ac:dyDescent="0.25">
      <c r="B343" s="53" t="s">
        <v>1466</v>
      </c>
      <c r="C343" s="54" t="s">
        <v>1192</v>
      </c>
      <c r="D343" s="54" t="s">
        <v>375</v>
      </c>
      <c r="E343" s="53" t="s">
        <v>1168</v>
      </c>
      <c r="F343" s="53" t="s">
        <v>376</v>
      </c>
      <c r="G343" s="63">
        <v>15</v>
      </c>
      <c r="H343" s="57" t="s">
        <v>111</v>
      </c>
      <c r="I343" s="54" t="s">
        <v>1193</v>
      </c>
      <c r="J343" s="54" t="s">
        <v>1194</v>
      </c>
      <c r="K343" s="54" t="s">
        <v>1195</v>
      </c>
      <c r="L343" s="54" t="s">
        <v>380</v>
      </c>
      <c r="M343" s="54" t="s">
        <v>1781</v>
      </c>
      <c r="N343" s="54" t="s">
        <v>382</v>
      </c>
      <c r="O343" s="74">
        <v>46104</v>
      </c>
      <c r="P343" s="57"/>
      <c r="Q343" s="57"/>
      <c r="R343" s="61" t="s">
        <v>31</v>
      </c>
      <c r="S343" s="61" t="s">
        <v>31</v>
      </c>
      <c r="T343" s="62" t="s">
        <v>1782</v>
      </c>
    </row>
    <row r="344" spans="2:20" s="62" customFormat="1" outlineLevel="1" x14ac:dyDescent="0.25">
      <c r="B344" s="53" t="s">
        <v>1154</v>
      </c>
      <c r="C344" s="54">
        <v>334</v>
      </c>
      <c r="D344" s="54" t="s">
        <v>383</v>
      </c>
      <c r="E344" s="55" t="s">
        <v>1168</v>
      </c>
      <c r="F344" s="53" t="s">
        <v>384</v>
      </c>
      <c r="G344" s="63">
        <v>1</v>
      </c>
      <c r="H344" s="57" t="s">
        <v>61</v>
      </c>
      <c r="I344" s="54" t="s">
        <v>385</v>
      </c>
      <c r="J344" s="54" t="s">
        <v>386</v>
      </c>
      <c r="K344" s="54" t="s">
        <v>387</v>
      </c>
      <c r="L344" s="54" t="s">
        <v>388</v>
      </c>
      <c r="M344" s="54" t="s">
        <v>389</v>
      </c>
      <c r="N344" s="54" t="s">
        <v>390</v>
      </c>
      <c r="O344" s="74">
        <v>46104</v>
      </c>
      <c r="P344" s="57"/>
      <c r="Q344" s="57"/>
      <c r="R344" s="61" t="s">
        <v>31</v>
      </c>
      <c r="S344" s="61" t="s">
        <v>84</v>
      </c>
    </row>
    <row r="345" spans="2:20" s="62" customFormat="1" outlineLevel="1" x14ac:dyDescent="0.25">
      <c r="B345" s="53" t="s">
        <v>1154</v>
      </c>
      <c r="C345" s="54">
        <v>335</v>
      </c>
      <c r="D345" s="54" t="s">
        <v>399</v>
      </c>
      <c r="E345" s="55" t="s">
        <v>1168</v>
      </c>
      <c r="F345" s="53" t="s">
        <v>400</v>
      </c>
      <c r="G345" s="63">
        <v>2</v>
      </c>
      <c r="H345" s="57" t="s">
        <v>152</v>
      </c>
      <c r="I345" s="54" t="s">
        <v>401</v>
      </c>
      <c r="J345" s="54" t="s">
        <v>402</v>
      </c>
      <c r="K345" s="54" t="s">
        <v>403</v>
      </c>
      <c r="L345" s="54" t="s">
        <v>404</v>
      </c>
      <c r="M345" s="54" t="s">
        <v>791</v>
      </c>
      <c r="N345" s="54" t="s">
        <v>406</v>
      </c>
      <c r="O345" s="74">
        <v>46104</v>
      </c>
      <c r="P345" s="57"/>
      <c r="Q345" s="57"/>
      <c r="R345" s="61" t="s">
        <v>31</v>
      </c>
      <c r="S345" s="61" t="s">
        <v>84</v>
      </c>
    </row>
    <row r="346" spans="2:20" s="62" customFormat="1" ht="60" customHeight="1" outlineLevel="1" x14ac:dyDescent="0.25">
      <c r="B346" s="53" t="s">
        <v>1154</v>
      </c>
      <c r="C346" s="54" t="s">
        <v>1182</v>
      </c>
      <c r="D346" s="54" t="s">
        <v>431</v>
      </c>
      <c r="E346" s="55" t="s">
        <v>1168</v>
      </c>
      <c r="F346" s="53" t="s">
        <v>432</v>
      </c>
      <c r="G346" s="63">
        <v>9</v>
      </c>
      <c r="H346" s="57" t="s">
        <v>152</v>
      </c>
      <c r="I346" s="54" t="s">
        <v>1183</v>
      </c>
      <c r="J346" s="54" t="s">
        <v>1184</v>
      </c>
      <c r="K346" s="54" t="s">
        <v>1185</v>
      </c>
      <c r="L346" s="54" t="s">
        <v>436</v>
      </c>
      <c r="M346" s="54" t="s">
        <v>1186</v>
      </c>
      <c r="N346" s="54" t="s">
        <v>438</v>
      </c>
      <c r="O346" s="74">
        <v>46104</v>
      </c>
      <c r="P346" s="57"/>
      <c r="Q346" s="57"/>
      <c r="R346" s="61" t="s">
        <v>31</v>
      </c>
      <c r="S346" s="61" t="s">
        <v>31</v>
      </c>
    </row>
    <row r="347" spans="2:20" s="62" customFormat="1" outlineLevel="1" x14ac:dyDescent="0.25">
      <c r="B347" s="53"/>
      <c r="C347" s="54">
        <v>337</v>
      </c>
      <c r="D347" s="54" t="s">
        <v>544</v>
      </c>
      <c r="E347" s="55" t="s">
        <v>1168</v>
      </c>
      <c r="F347" s="53" t="s">
        <v>545</v>
      </c>
      <c r="G347" s="63">
        <v>1</v>
      </c>
      <c r="H347" s="57" t="s">
        <v>24</v>
      </c>
      <c r="I347" s="54" t="s">
        <v>546</v>
      </c>
      <c r="J347" s="54" t="s">
        <v>547</v>
      </c>
      <c r="K347" s="54" t="s">
        <v>548</v>
      </c>
      <c r="L347" s="54" t="s">
        <v>549</v>
      </c>
      <c r="M347" s="54" t="s">
        <v>550</v>
      </c>
      <c r="N347" s="54" t="s">
        <v>551</v>
      </c>
      <c r="O347" s="74">
        <v>46104</v>
      </c>
      <c r="P347" s="57"/>
      <c r="Q347" s="57"/>
      <c r="R347" s="61" t="s">
        <v>31</v>
      </c>
      <c r="S347" s="61" t="s">
        <v>31</v>
      </c>
    </row>
    <row r="348" spans="2:20" s="62" customFormat="1" ht="30" customHeight="1" outlineLevel="1" x14ac:dyDescent="0.25">
      <c r="B348" s="53" t="s">
        <v>1154</v>
      </c>
      <c r="C348" s="54">
        <v>338</v>
      </c>
      <c r="D348" s="54" t="s">
        <v>439</v>
      </c>
      <c r="E348" s="55" t="s">
        <v>1168</v>
      </c>
      <c r="F348" s="53" t="s">
        <v>440</v>
      </c>
      <c r="G348" s="63">
        <v>1</v>
      </c>
      <c r="H348" s="57" t="s">
        <v>152</v>
      </c>
      <c r="I348" s="54" t="s">
        <v>441</v>
      </c>
      <c r="J348" s="54" t="s">
        <v>442</v>
      </c>
      <c r="K348" s="54" t="s">
        <v>443</v>
      </c>
      <c r="L348" s="54" t="s">
        <v>444</v>
      </c>
      <c r="M348" s="54" t="s">
        <v>570</v>
      </c>
      <c r="N348" s="54" t="s">
        <v>446</v>
      </c>
      <c r="O348" s="74">
        <v>46104</v>
      </c>
      <c r="P348" s="57"/>
      <c r="Q348" s="57"/>
      <c r="R348" s="61" t="s">
        <v>31</v>
      </c>
      <c r="S348" s="61" t="s">
        <v>31</v>
      </c>
    </row>
    <row r="349" spans="2:20" s="62" customFormat="1" outlineLevel="1" x14ac:dyDescent="0.25">
      <c r="B349" s="53"/>
      <c r="C349" s="54">
        <v>339</v>
      </c>
      <c r="D349" s="54" t="s">
        <v>447</v>
      </c>
      <c r="E349" s="55" t="s">
        <v>1168</v>
      </c>
      <c r="F349" s="53" t="s">
        <v>448</v>
      </c>
      <c r="G349" s="63">
        <v>2</v>
      </c>
      <c r="H349" s="57" t="s">
        <v>24</v>
      </c>
      <c r="I349" s="54" t="s">
        <v>449</v>
      </c>
      <c r="J349" s="54" t="s">
        <v>450</v>
      </c>
      <c r="K349" s="54" t="s">
        <v>451</v>
      </c>
      <c r="L349" s="54" t="s">
        <v>452</v>
      </c>
      <c r="M349" s="54" t="s">
        <v>453</v>
      </c>
      <c r="N349" s="54" t="s">
        <v>454</v>
      </c>
      <c r="O349" s="74">
        <v>46104</v>
      </c>
      <c r="P349" s="57"/>
      <c r="Q349" s="57"/>
      <c r="R349" s="61" t="s">
        <v>31</v>
      </c>
      <c r="S349" s="61" t="s">
        <v>31</v>
      </c>
    </row>
    <row r="350" spans="2:20" s="62" customFormat="1" outlineLevel="1" x14ac:dyDescent="0.25">
      <c r="B350" s="53" t="s">
        <v>1154</v>
      </c>
      <c r="C350" s="54">
        <v>340</v>
      </c>
      <c r="D350" s="54" t="s">
        <v>571</v>
      </c>
      <c r="E350" s="55" t="s">
        <v>1168</v>
      </c>
      <c r="F350" s="53" t="s">
        <v>572</v>
      </c>
      <c r="G350" s="63">
        <v>3</v>
      </c>
      <c r="H350" s="57" t="s">
        <v>573</v>
      </c>
      <c r="I350" s="54" t="s">
        <v>574</v>
      </c>
      <c r="J350" s="54" t="s">
        <v>575</v>
      </c>
      <c r="K350" s="54" t="s">
        <v>576</v>
      </c>
      <c r="L350" s="54" t="s">
        <v>577</v>
      </c>
      <c r="M350" s="54" t="s">
        <v>578</v>
      </c>
      <c r="N350" s="54" t="s">
        <v>579</v>
      </c>
      <c r="O350" s="74">
        <v>46104</v>
      </c>
      <c r="P350" s="57"/>
      <c r="Q350" s="57"/>
      <c r="R350" s="61" t="s">
        <v>31</v>
      </c>
      <c r="S350" s="61" t="s">
        <v>84</v>
      </c>
    </row>
    <row r="351" spans="2:20" s="62" customFormat="1" outlineLevel="1" x14ac:dyDescent="0.25">
      <c r="B351" s="53" t="s">
        <v>1154</v>
      </c>
      <c r="C351" s="54">
        <v>341</v>
      </c>
      <c r="D351" s="54" t="s">
        <v>455</v>
      </c>
      <c r="E351" s="55" t="s">
        <v>1168</v>
      </c>
      <c r="F351" s="53" t="s">
        <v>456</v>
      </c>
      <c r="G351" s="63">
        <v>2</v>
      </c>
      <c r="H351" s="57" t="s">
        <v>111</v>
      </c>
      <c r="I351" s="54" t="s">
        <v>457</v>
      </c>
      <c r="J351" s="54" t="s">
        <v>458</v>
      </c>
      <c r="K351" s="54" t="s">
        <v>459</v>
      </c>
      <c r="L351" s="54" t="s">
        <v>460</v>
      </c>
      <c r="M351" s="54" t="s">
        <v>461</v>
      </c>
      <c r="N351" s="54" t="s">
        <v>462</v>
      </c>
      <c r="O351" s="74">
        <v>46104</v>
      </c>
      <c r="P351" s="57"/>
      <c r="Q351" s="57"/>
      <c r="R351" s="61" t="s">
        <v>31</v>
      </c>
      <c r="S351" s="61" t="s">
        <v>84</v>
      </c>
    </row>
    <row r="352" spans="2:20" s="62" customFormat="1" outlineLevel="1" x14ac:dyDescent="0.25">
      <c r="B352" s="53" t="s">
        <v>1154</v>
      </c>
      <c r="C352" s="54">
        <v>342</v>
      </c>
      <c r="D352" s="54" t="s">
        <v>760</v>
      </c>
      <c r="E352" s="55" t="s">
        <v>1168</v>
      </c>
      <c r="F352" s="53" t="s">
        <v>761</v>
      </c>
      <c r="G352" s="63">
        <v>2</v>
      </c>
      <c r="H352" s="57" t="s">
        <v>61</v>
      </c>
      <c r="I352" s="54" t="s">
        <v>762</v>
      </c>
      <c r="J352" s="54" t="s">
        <v>763</v>
      </c>
      <c r="K352" s="54" t="s">
        <v>764</v>
      </c>
      <c r="L352" s="54" t="s">
        <v>765</v>
      </c>
      <c r="M352" s="54" t="s">
        <v>765</v>
      </c>
      <c r="N352" s="54" t="s">
        <v>766</v>
      </c>
      <c r="O352" s="74">
        <v>46104</v>
      </c>
      <c r="P352" s="57"/>
      <c r="Q352" s="57"/>
      <c r="R352" s="61" t="s">
        <v>31</v>
      </c>
      <c r="S352" s="61" t="s">
        <v>84</v>
      </c>
    </row>
    <row r="353" spans="2:20" s="62" customFormat="1" outlineLevel="1" x14ac:dyDescent="0.25">
      <c r="B353" s="53" t="s">
        <v>1154</v>
      </c>
      <c r="C353" s="54">
        <v>343</v>
      </c>
      <c r="D353" s="54" t="s">
        <v>471</v>
      </c>
      <c r="E353" s="55" t="s">
        <v>1168</v>
      </c>
      <c r="F353" s="53" t="s">
        <v>472</v>
      </c>
      <c r="G353" s="63">
        <v>2</v>
      </c>
      <c r="H353" s="57" t="s">
        <v>111</v>
      </c>
      <c r="I353" s="54" t="s">
        <v>473</v>
      </c>
      <c r="J353" s="54" t="s">
        <v>474</v>
      </c>
      <c r="K353" s="54" t="s">
        <v>475</v>
      </c>
      <c r="L353" s="54" t="s">
        <v>476</v>
      </c>
      <c r="M353" s="54" t="s">
        <v>476</v>
      </c>
      <c r="N353" s="54" t="s">
        <v>477</v>
      </c>
      <c r="O353" s="74">
        <v>46104</v>
      </c>
      <c r="P353" s="57"/>
      <c r="Q353" s="57"/>
      <c r="R353" s="61" t="s">
        <v>31</v>
      </c>
      <c r="S353" s="61" t="s">
        <v>84</v>
      </c>
    </row>
    <row r="354" spans="2:20" s="62" customFormat="1" outlineLevel="1" x14ac:dyDescent="0.25">
      <c r="B354" s="53"/>
      <c r="C354" s="54">
        <v>344</v>
      </c>
      <c r="D354" s="54" t="s">
        <v>588</v>
      </c>
      <c r="E354" s="55" t="s">
        <v>1168</v>
      </c>
      <c r="F354" s="53" t="s">
        <v>589</v>
      </c>
      <c r="G354" s="63">
        <v>10</v>
      </c>
      <c r="H354" s="57" t="s">
        <v>24</v>
      </c>
      <c r="I354" s="54" t="s">
        <v>590</v>
      </c>
      <c r="J354" s="54" t="s">
        <v>591</v>
      </c>
      <c r="K354" s="54" t="s">
        <v>592</v>
      </c>
      <c r="L354" s="54" t="s">
        <v>593</v>
      </c>
      <c r="M354" s="54" t="s">
        <v>594</v>
      </c>
      <c r="N354" s="54" t="s">
        <v>595</v>
      </c>
      <c r="O354" s="74">
        <v>46104</v>
      </c>
      <c r="P354" s="57"/>
      <c r="Q354" s="57"/>
      <c r="R354" s="61" t="s">
        <v>31</v>
      </c>
      <c r="S354" s="61" t="s">
        <v>31</v>
      </c>
    </row>
    <row r="355" spans="2:20" s="62" customFormat="1" outlineLevel="1" x14ac:dyDescent="0.25">
      <c r="B355" s="53" t="s">
        <v>1154</v>
      </c>
      <c r="C355" s="54">
        <v>345</v>
      </c>
      <c r="D355" s="54" t="s">
        <v>486</v>
      </c>
      <c r="E355" s="55" t="s">
        <v>1168</v>
      </c>
      <c r="F355" s="53" t="s">
        <v>487</v>
      </c>
      <c r="G355" s="63">
        <v>1</v>
      </c>
      <c r="H355" s="57" t="s">
        <v>152</v>
      </c>
      <c r="I355" s="54" t="s">
        <v>488</v>
      </c>
      <c r="J355" s="54" t="s">
        <v>489</v>
      </c>
      <c r="K355" s="54" t="s">
        <v>490</v>
      </c>
      <c r="L355" s="54" t="s">
        <v>491</v>
      </c>
      <c r="M355" s="54" t="s">
        <v>492</v>
      </c>
      <c r="N355" s="54" t="s">
        <v>493</v>
      </c>
      <c r="O355" s="74">
        <v>46104</v>
      </c>
      <c r="P355" s="57"/>
      <c r="Q355" s="57"/>
      <c r="R355" s="61" t="s">
        <v>31</v>
      </c>
      <c r="S355" s="61" t="s">
        <v>84</v>
      </c>
    </row>
    <row r="356" spans="2:20" s="62" customFormat="1" outlineLevel="1" x14ac:dyDescent="0.25">
      <c r="B356" s="53" t="s">
        <v>1154</v>
      </c>
      <c r="C356" s="54">
        <v>346</v>
      </c>
      <c r="D356" s="54" t="s">
        <v>508</v>
      </c>
      <c r="E356" s="55" t="s">
        <v>1168</v>
      </c>
      <c r="F356" s="53" t="s">
        <v>509</v>
      </c>
      <c r="G356" s="63">
        <v>20</v>
      </c>
      <c r="H356" s="57" t="s">
        <v>61</v>
      </c>
      <c r="I356" s="54" t="s">
        <v>510</v>
      </c>
      <c r="J356" s="54" t="s">
        <v>511</v>
      </c>
      <c r="K356" s="54" t="s">
        <v>512</v>
      </c>
      <c r="L356" s="54" t="s">
        <v>513</v>
      </c>
      <c r="M356" s="54" t="s">
        <v>514</v>
      </c>
      <c r="N356" s="54" t="s">
        <v>515</v>
      </c>
      <c r="O356" s="74">
        <v>46104</v>
      </c>
      <c r="P356" s="57"/>
      <c r="Q356" s="57"/>
      <c r="R356" s="61" t="s">
        <v>31</v>
      </c>
      <c r="S356" s="61" t="s">
        <v>31</v>
      </c>
    </row>
    <row r="357" spans="2:20" s="62" customFormat="1" outlineLevel="1" x14ac:dyDescent="0.25">
      <c r="B357" s="53" t="s">
        <v>1154</v>
      </c>
      <c r="C357" s="54">
        <v>347</v>
      </c>
      <c r="D357" s="54" t="s">
        <v>516</v>
      </c>
      <c r="E357" s="55" t="s">
        <v>1168</v>
      </c>
      <c r="F357" s="67" t="s">
        <v>517</v>
      </c>
      <c r="G357" s="63">
        <v>1</v>
      </c>
      <c r="H357" s="57" t="s">
        <v>61</v>
      </c>
      <c r="I357" s="54" t="s">
        <v>518</v>
      </c>
      <c r="J357" s="54" t="s">
        <v>519</v>
      </c>
      <c r="K357" s="54" t="s">
        <v>520</v>
      </c>
      <c r="L357" s="54" t="s">
        <v>521</v>
      </c>
      <c r="M357" s="54" t="s">
        <v>522</v>
      </c>
      <c r="N357" s="54" t="s">
        <v>523</v>
      </c>
      <c r="O357" s="74">
        <v>46104</v>
      </c>
      <c r="P357" s="57"/>
      <c r="Q357" s="57"/>
      <c r="R357" s="61" t="s">
        <v>31</v>
      </c>
      <c r="S357" s="61" t="s">
        <v>31</v>
      </c>
    </row>
    <row r="358" spans="2:20" s="62" customFormat="1" outlineLevel="1" x14ac:dyDescent="0.25">
      <c r="B358" s="53" t="s">
        <v>1154</v>
      </c>
      <c r="C358" s="54">
        <v>348</v>
      </c>
      <c r="D358" s="54" t="s">
        <v>644</v>
      </c>
      <c r="E358" s="55" t="s">
        <v>1168</v>
      </c>
      <c r="F358" s="53" t="s">
        <v>645</v>
      </c>
      <c r="G358" s="63">
        <v>4</v>
      </c>
      <c r="H358" s="57" t="s">
        <v>61</v>
      </c>
      <c r="I358" s="54" t="s">
        <v>646</v>
      </c>
      <c r="J358" s="54" t="s">
        <v>647</v>
      </c>
      <c r="K358" s="54" t="s">
        <v>648</v>
      </c>
      <c r="L358" s="54" t="s">
        <v>649</v>
      </c>
      <c r="M358" s="54" t="s">
        <v>650</v>
      </c>
      <c r="N358" s="54"/>
      <c r="O358" s="74">
        <v>46104</v>
      </c>
      <c r="P358" s="57"/>
      <c r="Q358" s="57"/>
      <c r="R358" s="61" t="s">
        <v>31</v>
      </c>
      <c r="S358" s="61" t="s">
        <v>793</v>
      </c>
    </row>
    <row r="359" spans="2:20" s="33" customFormat="1" ht="30" customHeight="1" x14ac:dyDescent="0.25">
      <c r="B359" s="42"/>
      <c r="C359" s="42"/>
      <c r="D359" s="42"/>
      <c r="E359" s="28" t="s">
        <v>1166</v>
      </c>
      <c r="F359" s="28"/>
      <c r="G359" s="29">
        <f>SUM(G360:G400)</f>
        <v>160</v>
      </c>
      <c r="H359" s="34"/>
      <c r="I359" s="49"/>
      <c r="J359" s="50"/>
      <c r="K359" s="51"/>
      <c r="L359" s="42"/>
      <c r="M359" s="42"/>
      <c r="N359" s="36"/>
      <c r="O359" s="34"/>
      <c r="P359" s="35"/>
      <c r="Q359" s="35"/>
      <c r="R359" s="32" t="s">
        <v>31</v>
      </c>
      <c r="S359" s="32"/>
      <c r="T359" s="42"/>
    </row>
    <row r="360" spans="2:20" s="62" customFormat="1" ht="25.5" customHeight="1" outlineLevel="1" x14ac:dyDescent="0.25">
      <c r="B360" s="53"/>
      <c r="C360" s="54">
        <v>349</v>
      </c>
      <c r="D360" s="54" t="s">
        <v>21</v>
      </c>
      <c r="E360" s="55" t="s">
        <v>1166</v>
      </c>
      <c r="F360" s="53" t="s">
        <v>22</v>
      </c>
      <c r="G360" s="63">
        <v>1</v>
      </c>
      <c r="H360" s="57" t="s">
        <v>24</v>
      </c>
      <c r="I360" s="54" t="s">
        <v>25</v>
      </c>
      <c r="J360" s="54" t="s">
        <v>26</v>
      </c>
      <c r="K360" s="54" t="s">
        <v>27</v>
      </c>
      <c r="L360" s="54" t="s">
        <v>28</v>
      </c>
      <c r="M360" s="54" t="s">
        <v>29</v>
      </c>
      <c r="N360" s="54" t="s">
        <v>30</v>
      </c>
      <c r="O360" s="74">
        <v>46104</v>
      </c>
      <c r="P360" s="57"/>
      <c r="Q360" s="57"/>
      <c r="R360" s="61" t="s">
        <v>31</v>
      </c>
      <c r="S360" s="61" t="s">
        <v>31</v>
      </c>
      <c r="T360" s="53"/>
    </row>
    <row r="361" spans="2:20" s="62" customFormat="1" ht="25.5" customHeight="1" outlineLevel="1" x14ac:dyDescent="0.25">
      <c r="B361" s="53"/>
      <c r="C361" s="54">
        <v>350</v>
      </c>
      <c r="D361" s="54" t="s">
        <v>811</v>
      </c>
      <c r="E361" s="55" t="s">
        <v>1166</v>
      </c>
      <c r="F361" s="53" t="s">
        <v>812</v>
      </c>
      <c r="G361" s="63">
        <v>10</v>
      </c>
      <c r="H361" s="57" t="s">
        <v>813</v>
      </c>
      <c r="I361" s="54" t="s">
        <v>814</v>
      </c>
      <c r="J361" s="54" t="s">
        <v>815</v>
      </c>
      <c r="K361" s="54" t="s">
        <v>816</v>
      </c>
      <c r="L361" s="54" t="s">
        <v>817</v>
      </c>
      <c r="M361" s="54" t="s">
        <v>1148</v>
      </c>
      <c r="N361" s="54" t="s">
        <v>819</v>
      </c>
      <c r="O361" s="59">
        <v>46153</v>
      </c>
      <c r="P361" s="57"/>
      <c r="Q361" s="57"/>
      <c r="R361" s="61" t="s">
        <v>31</v>
      </c>
      <c r="S361" s="61" t="s">
        <v>84</v>
      </c>
      <c r="T361" s="53"/>
    </row>
    <row r="362" spans="2:20" s="62" customFormat="1" ht="30" customHeight="1" outlineLevel="1" x14ac:dyDescent="0.25">
      <c r="B362" s="53" t="s">
        <v>1154</v>
      </c>
      <c r="C362" s="54" t="s">
        <v>1215</v>
      </c>
      <c r="D362" s="54" t="s">
        <v>34</v>
      </c>
      <c r="E362" s="55" t="s">
        <v>1166</v>
      </c>
      <c r="F362" s="53" t="s">
        <v>35</v>
      </c>
      <c r="G362" s="63">
        <v>2</v>
      </c>
      <c r="H362" s="57" t="s">
        <v>36</v>
      </c>
      <c r="I362" s="54" t="s">
        <v>37</v>
      </c>
      <c r="J362" s="54" t="s">
        <v>38</v>
      </c>
      <c r="K362" s="54" t="s">
        <v>39</v>
      </c>
      <c r="L362" s="54" t="s">
        <v>40</v>
      </c>
      <c r="M362" s="54" t="s">
        <v>553</v>
      </c>
      <c r="N362" s="54" t="s">
        <v>42</v>
      </c>
      <c r="O362" s="74">
        <v>46104</v>
      </c>
      <c r="P362" s="57"/>
      <c r="Q362" s="57"/>
      <c r="R362" s="61" t="s">
        <v>31</v>
      </c>
      <c r="S362" s="61" t="s">
        <v>31</v>
      </c>
      <c r="T362" s="53"/>
    </row>
    <row r="363" spans="2:20" s="62" customFormat="1" ht="25.5" customHeight="1" outlineLevel="1" x14ac:dyDescent="0.25">
      <c r="B363" s="53"/>
      <c r="C363" s="54">
        <v>352</v>
      </c>
      <c r="D363" s="54" t="s">
        <v>43</v>
      </c>
      <c r="E363" s="55" t="s">
        <v>1166</v>
      </c>
      <c r="F363" s="53" t="s">
        <v>44</v>
      </c>
      <c r="G363" s="63">
        <v>4</v>
      </c>
      <c r="H363" s="57" t="s">
        <v>24</v>
      </c>
      <c r="I363" s="54" t="s">
        <v>45</v>
      </c>
      <c r="J363" s="54" t="s">
        <v>46</v>
      </c>
      <c r="K363" s="54" t="s">
        <v>47</v>
      </c>
      <c r="L363" s="54" t="s">
        <v>48</v>
      </c>
      <c r="M363" s="54" t="s">
        <v>49</v>
      </c>
      <c r="N363" s="54" t="s">
        <v>50</v>
      </c>
      <c r="O363" s="74">
        <v>46104</v>
      </c>
      <c r="P363" s="57"/>
      <c r="Q363" s="57"/>
      <c r="R363" s="61" t="s">
        <v>31</v>
      </c>
      <c r="S363" s="61" t="s">
        <v>31</v>
      </c>
      <c r="T363" s="53"/>
    </row>
    <row r="364" spans="2:20" s="62" customFormat="1" ht="25.5" customHeight="1" outlineLevel="1" x14ac:dyDescent="0.25">
      <c r="B364" s="53" t="s">
        <v>1154</v>
      </c>
      <c r="C364" s="54">
        <v>353</v>
      </c>
      <c r="D364" s="54" t="s">
        <v>1079</v>
      </c>
      <c r="E364" s="55" t="s">
        <v>1166</v>
      </c>
      <c r="F364" s="53" t="s">
        <v>918</v>
      </c>
      <c r="G364" s="63">
        <v>1</v>
      </c>
      <c r="H364" s="57" t="s">
        <v>152</v>
      </c>
      <c r="I364" s="54" t="s">
        <v>1080</v>
      </c>
      <c r="J364" s="54" t="s">
        <v>1081</v>
      </c>
      <c r="K364" s="54" t="s">
        <v>1082</v>
      </c>
      <c r="L364" s="54" t="s">
        <v>1083</v>
      </c>
      <c r="M364" s="54" t="s">
        <v>1084</v>
      </c>
      <c r="N364" s="54" t="s">
        <v>1085</v>
      </c>
      <c r="O364" s="74">
        <v>46104</v>
      </c>
      <c r="P364" s="57"/>
      <c r="Q364" s="57"/>
      <c r="R364" s="61" t="s">
        <v>31</v>
      </c>
      <c r="S364" s="61" t="s">
        <v>84</v>
      </c>
      <c r="T364" s="53"/>
    </row>
    <row r="365" spans="2:20" s="62" customFormat="1" ht="25.5" customHeight="1" outlineLevel="1" x14ac:dyDescent="0.25">
      <c r="B365" s="53" t="s">
        <v>1154</v>
      </c>
      <c r="C365" s="54">
        <v>354</v>
      </c>
      <c r="D365" s="54" t="s">
        <v>562</v>
      </c>
      <c r="E365" s="55" t="s">
        <v>1166</v>
      </c>
      <c r="F365" s="53" t="s">
        <v>563</v>
      </c>
      <c r="G365" s="63">
        <v>1</v>
      </c>
      <c r="H365" s="57" t="s">
        <v>61</v>
      </c>
      <c r="I365" s="54" t="s">
        <v>564</v>
      </c>
      <c r="J365" s="54" t="s">
        <v>565</v>
      </c>
      <c r="K365" s="54" t="s">
        <v>566</v>
      </c>
      <c r="L365" s="54" t="s">
        <v>567</v>
      </c>
      <c r="M365" s="54" t="s">
        <v>568</v>
      </c>
      <c r="N365" s="54" t="s">
        <v>569</v>
      </c>
      <c r="O365" s="74">
        <v>46104</v>
      </c>
      <c r="P365" s="57"/>
      <c r="Q365" s="57"/>
      <c r="R365" s="61" t="s">
        <v>31</v>
      </c>
      <c r="S365" s="61" t="s">
        <v>31</v>
      </c>
      <c r="T365" s="53"/>
    </row>
    <row r="366" spans="2:20" s="62" customFormat="1" ht="25.5" customHeight="1" outlineLevel="1" x14ac:dyDescent="0.25">
      <c r="B366" s="53" t="s">
        <v>1154</v>
      </c>
      <c r="C366" s="54">
        <v>355</v>
      </c>
      <c r="D366" s="54" t="s">
        <v>85</v>
      </c>
      <c r="E366" s="55" t="s">
        <v>1166</v>
      </c>
      <c r="F366" s="53" t="s">
        <v>86</v>
      </c>
      <c r="G366" s="63">
        <v>2</v>
      </c>
      <c r="H366" s="57" t="s">
        <v>87</v>
      </c>
      <c r="I366" s="54" t="s">
        <v>88</v>
      </c>
      <c r="J366" s="54" t="s">
        <v>89</v>
      </c>
      <c r="K366" s="54" t="s">
        <v>90</v>
      </c>
      <c r="L366" s="54" t="s">
        <v>91</v>
      </c>
      <c r="M366" s="54" t="s">
        <v>92</v>
      </c>
      <c r="N366" s="54" t="s">
        <v>93</v>
      </c>
      <c r="O366" s="74">
        <v>46104</v>
      </c>
      <c r="P366" s="57"/>
      <c r="Q366" s="57"/>
      <c r="R366" s="61" t="s">
        <v>31</v>
      </c>
      <c r="S366" s="61" t="s">
        <v>84</v>
      </c>
      <c r="T366" s="53"/>
    </row>
    <row r="367" spans="2:20" s="62" customFormat="1" ht="25.5" customHeight="1" outlineLevel="1" x14ac:dyDescent="0.25">
      <c r="B367" s="53" t="s">
        <v>1154</v>
      </c>
      <c r="C367" s="54">
        <v>356</v>
      </c>
      <c r="D367" s="54" t="s">
        <v>580</v>
      </c>
      <c r="E367" s="55" t="s">
        <v>1166</v>
      </c>
      <c r="F367" s="53" t="s">
        <v>581</v>
      </c>
      <c r="G367" s="63">
        <v>2</v>
      </c>
      <c r="H367" s="57" t="s">
        <v>61</v>
      </c>
      <c r="I367" s="54" t="s">
        <v>582</v>
      </c>
      <c r="J367" s="54" t="s">
        <v>583</v>
      </c>
      <c r="K367" s="54" t="s">
        <v>584</v>
      </c>
      <c r="L367" s="54" t="s">
        <v>585</v>
      </c>
      <c r="M367" s="54" t="s">
        <v>1171</v>
      </c>
      <c r="N367" s="54" t="s">
        <v>587</v>
      </c>
      <c r="O367" s="74">
        <v>46104</v>
      </c>
      <c r="P367" s="57"/>
      <c r="Q367" s="57"/>
      <c r="R367" s="61" t="s">
        <v>31</v>
      </c>
      <c r="S367" s="61" t="s">
        <v>84</v>
      </c>
      <c r="T367" s="53"/>
    </row>
    <row r="368" spans="2:20" s="62" customFormat="1" ht="25.5" customHeight="1" outlineLevel="1" x14ac:dyDescent="0.25">
      <c r="B368" s="53"/>
      <c r="C368" s="54">
        <v>357</v>
      </c>
      <c r="D368" s="54" t="s">
        <v>102</v>
      </c>
      <c r="E368" s="55" t="s">
        <v>1166</v>
      </c>
      <c r="F368" s="53" t="s">
        <v>103</v>
      </c>
      <c r="G368" s="63">
        <v>2</v>
      </c>
      <c r="H368" s="57" t="s">
        <v>61</v>
      </c>
      <c r="I368" s="54" t="s">
        <v>104</v>
      </c>
      <c r="J368" s="54" t="s">
        <v>105</v>
      </c>
      <c r="K368" s="54" t="s">
        <v>106</v>
      </c>
      <c r="L368" s="54" t="s">
        <v>107</v>
      </c>
      <c r="M368" s="54" t="s">
        <v>107</v>
      </c>
      <c r="N368" s="54" t="s">
        <v>108</v>
      </c>
      <c r="O368" s="74">
        <v>46104</v>
      </c>
      <c r="P368" s="57"/>
      <c r="Q368" s="57"/>
      <c r="R368" s="61" t="s">
        <v>31</v>
      </c>
      <c r="S368" s="61" t="s">
        <v>84</v>
      </c>
      <c r="T368" s="53"/>
    </row>
    <row r="369" spans="2:20" s="62" customFormat="1" ht="25.5" customHeight="1" outlineLevel="1" x14ac:dyDescent="0.25">
      <c r="B369" s="53"/>
      <c r="C369" s="54">
        <v>358</v>
      </c>
      <c r="D369" s="54" t="s">
        <v>117</v>
      </c>
      <c r="E369" s="55" t="s">
        <v>1166</v>
      </c>
      <c r="F369" s="53" t="s">
        <v>118</v>
      </c>
      <c r="G369" s="63">
        <v>6</v>
      </c>
      <c r="H369" s="57" t="s">
        <v>24</v>
      </c>
      <c r="I369" s="54" t="s">
        <v>119</v>
      </c>
      <c r="J369" s="54" t="s">
        <v>120</v>
      </c>
      <c r="K369" s="54" t="s">
        <v>121</v>
      </c>
      <c r="L369" s="54" t="s">
        <v>122</v>
      </c>
      <c r="M369" s="54" t="s">
        <v>123</v>
      </c>
      <c r="N369" s="54" t="s">
        <v>124</v>
      </c>
      <c r="O369" s="74">
        <v>46104</v>
      </c>
      <c r="P369" s="57"/>
      <c r="Q369" s="57"/>
      <c r="R369" s="61" t="s">
        <v>31</v>
      </c>
      <c r="S369" s="61" t="s">
        <v>31</v>
      </c>
      <c r="T369" s="53"/>
    </row>
    <row r="370" spans="2:20" s="62" customFormat="1" ht="25.5" customHeight="1" outlineLevel="1" x14ac:dyDescent="0.25">
      <c r="B370" s="53" t="s">
        <v>1154</v>
      </c>
      <c r="C370" s="54">
        <v>359</v>
      </c>
      <c r="D370" s="54" t="s">
        <v>125</v>
      </c>
      <c r="E370" s="55" t="s">
        <v>1166</v>
      </c>
      <c r="F370" s="53" t="s">
        <v>126</v>
      </c>
      <c r="G370" s="63">
        <v>1</v>
      </c>
      <c r="H370" s="57" t="s">
        <v>127</v>
      </c>
      <c r="I370" s="54" t="s">
        <v>128</v>
      </c>
      <c r="J370" s="54" t="s">
        <v>129</v>
      </c>
      <c r="K370" s="54" t="s">
        <v>130</v>
      </c>
      <c r="L370" s="54" t="s">
        <v>131</v>
      </c>
      <c r="M370" s="54" t="s">
        <v>132</v>
      </c>
      <c r="N370" s="54" t="s">
        <v>133</v>
      </c>
      <c r="O370" s="74">
        <v>46104</v>
      </c>
      <c r="P370" s="57"/>
      <c r="Q370" s="57"/>
      <c r="R370" s="61" t="s">
        <v>31</v>
      </c>
      <c r="S370" s="61" t="s">
        <v>84</v>
      </c>
      <c r="T370" s="53"/>
    </row>
    <row r="371" spans="2:20" s="62" customFormat="1" ht="25.5" customHeight="1" outlineLevel="1" x14ac:dyDescent="0.25">
      <c r="B371" s="53" t="s">
        <v>1154</v>
      </c>
      <c r="C371" s="54">
        <v>360</v>
      </c>
      <c r="D371" s="54" t="s">
        <v>554</v>
      </c>
      <c r="E371" s="55" t="s">
        <v>1166</v>
      </c>
      <c r="F371" s="53" t="s">
        <v>555</v>
      </c>
      <c r="G371" s="63">
        <v>1</v>
      </c>
      <c r="H371" s="57" t="s">
        <v>61</v>
      </c>
      <c r="I371" s="54" t="s">
        <v>556</v>
      </c>
      <c r="J371" s="54" t="s">
        <v>557</v>
      </c>
      <c r="K371" s="54" t="s">
        <v>558</v>
      </c>
      <c r="L371" s="54" t="s">
        <v>559</v>
      </c>
      <c r="M371" s="54" t="s">
        <v>560</v>
      </c>
      <c r="N371" s="54" t="s">
        <v>561</v>
      </c>
      <c r="O371" s="74">
        <v>46104</v>
      </c>
      <c r="P371" s="57"/>
      <c r="Q371" s="57"/>
      <c r="R371" s="61" t="s">
        <v>31</v>
      </c>
      <c r="S371" s="61" t="s">
        <v>31</v>
      </c>
      <c r="T371" s="53"/>
    </row>
    <row r="372" spans="2:20" s="62" customFormat="1" ht="25.5" customHeight="1" outlineLevel="1" x14ac:dyDescent="0.25">
      <c r="B372" s="53" t="s">
        <v>1154</v>
      </c>
      <c r="C372" s="54">
        <v>361</v>
      </c>
      <c r="D372" s="54" t="s">
        <v>159</v>
      </c>
      <c r="E372" s="55" t="s">
        <v>1166</v>
      </c>
      <c r="F372" s="53" t="s">
        <v>160</v>
      </c>
      <c r="G372" s="63">
        <v>1</v>
      </c>
      <c r="H372" s="57" t="s">
        <v>61</v>
      </c>
      <c r="I372" s="54" t="s">
        <v>161</v>
      </c>
      <c r="J372" s="54" t="s">
        <v>162</v>
      </c>
      <c r="K372" s="54" t="s">
        <v>163</v>
      </c>
      <c r="L372" s="54" t="s">
        <v>164</v>
      </c>
      <c r="M372" s="54" t="s">
        <v>164</v>
      </c>
      <c r="N372" s="54" t="s">
        <v>165</v>
      </c>
      <c r="O372" s="74">
        <v>46104</v>
      </c>
      <c r="P372" s="57"/>
      <c r="Q372" s="57"/>
      <c r="R372" s="61" t="s">
        <v>31</v>
      </c>
      <c r="S372" s="61" t="s">
        <v>31</v>
      </c>
      <c r="T372" s="53"/>
    </row>
    <row r="373" spans="2:20" s="62" customFormat="1" ht="60" customHeight="1" outlineLevel="1" x14ac:dyDescent="0.25">
      <c r="B373" s="65" t="s">
        <v>1783</v>
      </c>
      <c r="C373" s="54" t="s">
        <v>1198</v>
      </c>
      <c r="D373" s="54" t="s">
        <v>190</v>
      </c>
      <c r="E373" s="55" t="s">
        <v>1166</v>
      </c>
      <c r="F373" s="53" t="s">
        <v>191</v>
      </c>
      <c r="G373" s="63">
        <v>9</v>
      </c>
      <c r="H373" s="57" t="s">
        <v>24</v>
      </c>
      <c r="I373" s="54" t="s">
        <v>1199</v>
      </c>
      <c r="J373" s="54" t="s">
        <v>1200</v>
      </c>
      <c r="K373" s="54" t="s">
        <v>1201</v>
      </c>
      <c r="L373" s="54" t="s">
        <v>195</v>
      </c>
      <c r="M373" s="54" t="s">
        <v>1202</v>
      </c>
      <c r="N373" s="54" t="s">
        <v>197</v>
      </c>
      <c r="O373" s="74">
        <v>46104</v>
      </c>
      <c r="P373" s="57"/>
      <c r="Q373" s="57"/>
      <c r="R373" s="61" t="s">
        <v>31</v>
      </c>
      <c r="S373" s="61" t="s">
        <v>31</v>
      </c>
      <c r="T373" s="53"/>
    </row>
    <row r="374" spans="2:20" s="62" customFormat="1" ht="120" customHeight="1" outlineLevel="1" x14ac:dyDescent="0.25">
      <c r="B374" s="53"/>
      <c r="C374" s="54" t="s">
        <v>1220</v>
      </c>
      <c r="D374" s="54" t="s">
        <v>198</v>
      </c>
      <c r="E374" s="55" t="s">
        <v>1166</v>
      </c>
      <c r="F374" s="53" t="s">
        <v>199</v>
      </c>
      <c r="G374" s="63">
        <v>18</v>
      </c>
      <c r="H374" s="57" t="s">
        <v>200</v>
      </c>
      <c r="I374" s="54" t="s">
        <v>201</v>
      </c>
      <c r="J374" s="54" t="s">
        <v>202</v>
      </c>
      <c r="K374" s="54" t="s">
        <v>203</v>
      </c>
      <c r="L374" s="54" t="s">
        <v>204</v>
      </c>
      <c r="M374" s="54" t="s">
        <v>1221</v>
      </c>
      <c r="N374" s="54" t="s">
        <v>206</v>
      </c>
      <c r="O374" s="74">
        <v>46104</v>
      </c>
      <c r="P374" s="57"/>
      <c r="Q374" s="57"/>
      <c r="R374" s="61" t="s">
        <v>31</v>
      </c>
      <c r="S374" s="61" t="s">
        <v>84</v>
      </c>
      <c r="T374" s="53" t="s">
        <v>1467</v>
      </c>
    </row>
    <row r="375" spans="2:20" s="62" customFormat="1" ht="25.5" customHeight="1" outlineLevel="1" x14ac:dyDescent="0.25">
      <c r="B375" s="53" t="s">
        <v>1154</v>
      </c>
      <c r="C375" s="54">
        <v>364</v>
      </c>
      <c r="D375" s="54" t="s">
        <v>207</v>
      </c>
      <c r="E375" s="55" t="s">
        <v>1166</v>
      </c>
      <c r="F375" s="53" t="s">
        <v>208</v>
      </c>
      <c r="G375" s="63">
        <v>2</v>
      </c>
      <c r="H375" s="57" t="s">
        <v>61</v>
      </c>
      <c r="I375" s="54" t="s">
        <v>209</v>
      </c>
      <c r="J375" s="54" t="s">
        <v>210</v>
      </c>
      <c r="K375" s="54" t="s">
        <v>211</v>
      </c>
      <c r="L375" s="54" t="s">
        <v>212</v>
      </c>
      <c r="M375" s="54" t="s">
        <v>213</v>
      </c>
      <c r="N375" s="54" t="s">
        <v>214</v>
      </c>
      <c r="O375" s="74">
        <v>46104</v>
      </c>
      <c r="P375" s="57"/>
      <c r="Q375" s="57"/>
      <c r="R375" s="61" t="s">
        <v>31</v>
      </c>
      <c r="S375" s="61" t="s">
        <v>31</v>
      </c>
      <c r="T375" s="53"/>
    </row>
    <row r="376" spans="2:20" s="62" customFormat="1" ht="25.5" customHeight="1" outlineLevel="1" x14ac:dyDescent="0.25">
      <c r="B376" s="53"/>
      <c r="C376" s="54">
        <v>365</v>
      </c>
      <c r="D376" s="54" t="s">
        <v>231</v>
      </c>
      <c r="E376" s="55" t="s">
        <v>1166</v>
      </c>
      <c r="F376" s="53" t="s">
        <v>232</v>
      </c>
      <c r="G376" s="63">
        <v>2</v>
      </c>
      <c r="H376" s="57" t="s">
        <v>61</v>
      </c>
      <c r="I376" s="54" t="s">
        <v>697</v>
      </c>
      <c r="J376" s="54" t="s">
        <v>698</v>
      </c>
      <c r="K376" s="54" t="s">
        <v>699</v>
      </c>
      <c r="L376" s="54" t="s">
        <v>236</v>
      </c>
      <c r="M376" s="54" t="s">
        <v>700</v>
      </c>
      <c r="N376" s="54" t="s">
        <v>238</v>
      </c>
      <c r="O376" s="74">
        <v>46104</v>
      </c>
      <c r="P376" s="57"/>
      <c r="Q376" s="57"/>
      <c r="R376" s="61" t="s">
        <v>31</v>
      </c>
      <c r="S376" s="61" t="s">
        <v>84</v>
      </c>
      <c r="T376" s="53"/>
    </row>
    <row r="377" spans="2:20" s="62" customFormat="1" ht="25.5" customHeight="1" outlineLevel="1" x14ac:dyDescent="0.25">
      <c r="B377" s="53"/>
      <c r="C377" s="54">
        <v>366</v>
      </c>
      <c r="D377" s="54" t="s">
        <v>239</v>
      </c>
      <c r="E377" s="55" t="s">
        <v>1166</v>
      </c>
      <c r="F377" s="53" t="s">
        <v>240</v>
      </c>
      <c r="G377" s="63">
        <v>1</v>
      </c>
      <c r="H377" s="57" t="s">
        <v>24</v>
      </c>
      <c r="I377" s="54" t="s">
        <v>241</v>
      </c>
      <c r="J377" s="54" t="s">
        <v>242</v>
      </c>
      <c r="K377" s="54" t="s">
        <v>243</v>
      </c>
      <c r="L377" s="54" t="s">
        <v>244</v>
      </c>
      <c r="M377" s="54" t="s">
        <v>244</v>
      </c>
      <c r="N377" s="54" t="s">
        <v>246</v>
      </c>
      <c r="O377" s="74">
        <v>46104</v>
      </c>
      <c r="P377" s="57"/>
      <c r="Q377" s="57"/>
      <c r="R377" s="61" t="s">
        <v>31</v>
      </c>
      <c r="S377" s="61" t="s">
        <v>31</v>
      </c>
      <c r="T377" s="53"/>
    </row>
    <row r="378" spans="2:20" s="62" customFormat="1" ht="30" customHeight="1" outlineLevel="1" x14ac:dyDescent="0.25">
      <c r="B378" s="53" t="s">
        <v>1154</v>
      </c>
      <c r="C378" s="54">
        <v>367</v>
      </c>
      <c r="D378" s="54" t="s">
        <v>247</v>
      </c>
      <c r="E378" s="55" t="s">
        <v>1166</v>
      </c>
      <c r="F378" s="53" t="s">
        <v>248</v>
      </c>
      <c r="G378" s="63">
        <v>2</v>
      </c>
      <c r="H378" s="57" t="s">
        <v>61</v>
      </c>
      <c r="I378" s="54" t="s">
        <v>528</v>
      </c>
      <c r="J378" s="54" t="s">
        <v>1068</v>
      </c>
      <c r="K378" s="68" t="s">
        <v>530</v>
      </c>
      <c r="L378" s="54" t="s">
        <v>252</v>
      </c>
      <c r="M378" s="54" t="s">
        <v>531</v>
      </c>
      <c r="N378" s="54" t="s">
        <v>254</v>
      </c>
      <c r="O378" s="74">
        <v>46104</v>
      </c>
      <c r="P378" s="57"/>
      <c r="Q378" s="57"/>
      <c r="R378" s="61" t="s">
        <v>31</v>
      </c>
      <c r="S378" s="61" t="s">
        <v>84</v>
      </c>
      <c r="T378" s="53"/>
    </row>
    <row r="379" spans="2:20" s="62" customFormat="1" ht="25.5" customHeight="1" outlineLevel="1" x14ac:dyDescent="0.25">
      <c r="B379" s="53"/>
      <c r="C379" s="54">
        <v>368</v>
      </c>
      <c r="D379" s="54" t="s">
        <v>278</v>
      </c>
      <c r="E379" s="55" t="s">
        <v>1166</v>
      </c>
      <c r="F379" s="53" t="s">
        <v>279</v>
      </c>
      <c r="G379" s="63">
        <v>7</v>
      </c>
      <c r="H379" s="57" t="s">
        <v>61</v>
      </c>
      <c r="I379" s="54" t="s">
        <v>280</v>
      </c>
      <c r="J379" s="54" t="s">
        <v>281</v>
      </c>
      <c r="K379" s="54" t="s">
        <v>282</v>
      </c>
      <c r="L379" s="54" t="s">
        <v>283</v>
      </c>
      <c r="M379" s="54" t="s">
        <v>284</v>
      </c>
      <c r="N379" s="54" t="s">
        <v>285</v>
      </c>
      <c r="O379" s="74">
        <v>46104</v>
      </c>
      <c r="P379" s="57"/>
      <c r="Q379" s="57"/>
      <c r="R379" s="61" t="s">
        <v>31</v>
      </c>
      <c r="S379" s="61" t="s">
        <v>31</v>
      </c>
      <c r="T379" s="53"/>
    </row>
    <row r="380" spans="2:20" s="62" customFormat="1" ht="25.5" customHeight="1" outlineLevel="1" x14ac:dyDescent="0.25">
      <c r="B380" s="53"/>
      <c r="C380" s="54">
        <v>369</v>
      </c>
      <c r="D380" s="54" t="s">
        <v>859</v>
      </c>
      <c r="E380" s="55" t="s">
        <v>1166</v>
      </c>
      <c r="F380" s="53" t="s">
        <v>860</v>
      </c>
      <c r="G380" s="63">
        <v>1</v>
      </c>
      <c r="H380" s="57" t="s">
        <v>861</v>
      </c>
      <c r="I380" s="54" t="s">
        <v>862</v>
      </c>
      <c r="J380" s="54" t="s">
        <v>863</v>
      </c>
      <c r="K380" s="54" t="s">
        <v>864</v>
      </c>
      <c r="L380" s="54" t="s">
        <v>865</v>
      </c>
      <c r="M380" s="54" t="s">
        <v>866</v>
      </c>
      <c r="N380" s="54" t="s">
        <v>867</v>
      </c>
      <c r="O380" s="74">
        <v>46104</v>
      </c>
      <c r="P380" s="57"/>
      <c r="Q380" s="57"/>
      <c r="R380" s="61" t="s">
        <v>31</v>
      </c>
      <c r="S380" s="61" t="s">
        <v>31</v>
      </c>
      <c r="T380" s="53"/>
    </row>
    <row r="381" spans="2:20" s="62" customFormat="1" ht="25.5" customHeight="1" outlineLevel="1" x14ac:dyDescent="0.25">
      <c r="B381" s="53" t="s">
        <v>1154</v>
      </c>
      <c r="C381" s="54">
        <v>370</v>
      </c>
      <c r="D381" s="54" t="s">
        <v>286</v>
      </c>
      <c r="E381" s="55" t="s">
        <v>1166</v>
      </c>
      <c r="F381" s="53" t="s">
        <v>287</v>
      </c>
      <c r="G381" s="63">
        <v>1</v>
      </c>
      <c r="H381" s="57" t="s">
        <v>61</v>
      </c>
      <c r="I381" s="54" t="s">
        <v>288</v>
      </c>
      <c r="J381" s="54" t="s">
        <v>289</v>
      </c>
      <c r="K381" s="54" t="s">
        <v>290</v>
      </c>
      <c r="L381" s="54" t="s">
        <v>291</v>
      </c>
      <c r="M381" s="54" t="s">
        <v>292</v>
      </c>
      <c r="N381" s="54" t="s">
        <v>293</v>
      </c>
      <c r="O381" s="74">
        <v>46104</v>
      </c>
      <c r="P381" s="57"/>
      <c r="Q381" s="57"/>
      <c r="R381" s="61" t="s">
        <v>31</v>
      </c>
      <c r="S381" s="61" t="s">
        <v>84</v>
      </c>
      <c r="T381" s="53"/>
    </row>
    <row r="382" spans="2:20" s="62" customFormat="1" ht="25.5" customHeight="1" outlineLevel="1" x14ac:dyDescent="0.25">
      <c r="B382" s="53" t="s">
        <v>1154</v>
      </c>
      <c r="C382" s="54">
        <v>371</v>
      </c>
      <c r="D382" s="54" t="s">
        <v>310</v>
      </c>
      <c r="E382" s="55" t="s">
        <v>1166</v>
      </c>
      <c r="F382" s="53" t="s">
        <v>311</v>
      </c>
      <c r="G382" s="63">
        <v>1</v>
      </c>
      <c r="H382" s="57" t="s">
        <v>152</v>
      </c>
      <c r="I382" s="54" t="s">
        <v>312</v>
      </c>
      <c r="J382" s="54" t="s">
        <v>313</v>
      </c>
      <c r="K382" s="54" t="s">
        <v>314</v>
      </c>
      <c r="L382" s="54" t="s">
        <v>315</v>
      </c>
      <c r="M382" s="54" t="s">
        <v>316</v>
      </c>
      <c r="N382" s="54" t="s">
        <v>317</v>
      </c>
      <c r="O382" s="74">
        <v>46104</v>
      </c>
      <c r="P382" s="57"/>
      <c r="Q382" s="57"/>
      <c r="R382" s="61" t="s">
        <v>31</v>
      </c>
      <c r="S382" s="61" t="s">
        <v>31</v>
      </c>
      <c r="T382" s="53"/>
    </row>
    <row r="383" spans="2:20" s="62" customFormat="1" ht="25.5" customHeight="1" outlineLevel="1" x14ac:dyDescent="0.25">
      <c r="B383" s="53" t="s">
        <v>1154</v>
      </c>
      <c r="C383" s="54">
        <v>372</v>
      </c>
      <c r="D383" s="54" t="s">
        <v>318</v>
      </c>
      <c r="E383" s="55" t="s">
        <v>1166</v>
      </c>
      <c r="F383" s="53" t="s">
        <v>319</v>
      </c>
      <c r="G383" s="63">
        <v>1</v>
      </c>
      <c r="H383" s="57" t="s">
        <v>111</v>
      </c>
      <c r="I383" s="54" t="s">
        <v>320</v>
      </c>
      <c r="J383" s="54" t="s">
        <v>321</v>
      </c>
      <c r="K383" s="54" t="s">
        <v>322</v>
      </c>
      <c r="L383" s="54" t="s">
        <v>323</v>
      </c>
      <c r="M383" s="54" t="s">
        <v>324</v>
      </c>
      <c r="N383" s="54" t="s">
        <v>325</v>
      </c>
      <c r="O383" s="74">
        <v>46104</v>
      </c>
      <c r="P383" s="57"/>
      <c r="Q383" s="57"/>
      <c r="R383" s="61" t="s">
        <v>31</v>
      </c>
      <c r="S383" s="61" t="s">
        <v>84</v>
      </c>
      <c r="T383" s="53"/>
    </row>
    <row r="384" spans="2:20" s="62" customFormat="1" ht="25.5" customHeight="1" outlineLevel="1" x14ac:dyDescent="0.25">
      <c r="B384" s="53"/>
      <c r="C384" s="54">
        <v>373</v>
      </c>
      <c r="D384" s="54" t="s">
        <v>342</v>
      </c>
      <c r="E384" s="55" t="s">
        <v>1166</v>
      </c>
      <c r="F384" s="53" t="s">
        <v>343</v>
      </c>
      <c r="G384" s="63">
        <v>1</v>
      </c>
      <c r="H384" s="57" t="s">
        <v>24</v>
      </c>
      <c r="I384" s="54" t="s">
        <v>344</v>
      </c>
      <c r="J384" s="54" t="s">
        <v>345</v>
      </c>
      <c r="K384" s="54" t="s">
        <v>346</v>
      </c>
      <c r="L384" s="54" t="s">
        <v>348</v>
      </c>
      <c r="M384" s="54" t="s">
        <v>348</v>
      </c>
      <c r="N384" s="54" t="s">
        <v>349</v>
      </c>
      <c r="O384" s="74">
        <v>46104</v>
      </c>
      <c r="P384" s="57"/>
      <c r="Q384" s="57"/>
      <c r="R384" s="61" t="s">
        <v>31</v>
      </c>
      <c r="S384" s="61" t="s">
        <v>31</v>
      </c>
      <c r="T384" s="53"/>
    </row>
    <row r="385" spans="2:20" s="62" customFormat="1" ht="30" customHeight="1" outlineLevel="1" x14ac:dyDescent="0.25">
      <c r="B385" s="53" t="s">
        <v>1154</v>
      </c>
      <c r="C385" s="54" t="s">
        <v>1218</v>
      </c>
      <c r="D385" s="54" t="s">
        <v>802</v>
      </c>
      <c r="E385" s="55" t="s">
        <v>1166</v>
      </c>
      <c r="F385" s="53" t="s">
        <v>803</v>
      </c>
      <c r="G385" s="63">
        <v>10</v>
      </c>
      <c r="H385" s="57" t="s">
        <v>804</v>
      </c>
      <c r="I385" s="54" t="s">
        <v>874</v>
      </c>
      <c r="J385" s="54" t="s">
        <v>875</v>
      </c>
      <c r="K385" s="54" t="s">
        <v>876</v>
      </c>
      <c r="L385" s="54" t="s">
        <v>808</v>
      </c>
      <c r="M385" s="54" t="s">
        <v>1219</v>
      </c>
      <c r="N385" s="54" t="s">
        <v>810</v>
      </c>
      <c r="O385" s="74">
        <v>46104</v>
      </c>
      <c r="P385" s="57"/>
      <c r="Q385" s="57"/>
      <c r="R385" s="61" t="s">
        <v>31</v>
      </c>
      <c r="S385" s="61" t="s">
        <v>84</v>
      </c>
      <c r="T385" s="53" t="s">
        <v>1468</v>
      </c>
    </row>
    <row r="386" spans="2:20" s="62" customFormat="1" ht="25.5" customHeight="1" outlineLevel="1" x14ac:dyDescent="0.25">
      <c r="B386" s="53" t="s">
        <v>1154</v>
      </c>
      <c r="C386" s="54">
        <v>375</v>
      </c>
      <c r="D386" s="54" t="s">
        <v>357</v>
      </c>
      <c r="E386" s="55" t="s">
        <v>1166</v>
      </c>
      <c r="F386" s="53" t="s">
        <v>358</v>
      </c>
      <c r="G386" s="63">
        <v>1</v>
      </c>
      <c r="H386" s="57" t="s">
        <v>359</v>
      </c>
      <c r="I386" s="54" t="s">
        <v>360</v>
      </c>
      <c r="J386" s="54" t="s">
        <v>361</v>
      </c>
      <c r="K386" s="54" t="s">
        <v>362</v>
      </c>
      <c r="L386" s="54" t="s">
        <v>363</v>
      </c>
      <c r="M386" s="54" t="s">
        <v>364</v>
      </c>
      <c r="N386" s="54" t="s">
        <v>365</v>
      </c>
      <c r="O386" s="74">
        <v>46104</v>
      </c>
      <c r="P386" s="57"/>
      <c r="Q386" s="57"/>
      <c r="R386" s="61" t="s">
        <v>31</v>
      </c>
      <c r="S386" s="61" t="s">
        <v>84</v>
      </c>
      <c r="T386" s="53"/>
    </row>
    <row r="387" spans="2:20" s="62" customFormat="1" ht="45" customHeight="1" outlineLevel="1" x14ac:dyDescent="0.25">
      <c r="B387" s="53" t="s">
        <v>1154</v>
      </c>
      <c r="C387" s="54" t="s">
        <v>1187</v>
      </c>
      <c r="D387" s="54" t="s">
        <v>366</v>
      </c>
      <c r="E387" s="55" t="s">
        <v>1166</v>
      </c>
      <c r="F387" s="53" t="s">
        <v>367</v>
      </c>
      <c r="G387" s="63">
        <v>6</v>
      </c>
      <c r="H387" s="57" t="s">
        <v>368</v>
      </c>
      <c r="I387" s="54" t="s">
        <v>369</v>
      </c>
      <c r="J387" s="54" t="s">
        <v>370</v>
      </c>
      <c r="K387" s="54" t="s">
        <v>371</v>
      </c>
      <c r="L387" s="54" t="s">
        <v>372</v>
      </c>
      <c r="M387" s="54" t="s">
        <v>1188</v>
      </c>
      <c r="N387" s="54" t="s">
        <v>374</v>
      </c>
      <c r="O387" s="74">
        <v>46104</v>
      </c>
      <c r="P387" s="57"/>
      <c r="Q387" s="57"/>
      <c r="R387" s="61" t="s">
        <v>31</v>
      </c>
      <c r="S387" s="61" t="s">
        <v>84</v>
      </c>
      <c r="T387" s="53"/>
    </row>
    <row r="388" spans="2:20" s="62" customFormat="1" outlineLevel="1" x14ac:dyDescent="0.25">
      <c r="B388" s="53"/>
      <c r="C388" s="54">
        <v>377</v>
      </c>
      <c r="D388" s="54" t="s">
        <v>375</v>
      </c>
      <c r="E388" s="53" t="s">
        <v>1166</v>
      </c>
      <c r="F388" s="53" t="s">
        <v>376</v>
      </c>
      <c r="G388" s="63">
        <v>10</v>
      </c>
      <c r="H388" s="57" t="s">
        <v>111</v>
      </c>
      <c r="I388" s="54" t="s">
        <v>377</v>
      </c>
      <c r="J388" s="54" t="s">
        <v>378</v>
      </c>
      <c r="K388" s="54" t="s">
        <v>379</v>
      </c>
      <c r="L388" s="54" t="s">
        <v>380</v>
      </c>
      <c r="M388" s="54" t="s">
        <v>1191</v>
      </c>
      <c r="N388" s="54" t="s">
        <v>382</v>
      </c>
      <c r="O388" s="74">
        <v>46104</v>
      </c>
      <c r="P388" s="57"/>
      <c r="Q388" s="57"/>
      <c r="R388" s="61" t="s">
        <v>31</v>
      </c>
      <c r="S388" s="61" t="s">
        <v>31</v>
      </c>
      <c r="T388" s="53"/>
    </row>
    <row r="389" spans="2:20" s="62" customFormat="1" ht="25.5" customHeight="1" outlineLevel="1" x14ac:dyDescent="0.25">
      <c r="B389" s="53" t="s">
        <v>1154</v>
      </c>
      <c r="C389" s="54">
        <v>378</v>
      </c>
      <c r="D389" s="54" t="s">
        <v>391</v>
      </c>
      <c r="E389" s="55" t="s">
        <v>1166</v>
      </c>
      <c r="F389" s="53" t="s">
        <v>392</v>
      </c>
      <c r="G389" s="63">
        <v>4</v>
      </c>
      <c r="H389" s="57" t="s">
        <v>111</v>
      </c>
      <c r="I389" s="54" t="s">
        <v>393</v>
      </c>
      <c r="J389" s="54" t="s">
        <v>394</v>
      </c>
      <c r="K389" s="54" t="s">
        <v>395</v>
      </c>
      <c r="L389" s="54" t="s">
        <v>396</v>
      </c>
      <c r="M389" s="54" t="s">
        <v>397</v>
      </c>
      <c r="N389" s="54" t="s">
        <v>398</v>
      </c>
      <c r="O389" s="74">
        <v>46104</v>
      </c>
      <c r="P389" s="57"/>
      <c r="Q389" s="57"/>
      <c r="R389" s="61" t="s">
        <v>31</v>
      </c>
      <c r="S389" s="61" t="s">
        <v>84</v>
      </c>
      <c r="T389" s="53"/>
    </row>
    <row r="390" spans="2:20" s="62" customFormat="1" ht="25.5" customHeight="1" outlineLevel="1" x14ac:dyDescent="0.25">
      <c r="B390" s="53" t="s">
        <v>1154</v>
      </c>
      <c r="C390" s="54">
        <v>379</v>
      </c>
      <c r="D390" s="54" t="s">
        <v>415</v>
      </c>
      <c r="E390" s="55" t="s">
        <v>1166</v>
      </c>
      <c r="F390" s="53" t="s">
        <v>416</v>
      </c>
      <c r="G390" s="63">
        <v>1</v>
      </c>
      <c r="H390" s="57" t="s">
        <v>417</v>
      </c>
      <c r="I390" s="54" t="s">
        <v>418</v>
      </c>
      <c r="J390" s="54" t="s">
        <v>419</v>
      </c>
      <c r="K390" s="54" t="s">
        <v>420</v>
      </c>
      <c r="L390" s="54" t="s">
        <v>421</v>
      </c>
      <c r="M390" s="54" t="s">
        <v>422</v>
      </c>
      <c r="N390" s="54" t="s">
        <v>423</v>
      </c>
      <c r="O390" s="74">
        <v>46104</v>
      </c>
      <c r="P390" s="57"/>
      <c r="Q390" s="57"/>
      <c r="R390" s="61" t="s">
        <v>31</v>
      </c>
      <c r="S390" s="61" t="s">
        <v>31</v>
      </c>
      <c r="T390" s="53"/>
    </row>
    <row r="391" spans="2:20" s="62" customFormat="1" ht="45" customHeight="1" outlineLevel="1" x14ac:dyDescent="0.25">
      <c r="B391" s="53" t="s">
        <v>1469</v>
      </c>
      <c r="C391" s="54" t="s">
        <v>1177</v>
      </c>
      <c r="D391" s="54" t="s">
        <v>431</v>
      </c>
      <c r="E391" s="55" t="s">
        <v>1166</v>
      </c>
      <c r="F391" s="53" t="s">
        <v>432</v>
      </c>
      <c r="G391" s="63">
        <v>3</v>
      </c>
      <c r="H391" s="57" t="s">
        <v>152</v>
      </c>
      <c r="I391" s="54" t="s">
        <v>1178</v>
      </c>
      <c r="J391" s="54" t="s">
        <v>1179</v>
      </c>
      <c r="K391" s="54" t="s">
        <v>1180</v>
      </c>
      <c r="L391" s="54" t="s">
        <v>436</v>
      </c>
      <c r="M391" s="54" t="s">
        <v>1181</v>
      </c>
      <c r="N391" s="54" t="s">
        <v>438</v>
      </c>
      <c r="O391" s="74">
        <v>46104</v>
      </c>
      <c r="P391" s="57"/>
      <c r="Q391" s="57"/>
      <c r="R391" s="61" t="s">
        <v>31</v>
      </c>
      <c r="S391" s="61" t="s">
        <v>31</v>
      </c>
      <c r="T391" s="53"/>
    </row>
    <row r="392" spans="2:20" s="62" customFormat="1" ht="30" customHeight="1" outlineLevel="1" x14ac:dyDescent="0.25">
      <c r="B392" s="53" t="s">
        <v>1154</v>
      </c>
      <c r="C392" s="54">
        <v>381</v>
      </c>
      <c r="D392" s="54" t="s">
        <v>439</v>
      </c>
      <c r="E392" s="55" t="s">
        <v>1166</v>
      </c>
      <c r="F392" s="53" t="s">
        <v>440</v>
      </c>
      <c r="G392" s="63">
        <v>1</v>
      </c>
      <c r="H392" s="57" t="s">
        <v>152</v>
      </c>
      <c r="I392" s="54" t="s">
        <v>441</v>
      </c>
      <c r="J392" s="54" t="s">
        <v>442</v>
      </c>
      <c r="K392" s="54" t="s">
        <v>443</v>
      </c>
      <c r="L392" s="54" t="s">
        <v>444</v>
      </c>
      <c r="M392" s="54" t="s">
        <v>1170</v>
      </c>
      <c r="N392" s="54" t="s">
        <v>446</v>
      </c>
      <c r="O392" s="74">
        <v>46104</v>
      </c>
      <c r="P392" s="57"/>
      <c r="Q392" s="57"/>
      <c r="R392" s="61" t="s">
        <v>31</v>
      </c>
      <c r="S392" s="61" t="s">
        <v>31</v>
      </c>
      <c r="T392" s="53"/>
    </row>
    <row r="393" spans="2:20" s="62" customFormat="1" ht="25.5" customHeight="1" outlineLevel="1" x14ac:dyDescent="0.25">
      <c r="B393" s="53" t="s">
        <v>1154</v>
      </c>
      <c r="C393" s="54">
        <v>382</v>
      </c>
      <c r="D393" s="54" t="s">
        <v>447</v>
      </c>
      <c r="E393" s="55" t="s">
        <v>1166</v>
      </c>
      <c r="F393" s="53" t="s">
        <v>448</v>
      </c>
      <c r="G393" s="63">
        <v>1</v>
      </c>
      <c r="H393" s="57" t="s">
        <v>24</v>
      </c>
      <c r="I393" s="54" t="s">
        <v>449</v>
      </c>
      <c r="J393" s="54" t="s">
        <v>450</v>
      </c>
      <c r="K393" s="54" t="s">
        <v>451</v>
      </c>
      <c r="L393" s="54" t="s">
        <v>452</v>
      </c>
      <c r="M393" s="54" t="s">
        <v>453</v>
      </c>
      <c r="N393" s="54" t="s">
        <v>454</v>
      </c>
      <c r="O393" s="74">
        <v>46104</v>
      </c>
      <c r="P393" s="57"/>
      <c r="Q393" s="57"/>
      <c r="R393" s="61" t="s">
        <v>31</v>
      </c>
      <c r="S393" s="61" t="s">
        <v>31</v>
      </c>
      <c r="T393" s="53"/>
    </row>
    <row r="394" spans="2:20" s="62" customFormat="1" ht="25.5" customHeight="1" outlineLevel="1" x14ac:dyDescent="0.25">
      <c r="B394" s="53" t="s">
        <v>1154</v>
      </c>
      <c r="C394" s="54">
        <v>383</v>
      </c>
      <c r="D394" s="54" t="s">
        <v>596</v>
      </c>
      <c r="E394" s="55" t="s">
        <v>1166</v>
      </c>
      <c r="F394" s="53" t="s">
        <v>597</v>
      </c>
      <c r="G394" s="63">
        <v>1</v>
      </c>
      <c r="H394" s="57" t="s">
        <v>61</v>
      </c>
      <c r="I394" s="54" t="s">
        <v>598</v>
      </c>
      <c r="J394" s="54" t="s">
        <v>599</v>
      </c>
      <c r="K394" s="54" t="s">
        <v>600</v>
      </c>
      <c r="L394" s="54" t="s">
        <v>601</v>
      </c>
      <c r="M394" s="54" t="s">
        <v>602</v>
      </c>
      <c r="N394" s="54" t="s">
        <v>603</v>
      </c>
      <c r="O394" s="74">
        <v>46104</v>
      </c>
      <c r="P394" s="57"/>
      <c r="Q394" s="57"/>
      <c r="R394" s="61" t="s">
        <v>31</v>
      </c>
      <c r="S394" s="61" t="s">
        <v>84</v>
      </c>
      <c r="T394" s="53"/>
    </row>
    <row r="395" spans="2:20" s="62" customFormat="1" ht="45" customHeight="1" outlineLevel="1" x14ac:dyDescent="0.25">
      <c r="B395" s="53" t="s">
        <v>1154</v>
      </c>
      <c r="C395" s="54" t="s">
        <v>1165</v>
      </c>
      <c r="D395" s="54" t="s">
        <v>760</v>
      </c>
      <c r="E395" s="55" t="s">
        <v>1166</v>
      </c>
      <c r="F395" s="53" t="s">
        <v>761</v>
      </c>
      <c r="G395" s="63">
        <v>7</v>
      </c>
      <c r="H395" s="57" t="s">
        <v>61</v>
      </c>
      <c r="I395" s="54" t="s">
        <v>762</v>
      </c>
      <c r="J395" s="54" t="s">
        <v>763</v>
      </c>
      <c r="K395" s="54" t="s">
        <v>764</v>
      </c>
      <c r="L395" s="54" t="s">
        <v>765</v>
      </c>
      <c r="M395" s="54" t="s">
        <v>1167</v>
      </c>
      <c r="N395" s="54" t="s">
        <v>766</v>
      </c>
      <c r="O395" s="74">
        <v>46104</v>
      </c>
      <c r="P395" s="57"/>
      <c r="Q395" s="57"/>
      <c r="R395" s="61" t="s">
        <v>31</v>
      </c>
      <c r="S395" s="61" t="s">
        <v>84</v>
      </c>
      <c r="T395" s="53"/>
    </row>
    <row r="396" spans="2:20" s="62" customFormat="1" ht="25.5" customHeight="1" outlineLevel="1" x14ac:dyDescent="0.25">
      <c r="B396" s="53"/>
      <c r="C396" s="54">
        <v>385</v>
      </c>
      <c r="D396" s="54" t="s">
        <v>588</v>
      </c>
      <c r="E396" s="55" t="s">
        <v>1166</v>
      </c>
      <c r="F396" s="53" t="s">
        <v>589</v>
      </c>
      <c r="G396" s="63">
        <v>13</v>
      </c>
      <c r="H396" s="57" t="s">
        <v>24</v>
      </c>
      <c r="I396" s="54" t="s">
        <v>590</v>
      </c>
      <c r="J396" s="54" t="s">
        <v>591</v>
      </c>
      <c r="K396" s="54" t="s">
        <v>592</v>
      </c>
      <c r="L396" s="54" t="s">
        <v>593</v>
      </c>
      <c r="M396" s="54" t="s">
        <v>594</v>
      </c>
      <c r="N396" s="54" t="s">
        <v>595</v>
      </c>
      <c r="O396" s="74">
        <v>46104</v>
      </c>
      <c r="P396" s="57"/>
      <c r="Q396" s="57"/>
      <c r="R396" s="61" t="s">
        <v>31</v>
      </c>
      <c r="S396" s="61" t="s">
        <v>31</v>
      </c>
      <c r="T396" s="53"/>
    </row>
    <row r="397" spans="2:20" s="62" customFormat="1" ht="25.5" customHeight="1" outlineLevel="1" x14ac:dyDescent="0.25">
      <c r="B397" s="53" t="s">
        <v>1154</v>
      </c>
      <c r="C397" s="54">
        <v>386</v>
      </c>
      <c r="D397" s="54" t="s">
        <v>486</v>
      </c>
      <c r="E397" s="55" t="s">
        <v>1166</v>
      </c>
      <c r="F397" s="53" t="s">
        <v>487</v>
      </c>
      <c r="G397" s="63">
        <v>1</v>
      </c>
      <c r="H397" s="57" t="s">
        <v>152</v>
      </c>
      <c r="I397" s="54" t="s">
        <v>488</v>
      </c>
      <c r="J397" s="54" t="s">
        <v>489</v>
      </c>
      <c r="K397" s="54" t="s">
        <v>490</v>
      </c>
      <c r="L397" s="54" t="s">
        <v>491</v>
      </c>
      <c r="M397" s="54" t="s">
        <v>492</v>
      </c>
      <c r="N397" s="54" t="s">
        <v>493</v>
      </c>
      <c r="O397" s="74">
        <v>46104</v>
      </c>
      <c r="P397" s="57"/>
      <c r="Q397" s="57"/>
      <c r="R397" s="61" t="s">
        <v>31</v>
      </c>
      <c r="S397" s="61" t="s">
        <v>84</v>
      </c>
      <c r="T397" s="53"/>
    </row>
    <row r="398" spans="2:20" s="62" customFormat="1" ht="25.5" customHeight="1" outlineLevel="1" x14ac:dyDescent="0.25">
      <c r="B398" s="53"/>
      <c r="C398" s="54">
        <v>387</v>
      </c>
      <c r="D398" s="54" t="s">
        <v>611</v>
      </c>
      <c r="E398" s="55" t="s">
        <v>1166</v>
      </c>
      <c r="F398" s="53" t="s">
        <v>612</v>
      </c>
      <c r="G398" s="63">
        <v>5</v>
      </c>
      <c r="H398" s="57" t="s">
        <v>24</v>
      </c>
      <c r="I398" s="54" t="s">
        <v>613</v>
      </c>
      <c r="J398" s="54" t="s">
        <v>614</v>
      </c>
      <c r="K398" s="54" t="s">
        <v>615</v>
      </c>
      <c r="L398" s="54" t="s">
        <v>616</v>
      </c>
      <c r="M398" s="54" t="s">
        <v>616</v>
      </c>
      <c r="N398" s="54" t="s">
        <v>617</v>
      </c>
      <c r="O398" s="74">
        <v>46104</v>
      </c>
      <c r="P398" s="57"/>
      <c r="Q398" s="57"/>
      <c r="R398" s="61" t="s">
        <v>31</v>
      </c>
      <c r="S398" s="61" t="s">
        <v>31</v>
      </c>
      <c r="T398" s="53"/>
    </row>
    <row r="399" spans="2:20" s="62" customFormat="1" ht="25.5" customHeight="1" outlineLevel="1" x14ac:dyDescent="0.25">
      <c r="B399" s="53" t="s">
        <v>1154</v>
      </c>
      <c r="C399" s="54">
        <v>388</v>
      </c>
      <c r="D399" s="54" t="s">
        <v>508</v>
      </c>
      <c r="E399" s="55" t="s">
        <v>1166</v>
      </c>
      <c r="F399" s="53" t="s">
        <v>509</v>
      </c>
      <c r="G399" s="63">
        <v>15</v>
      </c>
      <c r="H399" s="57" t="s">
        <v>61</v>
      </c>
      <c r="I399" s="54" t="s">
        <v>510</v>
      </c>
      <c r="J399" s="54" t="s">
        <v>511</v>
      </c>
      <c r="K399" s="54" t="s">
        <v>512</v>
      </c>
      <c r="L399" s="54" t="s">
        <v>513</v>
      </c>
      <c r="M399" s="54" t="s">
        <v>514</v>
      </c>
      <c r="N399" s="54" t="s">
        <v>515</v>
      </c>
      <c r="O399" s="74">
        <v>46104</v>
      </c>
      <c r="P399" s="57"/>
      <c r="Q399" s="57"/>
      <c r="R399" s="61" t="s">
        <v>31</v>
      </c>
      <c r="S399" s="61" t="s">
        <v>31</v>
      </c>
      <c r="T399" s="53"/>
    </row>
    <row r="400" spans="2:20" s="62" customFormat="1" ht="25.5" customHeight="1" outlineLevel="1" x14ac:dyDescent="0.25">
      <c r="B400" s="53" t="s">
        <v>1154</v>
      </c>
      <c r="C400" s="54">
        <v>389</v>
      </c>
      <c r="D400" s="54" t="s">
        <v>516</v>
      </c>
      <c r="E400" s="55" t="s">
        <v>1166</v>
      </c>
      <c r="F400" s="67" t="s">
        <v>517</v>
      </c>
      <c r="G400" s="63">
        <v>1</v>
      </c>
      <c r="H400" s="57" t="s">
        <v>61</v>
      </c>
      <c r="I400" s="54" t="s">
        <v>518</v>
      </c>
      <c r="J400" s="54" t="s">
        <v>519</v>
      </c>
      <c r="K400" s="54" t="s">
        <v>520</v>
      </c>
      <c r="L400" s="54" t="s">
        <v>521</v>
      </c>
      <c r="M400" s="54" t="s">
        <v>172</v>
      </c>
      <c r="N400" s="54" t="s">
        <v>523</v>
      </c>
      <c r="O400" s="74">
        <v>46104</v>
      </c>
      <c r="P400" s="57"/>
      <c r="Q400" s="57"/>
      <c r="R400" s="61" t="s">
        <v>31</v>
      </c>
      <c r="S400" s="61" t="s">
        <v>31</v>
      </c>
      <c r="T400" s="53"/>
    </row>
    <row r="401" spans="2:19" s="33" customFormat="1" x14ac:dyDescent="0.25">
      <c r="B401" s="42"/>
      <c r="C401" s="42"/>
      <c r="D401" s="42"/>
      <c r="E401" s="28" t="s">
        <v>1226</v>
      </c>
      <c r="F401" s="28"/>
      <c r="G401" s="29">
        <f>SUM(G402:G467)</f>
        <v>238</v>
      </c>
      <c r="H401" s="34"/>
      <c r="I401" s="49"/>
      <c r="J401" s="50"/>
      <c r="K401" s="51"/>
      <c r="L401" s="42"/>
      <c r="M401" s="42"/>
      <c r="N401" s="36"/>
      <c r="O401" s="34"/>
      <c r="P401" s="35"/>
      <c r="Q401" s="35"/>
      <c r="R401" s="36"/>
      <c r="S401" s="32"/>
    </row>
    <row r="402" spans="2:19" s="62" customFormat="1" outlineLevel="1" x14ac:dyDescent="0.25">
      <c r="B402" s="53"/>
      <c r="C402" s="54">
        <v>390</v>
      </c>
      <c r="D402" s="54" t="s">
        <v>21</v>
      </c>
      <c r="E402" s="55" t="s">
        <v>1226</v>
      </c>
      <c r="F402" s="53" t="s">
        <v>22</v>
      </c>
      <c r="G402" s="63">
        <v>2</v>
      </c>
      <c r="H402" s="57" t="s">
        <v>24</v>
      </c>
      <c r="I402" s="54" t="s">
        <v>25</v>
      </c>
      <c r="J402" s="54" t="s">
        <v>26</v>
      </c>
      <c r="K402" s="54" t="s">
        <v>27</v>
      </c>
      <c r="L402" s="54" t="s">
        <v>28</v>
      </c>
      <c r="M402" s="54" t="s">
        <v>29</v>
      </c>
      <c r="N402" s="54" t="s">
        <v>30</v>
      </c>
      <c r="O402" s="74">
        <v>46119</v>
      </c>
      <c r="P402" s="57"/>
      <c r="Q402" s="57"/>
      <c r="R402" s="61"/>
      <c r="S402" s="61"/>
    </row>
    <row r="403" spans="2:19" s="62" customFormat="1" outlineLevel="1" x14ac:dyDescent="0.25">
      <c r="B403" s="53"/>
      <c r="C403" s="54">
        <v>391</v>
      </c>
      <c r="D403" s="54" t="s">
        <v>811</v>
      </c>
      <c r="E403" s="55" t="s">
        <v>1226</v>
      </c>
      <c r="F403" s="53" t="s">
        <v>812</v>
      </c>
      <c r="G403" s="63">
        <v>41</v>
      </c>
      <c r="H403" s="57" t="s">
        <v>813</v>
      </c>
      <c r="I403" s="54" t="s">
        <v>814</v>
      </c>
      <c r="J403" s="54" t="s">
        <v>815</v>
      </c>
      <c r="K403" s="54" t="s">
        <v>816</v>
      </c>
      <c r="L403" s="54" t="s">
        <v>817</v>
      </c>
      <c r="M403" s="54" t="s">
        <v>1148</v>
      </c>
      <c r="N403" s="54" t="s">
        <v>819</v>
      </c>
      <c r="O403" s="74">
        <v>46119</v>
      </c>
      <c r="P403" s="57"/>
      <c r="Q403" s="57"/>
      <c r="R403" s="61"/>
      <c r="S403" s="61"/>
    </row>
    <row r="404" spans="2:19" s="62" customFormat="1" outlineLevel="1" x14ac:dyDescent="0.25">
      <c r="B404" s="53"/>
      <c r="C404" s="54">
        <v>392</v>
      </c>
      <c r="D404" s="54" t="s">
        <v>34</v>
      </c>
      <c r="E404" s="55" t="s">
        <v>1226</v>
      </c>
      <c r="F404" s="53" t="s">
        <v>35</v>
      </c>
      <c r="G404" s="63">
        <v>6</v>
      </c>
      <c r="H404" s="57" t="s">
        <v>36</v>
      </c>
      <c r="I404" s="54" t="s">
        <v>37</v>
      </c>
      <c r="J404" s="54" t="s">
        <v>38</v>
      </c>
      <c r="K404" s="54" t="s">
        <v>39</v>
      </c>
      <c r="L404" s="54" t="s">
        <v>40</v>
      </c>
      <c r="M404" s="54" t="s">
        <v>553</v>
      </c>
      <c r="N404" s="54" t="s">
        <v>42</v>
      </c>
      <c r="O404" s="74">
        <v>46119</v>
      </c>
      <c r="P404" s="57"/>
      <c r="Q404" s="57"/>
      <c r="R404" s="61"/>
      <c r="S404" s="61"/>
    </row>
    <row r="405" spans="2:19" s="62" customFormat="1" outlineLevel="1" x14ac:dyDescent="0.25">
      <c r="B405" s="53"/>
      <c r="C405" s="54">
        <v>393</v>
      </c>
      <c r="D405" s="54" t="s">
        <v>43</v>
      </c>
      <c r="E405" s="55" t="s">
        <v>1226</v>
      </c>
      <c r="F405" s="53" t="s">
        <v>44</v>
      </c>
      <c r="G405" s="63">
        <v>6</v>
      </c>
      <c r="H405" s="57" t="s">
        <v>24</v>
      </c>
      <c r="I405" s="54" t="s">
        <v>45</v>
      </c>
      <c r="J405" s="54" t="s">
        <v>46</v>
      </c>
      <c r="K405" s="54" t="s">
        <v>47</v>
      </c>
      <c r="L405" s="54" t="s">
        <v>48</v>
      </c>
      <c r="M405" s="54" t="s">
        <v>49</v>
      </c>
      <c r="N405" s="54" t="s">
        <v>50</v>
      </c>
      <c r="O405" s="74">
        <v>46119</v>
      </c>
      <c r="P405" s="57"/>
      <c r="Q405" s="57"/>
      <c r="R405" s="61"/>
      <c r="S405" s="61"/>
    </row>
    <row r="406" spans="2:19" s="62" customFormat="1" outlineLevel="1" x14ac:dyDescent="0.25">
      <c r="B406" s="53"/>
      <c r="C406" s="54">
        <v>394</v>
      </c>
      <c r="D406" s="54" t="s">
        <v>51</v>
      </c>
      <c r="E406" s="55" t="s">
        <v>1226</v>
      </c>
      <c r="F406" s="53" t="s">
        <v>52</v>
      </c>
      <c r="G406" s="63">
        <v>3</v>
      </c>
      <c r="H406" s="57" t="s">
        <v>24</v>
      </c>
      <c r="I406" s="54" t="s">
        <v>53</v>
      </c>
      <c r="J406" s="54" t="s">
        <v>54</v>
      </c>
      <c r="K406" s="54" t="s">
        <v>55</v>
      </c>
      <c r="L406" s="54" t="s">
        <v>56</v>
      </c>
      <c r="M406" s="54" t="s">
        <v>57</v>
      </c>
      <c r="N406" s="54" t="s">
        <v>58</v>
      </c>
      <c r="O406" s="74">
        <v>46119</v>
      </c>
      <c r="P406" s="57"/>
      <c r="Q406" s="57"/>
      <c r="R406" s="61"/>
      <c r="S406" s="61"/>
    </row>
    <row r="407" spans="2:19" s="62" customFormat="1" outlineLevel="1" x14ac:dyDescent="0.25">
      <c r="B407" s="53"/>
      <c r="C407" s="54">
        <v>395</v>
      </c>
      <c r="D407" s="54" t="s">
        <v>782</v>
      </c>
      <c r="E407" s="55" t="s">
        <v>1226</v>
      </c>
      <c r="F407" s="53" t="s">
        <v>783</v>
      </c>
      <c r="G407" s="63">
        <v>1</v>
      </c>
      <c r="H407" s="57" t="s">
        <v>784</v>
      </c>
      <c r="I407" s="54" t="s">
        <v>785</v>
      </c>
      <c r="J407" s="54" t="s">
        <v>786</v>
      </c>
      <c r="K407" s="54" t="s">
        <v>787</v>
      </c>
      <c r="L407" s="54" t="s">
        <v>788</v>
      </c>
      <c r="M407" s="54" t="s">
        <v>789</v>
      </c>
      <c r="N407" s="54" t="s">
        <v>790</v>
      </c>
      <c r="O407" s="74">
        <v>46119</v>
      </c>
      <c r="P407" s="57"/>
      <c r="Q407" s="57"/>
      <c r="R407" s="61"/>
      <c r="S407" s="61"/>
    </row>
    <row r="408" spans="2:19" s="62" customFormat="1" outlineLevel="1" x14ac:dyDescent="0.25">
      <c r="B408" s="53"/>
      <c r="C408" s="54">
        <v>396</v>
      </c>
      <c r="D408" s="54" t="s">
        <v>59</v>
      </c>
      <c r="E408" s="55" t="s">
        <v>1226</v>
      </c>
      <c r="F408" s="53" t="s">
        <v>60</v>
      </c>
      <c r="G408" s="63">
        <v>20</v>
      </c>
      <c r="H408" s="57" t="s">
        <v>61</v>
      </c>
      <c r="I408" s="54" t="s">
        <v>62</v>
      </c>
      <c r="J408" s="54" t="s">
        <v>63</v>
      </c>
      <c r="K408" s="54" t="s">
        <v>64</v>
      </c>
      <c r="L408" s="54" t="s">
        <v>65</v>
      </c>
      <c r="M408" s="54" t="s">
        <v>66</v>
      </c>
      <c r="N408" s="54" t="s">
        <v>67</v>
      </c>
      <c r="O408" s="74">
        <v>46119</v>
      </c>
      <c r="P408" s="57"/>
      <c r="Q408" s="57"/>
      <c r="R408" s="61"/>
      <c r="S408" s="61"/>
    </row>
    <row r="409" spans="2:19" s="62" customFormat="1" outlineLevel="1" x14ac:dyDescent="0.25">
      <c r="B409" s="53"/>
      <c r="C409" s="54">
        <v>397</v>
      </c>
      <c r="D409" s="54" t="s">
        <v>75</v>
      </c>
      <c r="E409" s="55" t="s">
        <v>1226</v>
      </c>
      <c r="F409" s="53" t="s">
        <v>76</v>
      </c>
      <c r="G409" s="63">
        <v>10</v>
      </c>
      <c r="H409" s="57" t="s">
        <v>77</v>
      </c>
      <c r="I409" s="54" t="s">
        <v>78</v>
      </c>
      <c r="J409" s="54" t="s">
        <v>79</v>
      </c>
      <c r="K409" s="54" t="s">
        <v>80</v>
      </c>
      <c r="L409" s="54" t="s">
        <v>81</v>
      </c>
      <c r="M409" s="54" t="s">
        <v>82</v>
      </c>
      <c r="N409" s="54" t="s">
        <v>83</v>
      </c>
      <c r="O409" s="74">
        <v>46119</v>
      </c>
      <c r="P409" s="57"/>
      <c r="Q409" s="57"/>
      <c r="R409" s="61"/>
      <c r="S409" s="61"/>
    </row>
    <row r="410" spans="2:19" s="62" customFormat="1" outlineLevel="1" x14ac:dyDescent="0.25">
      <c r="B410" s="53"/>
      <c r="C410" s="54">
        <v>398</v>
      </c>
      <c r="D410" s="54" t="s">
        <v>85</v>
      </c>
      <c r="E410" s="55" t="s">
        <v>1226</v>
      </c>
      <c r="F410" s="53" t="s">
        <v>86</v>
      </c>
      <c r="G410" s="63">
        <v>1</v>
      </c>
      <c r="H410" s="57" t="s">
        <v>87</v>
      </c>
      <c r="I410" s="54" t="s">
        <v>88</v>
      </c>
      <c r="J410" s="54" t="s">
        <v>89</v>
      </c>
      <c r="K410" s="54" t="s">
        <v>90</v>
      </c>
      <c r="L410" s="54" t="s">
        <v>91</v>
      </c>
      <c r="M410" s="54" t="s">
        <v>92</v>
      </c>
      <c r="N410" s="54" t="s">
        <v>93</v>
      </c>
      <c r="O410" s="74">
        <v>46119</v>
      </c>
      <c r="P410" s="57"/>
      <c r="Q410" s="57"/>
      <c r="R410" s="61"/>
      <c r="S410" s="61"/>
    </row>
    <row r="411" spans="2:19" s="62" customFormat="1" ht="36" customHeight="1" outlineLevel="1" x14ac:dyDescent="0.25">
      <c r="B411" s="53"/>
      <c r="C411" s="54">
        <v>399</v>
      </c>
      <c r="D411" s="54" t="s">
        <v>899</v>
      </c>
      <c r="E411" s="55" t="s">
        <v>1226</v>
      </c>
      <c r="F411" s="53" t="s">
        <v>900</v>
      </c>
      <c r="G411" s="63">
        <v>1</v>
      </c>
      <c r="H411" s="57" t="s">
        <v>901</v>
      </c>
      <c r="I411" s="54" t="s">
        <v>902</v>
      </c>
      <c r="J411" s="54" t="s">
        <v>903</v>
      </c>
      <c r="K411" s="54" t="s">
        <v>904</v>
      </c>
      <c r="L411" s="54" t="s">
        <v>905</v>
      </c>
      <c r="M411" s="54" t="s">
        <v>906</v>
      </c>
      <c r="N411" s="54" t="s">
        <v>907</v>
      </c>
      <c r="O411" s="74">
        <v>46119</v>
      </c>
      <c r="P411" s="57"/>
      <c r="Q411" s="57"/>
      <c r="R411" s="61"/>
      <c r="S411" s="61"/>
    </row>
    <row r="412" spans="2:19" s="62" customFormat="1" outlineLevel="1" x14ac:dyDescent="0.25">
      <c r="B412" s="53"/>
      <c r="C412" s="54">
        <v>400</v>
      </c>
      <c r="D412" s="54" t="s">
        <v>626</v>
      </c>
      <c r="E412" s="55" t="s">
        <v>1226</v>
      </c>
      <c r="F412" s="53" t="s">
        <v>627</v>
      </c>
      <c r="G412" s="63">
        <v>4</v>
      </c>
      <c r="H412" s="57" t="s">
        <v>152</v>
      </c>
      <c r="I412" s="54" t="s">
        <v>628</v>
      </c>
      <c r="J412" s="54" t="s">
        <v>629</v>
      </c>
      <c r="K412" s="54" t="s">
        <v>630</v>
      </c>
      <c r="L412" s="54" t="s">
        <v>631</v>
      </c>
      <c r="M412" s="54" t="s">
        <v>632</v>
      </c>
      <c r="N412" s="54" t="s">
        <v>633</v>
      </c>
      <c r="O412" s="74">
        <v>46119</v>
      </c>
      <c r="P412" s="57"/>
      <c r="Q412" s="57"/>
      <c r="R412" s="61"/>
      <c r="S412" s="61"/>
    </row>
    <row r="413" spans="2:19" s="62" customFormat="1" outlineLevel="1" x14ac:dyDescent="0.25">
      <c r="B413" s="53"/>
      <c r="C413" s="54">
        <v>401</v>
      </c>
      <c r="D413" s="54" t="s">
        <v>102</v>
      </c>
      <c r="E413" s="55" t="s">
        <v>1226</v>
      </c>
      <c r="F413" s="53" t="s">
        <v>103</v>
      </c>
      <c r="G413" s="63">
        <v>7</v>
      </c>
      <c r="H413" s="57" t="s">
        <v>61</v>
      </c>
      <c r="I413" s="54" t="s">
        <v>104</v>
      </c>
      <c r="J413" s="54" t="s">
        <v>105</v>
      </c>
      <c r="K413" s="54" t="s">
        <v>106</v>
      </c>
      <c r="L413" s="54" t="s">
        <v>107</v>
      </c>
      <c r="M413" s="54" t="s">
        <v>107</v>
      </c>
      <c r="N413" s="54" t="s">
        <v>108</v>
      </c>
      <c r="O413" s="74">
        <v>46119</v>
      </c>
      <c r="P413" s="57"/>
      <c r="Q413" s="57"/>
      <c r="R413" s="61"/>
      <c r="S413" s="61"/>
    </row>
    <row r="414" spans="2:19" s="62" customFormat="1" outlineLevel="1" x14ac:dyDescent="0.25">
      <c r="B414" s="53"/>
      <c r="C414" s="54">
        <v>402</v>
      </c>
      <c r="D414" s="54" t="s">
        <v>109</v>
      </c>
      <c r="E414" s="55" t="s">
        <v>1226</v>
      </c>
      <c r="F414" s="53" t="s">
        <v>110</v>
      </c>
      <c r="G414" s="63">
        <v>1</v>
      </c>
      <c r="H414" s="57" t="s">
        <v>111</v>
      </c>
      <c r="I414" s="54" t="s">
        <v>112</v>
      </c>
      <c r="J414" s="54" t="s">
        <v>113</v>
      </c>
      <c r="K414" s="54" t="s">
        <v>114</v>
      </c>
      <c r="L414" s="54" t="s">
        <v>115</v>
      </c>
      <c r="M414" s="54" t="s">
        <v>115</v>
      </c>
      <c r="N414" s="54" t="s">
        <v>116</v>
      </c>
      <c r="O414" s="74">
        <v>46119</v>
      </c>
      <c r="P414" s="57"/>
      <c r="Q414" s="57"/>
      <c r="R414" s="61"/>
      <c r="S414" s="61"/>
    </row>
    <row r="415" spans="2:19" s="62" customFormat="1" outlineLevel="1" x14ac:dyDescent="0.25">
      <c r="B415" s="53"/>
      <c r="C415" s="54">
        <v>403</v>
      </c>
      <c r="D415" s="54" t="s">
        <v>125</v>
      </c>
      <c r="E415" s="55" t="s">
        <v>1226</v>
      </c>
      <c r="F415" s="53" t="s">
        <v>126</v>
      </c>
      <c r="G415" s="63">
        <v>2</v>
      </c>
      <c r="H415" s="57" t="s">
        <v>127</v>
      </c>
      <c r="I415" s="54" t="s">
        <v>128</v>
      </c>
      <c r="J415" s="54" t="s">
        <v>129</v>
      </c>
      <c r="K415" s="54" t="s">
        <v>130</v>
      </c>
      <c r="L415" s="54" t="s">
        <v>131</v>
      </c>
      <c r="M415" s="54" t="s">
        <v>132</v>
      </c>
      <c r="N415" s="54" t="s">
        <v>133</v>
      </c>
      <c r="O415" s="74">
        <v>46119</v>
      </c>
      <c r="P415" s="57"/>
      <c r="Q415" s="57"/>
      <c r="R415" s="61"/>
      <c r="S415" s="61"/>
    </row>
    <row r="416" spans="2:19" s="62" customFormat="1" outlineLevel="1" x14ac:dyDescent="0.25">
      <c r="B416" s="53"/>
      <c r="C416" s="54">
        <v>404</v>
      </c>
      <c r="D416" s="54" t="s">
        <v>134</v>
      </c>
      <c r="E416" s="55" t="s">
        <v>1226</v>
      </c>
      <c r="F416" s="53" t="s">
        <v>135</v>
      </c>
      <c r="G416" s="63">
        <v>2</v>
      </c>
      <c r="H416" s="57" t="s">
        <v>24</v>
      </c>
      <c r="I416" s="54" t="s">
        <v>136</v>
      </c>
      <c r="J416" s="54" t="s">
        <v>137</v>
      </c>
      <c r="K416" s="54" t="s">
        <v>138</v>
      </c>
      <c r="L416" s="54" t="s">
        <v>139</v>
      </c>
      <c r="M416" s="54" t="s">
        <v>140</v>
      </c>
      <c r="N416" s="54" t="s">
        <v>141</v>
      </c>
      <c r="O416" s="74">
        <v>46119</v>
      </c>
      <c r="P416" s="57"/>
      <c r="Q416" s="57"/>
      <c r="R416" s="61"/>
      <c r="S416" s="61"/>
    </row>
    <row r="417" spans="2:19" s="62" customFormat="1" outlineLevel="1" x14ac:dyDescent="0.25">
      <c r="B417" s="53"/>
      <c r="C417" s="54">
        <v>405</v>
      </c>
      <c r="D417" s="54" t="s">
        <v>554</v>
      </c>
      <c r="E417" s="55" t="s">
        <v>1226</v>
      </c>
      <c r="F417" s="53" t="s">
        <v>555</v>
      </c>
      <c r="G417" s="63">
        <v>1</v>
      </c>
      <c r="H417" s="57" t="s">
        <v>61</v>
      </c>
      <c r="I417" s="54" t="s">
        <v>556</v>
      </c>
      <c r="J417" s="54" t="s">
        <v>557</v>
      </c>
      <c r="K417" s="54" t="s">
        <v>558</v>
      </c>
      <c r="L417" s="54" t="s">
        <v>559</v>
      </c>
      <c r="M417" s="54" t="s">
        <v>560</v>
      </c>
      <c r="N417" s="54" t="s">
        <v>561</v>
      </c>
      <c r="O417" s="74">
        <v>46119</v>
      </c>
      <c r="P417" s="57"/>
      <c r="Q417" s="57"/>
      <c r="R417" s="61"/>
      <c r="S417" s="61"/>
    </row>
    <row r="418" spans="2:19" s="62" customFormat="1" outlineLevel="1" x14ac:dyDescent="0.25">
      <c r="B418" s="53"/>
      <c r="C418" s="54">
        <v>406</v>
      </c>
      <c r="D418" s="54" t="s">
        <v>142</v>
      </c>
      <c r="E418" s="55" t="s">
        <v>1226</v>
      </c>
      <c r="F418" s="53" t="s">
        <v>143</v>
      </c>
      <c r="G418" s="63">
        <v>1</v>
      </c>
      <c r="H418" s="57" t="s">
        <v>61</v>
      </c>
      <c r="I418" s="54" t="s">
        <v>144</v>
      </c>
      <c r="J418" s="54" t="s">
        <v>145</v>
      </c>
      <c r="K418" s="54" t="s">
        <v>146</v>
      </c>
      <c r="L418" s="54" t="s">
        <v>147</v>
      </c>
      <c r="M418" s="54" t="s">
        <v>148</v>
      </c>
      <c r="N418" s="54" t="s">
        <v>149</v>
      </c>
      <c r="O418" s="74">
        <v>46119</v>
      </c>
      <c r="P418" s="57"/>
      <c r="Q418" s="57"/>
      <c r="R418" s="61"/>
      <c r="S418" s="61"/>
    </row>
    <row r="419" spans="2:19" s="62" customFormat="1" outlineLevel="1" x14ac:dyDescent="0.25">
      <c r="B419" s="53"/>
      <c r="C419" s="54">
        <v>407</v>
      </c>
      <c r="D419" s="54" t="s">
        <v>150</v>
      </c>
      <c r="E419" s="55" t="s">
        <v>1226</v>
      </c>
      <c r="F419" s="53" t="s">
        <v>151</v>
      </c>
      <c r="G419" s="63">
        <v>1</v>
      </c>
      <c r="H419" s="57" t="s">
        <v>152</v>
      </c>
      <c r="I419" s="54" t="s">
        <v>153</v>
      </c>
      <c r="J419" s="54" t="s">
        <v>154</v>
      </c>
      <c r="K419" s="54" t="s">
        <v>155</v>
      </c>
      <c r="L419" s="54" t="s">
        <v>156</v>
      </c>
      <c r="M419" s="54" t="s">
        <v>1114</v>
      </c>
      <c r="N419" s="54" t="s">
        <v>158</v>
      </c>
      <c r="O419" s="74">
        <v>46119</v>
      </c>
      <c r="P419" s="57"/>
      <c r="Q419" s="57"/>
      <c r="R419" s="61"/>
      <c r="S419" s="61"/>
    </row>
    <row r="420" spans="2:19" s="62" customFormat="1" ht="30" customHeight="1" outlineLevel="1" x14ac:dyDescent="0.25">
      <c r="B420" s="53"/>
      <c r="C420" s="54">
        <v>408</v>
      </c>
      <c r="D420" s="54" t="s">
        <v>768</v>
      </c>
      <c r="E420" s="55" t="s">
        <v>1226</v>
      </c>
      <c r="F420" s="53" t="s">
        <v>769</v>
      </c>
      <c r="G420" s="63">
        <v>7</v>
      </c>
      <c r="H420" s="57" t="s">
        <v>61</v>
      </c>
      <c r="I420" s="54" t="s">
        <v>770</v>
      </c>
      <c r="J420" s="54" t="s">
        <v>771</v>
      </c>
      <c r="K420" s="54" t="s">
        <v>772</v>
      </c>
      <c r="L420" s="54" t="s">
        <v>773</v>
      </c>
      <c r="M420" s="54" t="s">
        <v>774</v>
      </c>
      <c r="N420" s="54" t="s">
        <v>775</v>
      </c>
      <c r="O420" s="74">
        <v>46119</v>
      </c>
      <c r="P420" s="57"/>
      <c r="Q420" s="57"/>
      <c r="R420" s="61"/>
      <c r="S420" s="61"/>
    </row>
    <row r="421" spans="2:19" s="62" customFormat="1" outlineLevel="1" x14ac:dyDescent="0.25">
      <c r="B421" s="53"/>
      <c r="C421" s="54">
        <v>409</v>
      </c>
      <c r="D421" s="54" t="s">
        <v>166</v>
      </c>
      <c r="E421" s="55" t="s">
        <v>1226</v>
      </c>
      <c r="F421" s="53" t="s">
        <v>167</v>
      </c>
      <c r="G421" s="63">
        <v>1</v>
      </c>
      <c r="H421" s="57" t="s">
        <v>61</v>
      </c>
      <c r="I421" s="54" t="s">
        <v>168</v>
      </c>
      <c r="J421" s="54" t="s">
        <v>169</v>
      </c>
      <c r="K421" s="54" t="s">
        <v>170</v>
      </c>
      <c r="L421" s="54" t="s">
        <v>171</v>
      </c>
      <c r="M421" s="54" t="s">
        <v>172</v>
      </c>
      <c r="N421" s="54" t="s">
        <v>173</v>
      </c>
      <c r="O421" s="74">
        <v>46119</v>
      </c>
      <c r="P421" s="57"/>
      <c r="Q421" s="57"/>
      <c r="R421" s="61"/>
      <c r="S421" s="61"/>
    </row>
    <row r="422" spans="2:19" s="62" customFormat="1" outlineLevel="1" x14ac:dyDescent="0.25">
      <c r="B422" s="53"/>
      <c r="C422" s="54">
        <v>410</v>
      </c>
      <c r="D422" s="54" t="s">
        <v>174</v>
      </c>
      <c r="E422" s="55" t="s">
        <v>1226</v>
      </c>
      <c r="F422" s="53" t="s">
        <v>175</v>
      </c>
      <c r="G422" s="63">
        <v>1</v>
      </c>
      <c r="H422" s="57" t="s">
        <v>152</v>
      </c>
      <c r="I422" s="54" t="s">
        <v>176</v>
      </c>
      <c r="J422" s="54" t="s">
        <v>177</v>
      </c>
      <c r="K422" s="54" t="s">
        <v>178</v>
      </c>
      <c r="L422" s="54" t="s">
        <v>179</v>
      </c>
      <c r="M422" s="54" t="s">
        <v>180</v>
      </c>
      <c r="N422" s="54" t="s">
        <v>181</v>
      </c>
      <c r="O422" s="74">
        <v>46119</v>
      </c>
      <c r="P422" s="57"/>
      <c r="Q422" s="57"/>
      <c r="R422" s="61"/>
      <c r="S422" s="61"/>
    </row>
    <row r="423" spans="2:19" s="62" customFormat="1" outlineLevel="1" x14ac:dyDescent="0.25">
      <c r="B423" s="53"/>
      <c r="C423" s="54">
        <v>411</v>
      </c>
      <c r="D423" s="54" t="s">
        <v>667</v>
      </c>
      <c r="E423" s="55" t="s">
        <v>1226</v>
      </c>
      <c r="F423" s="53" t="s">
        <v>668</v>
      </c>
      <c r="G423" s="63">
        <v>1</v>
      </c>
      <c r="H423" s="57" t="s">
        <v>61</v>
      </c>
      <c r="I423" s="54" t="s">
        <v>674</v>
      </c>
      <c r="J423" s="54" t="s">
        <v>675</v>
      </c>
      <c r="K423" s="68" t="s">
        <v>676</v>
      </c>
      <c r="L423" s="54" t="s">
        <v>672</v>
      </c>
      <c r="M423" s="54" t="s">
        <v>677</v>
      </c>
      <c r="N423" s="54" t="s">
        <v>673</v>
      </c>
      <c r="O423" s="74">
        <v>46119</v>
      </c>
      <c r="P423" s="57"/>
      <c r="Q423" s="57"/>
      <c r="R423" s="61"/>
      <c r="S423" s="61"/>
    </row>
    <row r="424" spans="2:19" s="62" customFormat="1" ht="36" customHeight="1" outlineLevel="1" x14ac:dyDescent="0.25">
      <c r="B424" s="53"/>
      <c r="C424" s="54" t="s">
        <v>1244</v>
      </c>
      <c r="D424" s="54" t="s">
        <v>190</v>
      </c>
      <c r="E424" s="55" t="s">
        <v>1226</v>
      </c>
      <c r="F424" s="53" t="s">
        <v>191</v>
      </c>
      <c r="G424" s="63">
        <v>4</v>
      </c>
      <c r="H424" s="57" t="s">
        <v>24</v>
      </c>
      <c r="I424" s="54" t="s">
        <v>1245</v>
      </c>
      <c r="J424" s="54" t="s">
        <v>1246</v>
      </c>
      <c r="K424" s="54" t="s">
        <v>1247</v>
      </c>
      <c r="L424" s="54" t="s">
        <v>195</v>
      </c>
      <c r="M424" s="54" t="s">
        <v>1248</v>
      </c>
      <c r="N424" s="54" t="s">
        <v>197</v>
      </c>
      <c r="O424" s="74">
        <v>46119</v>
      </c>
      <c r="P424" s="57"/>
      <c r="Q424" s="57"/>
      <c r="R424" s="61"/>
      <c r="S424" s="61"/>
    </row>
    <row r="425" spans="2:19" s="62" customFormat="1" outlineLevel="1" x14ac:dyDescent="0.25">
      <c r="B425" s="53"/>
      <c r="C425" s="54">
        <v>413</v>
      </c>
      <c r="D425" s="54" t="s">
        <v>198</v>
      </c>
      <c r="E425" s="55" t="s">
        <v>1226</v>
      </c>
      <c r="F425" s="53" t="s">
        <v>199</v>
      </c>
      <c r="G425" s="63">
        <v>10</v>
      </c>
      <c r="H425" s="57" t="s">
        <v>200</v>
      </c>
      <c r="I425" s="54" t="s">
        <v>201</v>
      </c>
      <c r="J425" s="54" t="s">
        <v>202</v>
      </c>
      <c r="K425" s="54" t="s">
        <v>203</v>
      </c>
      <c r="L425" s="54" t="s">
        <v>204</v>
      </c>
      <c r="M425" s="54" t="s">
        <v>205</v>
      </c>
      <c r="N425" s="54" t="s">
        <v>206</v>
      </c>
      <c r="O425" s="74">
        <v>46119</v>
      </c>
      <c r="P425" s="57"/>
      <c r="Q425" s="57"/>
      <c r="R425" s="61"/>
      <c r="S425" s="61"/>
    </row>
    <row r="426" spans="2:19" s="62" customFormat="1" outlineLevel="1" x14ac:dyDescent="0.25">
      <c r="B426" s="53"/>
      <c r="C426" s="54">
        <v>414</v>
      </c>
      <c r="D426" s="54" t="s">
        <v>207</v>
      </c>
      <c r="E426" s="55" t="s">
        <v>1226</v>
      </c>
      <c r="F426" s="53" t="s">
        <v>208</v>
      </c>
      <c r="G426" s="63">
        <v>2</v>
      </c>
      <c r="H426" s="57" t="s">
        <v>61</v>
      </c>
      <c r="I426" s="54" t="s">
        <v>209</v>
      </c>
      <c r="J426" s="54" t="s">
        <v>210</v>
      </c>
      <c r="K426" s="54" t="s">
        <v>211</v>
      </c>
      <c r="L426" s="54" t="s">
        <v>212</v>
      </c>
      <c r="M426" s="54" t="s">
        <v>213</v>
      </c>
      <c r="N426" s="54" t="s">
        <v>214</v>
      </c>
      <c r="O426" s="74">
        <v>46119</v>
      </c>
      <c r="P426" s="57"/>
      <c r="Q426" s="57"/>
      <c r="R426" s="61"/>
      <c r="S426" s="61"/>
    </row>
    <row r="427" spans="2:19" s="62" customFormat="1" outlineLevel="1" x14ac:dyDescent="0.25">
      <c r="B427" s="53"/>
      <c r="C427" s="54">
        <v>415</v>
      </c>
      <c r="D427" s="54" t="s">
        <v>215</v>
      </c>
      <c r="E427" s="55" t="s">
        <v>1226</v>
      </c>
      <c r="F427" s="53" t="s">
        <v>216</v>
      </c>
      <c r="G427" s="63">
        <v>1</v>
      </c>
      <c r="H427" s="57" t="s">
        <v>24</v>
      </c>
      <c r="I427" s="54" t="s">
        <v>217</v>
      </c>
      <c r="J427" s="54" t="s">
        <v>218</v>
      </c>
      <c r="K427" s="54" t="s">
        <v>219</v>
      </c>
      <c r="L427" s="54" t="s">
        <v>220</v>
      </c>
      <c r="M427" s="54" t="s">
        <v>221</v>
      </c>
      <c r="N427" s="54" t="s">
        <v>222</v>
      </c>
      <c r="O427" s="74">
        <v>46119</v>
      </c>
      <c r="P427" s="57"/>
      <c r="Q427" s="57"/>
      <c r="R427" s="61"/>
      <c r="S427" s="61"/>
    </row>
    <row r="428" spans="2:19" s="62" customFormat="1" ht="36" customHeight="1" outlineLevel="1" x14ac:dyDescent="0.25">
      <c r="B428" s="53"/>
      <c r="C428" s="54" t="s">
        <v>1249</v>
      </c>
      <c r="D428" s="54" t="s">
        <v>231</v>
      </c>
      <c r="E428" s="55" t="s">
        <v>1226</v>
      </c>
      <c r="F428" s="53" t="s">
        <v>232</v>
      </c>
      <c r="G428" s="63">
        <v>2</v>
      </c>
      <c r="H428" s="57" t="s">
        <v>61</v>
      </c>
      <c r="I428" s="54" t="s">
        <v>702</v>
      </c>
      <c r="J428" s="54" t="s">
        <v>703</v>
      </c>
      <c r="K428" s="54" t="s">
        <v>704</v>
      </c>
      <c r="L428" s="54" t="s">
        <v>236</v>
      </c>
      <c r="M428" s="54" t="s">
        <v>838</v>
      </c>
      <c r="N428" s="54" t="s">
        <v>238</v>
      </c>
      <c r="O428" s="74">
        <v>46119</v>
      </c>
      <c r="P428" s="57"/>
      <c r="Q428" s="57"/>
      <c r="R428" s="61"/>
      <c r="S428" s="61"/>
    </row>
    <row r="429" spans="2:19" s="62" customFormat="1" outlineLevel="1" x14ac:dyDescent="0.25">
      <c r="B429" s="53"/>
      <c r="C429" s="54">
        <v>417</v>
      </c>
      <c r="D429" s="54" t="s">
        <v>239</v>
      </c>
      <c r="E429" s="55" t="s">
        <v>1226</v>
      </c>
      <c r="F429" s="53" t="s">
        <v>240</v>
      </c>
      <c r="G429" s="63">
        <v>1</v>
      </c>
      <c r="H429" s="57" t="s">
        <v>24</v>
      </c>
      <c r="I429" s="54" t="s">
        <v>241</v>
      </c>
      <c r="J429" s="54" t="s">
        <v>242</v>
      </c>
      <c r="K429" s="54" t="s">
        <v>243</v>
      </c>
      <c r="L429" s="54" t="s">
        <v>244</v>
      </c>
      <c r="M429" s="54" t="s">
        <v>245</v>
      </c>
      <c r="N429" s="54" t="s">
        <v>246</v>
      </c>
      <c r="O429" s="74">
        <v>46119</v>
      </c>
      <c r="P429" s="57"/>
      <c r="Q429" s="57"/>
      <c r="R429" s="61"/>
      <c r="S429" s="61"/>
    </row>
    <row r="430" spans="2:19" s="62" customFormat="1" ht="30" customHeight="1" outlineLevel="1" x14ac:dyDescent="0.25">
      <c r="B430" s="53"/>
      <c r="C430" s="54">
        <v>418</v>
      </c>
      <c r="D430" s="54" t="s">
        <v>247</v>
      </c>
      <c r="E430" s="55" t="s">
        <v>1226</v>
      </c>
      <c r="F430" s="53" t="s">
        <v>248</v>
      </c>
      <c r="G430" s="63">
        <v>1</v>
      </c>
      <c r="H430" s="57" t="s">
        <v>61</v>
      </c>
      <c r="I430" s="54" t="s">
        <v>528</v>
      </c>
      <c r="J430" s="54" t="s">
        <v>1068</v>
      </c>
      <c r="K430" s="68" t="s">
        <v>530</v>
      </c>
      <c r="L430" s="54" t="s">
        <v>252</v>
      </c>
      <c r="M430" s="54" t="s">
        <v>531</v>
      </c>
      <c r="N430" s="54" t="s">
        <v>254</v>
      </c>
      <c r="O430" s="74">
        <v>46119</v>
      </c>
      <c r="P430" s="57"/>
      <c r="Q430" s="57"/>
      <c r="R430" s="61"/>
      <c r="S430" s="61"/>
    </row>
    <row r="431" spans="2:19" s="62" customFormat="1" outlineLevel="1" x14ac:dyDescent="0.25">
      <c r="B431" s="53"/>
      <c r="C431" s="54">
        <v>419</v>
      </c>
      <c r="D431" s="54" t="s">
        <v>715</v>
      </c>
      <c r="E431" s="55" t="s">
        <v>1226</v>
      </c>
      <c r="F431" s="53" t="s">
        <v>716</v>
      </c>
      <c r="G431" s="63">
        <v>1</v>
      </c>
      <c r="H431" s="57" t="s">
        <v>717</v>
      </c>
      <c r="I431" s="54" t="s">
        <v>718</v>
      </c>
      <c r="J431" s="54" t="s">
        <v>719</v>
      </c>
      <c r="K431" s="54" t="s">
        <v>720</v>
      </c>
      <c r="L431" s="54" t="s">
        <v>721</v>
      </c>
      <c r="M431" s="54" t="s">
        <v>722</v>
      </c>
      <c r="N431" s="54" t="s">
        <v>723</v>
      </c>
      <c r="O431" s="74">
        <v>46119</v>
      </c>
      <c r="P431" s="57"/>
      <c r="Q431" s="57"/>
      <c r="R431" s="61"/>
      <c r="S431" s="61"/>
    </row>
    <row r="432" spans="2:19" s="62" customFormat="1" outlineLevel="1" x14ac:dyDescent="0.25">
      <c r="B432" s="53"/>
      <c r="C432" s="54">
        <v>420</v>
      </c>
      <c r="D432" s="54" t="s">
        <v>263</v>
      </c>
      <c r="E432" s="55" t="s">
        <v>1226</v>
      </c>
      <c r="F432" s="53" t="s">
        <v>264</v>
      </c>
      <c r="G432" s="63">
        <v>2</v>
      </c>
      <c r="H432" s="57" t="s">
        <v>61</v>
      </c>
      <c r="I432" s="54" t="s">
        <v>265</v>
      </c>
      <c r="J432" s="54" t="s">
        <v>266</v>
      </c>
      <c r="K432" s="54" t="s">
        <v>267</v>
      </c>
      <c r="L432" s="54" t="s">
        <v>252</v>
      </c>
      <c r="M432" s="54" t="s">
        <v>268</v>
      </c>
      <c r="N432" s="54" t="s">
        <v>269</v>
      </c>
      <c r="O432" s="74">
        <v>46119</v>
      </c>
      <c r="P432" s="57"/>
      <c r="Q432" s="57"/>
      <c r="R432" s="61"/>
      <c r="S432" s="61"/>
    </row>
    <row r="433" spans="2:19" s="62" customFormat="1" outlineLevel="1" x14ac:dyDescent="0.25">
      <c r="B433" s="53"/>
      <c r="C433" s="54">
        <v>421</v>
      </c>
      <c r="D433" s="54" t="s">
        <v>651</v>
      </c>
      <c r="E433" s="55" t="s">
        <v>1226</v>
      </c>
      <c r="F433" s="53" t="s">
        <v>652</v>
      </c>
      <c r="G433" s="63">
        <v>2</v>
      </c>
      <c r="H433" s="57" t="s">
        <v>111</v>
      </c>
      <c r="I433" s="54" t="s">
        <v>653</v>
      </c>
      <c r="J433" s="54" t="s">
        <v>654</v>
      </c>
      <c r="K433" s="54" t="s">
        <v>655</v>
      </c>
      <c r="L433" s="54" t="s">
        <v>656</v>
      </c>
      <c r="M433" s="54" t="s">
        <v>657</v>
      </c>
      <c r="N433" s="54" t="s">
        <v>658</v>
      </c>
      <c r="O433" s="74">
        <v>46119</v>
      </c>
      <c r="P433" s="57"/>
      <c r="Q433" s="57"/>
      <c r="R433" s="61"/>
      <c r="S433" s="61"/>
    </row>
    <row r="434" spans="2:19" s="62" customFormat="1" outlineLevel="1" x14ac:dyDescent="0.25">
      <c r="B434" s="53"/>
      <c r="C434" s="54">
        <v>422</v>
      </c>
      <c r="D434" s="54" t="s">
        <v>706</v>
      </c>
      <c r="E434" s="55" t="s">
        <v>1226</v>
      </c>
      <c r="F434" s="53" t="s">
        <v>707</v>
      </c>
      <c r="G434" s="63">
        <v>3</v>
      </c>
      <c r="H434" s="57" t="s">
        <v>111</v>
      </c>
      <c r="I434" s="54" t="s">
        <v>708</v>
      </c>
      <c r="J434" s="54" t="s">
        <v>709</v>
      </c>
      <c r="K434" s="54" t="s">
        <v>710</v>
      </c>
      <c r="L434" s="54" t="s">
        <v>711</v>
      </c>
      <c r="M434" s="54" t="s">
        <v>712</v>
      </c>
      <c r="N434" s="54" t="s">
        <v>713</v>
      </c>
      <c r="O434" s="74">
        <v>46119</v>
      </c>
      <c r="P434" s="57"/>
      <c r="Q434" s="57"/>
      <c r="R434" s="61"/>
      <c r="S434" s="61"/>
    </row>
    <row r="435" spans="2:19" s="62" customFormat="1" outlineLevel="1" x14ac:dyDescent="0.25">
      <c r="B435" s="53"/>
      <c r="C435" s="54">
        <v>423</v>
      </c>
      <c r="D435" s="54" t="s">
        <v>743</v>
      </c>
      <c r="E435" s="55" t="s">
        <v>1226</v>
      </c>
      <c r="F435" s="53" t="s">
        <v>744</v>
      </c>
      <c r="G435" s="63">
        <v>1</v>
      </c>
      <c r="H435" s="57" t="s">
        <v>745</v>
      </c>
      <c r="I435" s="54" t="s">
        <v>746</v>
      </c>
      <c r="J435" s="54" t="s">
        <v>747</v>
      </c>
      <c r="K435" s="54" t="s">
        <v>748</v>
      </c>
      <c r="L435" s="54" t="s">
        <v>749</v>
      </c>
      <c r="M435" s="54" t="s">
        <v>750</v>
      </c>
      <c r="N435" s="54" t="s">
        <v>751</v>
      </c>
      <c r="O435" s="74">
        <v>46119</v>
      </c>
      <c r="P435" s="57"/>
      <c r="Q435" s="57"/>
      <c r="R435" s="61"/>
      <c r="S435" s="61"/>
    </row>
    <row r="436" spans="2:19" s="62" customFormat="1" outlineLevel="1" x14ac:dyDescent="0.25">
      <c r="B436" s="53"/>
      <c r="C436" s="54">
        <v>424</v>
      </c>
      <c r="D436" s="54" t="s">
        <v>286</v>
      </c>
      <c r="E436" s="55" t="s">
        <v>1226</v>
      </c>
      <c r="F436" s="53" t="s">
        <v>287</v>
      </c>
      <c r="G436" s="63">
        <v>1</v>
      </c>
      <c r="H436" s="57" t="s">
        <v>61</v>
      </c>
      <c r="I436" s="54" t="s">
        <v>288</v>
      </c>
      <c r="J436" s="54" t="s">
        <v>289</v>
      </c>
      <c r="K436" s="54" t="s">
        <v>290</v>
      </c>
      <c r="L436" s="54" t="s">
        <v>291</v>
      </c>
      <c r="M436" s="54" t="s">
        <v>292</v>
      </c>
      <c r="N436" s="54" t="s">
        <v>293</v>
      </c>
      <c r="O436" s="74">
        <v>46119</v>
      </c>
      <c r="P436" s="57"/>
      <c r="Q436" s="57"/>
      <c r="R436" s="61"/>
      <c r="S436" s="61"/>
    </row>
    <row r="437" spans="2:19" s="62" customFormat="1" outlineLevel="1" x14ac:dyDescent="0.25">
      <c r="B437" s="53"/>
      <c r="C437" s="54">
        <v>425</v>
      </c>
      <c r="D437" s="54" t="s">
        <v>310</v>
      </c>
      <c r="E437" s="55" t="s">
        <v>1226</v>
      </c>
      <c r="F437" s="53" t="s">
        <v>311</v>
      </c>
      <c r="G437" s="63">
        <v>1</v>
      </c>
      <c r="H437" s="57" t="s">
        <v>152</v>
      </c>
      <c r="I437" s="54" t="s">
        <v>312</v>
      </c>
      <c r="J437" s="54" t="s">
        <v>313</v>
      </c>
      <c r="K437" s="54" t="s">
        <v>314</v>
      </c>
      <c r="L437" s="54" t="s">
        <v>315</v>
      </c>
      <c r="M437" s="54" t="s">
        <v>316</v>
      </c>
      <c r="N437" s="54" t="s">
        <v>317</v>
      </c>
      <c r="O437" s="74">
        <v>46119</v>
      </c>
      <c r="P437" s="57"/>
      <c r="Q437" s="57"/>
      <c r="R437" s="61"/>
      <c r="S437" s="61"/>
    </row>
    <row r="438" spans="2:19" s="62" customFormat="1" outlineLevel="1" x14ac:dyDescent="0.25">
      <c r="B438" s="53"/>
      <c r="C438" s="54">
        <v>426</v>
      </c>
      <c r="D438" s="54" t="s">
        <v>318</v>
      </c>
      <c r="E438" s="55" t="s">
        <v>1226</v>
      </c>
      <c r="F438" s="53" t="s">
        <v>319</v>
      </c>
      <c r="G438" s="63">
        <v>1</v>
      </c>
      <c r="H438" s="57" t="s">
        <v>111</v>
      </c>
      <c r="I438" s="54" t="s">
        <v>320</v>
      </c>
      <c r="J438" s="54" t="s">
        <v>321</v>
      </c>
      <c r="K438" s="54" t="s">
        <v>322</v>
      </c>
      <c r="L438" s="54" t="s">
        <v>323</v>
      </c>
      <c r="M438" s="54" t="s">
        <v>324</v>
      </c>
      <c r="N438" s="54" t="s">
        <v>325</v>
      </c>
      <c r="O438" s="74">
        <v>46119</v>
      </c>
      <c r="P438" s="57"/>
      <c r="Q438" s="57"/>
      <c r="R438" s="61"/>
      <c r="S438" s="61"/>
    </row>
    <row r="439" spans="2:19" s="62" customFormat="1" outlineLevel="1" x14ac:dyDescent="0.25">
      <c r="B439" s="53"/>
      <c r="C439" s="54">
        <v>427</v>
      </c>
      <c r="D439" s="54" t="s">
        <v>326</v>
      </c>
      <c r="E439" s="55" t="s">
        <v>1226</v>
      </c>
      <c r="F439" s="53" t="s">
        <v>327</v>
      </c>
      <c r="G439" s="63">
        <v>3</v>
      </c>
      <c r="H439" s="57" t="s">
        <v>152</v>
      </c>
      <c r="I439" s="54" t="s">
        <v>328</v>
      </c>
      <c r="J439" s="54" t="s">
        <v>329</v>
      </c>
      <c r="K439" s="54" t="s">
        <v>330</v>
      </c>
      <c r="L439" s="54" t="s">
        <v>331</v>
      </c>
      <c r="M439" s="54" t="s">
        <v>332</v>
      </c>
      <c r="N439" s="54" t="s">
        <v>333</v>
      </c>
      <c r="O439" s="74">
        <v>46119</v>
      </c>
      <c r="P439" s="57"/>
      <c r="Q439" s="57"/>
      <c r="R439" s="61"/>
      <c r="S439" s="61"/>
    </row>
    <row r="440" spans="2:19" s="62" customFormat="1" outlineLevel="1" x14ac:dyDescent="0.25">
      <c r="B440" s="53"/>
      <c r="C440" s="54">
        <v>428</v>
      </c>
      <c r="D440" s="54" t="s">
        <v>342</v>
      </c>
      <c r="E440" s="55" t="s">
        <v>1226</v>
      </c>
      <c r="F440" s="53" t="s">
        <v>343</v>
      </c>
      <c r="G440" s="63">
        <v>4</v>
      </c>
      <c r="H440" s="57" t="s">
        <v>24</v>
      </c>
      <c r="I440" s="54" t="s">
        <v>344</v>
      </c>
      <c r="J440" s="54" t="s">
        <v>345</v>
      </c>
      <c r="K440" s="54" t="s">
        <v>346</v>
      </c>
      <c r="L440" s="54" t="s">
        <v>348</v>
      </c>
      <c r="M440" s="54" t="s">
        <v>348</v>
      </c>
      <c r="N440" s="54" t="s">
        <v>349</v>
      </c>
      <c r="O440" s="74">
        <v>46119</v>
      </c>
      <c r="P440" s="57"/>
      <c r="Q440" s="57"/>
      <c r="R440" s="61"/>
      <c r="S440" s="61"/>
    </row>
    <row r="441" spans="2:19" s="62" customFormat="1" outlineLevel="1" x14ac:dyDescent="0.25">
      <c r="B441" s="53"/>
      <c r="C441" s="54">
        <v>429</v>
      </c>
      <c r="D441" s="54" t="s">
        <v>350</v>
      </c>
      <c r="E441" s="55" t="s">
        <v>1226</v>
      </c>
      <c r="F441" s="53" t="s">
        <v>351</v>
      </c>
      <c r="G441" s="63">
        <v>2</v>
      </c>
      <c r="H441" s="57" t="s">
        <v>152</v>
      </c>
      <c r="I441" s="54" t="s">
        <v>352</v>
      </c>
      <c r="J441" s="54" t="s">
        <v>353</v>
      </c>
      <c r="K441" s="54" t="s">
        <v>354</v>
      </c>
      <c r="L441" s="54" t="s">
        <v>355</v>
      </c>
      <c r="M441" s="54" t="s">
        <v>355</v>
      </c>
      <c r="N441" s="54" t="s">
        <v>356</v>
      </c>
      <c r="O441" s="74">
        <v>46119</v>
      </c>
      <c r="P441" s="57"/>
      <c r="Q441" s="57"/>
      <c r="R441" s="61"/>
      <c r="S441" s="61"/>
    </row>
    <row r="442" spans="2:19" s="62" customFormat="1" ht="36" customHeight="1" outlineLevel="1" x14ac:dyDescent="0.25">
      <c r="B442" s="53"/>
      <c r="C442" s="54" t="s">
        <v>1233</v>
      </c>
      <c r="D442" s="54" t="s">
        <v>802</v>
      </c>
      <c r="E442" s="55" t="s">
        <v>1226</v>
      </c>
      <c r="F442" s="53" t="s">
        <v>803</v>
      </c>
      <c r="G442" s="63">
        <v>15</v>
      </c>
      <c r="H442" s="57" t="s">
        <v>804</v>
      </c>
      <c r="I442" s="54" t="s">
        <v>874</v>
      </c>
      <c r="J442" s="54" t="s">
        <v>875</v>
      </c>
      <c r="K442" s="54" t="s">
        <v>876</v>
      </c>
      <c r="L442" s="54" t="s">
        <v>808</v>
      </c>
      <c r="M442" s="54" t="s">
        <v>1234</v>
      </c>
      <c r="N442" s="54" t="s">
        <v>810</v>
      </c>
      <c r="O442" s="74">
        <v>46119</v>
      </c>
      <c r="P442" s="57"/>
      <c r="Q442" s="57"/>
      <c r="R442" s="61"/>
      <c r="S442" s="61"/>
    </row>
    <row r="443" spans="2:19" s="62" customFormat="1" outlineLevel="1" x14ac:dyDescent="0.25">
      <c r="B443" s="53"/>
      <c r="C443" s="54">
        <v>431</v>
      </c>
      <c r="D443" s="54" t="s">
        <v>963</v>
      </c>
      <c r="E443" s="55" t="s">
        <v>1226</v>
      </c>
      <c r="F443" s="53" t="s">
        <v>917</v>
      </c>
      <c r="G443" s="63">
        <v>1</v>
      </c>
      <c r="H443" s="57" t="s">
        <v>152</v>
      </c>
      <c r="I443" s="54" t="s">
        <v>964</v>
      </c>
      <c r="J443" s="54" t="s">
        <v>965</v>
      </c>
      <c r="K443" s="54" t="s">
        <v>966</v>
      </c>
      <c r="L443" s="54" t="s">
        <v>967</v>
      </c>
      <c r="M443" s="54" t="s">
        <v>985</v>
      </c>
      <c r="N443" s="54" t="s">
        <v>969</v>
      </c>
      <c r="O443" s="74">
        <v>46119</v>
      </c>
      <c r="P443" s="57"/>
      <c r="Q443" s="57"/>
      <c r="R443" s="61"/>
      <c r="S443" s="61"/>
    </row>
    <row r="444" spans="2:19" s="62" customFormat="1" outlineLevel="1" x14ac:dyDescent="0.25">
      <c r="B444" s="53"/>
      <c r="C444" s="54">
        <v>432</v>
      </c>
      <c r="D444" s="54" t="s">
        <v>366</v>
      </c>
      <c r="E444" s="55" t="s">
        <v>1226</v>
      </c>
      <c r="F444" s="53" t="s">
        <v>367</v>
      </c>
      <c r="G444" s="63">
        <v>3</v>
      </c>
      <c r="H444" s="57" t="s">
        <v>368</v>
      </c>
      <c r="I444" s="54" t="s">
        <v>369</v>
      </c>
      <c r="J444" s="54" t="s">
        <v>370</v>
      </c>
      <c r="K444" s="54" t="s">
        <v>371</v>
      </c>
      <c r="L444" s="54" t="s">
        <v>372</v>
      </c>
      <c r="M444" s="54" t="s">
        <v>373</v>
      </c>
      <c r="N444" s="54" t="s">
        <v>374</v>
      </c>
      <c r="O444" s="74">
        <v>46119</v>
      </c>
      <c r="P444" s="57"/>
      <c r="Q444" s="57"/>
      <c r="R444" s="61"/>
      <c r="S444" s="61"/>
    </row>
    <row r="445" spans="2:19" s="62" customFormat="1" outlineLevel="1" x14ac:dyDescent="0.25">
      <c r="B445" s="53"/>
      <c r="C445" s="54">
        <v>433</v>
      </c>
      <c r="D445" s="54" t="s">
        <v>604</v>
      </c>
      <c r="E445" s="55" t="s">
        <v>1226</v>
      </c>
      <c r="F445" s="53" t="s">
        <v>605</v>
      </c>
      <c r="G445" s="63">
        <v>1</v>
      </c>
      <c r="H445" s="57" t="s">
        <v>61</v>
      </c>
      <c r="I445" s="54" t="s">
        <v>606</v>
      </c>
      <c r="J445" s="54" t="s">
        <v>607</v>
      </c>
      <c r="K445" s="54" t="s">
        <v>608</v>
      </c>
      <c r="L445" s="54" t="s">
        <v>252</v>
      </c>
      <c r="M445" s="54" t="s">
        <v>609</v>
      </c>
      <c r="N445" s="54" t="s">
        <v>610</v>
      </c>
      <c r="O445" s="74">
        <v>46119</v>
      </c>
      <c r="P445" s="57"/>
      <c r="Q445" s="57"/>
      <c r="R445" s="61"/>
      <c r="S445" s="61"/>
    </row>
    <row r="446" spans="2:19" s="62" customFormat="1" ht="36" customHeight="1" outlineLevel="1" x14ac:dyDescent="0.25">
      <c r="B446" s="53"/>
      <c r="C446" s="54" t="s">
        <v>1239</v>
      </c>
      <c r="D446" s="54" t="s">
        <v>375</v>
      </c>
      <c r="E446" s="53" t="s">
        <v>1226</v>
      </c>
      <c r="F446" s="53" t="s">
        <v>376</v>
      </c>
      <c r="G446" s="63">
        <v>5</v>
      </c>
      <c r="H446" s="57" t="s">
        <v>111</v>
      </c>
      <c r="I446" s="54" t="s">
        <v>1240</v>
      </c>
      <c r="J446" s="54" t="s">
        <v>1241</v>
      </c>
      <c r="K446" s="54" t="s">
        <v>1242</v>
      </c>
      <c r="L446" s="54" t="s">
        <v>380</v>
      </c>
      <c r="M446" s="54" t="s">
        <v>1243</v>
      </c>
      <c r="N446" s="54" t="s">
        <v>382</v>
      </c>
      <c r="O446" s="74">
        <v>46119</v>
      </c>
      <c r="P446" s="57"/>
      <c r="Q446" s="57"/>
      <c r="R446" s="61"/>
      <c r="S446" s="61"/>
    </row>
    <row r="447" spans="2:19" s="62" customFormat="1" outlineLevel="1" x14ac:dyDescent="0.25">
      <c r="B447" s="53"/>
      <c r="C447" s="54">
        <v>435</v>
      </c>
      <c r="D447" s="54" t="s">
        <v>391</v>
      </c>
      <c r="E447" s="55" t="s">
        <v>1226</v>
      </c>
      <c r="F447" s="53" t="s">
        <v>392</v>
      </c>
      <c r="G447" s="63">
        <v>1</v>
      </c>
      <c r="H447" s="57" t="s">
        <v>111</v>
      </c>
      <c r="I447" s="54" t="s">
        <v>393</v>
      </c>
      <c r="J447" s="54" t="s">
        <v>394</v>
      </c>
      <c r="K447" s="54" t="s">
        <v>395</v>
      </c>
      <c r="L447" s="54" t="s">
        <v>396</v>
      </c>
      <c r="M447" s="54" t="s">
        <v>397</v>
      </c>
      <c r="N447" s="54" t="s">
        <v>398</v>
      </c>
      <c r="O447" s="74">
        <v>46119</v>
      </c>
      <c r="P447" s="57"/>
      <c r="Q447" s="57"/>
      <c r="R447" s="61"/>
      <c r="S447" s="61"/>
    </row>
    <row r="448" spans="2:19" s="62" customFormat="1" outlineLevel="1" x14ac:dyDescent="0.25">
      <c r="B448" s="53"/>
      <c r="C448" s="54">
        <v>436</v>
      </c>
      <c r="D448" s="54" t="s">
        <v>399</v>
      </c>
      <c r="E448" s="55" t="s">
        <v>1226</v>
      </c>
      <c r="F448" s="53" t="s">
        <v>400</v>
      </c>
      <c r="G448" s="63">
        <v>1</v>
      </c>
      <c r="H448" s="57" t="s">
        <v>152</v>
      </c>
      <c r="I448" s="54" t="s">
        <v>401</v>
      </c>
      <c r="J448" s="54" t="s">
        <v>402</v>
      </c>
      <c r="K448" s="54" t="s">
        <v>403</v>
      </c>
      <c r="L448" s="54" t="s">
        <v>404</v>
      </c>
      <c r="M448" s="54" t="s">
        <v>791</v>
      </c>
      <c r="N448" s="54" t="s">
        <v>406</v>
      </c>
      <c r="O448" s="74">
        <v>46119</v>
      </c>
      <c r="P448" s="57"/>
      <c r="Q448" s="57"/>
      <c r="R448" s="61"/>
      <c r="S448" s="61"/>
    </row>
    <row r="449" spans="2:19" s="62" customFormat="1" ht="54" customHeight="1" outlineLevel="1" x14ac:dyDescent="0.25">
      <c r="B449" s="53"/>
      <c r="C449" s="54" t="s">
        <v>1250</v>
      </c>
      <c r="D449" s="54" t="s">
        <v>892</v>
      </c>
      <c r="E449" s="55" t="s">
        <v>1226</v>
      </c>
      <c r="F449" s="53" t="s">
        <v>893</v>
      </c>
      <c r="G449" s="63">
        <v>3</v>
      </c>
      <c r="H449" s="57" t="s">
        <v>61</v>
      </c>
      <c r="I449" s="54" t="s">
        <v>1251</v>
      </c>
      <c r="J449" s="54" t="s">
        <v>1252</v>
      </c>
      <c r="K449" s="54" t="s">
        <v>1253</v>
      </c>
      <c r="L449" s="54" t="s">
        <v>991</v>
      </c>
      <c r="M449" s="54" t="s">
        <v>1254</v>
      </c>
      <c r="N449" s="54" t="s">
        <v>898</v>
      </c>
      <c r="O449" s="74">
        <v>46119</v>
      </c>
      <c r="P449" s="57"/>
      <c r="Q449" s="57"/>
      <c r="R449" s="61"/>
      <c r="S449" s="61"/>
    </row>
    <row r="450" spans="2:19" s="62" customFormat="1" outlineLevel="1" x14ac:dyDescent="0.25">
      <c r="B450" s="53"/>
      <c r="C450" s="54">
        <v>438</v>
      </c>
      <c r="D450" s="54" t="s">
        <v>415</v>
      </c>
      <c r="E450" s="55" t="s">
        <v>1226</v>
      </c>
      <c r="F450" s="53" t="s">
        <v>416</v>
      </c>
      <c r="G450" s="63">
        <v>4</v>
      </c>
      <c r="H450" s="57" t="s">
        <v>417</v>
      </c>
      <c r="I450" s="54" t="s">
        <v>418</v>
      </c>
      <c r="J450" s="54" t="s">
        <v>419</v>
      </c>
      <c r="K450" s="54" t="s">
        <v>420</v>
      </c>
      <c r="L450" s="54" t="s">
        <v>421</v>
      </c>
      <c r="M450" s="54" t="s">
        <v>422</v>
      </c>
      <c r="N450" s="54" t="s">
        <v>423</v>
      </c>
      <c r="O450" s="74">
        <v>46119</v>
      </c>
      <c r="P450" s="57"/>
      <c r="Q450" s="57"/>
      <c r="R450" s="61"/>
      <c r="S450" s="61"/>
    </row>
    <row r="451" spans="2:19" s="62" customFormat="1" outlineLevel="1" x14ac:dyDescent="0.25">
      <c r="B451" s="53"/>
      <c r="C451" s="54">
        <v>439</v>
      </c>
      <c r="D451" s="54" t="s">
        <v>424</v>
      </c>
      <c r="E451" s="55" t="s">
        <v>1226</v>
      </c>
      <c r="F451" s="53" t="s">
        <v>425</v>
      </c>
      <c r="G451" s="63">
        <v>2</v>
      </c>
      <c r="H451" s="57" t="s">
        <v>111</v>
      </c>
      <c r="I451" s="54" t="s">
        <v>426</v>
      </c>
      <c r="J451" s="54" t="s">
        <v>427</v>
      </c>
      <c r="K451" s="54" t="s">
        <v>428</v>
      </c>
      <c r="L451" s="54" t="s">
        <v>429</v>
      </c>
      <c r="M451" s="54" t="s">
        <v>429</v>
      </c>
      <c r="N451" s="54" t="s">
        <v>430</v>
      </c>
      <c r="O451" s="74">
        <v>46119</v>
      </c>
      <c r="P451" s="57"/>
      <c r="Q451" s="57"/>
      <c r="R451" s="61"/>
      <c r="S451" s="61"/>
    </row>
    <row r="452" spans="2:19" s="62" customFormat="1" ht="30" customHeight="1" outlineLevel="1" x14ac:dyDescent="0.25">
      <c r="B452" s="53"/>
      <c r="C452" s="54" t="s">
        <v>1229</v>
      </c>
      <c r="D452" s="54" t="s">
        <v>431</v>
      </c>
      <c r="E452" s="55" t="s">
        <v>1226</v>
      </c>
      <c r="F452" s="53" t="s">
        <v>432</v>
      </c>
      <c r="G452" s="63">
        <v>7</v>
      </c>
      <c r="H452" s="57" t="s">
        <v>152</v>
      </c>
      <c r="I452" s="54" t="s">
        <v>1097</v>
      </c>
      <c r="J452" s="54" t="s">
        <v>1098</v>
      </c>
      <c r="K452" s="54" t="s">
        <v>1099</v>
      </c>
      <c r="L452" s="54" t="s">
        <v>436</v>
      </c>
      <c r="M452" s="54" t="s">
        <v>1230</v>
      </c>
      <c r="N452" s="54" t="s">
        <v>438</v>
      </c>
      <c r="O452" s="74">
        <v>46119</v>
      </c>
      <c r="P452" s="57"/>
      <c r="Q452" s="57"/>
      <c r="R452" s="61"/>
      <c r="S452" s="61"/>
    </row>
    <row r="453" spans="2:19" s="62" customFormat="1" outlineLevel="1" x14ac:dyDescent="0.25">
      <c r="B453" s="53"/>
      <c r="C453" s="54">
        <v>441</v>
      </c>
      <c r="D453" s="54" t="s">
        <v>544</v>
      </c>
      <c r="E453" s="55" t="s">
        <v>1226</v>
      </c>
      <c r="F453" s="53" t="s">
        <v>545</v>
      </c>
      <c r="G453" s="63">
        <v>5</v>
      </c>
      <c r="H453" s="57" t="s">
        <v>24</v>
      </c>
      <c r="I453" s="54" t="s">
        <v>546</v>
      </c>
      <c r="J453" s="54" t="s">
        <v>547</v>
      </c>
      <c r="K453" s="54" t="s">
        <v>548</v>
      </c>
      <c r="L453" s="54" t="s">
        <v>549</v>
      </c>
      <c r="M453" s="54" t="s">
        <v>436</v>
      </c>
      <c r="N453" s="54" t="s">
        <v>551</v>
      </c>
      <c r="O453" s="74">
        <v>46119</v>
      </c>
      <c r="P453" s="57"/>
      <c r="Q453" s="57"/>
      <c r="R453" s="61"/>
      <c r="S453" s="61"/>
    </row>
    <row r="454" spans="2:19" s="62" customFormat="1" outlineLevel="1" x14ac:dyDescent="0.25">
      <c r="B454" s="53"/>
      <c r="C454" s="54">
        <v>442</v>
      </c>
      <c r="D454" s="54" t="s">
        <v>447</v>
      </c>
      <c r="E454" s="55" t="s">
        <v>1226</v>
      </c>
      <c r="F454" s="53" t="s">
        <v>448</v>
      </c>
      <c r="G454" s="63">
        <v>1</v>
      </c>
      <c r="H454" s="57" t="s">
        <v>24</v>
      </c>
      <c r="I454" s="54" t="s">
        <v>449</v>
      </c>
      <c r="J454" s="54" t="s">
        <v>450</v>
      </c>
      <c r="K454" s="54" t="s">
        <v>451</v>
      </c>
      <c r="L454" s="54" t="s">
        <v>452</v>
      </c>
      <c r="M454" s="54" t="s">
        <v>437</v>
      </c>
      <c r="N454" s="54" t="s">
        <v>454</v>
      </c>
      <c r="O454" s="74">
        <v>46119</v>
      </c>
      <c r="P454" s="57"/>
      <c r="Q454" s="57"/>
      <c r="R454" s="61"/>
      <c r="S454" s="61"/>
    </row>
    <row r="455" spans="2:19" s="62" customFormat="1" outlineLevel="1" x14ac:dyDescent="0.25">
      <c r="B455" s="53"/>
      <c r="C455" s="54">
        <v>443</v>
      </c>
      <c r="D455" s="54" t="s">
        <v>571</v>
      </c>
      <c r="E455" s="55" t="s">
        <v>1226</v>
      </c>
      <c r="F455" s="53" t="s">
        <v>572</v>
      </c>
      <c r="G455" s="63">
        <v>2</v>
      </c>
      <c r="H455" s="57" t="s">
        <v>573</v>
      </c>
      <c r="I455" s="54" t="s">
        <v>574</v>
      </c>
      <c r="J455" s="54" t="s">
        <v>575</v>
      </c>
      <c r="K455" s="54" t="s">
        <v>576</v>
      </c>
      <c r="L455" s="54" t="s">
        <v>577</v>
      </c>
      <c r="M455" s="54" t="s">
        <v>436</v>
      </c>
      <c r="N455" s="54" t="s">
        <v>579</v>
      </c>
      <c r="O455" s="74">
        <v>46119</v>
      </c>
      <c r="P455" s="57"/>
      <c r="Q455" s="57"/>
      <c r="R455" s="61"/>
      <c r="S455" s="61"/>
    </row>
    <row r="456" spans="2:19" s="62" customFormat="1" outlineLevel="1" x14ac:dyDescent="0.25">
      <c r="B456" s="53"/>
      <c r="C456" s="54">
        <v>444</v>
      </c>
      <c r="D456" s="54" t="s">
        <v>455</v>
      </c>
      <c r="E456" s="55" t="s">
        <v>1226</v>
      </c>
      <c r="F456" s="53" t="s">
        <v>456</v>
      </c>
      <c r="G456" s="63">
        <v>1</v>
      </c>
      <c r="H456" s="57" t="s">
        <v>111</v>
      </c>
      <c r="I456" s="54" t="s">
        <v>457</v>
      </c>
      <c r="J456" s="54" t="s">
        <v>458</v>
      </c>
      <c r="K456" s="54" t="s">
        <v>459</v>
      </c>
      <c r="L456" s="54" t="s">
        <v>460</v>
      </c>
      <c r="M456" s="54" t="s">
        <v>331</v>
      </c>
      <c r="N456" s="54" t="s">
        <v>462</v>
      </c>
      <c r="O456" s="74">
        <v>46119</v>
      </c>
      <c r="P456" s="57"/>
      <c r="Q456" s="57"/>
      <c r="R456" s="61"/>
      <c r="S456" s="61"/>
    </row>
    <row r="457" spans="2:19" s="62" customFormat="1" outlineLevel="1" x14ac:dyDescent="0.25">
      <c r="B457" s="53"/>
      <c r="C457" s="54">
        <v>445</v>
      </c>
      <c r="D457" s="54" t="s">
        <v>463</v>
      </c>
      <c r="E457" s="55" t="s">
        <v>1228</v>
      </c>
      <c r="F457" s="53" t="s">
        <v>464</v>
      </c>
      <c r="G457" s="63">
        <v>3</v>
      </c>
      <c r="H457" s="57" t="s">
        <v>152</v>
      </c>
      <c r="I457" s="54" t="s">
        <v>465</v>
      </c>
      <c r="J457" s="54" t="s">
        <v>466</v>
      </c>
      <c r="K457" s="54" t="s">
        <v>467</v>
      </c>
      <c r="L457" s="54" t="s">
        <v>468</v>
      </c>
      <c r="M457" s="54" t="s">
        <v>469</v>
      </c>
      <c r="N457" s="54" t="s">
        <v>470</v>
      </c>
      <c r="O457" s="74">
        <v>46119</v>
      </c>
      <c r="P457" s="57"/>
      <c r="Q457" s="57"/>
      <c r="R457" s="61"/>
      <c r="S457" s="61"/>
    </row>
    <row r="458" spans="2:19" s="62" customFormat="1" ht="36" customHeight="1" outlineLevel="1" x14ac:dyDescent="0.25">
      <c r="B458" s="53"/>
      <c r="C458" s="54" t="s">
        <v>1225</v>
      </c>
      <c r="D458" s="54" t="s">
        <v>760</v>
      </c>
      <c r="E458" s="55" t="s">
        <v>1226</v>
      </c>
      <c r="F458" s="53" t="s">
        <v>761</v>
      </c>
      <c r="G458" s="63">
        <v>8</v>
      </c>
      <c r="H458" s="57" t="s">
        <v>61</v>
      </c>
      <c r="I458" s="54" t="s">
        <v>762</v>
      </c>
      <c r="J458" s="54" t="s">
        <v>763</v>
      </c>
      <c r="K458" s="54" t="s">
        <v>764</v>
      </c>
      <c r="L458" s="54" t="s">
        <v>765</v>
      </c>
      <c r="M458" s="54" t="s">
        <v>1227</v>
      </c>
      <c r="N458" s="54" t="s">
        <v>766</v>
      </c>
      <c r="O458" s="74">
        <v>46119</v>
      </c>
      <c r="P458" s="57"/>
      <c r="Q458" s="57"/>
      <c r="R458" s="61"/>
      <c r="S458" s="61"/>
    </row>
    <row r="459" spans="2:19" s="62" customFormat="1" outlineLevel="1" x14ac:dyDescent="0.25">
      <c r="B459" s="53"/>
      <c r="C459" s="54">
        <v>447</v>
      </c>
      <c r="D459" s="54" t="s">
        <v>659</v>
      </c>
      <c r="E459" s="55" t="s">
        <v>1226</v>
      </c>
      <c r="F459" s="53" t="s">
        <v>660</v>
      </c>
      <c r="G459" s="63">
        <v>1</v>
      </c>
      <c r="H459" s="57" t="s">
        <v>152</v>
      </c>
      <c r="I459" s="54" t="s">
        <v>661</v>
      </c>
      <c r="J459" s="54" t="s">
        <v>662</v>
      </c>
      <c r="K459" s="54" t="s">
        <v>663</v>
      </c>
      <c r="L459" s="54" t="s">
        <v>664</v>
      </c>
      <c r="M459" s="54" t="s">
        <v>665</v>
      </c>
      <c r="N459" s="54" t="s">
        <v>666</v>
      </c>
      <c r="O459" s="74">
        <v>46119</v>
      </c>
      <c r="P459" s="57"/>
      <c r="Q459" s="57"/>
      <c r="R459" s="61"/>
      <c r="S459" s="61"/>
    </row>
    <row r="460" spans="2:19" s="62" customFormat="1" outlineLevel="1" x14ac:dyDescent="0.25">
      <c r="B460" s="53"/>
      <c r="C460" s="54">
        <v>448</v>
      </c>
      <c r="D460" s="54" t="s">
        <v>471</v>
      </c>
      <c r="E460" s="55" t="s">
        <v>1226</v>
      </c>
      <c r="F460" s="53" t="s">
        <v>472</v>
      </c>
      <c r="G460" s="63">
        <v>3</v>
      </c>
      <c r="H460" s="57" t="s">
        <v>111</v>
      </c>
      <c r="I460" s="54" t="s">
        <v>473</v>
      </c>
      <c r="J460" s="54" t="s">
        <v>474</v>
      </c>
      <c r="K460" s="54" t="s">
        <v>475</v>
      </c>
      <c r="L460" s="54" t="s">
        <v>476</v>
      </c>
      <c r="M460" s="54" t="s">
        <v>476</v>
      </c>
      <c r="N460" s="54" t="s">
        <v>477</v>
      </c>
      <c r="O460" s="74">
        <v>46119</v>
      </c>
      <c r="P460" s="57"/>
      <c r="Q460" s="57"/>
      <c r="R460" s="61"/>
      <c r="S460" s="61"/>
    </row>
    <row r="461" spans="2:19" s="62" customFormat="1" outlineLevel="1" x14ac:dyDescent="0.25">
      <c r="B461" s="53"/>
      <c r="C461" s="54">
        <v>449</v>
      </c>
      <c r="D461" s="54" t="s">
        <v>588</v>
      </c>
      <c r="E461" s="55" t="s">
        <v>1226</v>
      </c>
      <c r="F461" s="53" t="s">
        <v>589</v>
      </c>
      <c r="G461" s="63">
        <v>1</v>
      </c>
      <c r="H461" s="57" t="s">
        <v>24</v>
      </c>
      <c r="I461" s="54" t="s">
        <v>590</v>
      </c>
      <c r="J461" s="54" t="s">
        <v>591</v>
      </c>
      <c r="K461" s="54" t="s">
        <v>592</v>
      </c>
      <c r="L461" s="54" t="s">
        <v>593</v>
      </c>
      <c r="M461" s="54" t="s">
        <v>594</v>
      </c>
      <c r="N461" s="54" t="s">
        <v>595</v>
      </c>
      <c r="O461" s="74">
        <v>46119</v>
      </c>
      <c r="P461" s="57"/>
      <c r="Q461" s="57"/>
      <c r="R461" s="61"/>
      <c r="S461" s="61"/>
    </row>
    <row r="462" spans="2:19" s="62" customFormat="1" ht="30" customHeight="1" outlineLevel="1" x14ac:dyDescent="0.25">
      <c r="B462" s="53"/>
      <c r="C462" s="54">
        <v>450</v>
      </c>
      <c r="D462" s="54" t="s">
        <v>478</v>
      </c>
      <c r="E462" s="55" t="s">
        <v>1226</v>
      </c>
      <c r="F462" s="53" t="s">
        <v>479</v>
      </c>
      <c r="G462" s="63">
        <v>1</v>
      </c>
      <c r="H462" s="57" t="s">
        <v>111</v>
      </c>
      <c r="I462" s="54" t="s">
        <v>480</v>
      </c>
      <c r="J462" s="54" t="s">
        <v>481</v>
      </c>
      <c r="K462" s="54" t="s">
        <v>482</v>
      </c>
      <c r="L462" s="54" t="s">
        <v>483</v>
      </c>
      <c r="M462" s="54" t="s">
        <v>634</v>
      </c>
      <c r="N462" s="54" t="s">
        <v>485</v>
      </c>
      <c r="O462" s="74">
        <v>46119</v>
      </c>
      <c r="P462" s="57"/>
      <c r="Q462" s="57"/>
      <c r="R462" s="61"/>
      <c r="S462" s="61"/>
    </row>
    <row r="463" spans="2:19" s="62" customFormat="1" outlineLevel="1" x14ac:dyDescent="0.25">
      <c r="B463" s="53"/>
      <c r="C463" s="54">
        <v>451</v>
      </c>
      <c r="D463" s="54" t="s">
        <v>494</v>
      </c>
      <c r="E463" s="55" t="s">
        <v>1226</v>
      </c>
      <c r="F463" s="53" t="s">
        <v>495</v>
      </c>
      <c r="G463" s="63">
        <v>2</v>
      </c>
      <c r="H463" s="57" t="s">
        <v>61</v>
      </c>
      <c r="I463" s="54" t="s">
        <v>496</v>
      </c>
      <c r="J463" s="54" t="s">
        <v>497</v>
      </c>
      <c r="K463" s="54" t="s">
        <v>498</v>
      </c>
      <c r="L463" s="54" t="s">
        <v>499</v>
      </c>
      <c r="M463" s="54" t="s">
        <v>500</v>
      </c>
      <c r="N463" s="54" t="s">
        <v>501</v>
      </c>
      <c r="O463" s="74">
        <v>46119</v>
      </c>
      <c r="P463" s="57"/>
      <c r="Q463" s="57"/>
      <c r="R463" s="61"/>
      <c r="S463" s="61"/>
    </row>
    <row r="464" spans="2:19" s="62" customFormat="1" outlineLevel="1" x14ac:dyDescent="0.25">
      <c r="B464" s="53"/>
      <c r="C464" s="54">
        <v>452</v>
      </c>
      <c r="D464" s="54" t="s">
        <v>502</v>
      </c>
      <c r="E464" s="55" t="s">
        <v>1226</v>
      </c>
      <c r="F464" s="53" t="s">
        <v>503</v>
      </c>
      <c r="G464" s="63">
        <v>1</v>
      </c>
      <c r="H464" s="57" t="s">
        <v>61</v>
      </c>
      <c r="I464" s="54" t="s">
        <v>504</v>
      </c>
      <c r="J464" s="54" t="s">
        <v>505</v>
      </c>
      <c r="K464" s="54" t="s">
        <v>506</v>
      </c>
      <c r="L464" s="54" t="s">
        <v>283</v>
      </c>
      <c r="M464" s="54" t="s">
        <v>284</v>
      </c>
      <c r="N464" s="54" t="s">
        <v>507</v>
      </c>
      <c r="O464" s="74">
        <v>46119</v>
      </c>
      <c r="P464" s="57"/>
      <c r="Q464" s="57"/>
      <c r="R464" s="61"/>
      <c r="S464" s="61"/>
    </row>
    <row r="465" spans="2:19" s="62" customFormat="1" outlineLevel="1" x14ac:dyDescent="0.25">
      <c r="B465" s="53"/>
      <c r="C465" s="54">
        <v>453</v>
      </c>
      <c r="D465" s="54" t="s">
        <v>508</v>
      </c>
      <c r="E465" s="55" t="s">
        <v>1226</v>
      </c>
      <c r="F465" s="53" t="s">
        <v>509</v>
      </c>
      <c r="G465" s="63">
        <v>1</v>
      </c>
      <c r="H465" s="57" t="s">
        <v>61</v>
      </c>
      <c r="I465" s="54" t="s">
        <v>510</v>
      </c>
      <c r="J465" s="54" t="s">
        <v>511</v>
      </c>
      <c r="K465" s="54" t="s">
        <v>512</v>
      </c>
      <c r="L465" s="54" t="s">
        <v>513</v>
      </c>
      <c r="M465" s="54" t="s">
        <v>514</v>
      </c>
      <c r="N465" s="54" t="s">
        <v>515</v>
      </c>
      <c r="O465" s="74">
        <v>46119</v>
      </c>
      <c r="P465" s="57"/>
      <c r="Q465" s="57"/>
      <c r="R465" s="61"/>
      <c r="S465" s="61"/>
    </row>
    <row r="466" spans="2:19" s="62" customFormat="1" outlineLevel="1" x14ac:dyDescent="0.25">
      <c r="B466" s="53"/>
      <c r="C466" s="54">
        <v>454</v>
      </c>
      <c r="D466" s="54" t="s">
        <v>516</v>
      </c>
      <c r="E466" s="55" t="s">
        <v>1226</v>
      </c>
      <c r="F466" s="67" t="s">
        <v>517</v>
      </c>
      <c r="G466" s="63">
        <v>1</v>
      </c>
      <c r="H466" s="57" t="s">
        <v>61</v>
      </c>
      <c r="I466" s="54" t="s">
        <v>518</v>
      </c>
      <c r="J466" s="54" t="s">
        <v>519</v>
      </c>
      <c r="K466" s="54" t="s">
        <v>520</v>
      </c>
      <c r="L466" s="54" t="s">
        <v>521</v>
      </c>
      <c r="M466" s="54" t="s">
        <v>522</v>
      </c>
      <c r="N466" s="54" t="s">
        <v>523</v>
      </c>
      <c r="O466" s="74">
        <v>46119</v>
      </c>
      <c r="P466" s="57"/>
      <c r="Q466" s="57"/>
      <c r="R466" s="61"/>
      <c r="S466" s="61"/>
    </row>
    <row r="467" spans="2:19" s="62" customFormat="1" outlineLevel="1" x14ac:dyDescent="0.25">
      <c r="B467" s="53"/>
      <c r="C467" s="54">
        <v>455</v>
      </c>
      <c r="D467" s="54" t="s">
        <v>644</v>
      </c>
      <c r="E467" s="55" t="s">
        <v>1226</v>
      </c>
      <c r="F467" s="53" t="s">
        <v>645</v>
      </c>
      <c r="G467" s="63">
        <v>2</v>
      </c>
      <c r="H467" s="57" t="s">
        <v>61</v>
      </c>
      <c r="I467" s="54" t="s">
        <v>646</v>
      </c>
      <c r="J467" s="54" t="s">
        <v>647</v>
      </c>
      <c r="K467" s="54" t="s">
        <v>648</v>
      </c>
      <c r="L467" s="54" t="s">
        <v>649</v>
      </c>
      <c r="M467" s="54" t="s">
        <v>650</v>
      </c>
      <c r="N467" s="54"/>
      <c r="O467" s="74">
        <v>46119</v>
      </c>
      <c r="P467" s="57"/>
      <c r="Q467" s="57"/>
      <c r="R467" s="61"/>
      <c r="S467" s="61"/>
    </row>
    <row r="468" spans="2:19" s="33" customFormat="1" x14ac:dyDescent="0.25">
      <c r="B468" s="42"/>
      <c r="C468" s="42"/>
      <c r="D468" s="42"/>
      <c r="E468" s="28" t="s">
        <v>1470</v>
      </c>
      <c r="F468" s="28"/>
      <c r="G468" s="29">
        <f>SUM(G469:G518)</f>
        <v>86</v>
      </c>
      <c r="H468" s="34"/>
      <c r="I468" s="49"/>
      <c r="J468" s="50"/>
      <c r="K468" s="51"/>
      <c r="L468" s="42"/>
      <c r="M468" s="42"/>
      <c r="N468" s="36"/>
      <c r="O468" s="34"/>
      <c r="P468" s="35"/>
      <c r="Q468" s="35"/>
      <c r="R468" s="36"/>
      <c r="S468" s="32"/>
    </row>
    <row r="469" spans="2:19" s="62" customFormat="1" outlineLevel="1" x14ac:dyDescent="0.25">
      <c r="B469" s="53"/>
      <c r="C469" s="54">
        <v>456</v>
      </c>
      <c r="D469" s="54" t="s">
        <v>811</v>
      </c>
      <c r="E469" s="55" t="s">
        <v>1470</v>
      </c>
      <c r="F469" s="53" t="s">
        <v>812</v>
      </c>
      <c r="G469" s="63">
        <v>6</v>
      </c>
      <c r="H469" s="57" t="s">
        <v>813</v>
      </c>
      <c r="I469" s="54" t="s">
        <v>814</v>
      </c>
      <c r="J469" s="54" t="s">
        <v>815</v>
      </c>
      <c r="K469" s="54" t="s">
        <v>816</v>
      </c>
      <c r="L469" s="54" t="s">
        <v>817</v>
      </c>
      <c r="M469" s="54" t="s">
        <v>1148</v>
      </c>
      <c r="N469" s="54" t="s">
        <v>819</v>
      </c>
      <c r="O469" s="59">
        <v>46153</v>
      </c>
      <c r="P469" s="57"/>
      <c r="Q469" s="57"/>
      <c r="R469" s="61"/>
      <c r="S469" s="61"/>
    </row>
    <row r="470" spans="2:19" s="62" customFormat="1" outlineLevel="1" x14ac:dyDescent="0.25">
      <c r="B470" s="53"/>
      <c r="C470" s="54">
        <v>457</v>
      </c>
      <c r="D470" s="54" t="s">
        <v>34</v>
      </c>
      <c r="E470" s="55" t="s">
        <v>1470</v>
      </c>
      <c r="F470" s="53" t="s">
        <v>35</v>
      </c>
      <c r="G470" s="63">
        <v>1</v>
      </c>
      <c r="H470" s="57" t="s">
        <v>36</v>
      </c>
      <c r="I470" s="54" t="s">
        <v>37</v>
      </c>
      <c r="J470" s="54" t="s">
        <v>38</v>
      </c>
      <c r="K470" s="54" t="s">
        <v>39</v>
      </c>
      <c r="L470" s="54" t="s">
        <v>40</v>
      </c>
      <c r="M470" s="54" t="s">
        <v>858</v>
      </c>
      <c r="N470" s="54" t="s">
        <v>42</v>
      </c>
      <c r="O470" s="59">
        <v>46153</v>
      </c>
      <c r="P470" s="57"/>
      <c r="Q470" s="57"/>
      <c r="R470" s="61"/>
      <c r="S470" s="61"/>
    </row>
    <row r="471" spans="2:19" s="62" customFormat="1" outlineLevel="1" x14ac:dyDescent="0.25">
      <c r="B471" s="53"/>
      <c r="C471" s="54">
        <v>458</v>
      </c>
      <c r="D471" s="54" t="s">
        <v>43</v>
      </c>
      <c r="E471" s="55" t="s">
        <v>1470</v>
      </c>
      <c r="F471" s="53" t="s">
        <v>44</v>
      </c>
      <c r="G471" s="63">
        <v>3</v>
      </c>
      <c r="H471" s="57" t="s">
        <v>24</v>
      </c>
      <c r="I471" s="54" t="s">
        <v>45</v>
      </c>
      <c r="J471" s="54" t="s">
        <v>46</v>
      </c>
      <c r="K471" s="54" t="s">
        <v>47</v>
      </c>
      <c r="L471" s="54" t="s">
        <v>48</v>
      </c>
      <c r="M471" s="54" t="s">
        <v>49</v>
      </c>
      <c r="N471" s="54" t="s">
        <v>50</v>
      </c>
      <c r="O471" s="59">
        <v>46153</v>
      </c>
      <c r="P471" s="57"/>
      <c r="Q471" s="57"/>
      <c r="R471" s="61"/>
      <c r="S471" s="61"/>
    </row>
    <row r="472" spans="2:19" s="62" customFormat="1" outlineLevel="1" x14ac:dyDescent="0.25">
      <c r="B472" s="53"/>
      <c r="C472" s="54">
        <v>459</v>
      </c>
      <c r="D472" s="54" t="s">
        <v>51</v>
      </c>
      <c r="E472" s="55" t="s">
        <v>1470</v>
      </c>
      <c r="F472" s="53" t="s">
        <v>52</v>
      </c>
      <c r="G472" s="63">
        <v>6</v>
      </c>
      <c r="H472" s="57" t="s">
        <v>24</v>
      </c>
      <c r="I472" s="54" t="s">
        <v>53</v>
      </c>
      <c r="J472" s="54" t="s">
        <v>54</v>
      </c>
      <c r="K472" s="54" t="s">
        <v>55</v>
      </c>
      <c r="L472" s="54" t="s">
        <v>56</v>
      </c>
      <c r="M472" s="54" t="s">
        <v>57</v>
      </c>
      <c r="N472" s="54" t="s">
        <v>58</v>
      </c>
      <c r="O472" s="59">
        <v>46153</v>
      </c>
      <c r="P472" s="57"/>
      <c r="Q472" s="57"/>
      <c r="R472" s="61"/>
      <c r="S472" s="61"/>
    </row>
    <row r="473" spans="2:19" s="62" customFormat="1" outlineLevel="1" x14ac:dyDescent="0.25">
      <c r="B473" s="53"/>
      <c r="C473" s="54">
        <v>460</v>
      </c>
      <c r="D473" s="54" t="s">
        <v>782</v>
      </c>
      <c r="E473" s="55" t="s">
        <v>1470</v>
      </c>
      <c r="F473" s="53" t="s">
        <v>783</v>
      </c>
      <c r="G473" s="63">
        <v>1</v>
      </c>
      <c r="H473" s="57" t="s">
        <v>784</v>
      </c>
      <c r="I473" s="54" t="s">
        <v>785</v>
      </c>
      <c r="J473" s="54" t="s">
        <v>786</v>
      </c>
      <c r="K473" s="54" t="s">
        <v>787</v>
      </c>
      <c r="L473" s="54" t="s">
        <v>788</v>
      </c>
      <c r="M473" s="54" t="s">
        <v>789</v>
      </c>
      <c r="N473" s="54" t="s">
        <v>790</v>
      </c>
      <c r="O473" s="59">
        <v>46153</v>
      </c>
      <c r="P473" s="57"/>
      <c r="Q473" s="57"/>
      <c r="R473" s="61"/>
      <c r="S473" s="61"/>
    </row>
    <row r="474" spans="2:19" s="62" customFormat="1" outlineLevel="1" x14ac:dyDescent="0.25">
      <c r="B474" s="53"/>
      <c r="C474" s="54">
        <v>461</v>
      </c>
      <c r="D474" s="54" t="s">
        <v>59</v>
      </c>
      <c r="E474" s="55" t="s">
        <v>1470</v>
      </c>
      <c r="F474" s="53" t="s">
        <v>60</v>
      </c>
      <c r="G474" s="63">
        <v>2</v>
      </c>
      <c r="H474" s="57" t="s">
        <v>61</v>
      </c>
      <c r="I474" s="54" t="s">
        <v>62</v>
      </c>
      <c r="J474" s="54" t="s">
        <v>63</v>
      </c>
      <c r="K474" s="54" t="s">
        <v>64</v>
      </c>
      <c r="L474" s="54" t="s">
        <v>65</v>
      </c>
      <c r="M474" s="54" t="s">
        <v>66</v>
      </c>
      <c r="N474" s="54" t="s">
        <v>67</v>
      </c>
      <c r="O474" s="59">
        <v>46153</v>
      </c>
      <c r="P474" s="57"/>
      <c r="Q474" s="57"/>
      <c r="R474" s="61"/>
      <c r="S474" s="61"/>
    </row>
    <row r="475" spans="2:19" s="62" customFormat="1" outlineLevel="1" x14ac:dyDescent="0.25">
      <c r="B475" s="53"/>
      <c r="C475" s="54">
        <v>462</v>
      </c>
      <c r="D475" s="54" t="s">
        <v>75</v>
      </c>
      <c r="E475" s="55" t="s">
        <v>1470</v>
      </c>
      <c r="F475" s="53" t="s">
        <v>76</v>
      </c>
      <c r="G475" s="63">
        <v>4</v>
      </c>
      <c r="H475" s="57" t="s">
        <v>77</v>
      </c>
      <c r="I475" s="54" t="s">
        <v>78</v>
      </c>
      <c r="J475" s="54" t="s">
        <v>79</v>
      </c>
      <c r="K475" s="54" t="s">
        <v>80</v>
      </c>
      <c r="L475" s="54" t="s">
        <v>81</v>
      </c>
      <c r="M475" s="54" t="s">
        <v>82</v>
      </c>
      <c r="N475" s="54" t="s">
        <v>83</v>
      </c>
      <c r="O475" s="59">
        <v>46153</v>
      </c>
      <c r="P475" s="57"/>
      <c r="Q475" s="57"/>
      <c r="R475" s="61"/>
      <c r="S475" s="61"/>
    </row>
    <row r="476" spans="2:19" s="62" customFormat="1" ht="36" customHeight="1" outlineLevel="1" x14ac:dyDescent="0.25">
      <c r="B476" s="53"/>
      <c r="C476" s="54">
        <v>463</v>
      </c>
      <c r="D476" s="54" t="s">
        <v>899</v>
      </c>
      <c r="E476" s="55" t="s">
        <v>1470</v>
      </c>
      <c r="F476" s="53" t="s">
        <v>900</v>
      </c>
      <c r="G476" s="63">
        <v>1</v>
      </c>
      <c r="H476" s="57" t="s">
        <v>901</v>
      </c>
      <c r="I476" s="54" t="s">
        <v>902</v>
      </c>
      <c r="J476" s="54" t="s">
        <v>903</v>
      </c>
      <c r="K476" s="54" t="s">
        <v>904</v>
      </c>
      <c r="L476" s="54" t="s">
        <v>905</v>
      </c>
      <c r="M476" s="54" t="s">
        <v>906</v>
      </c>
      <c r="N476" s="54" t="s">
        <v>907</v>
      </c>
      <c r="O476" s="59">
        <v>46153</v>
      </c>
      <c r="P476" s="57"/>
      <c r="Q476" s="57"/>
      <c r="R476" s="61"/>
      <c r="S476" s="61"/>
    </row>
    <row r="477" spans="2:19" s="62" customFormat="1" outlineLevel="1" x14ac:dyDescent="0.25">
      <c r="B477" s="53"/>
      <c r="C477" s="54">
        <v>464</v>
      </c>
      <c r="D477" s="54" t="s">
        <v>117</v>
      </c>
      <c r="E477" s="55" t="s">
        <v>1470</v>
      </c>
      <c r="F477" s="53" t="s">
        <v>118</v>
      </c>
      <c r="G477" s="63">
        <v>1</v>
      </c>
      <c r="H477" s="57" t="s">
        <v>24</v>
      </c>
      <c r="I477" s="54" t="s">
        <v>119</v>
      </c>
      <c r="J477" s="54" t="s">
        <v>120</v>
      </c>
      <c r="K477" s="54" t="s">
        <v>121</v>
      </c>
      <c r="L477" s="54" t="s">
        <v>122</v>
      </c>
      <c r="M477" s="54" t="s">
        <v>123</v>
      </c>
      <c r="N477" s="54" t="s">
        <v>124</v>
      </c>
      <c r="O477" s="59">
        <v>46153</v>
      </c>
      <c r="P477" s="57"/>
      <c r="Q477" s="57"/>
      <c r="R477" s="61"/>
      <c r="S477" s="61"/>
    </row>
    <row r="478" spans="2:19" s="62" customFormat="1" outlineLevel="1" x14ac:dyDescent="0.25">
      <c r="B478" s="53"/>
      <c r="C478" s="54">
        <v>465</v>
      </c>
      <c r="D478" s="54" t="s">
        <v>125</v>
      </c>
      <c r="E478" s="55" t="s">
        <v>1470</v>
      </c>
      <c r="F478" s="53" t="s">
        <v>126</v>
      </c>
      <c r="G478" s="63">
        <v>1</v>
      </c>
      <c r="H478" s="57" t="s">
        <v>127</v>
      </c>
      <c r="I478" s="54" t="s">
        <v>128</v>
      </c>
      <c r="J478" s="54" t="s">
        <v>129</v>
      </c>
      <c r="K478" s="54" t="s">
        <v>130</v>
      </c>
      <c r="L478" s="54" t="s">
        <v>131</v>
      </c>
      <c r="M478" s="54" t="s">
        <v>132</v>
      </c>
      <c r="N478" s="54" t="s">
        <v>133</v>
      </c>
      <c r="O478" s="59">
        <v>46153</v>
      </c>
      <c r="P478" s="57"/>
      <c r="Q478" s="57"/>
      <c r="R478" s="61"/>
      <c r="S478" s="61"/>
    </row>
    <row r="479" spans="2:19" s="62" customFormat="1" outlineLevel="1" x14ac:dyDescent="0.25">
      <c r="B479" s="53"/>
      <c r="C479" s="54">
        <v>466</v>
      </c>
      <c r="D479" s="54" t="s">
        <v>134</v>
      </c>
      <c r="E479" s="55" t="s">
        <v>1470</v>
      </c>
      <c r="F479" s="53" t="s">
        <v>135</v>
      </c>
      <c r="G479" s="63">
        <v>2</v>
      </c>
      <c r="H479" s="57" t="s">
        <v>24</v>
      </c>
      <c r="I479" s="54" t="s">
        <v>136</v>
      </c>
      <c r="J479" s="54" t="s">
        <v>137</v>
      </c>
      <c r="K479" s="54" t="s">
        <v>138</v>
      </c>
      <c r="L479" s="54" t="s">
        <v>139</v>
      </c>
      <c r="M479" s="54" t="s">
        <v>140</v>
      </c>
      <c r="N479" s="54" t="s">
        <v>141</v>
      </c>
      <c r="O479" s="59">
        <v>46153</v>
      </c>
      <c r="P479" s="57"/>
      <c r="Q479" s="57"/>
      <c r="R479" s="61"/>
      <c r="S479" s="61"/>
    </row>
    <row r="480" spans="2:19" s="62" customFormat="1" outlineLevel="1" x14ac:dyDescent="0.25">
      <c r="B480" s="53"/>
      <c r="C480" s="54">
        <v>467</v>
      </c>
      <c r="D480" s="54" t="s">
        <v>554</v>
      </c>
      <c r="E480" s="55" t="s">
        <v>1470</v>
      </c>
      <c r="F480" s="53" t="s">
        <v>555</v>
      </c>
      <c r="G480" s="63">
        <v>1</v>
      </c>
      <c r="H480" s="57" t="s">
        <v>61</v>
      </c>
      <c r="I480" s="54" t="s">
        <v>556</v>
      </c>
      <c r="J480" s="54" t="s">
        <v>557</v>
      </c>
      <c r="K480" s="54" t="s">
        <v>558</v>
      </c>
      <c r="L480" s="54" t="s">
        <v>559</v>
      </c>
      <c r="M480" s="54" t="s">
        <v>560</v>
      </c>
      <c r="N480" s="54" t="s">
        <v>561</v>
      </c>
      <c r="O480" s="59">
        <v>46153</v>
      </c>
      <c r="P480" s="57"/>
      <c r="Q480" s="57"/>
      <c r="R480" s="61"/>
      <c r="S480" s="61"/>
    </row>
    <row r="481" spans="2:19" s="62" customFormat="1" outlineLevel="1" x14ac:dyDescent="0.25">
      <c r="B481" s="53"/>
      <c r="C481" s="54">
        <v>468</v>
      </c>
      <c r="D481" s="54" t="s">
        <v>159</v>
      </c>
      <c r="E481" s="55" t="s">
        <v>1470</v>
      </c>
      <c r="F481" s="53" t="s">
        <v>160</v>
      </c>
      <c r="G481" s="63">
        <v>2</v>
      </c>
      <c r="H481" s="57" t="s">
        <v>61</v>
      </c>
      <c r="I481" s="54" t="s">
        <v>161</v>
      </c>
      <c r="J481" s="54" t="s">
        <v>162</v>
      </c>
      <c r="K481" s="54" t="s">
        <v>163</v>
      </c>
      <c r="L481" s="54" t="s">
        <v>164</v>
      </c>
      <c r="M481" s="54" t="s">
        <v>164</v>
      </c>
      <c r="N481" s="54" t="s">
        <v>165</v>
      </c>
      <c r="O481" s="59">
        <v>46153</v>
      </c>
      <c r="P481" s="57"/>
      <c r="Q481" s="57"/>
      <c r="R481" s="61"/>
      <c r="S481" s="61"/>
    </row>
    <row r="482" spans="2:19" s="62" customFormat="1" outlineLevel="1" x14ac:dyDescent="0.25">
      <c r="B482" s="53"/>
      <c r="C482" s="54">
        <v>469</v>
      </c>
      <c r="D482" s="54" t="s">
        <v>166</v>
      </c>
      <c r="E482" s="55" t="s">
        <v>1470</v>
      </c>
      <c r="F482" s="53" t="s">
        <v>167</v>
      </c>
      <c r="G482" s="63">
        <v>3</v>
      </c>
      <c r="H482" s="57" t="s">
        <v>61</v>
      </c>
      <c r="I482" s="54" t="s">
        <v>168</v>
      </c>
      <c r="J482" s="54" t="s">
        <v>169</v>
      </c>
      <c r="K482" s="54" t="s">
        <v>170</v>
      </c>
      <c r="L482" s="54" t="s">
        <v>171</v>
      </c>
      <c r="M482" s="54" t="s">
        <v>172</v>
      </c>
      <c r="N482" s="54" t="s">
        <v>173</v>
      </c>
      <c r="O482" s="59">
        <v>46153</v>
      </c>
      <c r="P482" s="57"/>
      <c r="Q482" s="57"/>
      <c r="R482" s="61"/>
      <c r="S482" s="61"/>
    </row>
    <row r="483" spans="2:19" s="62" customFormat="1" outlineLevel="1" x14ac:dyDescent="0.25">
      <c r="B483" s="53"/>
      <c r="C483" s="54">
        <v>470</v>
      </c>
      <c r="D483" s="54" t="s">
        <v>174</v>
      </c>
      <c r="E483" s="55" t="s">
        <v>1470</v>
      </c>
      <c r="F483" s="53" t="s">
        <v>175</v>
      </c>
      <c r="G483" s="63">
        <v>2</v>
      </c>
      <c r="H483" s="57" t="s">
        <v>152</v>
      </c>
      <c r="I483" s="54" t="s">
        <v>176</v>
      </c>
      <c r="J483" s="54" t="s">
        <v>177</v>
      </c>
      <c r="K483" s="54" t="s">
        <v>178</v>
      </c>
      <c r="L483" s="54" t="s">
        <v>179</v>
      </c>
      <c r="M483" s="54" t="s">
        <v>180</v>
      </c>
      <c r="N483" s="54" t="s">
        <v>181</v>
      </c>
      <c r="O483" s="59">
        <v>46153</v>
      </c>
      <c r="P483" s="57"/>
      <c r="Q483" s="57"/>
      <c r="R483" s="61"/>
      <c r="S483" s="61"/>
    </row>
    <row r="484" spans="2:19" s="62" customFormat="1" outlineLevel="1" x14ac:dyDescent="0.25">
      <c r="B484" s="53"/>
      <c r="C484" s="54">
        <v>471</v>
      </c>
      <c r="D484" s="54" t="s">
        <v>667</v>
      </c>
      <c r="E484" s="55" t="s">
        <v>1470</v>
      </c>
      <c r="F484" s="53" t="s">
        <v>668</v>
      </c>
      <c r="G484" s="63">
        <v>2</v>
      </c>
      <c r="H484" s="57" t="s">
        <v>61</v>
      </c>
      <c r="I484" s="54" t="s">
        <v>669</v>
      </c>
      <c r="J484" s="54" t="s">
        <v>670</v>
      </c>
      <c r="K484" s="68" t="s">
        <v>671</v>
      </c>
      <c r="L484" s="54" t="s">
        <v>672</v>
      </c>
      <c r="M484" s="54" t="s">
        <v>672</v>
      </c>
      <c r="N484" s="54" t="s">
        <v>673</v>
      </c>
      <c r="O484" s="59">
        <v>46153</v>
      </c>
      <c r="P484" s="57"/>
      <c r="Q484" s="57"/>
      <c r="R484" s="61"/>
      <c r="S484" s="61"/>
    </row>
    <row r="485" spans="2:19" s="62" customFormat="1" outlineLevel="1" x14ac:dyDescent="0.25">
      <c r="B485" s="53"/>
      <c r="C485" s="54">
        <v>472</v>
      </c>
      <c r="D485" s="54" t="s">
        <v>190</v>
      </c>
      <c r="E485" s="55" t="s">
        <v>1470</v>
      </c>
      <c r="F485" s="53" t="s">
        <v>191</v>
      </c>
      <c r="G485" s="63">
        <v>1</v>
      </c>
      <c r="H485" s="57" t="s">
        <v>24</v>
      </c>
      <c r="I485" s="54" t="s">
        <v>1471</v>
      </c>
      <c r="J485" s="54" t="s">
        <v>1472</v>
      </c>
      <c r="K485" s="68" t="s">
        <v>1473</v>
      </c>
      <c r="L485" s="54" t="s">
        <v>195</v>
      </c>
      <c r="M485" s="54" t="s">
        <v>140</v>
      </c>
      <c r="N485" s="54" t="s">
        <v>197</v>
      </c>
      <c r="O485" s="59">
        <v>46153</v>
      </c>
      <c r="P485" s="57"/>
      <c r="Q485" s="57"/>
      <c r="R485" s="61"/>
      <c r="S485" s="61"/>
    </row>
    <row r="486" spans="2:19" s="62" customFormat="1" outlineLevel="1" x14ac:dyDescent="0.25">
      <c r="B486" s="53"/>
      <c r="C486" s="54">
        <v>473</v>
      </c>
      <c r="D486" s="54" t="s">
        <v>198</v>
      </c>
      <c r="E486" s="55" t="s">
        <v>1470</v>
      </c>
      <c r="F486" s="53" t="s">
        <v>199</v>
      </c>
      <c r="G486" s="63">
        <v>1</v>
      </c>
      <c r="H486" s="57" t="s">
        <v>200</v>
      </c>
      <c r="I486" s="54" t="s">
        <v>201</v>
      </c>
      <c r="J486" s="54" t="s">
        <v>202</v>
      </c>
      <c r="K486" s="54" t="s">
        <v>203</v>
      </c>
      <c r="L486" s="54" t="s">
        <v>204</v>
      </c>
      <c r="M486" s="54" t="s">
        <v>205</v>
      </c>
      <c r="N486" s="54" t="s">
        <v>206</v>
      </c>
      <c r="O486" s="59">
        <v>46153</v>
      </c>
      <c r="P486" s="57"/>
      <c r="Q486" s="57"/>
      <c r="R486" s="61"/>
      <c r="S486" s="61"/>
    </row>
    <row r="487" spans="2:19" s="62" customFormat="1" outlineLevel="1" x14ac:dyDescent="0.25">
      <c r="B487" s="53"/>
      <c r="C487" s="54">
        <v>474</v>
      </c>
      <c r="D487" s="54" t="s">
        <v>223</v>
      </c>
      <c r="E487" s="55" t="s">
        <v>1470</v>
      </c>
      <c r="F487" s="53" t="s">
        <v>224</v>
      </c>
      <c r="G487" s="63">
        <v>1</v>
      </c>
      <c r="H487" s="57" t="s">
        <v>61</v>
      </c>
      <c r="I487" s="54" t="s">
        <v>225</v>
      </c>
      <c r="J487" s="54" t="s">
        <v>226</v>
      </c>
      <c r="K487" s="54" t="s">
        <v>227</v>
      </c>
      <c r="L487" s="54" t="s">
        <v>228</v>
      </c>
      <c r="M487" s="54" t="s">
        <v>229</v>
      </c>
      <c r="N487" s="54" t="s">
        <v>230</v>
      </c>
      <c r="O487" s="59">
        <v>46153</v>
      </c>
      <c r="P487" s="57"/>
      <c r="Q487" s="57"/>
      <c r="R487" s="61"/>
      <c r="S487" s="61"/>
    </row>
    <row r="488" spans="2:19" s="62" customFormat="1" ht="36" customHeight="1" outlineLevel="1" x14ac:dyDescent="0.25">
      <c r="B488" s="53"/>
      <c r="C488" s="54" t="s">
        <v>1474</v>
      </c>
      <c r="D488" s="54" t="s">
        <v>231</v>
      </c>
      <c r="E488" s="55" t="s">
        <v>1470</v>
      </c>
      <c r="F488" s="53" t="s">
        <v>232</v>
      </c>
      <c r="G488" s="63">
        <v>4</v>
      </c>
      <c r="H488" s="57" t="s">
        <v>61</v>
      </c>
      <c r="I488" s="54" t="s">
        <v>702</v>
      </c>
      <c r="J488" s="54" t="s">
        <v>703</v>
      </c>
      <c r="K488" s="54" t="s">
        <v>704</v>
      </c>
      <c r="L488" s="54" t="s">
        <v>236</v>
      </c>
      <c r="M488" s="54" t="s">
        <v>1475</v>
      </c>
      <c r="N488" s="54" t="s">
        <v>238</v>
      </c>
      <c r="O488" s="59">
        <v>46153</v>
      </c>
      <c r="P488" s="57"/>
      <c r="Q488" s="57"/>
      <c r="R488" s="61"/>
      <c r="S488" s="61"/>
    </row>
    <row r="489" spans="2:19" s="62" customFormat="1" outlineLevel="1" x14ac:dyDescent="0.25">
      <c r="B489" s="53"/>
      <c r="C489" s="54">
        <v>476</v>
      </c>
      <c r="D489" s="54" t="s">
        <v>239</v>
      </c>
      <c r="E489" s="55" t="s">
        <v>1470</v>
      </c>
      <c r="F489" s="53" t="s">
        <v>240</v>
      </c>
      <c r="G489" s="63">
        <v>1</v>
      </c>
      <c r="H489" s="57" t="s">
        <v>24</v>
      </c>
      <c r="I489" s="54" t="s">
        <v>241</v>
      </c>
      <c r="J489" s="54" t="s">
        <v>242</v>
      </c>
      <c r="K489" s="54" t="s">
        <v>243</v>
      </c>
      <c r="L489" s="54" t="s">
        <v>244</v>
      </c>
      <c r="M489" s="54" t="s">
        <v>245</v>
      </c>
      <c r="N489" s="54" t="s">
        <v>246</v>
      </c>
      <c r="O489" s="59">
        <v>46153</v>
      </c>
      <c r="P489" s="57"/>
      <c r="Q489" s="57"/>
      <c r="R489" s="61"/>
      <c r="S489" s="61"/>
    </row>
    <row r="490" spans="2:19" s="62" customFormat="1" ht="30" customHeight="1" outlineLevel="1" x14ac:dyDescent="0.25">
      <c r="B490" s="53"/>
      <c r="C490" s="54">
        <v>477</v>
      </c>
      <c r="D490" s="54" t="s">
        <v>247</v>
      </c>
      <c r="E490" s="55" t="s">
        <v>1470</v>
      </c>
      <c r="F490" s="53" t="s">
        <v>248</v>
      </c>
      <c r="G490" s="63">
        <v>1</v>
      </c>
      <c r="H490" s="57" t="s">
        <v>61</v>
      </c>
      <c r="I490" s="54" t="s">
        <v>528</v>
      </c>
      <c r="J490" s="54" t="s">
        <v>1068</v>
      </c>
      <c r="K490" s="68" t="s">
        <v>530</v>
      </c>
      <c r="L490" s="54" t="s">
        <v>252</v>
      </c>
      <c r="M490" s="54" t="s">
        <v>531</v>
      </c>
      <c r="N490" s="54" t="s">
        <v>254</v>
      </c>
      <c r="O490" s="59">
        <v>46153</v>
      </c>
      <c r="P490" s="57"/>
      <c r="Q490" s="57"/>
      <c r="R490" s="61"/>
      <c r="S490" s="61"/>
    </row>
    <row r="491" spans="2:19" s="62" customFormat="1" ht="30" customHeight="1" outlineLevel="1" x14ac:dyDescent="0.25">
      <c r="B491" s="53"/>
      <c r="C491" s="54">
        <v>478</v>
      </c>
      <c r="D491" s="54" t="s">
        <v>255</v>
      </c>
      <c r="E491" s="55" t="s">
        <v>1470</v>
      </c>
      <c r="F491" s="53" t="s">
        <v>256</v>
      </c>
      <c r="G491" s="63">
        <v>1</v>
      </c>
      <c r="H491" s="57" t="s">
        <v>61</v>
      </c>
      <c r="I491" s="54" t="s">
        <v>257</v>
      </c>
      <c r="J491" s="54" t="s">
        <v>258</v>
      </c>
      <c r="K491" s="54" t="s">
        <v>259</v>
      </c>
      <c r="L491" s="54" t="s">
        <v>260</v>
      </c>
      <c r="M491" s="54" t="s">
        <v>261</v>
      </c>
      <c r="N491" s="54" t="s">
        <v>262</v>
      </c>
      <c r="O491" s="59">
        <v>46153</v>
      </c>
      <c r="P491" s="57"/>
      <c r="Q491" s="57"/>
      <c r="R491" s="61"/>
      <c r="S491" s="61"/>
    </row>
    <row r="492" spans="2:19" s="62" customFormat="1" outlineLevel="1" x14ac:dyDescent="0.25">
      <c r="B492" s="53"/>
      <c r="C492" s="54">
        <v>479</v>
      </c>
      <c r="D492" s="54" t="s">
        <v>263</v>
      </c>
      <c r="E492" s="55" t="s">
        <v>1470</v>
      </c>
      <c r="F492" s="53" t="s">
        <v>264</v>
      </c>
      <c r="G492" s="63">
        <v>2</v>
      </c>
      <c r="H492" s="57" t="s">
        <v>61</v>
      </c>
      <c r="I492" s="54" t="s">
        <v>265</v>
      </c>
      <c r="J492" s="54" t="s">
        <v>266</v>
      </c>
      <c r="K492" s="54" t="s">
        <v>267</v>
      </c>
      <c r="L492" s="54" t="s">
        <v>252</v>
      </c>
      <c r="M492" s="54" t="s">
        <v>268</v>
      </c>
      <c r="N492" s="54" t="s">
        <v>269</v>
      </c>
      <c r="O492" s="59">
        <v>46153</v>
      </c>
      <c r="P492" s="57"/>
      <c r="Q492" s="57"/>
      <c r="R492" s="61"/>
      <c r="S492" s="61"/>
    </row>
    <row r="493" spans="2:19" s="62" customFormat="1" outlineLevel="1" x14ac:dyDescent="0.25">
      <c r="B493" s="53"/>
      <c r="C493" s="54">
        <v>480</v>
      </c>
      <c r="D493" s="54" t="s">
        <v>651</v>
      </c>
      <c r="E493" s="55" t="s">
        <v>1470</v>
      </c>
      <c r="F493" s="53" t="s">
        <v>652</v>
      </c>
      <c r="G493" s="63">
        <v>1</v>
      </c>
      <c r="H493" s="57" t="s">
        <v>111</v>
      </c>
      <c r="I493" s="54" t="s">
        <v>653</v>
      </c>
      <c r="J493" s="54" t="s">
        <v>654</v>
      </c>
      <c r="K493" s="54" t="s">
        <v>655</v>
      </c>
      <c r="L493" s="54" t="s">
        <v>656</v>
      </c>
      <c r="M493" s="54" t="s">
        <v>657</v>
      </c>
      <c r="N493" s="54" t="s">
        <v>658</v>
      </c>
      <c r="O493" s="59">
        <v>46153</v>
      </c>
      <c r="P493" s="57"/>
      <c r="Q493" s="57"/>
      <c r="R493" s="61"/>
      <c r="S493" s="61"/>
    </row>
    <row r="494" spans="2:19" s="62" customFormat="1" outlineLevel="1" x14ac:dyDescent="0.25">
      <c r="B494" s="53"/>
      <c r="C494" s="54">
        <v>481</v>
      </c>
      <c r="D494" s="54" t="s">
        <v>270</v>
      </c>
      <c r="E494" s="55" t="s">
        <v>1470</v>
      </c>
      <c r="F494" s="53" t="s">
        <v>271</v>
      </c>
      <c r="G494" s="63">
        <v>1</v>
      </c>
      <c r="H494" s="57" t="s">
        <v>61</v>
      </c>
      <c r="I494" s="54" t="s">
        <v>272</v>
      </c>
      <c r="J494" s="54" t="s">
        <v>273</v>
      </c>
      <c r="K494" s="54" t="s">
        <v>274</v>
      </c>
      <c r="L494" s="54" t="s">
        <v>792</v>
      </c>
      <c r="M494" s="54" t="s">
        <v>792</v>
      </c>
      <c r="N494" s="54" t="s">
        <v>277</v>
      </c>
      <c r="O494" s="59">
        <v>46153</v>
      </c>
      <c r="P494" s="57"/>
      <c r="Q494" s="57"/>
      <c r="R494" s="61"/>
      <c r="S494" s="61"/>
    </row>
    <row r="495" spans="2:19" s="62" customFormat="1" outlineLevel="1" x14ac:dyDescent="0.25">
      <c r="B495" s="53"/>
      <c r="C495" s="54">
        <v>482</v>
      </c>
      <c r="D495" s="54" t="s">
        <v>743</v>
      </c>
      <c r="E495" s="55" t="s">
        <v>1470</v>
      </c>
      <c r="F495" s="53" t="s">
        <v>744</v>
      </c>
      <c r="G495" s="63">
        <v>1</v>
      </c>
      <c r="H495" s="57" t="s">
        <v>745</v>
      </c>
      <c r="I495" s="54" t="s">
        <v>746</v>
      </c>
      <c r="J495" s="54" t="s">
        <v>747</v>
      </c>
      <c r="K495" s="54" t="s">
        <v>748</v>
      </c>
      <c r="L495" s="54" t="s">
        <v>749</v>
      </c>
      <c r="M495" s="54" t="s">
        <v>750</v>
      </c>
      <c r="N495" s="54" t="s">
        <v>751</v>
      </c>
      <c r="O495" s="59">
        <v>46153</v>
      </c>
      <c r="P495" s="57"/>
      <c r="Q495" s="57"/>
      <c r="R495" s="61"/>
      <c r="S495" s="61"/>
    </row>
    <row r="496" spans="2:19" s="62" customFormat="1" outlineLevel="1" x14ac:dyDescent="0.25">
      <c r="B496" s="53"/>
      <c r="C496" s="54">
        <v>483</v>
      </c>
      <c r="D496" s="54" t="s">
        <v>294</v>
      </c>
      <c r="E496" s="55" t="s">
        <v>1470</v>
      </c>
      <c r="F496" s="53" t="s">
        <v>295</v>
      </c>
      <c r="G496" s="63">
        <v>1</v>
      </c>
      <c r="H496" s="57" t="s">
        <v>61</v>
      </c>
      <c r="I496" s="54" t="s">
        <v>908</v>
      </c>
      <c r="J496" s="54" t="s">
        <v>909</v>
      </c>
      <c r="K496" s="54" t="s">
        <v>910</v>
      </c>
      <c r="L496" s="54" t="s">
        <v>299</v>
      </c>
      <c r="M496" s="54" t="s">
        <v>300</v>
      </c>
      <c r="N496" s="54" t="s">
        <v>301</v>
      </c>
      <c r="O496" s="59">
        <v>46153</v>
      </c>
      <c r="P496" s="57"/>
      <c r="Q496" s="57"/>
      <c r="R496" s="61"/>
      <c r="S496" s="61"/>
    </row>
    <row r="497" spans="2:19" s="62" customFormat="1" ht="36" customHeight="1" outlineLevel="1" x14ac:dyDescent="0.25">
      <c r="B497" s="53"/>
      <c r="C497" s="54" t="s">
        <v>1476</v>
      </c>
      <c r="D497" s="54" t="s">
        <v>302</v>
      </c>
      <c r="E497" s="55" t="s">
        <v>1470</v>
      </c>
      <c r="F497" s="53" t="s">
        <v>303</v>
      </c>
      <c r="G497" s="63">
        <v>1</v>
      </c>
      <c r="H497" s="57" t="s">
        <v>61</v>
      </c>
      <c r="I497" s="54" t="s">
        <v>304</v>
      </c>
      <c r="J497" s="54" t="s">
        <v>305</v>
      </c>
      <c r="K497" s="54" t="s">
        <v>306</v>
      </c>
      <c r="L497" s="54" t="s">
        <v>307</v>
      </c>
      <c r="M497" s="54" t="s">
        <v>526</v>
      </c>
      <c r="N497" s="54" t="s">
        <v>309</v>
      </c>
      <c r="O497" s="59">
        <v>46153</v>
      </c>
      <c r="P497" s="57"/>
      <c r="Q497" s="57"/>
      <c r="R497" s="61"/>
      <c r="S497" s="61"/>
    </row>
    <row r="498" spans="2:19" s="62" customFormat="1" outlineLevel="1" x14ac:dyDescent="0.25">
      <c r="B498" s="53"/>
      <c r="C498" s="54">
        <v>485</v>
      </c>
      <c r="D498" s="54" t="s">
        <v>310</v>
      </c>
      <c r="E498" s="55" t="s">
        <v>1470</v>
      </c>
      <c r="F498" s="53" t="s">
        <v>311</v>
      </c>
      <c r="G498" s="63">
        <v>1</v>
      </c>
      <c r="H498" s="57" t="s">
        <v>152</v>
      </c>
      <c r="I498" s="54" t="s">
        <v>312</v>
      </c>
      <c r="J498" s="54" t="s">
        <v>313</v>
      </c>
      <c r="K498" s="54" t="s">
        <v>314</v>
      </c>
      <c r="L498" s="54" t="s">
        <v>315</v>
      </c>
      <c r="M498" s="54" t="s">
        <v>316</v>
      </c>
      <c r="N498" s="54" t="s">
        <v>317</v>
      </c>
      <c r="O498" s="59">
        <v>46153</v>
      </c>
      <c r="P498" s="57"/>
      <c r="Q498" s="57"/>
      <c r="R498" s="61"/>
      <c r="S498" s="61"/>
    </row>
    <row r="499" spans="2:19" s="62" customFormat="1" outlineLevel="1" x14ac:dyDescent="0.25">
      <c r="B499" s="53"/>
      <c r="C499" s="54">
        <v>486</v>
      </c>
      <c r="D499" s="54" t="s">
        <v>318</v>
      </c>
      <c r="E499" s="55" t="s">
        <v>1470</v>
      </c>
      <c r="F499" s="53" t="s">
        <v>319</v>
      </c>
      <c r="G499" s="63">
        <v>1</v>
      </c>
      <c r="H499" s="57" t="s">
        <v>111</v>
      </c>
      <c r="I499" s="54" t="s">
        <v>320</v>
      </c>
      <c r="J499" s="54" t="s">
        <v>321</v>
      </c>
      <c r="K499" s="54" t="s">
        <v>322</v>
      </c>
      <c r="L499" s="54" t="s">
        <v>323</v>
      </c>
      <c r="M499" s="54" t="s">
        <v>324</v>
      </c>
      <c r="N499" s="54" t="s">
        <v>325</v>
      </c>
      <c r="O499" s="59">
        <v>46153</v>
      </c>
      <c r="P499" s="57"/>
      <c r="Q499" s="57"/>
      <c r="R499" s="61"/>
      <c r="S499" s="61"/>
    </row>
    <row r="500" spans="2:19" s="62" customFormat="1" outlineLevel="1" x14ac:dyDescent="0.25">
      <c r="B500" s="53"/>
      <c r="C500" s="54">
        <v>487</v>
      </c>
      <c r="D500" s="54" t="s">
        <v>326</v>
      </c>
      <c r="E500" s="55" t="s">
        <v>1470</v>
      </c>
      <c r="F500" s="53" t="s">
        <v>327</v>
      </c>
      <c r="G500" s="63">
        <v>1</v>
      </c>
      <c r="H500" s="57" t="s">
        <v>152</v>
      </c>
      <c r="I500" s="54" t="s">
        <v>328</v>
      </c>
      <c r="J500" s="54" t="s">
        <v>329</v>
      </c>
      <c r="K500" s="54" t="s">
        <v>330</v>
      </c>
      <c r="L500" s="54" t="s">
        <v>331</v>
      </c>
      <c r="M500" s="54" t="s">
        <v>332</v>
      </c>
      <c r="N500" s="54" t="s">
        <v>333</v>
      </c>
      <c r="O500" s="59">
        <v>46153</v>
      </c>
      <c r="P500" s="57"/>
      <c r="Q500" s="57"/>
      <c r="R500" s="61"/>
      <c r="S500" s="61"/>
    </row>
    <row r="501" spans="2:19" s="62" customFormat="1" ht="36" customHeight="1" outlineLevel="1" x14ac:dyDescent="0.25">
      <c r="B501" s="53"/>
      <c r="C501" s="54" t="s">
        <v>1477</v>
      </c>
      <c r="D501" s="54" t="s">
        <v>342</v>
      </c>
      <c r="E501" s="55" t="s">
        <v>1470</v>
      </c>
      <c r="F501" s="53" t="s">
        <v>343</v>
      </c>
      <c r="G501" s="63">
        <v>1</v>
      </c>
      <c r="H501" s="57" t="s">
        <v>24</v>
      </c>
      <c r="I501" s="54" t="s">
        <v>344</v>
      </c>
      <c r="J501" s="54" t="s">
        <v>345</v>
      </c>
      <c r="K501" s="54" t="s">
        <v>346</v>
      </c>
      <c r="L501" s="54" t="s">
        <v>348</v>
      </c>
      <c r="M501" s="54" t="s">
        <v>348</v>
      </c>
      <c r="N501" s="54" t="s">
        <v>349</v>
      </c>
      <c r="O501" s="59">
        <v>46153</v>
      </c>
      <c r="P501" s="57"/>
      <c r="Q501" s="57"/>
      <c r="R501" s="61"/>
      <c r="S501" s="61"/>
    </row>
    <row r="502" spans="2:19" s="62" customFormat="1" outlineLevel="1" x14ac:dyDescent="0.25">
      <c r="B502" s="53"/>
      <c r="C502" s="54">
        <v>489</v>
      </c>
      <c r="D502" s="54" t="s">
        <v>350</v>
      </c>
      <c r="E502" s="55" t="s">
        <v>1470</v>
      </c>
      <c r="F502" s="53" t="s">
        <v>351</v>
      </c>
      <c r="G502" s="63">
        <v>1</v>
      </c>
      <c r="H502" s="57" t="s">
        <v>152</v>
      </c>
      <c r="I502" s="54" t="s">
        <v>352</v>
      </c>
      <c r="J502" s="54" t="s">
        <v>353</v>
      </c>
      <c r="K502" s="54" t="s">
        <v>354</v>
      </c>
      <c r="L502" s="54" t="s">
        <v>355</v>
      </c>
      <c r="M502" s="54" t="s">
        <v>355</v>
      </c>
      <c r="N502" s="54" t="s">
        <v>356</v>
      </c>
      <c r="O502" s="59">
        <v>46153</v>
      </c>
      <c r="P502" s="57"/>
      <c r="Q502" s="57"/>
      <c r="R502" s="61"/>
      <c r="S502" s="61"/>
    </row>
    <row r="503" spans="2:19" s="62" customFormat="1" ht="36" customHeight="1" outlineLevel="1" x14ac:dyDescent="0.25">
      <c r="B503" s="53"/>
      <c r="C503" s="54" t="s">
        <v>1131</v>
      </c>
      <c r="D503" s="54" t="s">
        <v>802</v>
      </c>
      <c r="E503" s="55" t="s">
        <v>1470</v>
      </c>
      <c r="F503" s="53" t="s">
        <v>803</v>
      </c>
      <c r="G503" s="63">
        <v>3</v>
      </c>
      <c r="H503" s="57" t="s">
        <v>804</v>
      </c>
      <c r="I503" s="54" t="s">
        <v>874</v>
      </c>
      <c r="J503" s="54" t="s">
        <v>875</v>
      </c>
      <c r="K503" s="54" t="s">
        <v>876</v>
      </c>
      <c r="L503" s="54" t="s">
        <v>808</v>
      </c>
      <c r="M503" s="54" t="s">
        <v>1232</v>
      </c>
      <c r="N503" s="54" t="s">
        <v>810</v>
      </c>
      <c r="O503" s="59">
        <v>46153</v>
      </c>
      <c r="P503" s="57"/>
      <c r="Q503" s="57"/>
      <c r="R503" s="61"/>
      <c r="S503" s="61"/>
    </row>
    <row r="504" spans="2:19" s="62" customFormat="1" outlineLevel="1" x14ac:dyDescent="0.25">
      <c r="B504" s="53"/>
      <c r="C504" s="54">
        <v>491</v>
      </c>
      <c r="D504" s="54" t="s">
        <v>963</v>
      </c>
      <c r="E504" s="55" t="s">
        <v>1470</v>
      </c>
      <c r="F504" s="53" t="s">
        <v>917</v>
      </c>
      <c r="G504" s="63">
        <v>1</v>
      </c>
      <c r="H504" s="57" t="s">
        <v>152</v>
      </c>
      <c r="I504" s="54" t="s">
        <v>964</v>
      </c>
      <c r="J504" s="54" t="s">
        <v>965</v>
      </c>
      <c r="K504" s="54" t="s">
        <v>966</v>
      </c>
      <c r="L504" s="54" t="s">
        <v>967</v>
      </c>
      <c r="M504" s="54" t="s">
        <v>985</v>
      </c>
      <c r="N504" s="54" t="s">
        <v>969</v>
      </c>
      <c r="O504" s="59">
        <v>46153</v>
      </c>
      <c r="P504" s="57"/>
      <c r="Q504" s="57"/>
      <c r="R504" s="61"/>
      <c r="S504" s="61"/>
    </row>
    <row r="505" spans="2:19" s="62" customFormat="1" outlineLevel="1" x14ac:dyDescent="0.25">
      <c r="B505" s="53"/>
      <c r="C505" s="54">
        <v>492</v>
      </c>
      <c r="D505" s="54" t="s">
        <v>366</v>
      </c>
      <c r="E505" s="55" t="s">
        <v>1470</v>
      </c>
      <c r="F505" s="53" t="s">
        <v>367</v>
      </c>
      <c r="G505" s="63">
        <v>1</v>
      </c>
      <c r="H505" s="57" t="s">
        <v>368</v>
      </c>
      <c r="I505" s="54" t="s">
        <v>369</v>
      </c>
      <c r="J505" s="54" t="s">
        <v>370</v>
      </c>
      <c r="K505" s="54" t="s">
        <v>371</v>
      </c>
      <c r="L505" s="54" t="s">
        <v>372</v>
      </c>
      <c r="M505" s="54" t="s">
        <v>373</v>
      </c>
      <c r="N505" s="54" t="s">
        <v>374</v>
      </c>
      <c r="O505" s="59">
        <v>46153</v>
      </c>
      <c r="P505" s="57"/>
      <c r="Q505" s="57"/>
      <c r="R505" s="61"/>
      <c r="S505" s="61"/>
    </row>
    <row r="506" spans="2:19" s="62" customFormat="1" outlineLevel="1" x14ac:dyDescent="0.25">
      <c r="B506" s="53"/>
      <c r="C506" s="54">
        <v>493</v>
      </c>
      <c r="D506" s="54" t="s">
        <v>604</v>
      </c>
      <c r="E506" s="55" t="s">
        <v>1470</v>
      </c>
      <c r="F506" s="53" t="s">
        <v>605</v>
      </c>
      <c r="G506" s="63">
        <v>1</v>
      </c>
      <c r="H506" s="57" t="s">
        <v>61</v>
      </c>
      <c r="I506" s="54" t="s">
        <v>606</v>
      </c>
      <c r="J506" s="54" t="s">
        <v>607</v>
      </c>
      <c r="K506" s="54" t="s">
        <v>608</v>
      </c>
      <c r="L506" s="54" t="s">
        <v>252</v>
      </c>
      <c r="M506" s="54" t="s">
        <v>609</v>
      </c>
      <c r="N506" s="54" t="s">
        <v>610</v>
      </c>
      <c r="O506" s="59">
        <v>46153</v>
      </c>
      <c r="P506" s="57"/>
      <c r="Q506" s="57"/>
      <c r="R506" s="61"/>
      <c r="S506" s="61"/>
    </row>
    <row r="507" spans="2:19" s="62" customFormat="1" outlineLevel="1" x14ac:dyDescent="0.25">
      <c r="B507" s="53"/>
      <c r="C507" s="54">
        <v>494</v>
      </c>
      <c r="D507" s="54" t="s">
        <v>375</v>
      </c>
      <c r="E507" s="55" t="s">
        <v>1470</v>
      </c>
      <c r="F507" s="53" t="s">
        <v>376</v>
      </c>
      <c r="G507" s="63">
        <v>2</v>
      </c>
      <c r="H507" s="57" t="s">
        <v>111</v>
      </c>
      <c r="I507" s="54" t="s">
        <v>377</v>
      </c>
      <c r="J507" s="54" t="s">
        <v>378</v>
      </c>
      <c r="K507" s="54" t="s">
        <v>379</v>
      </c>
      <c r="L507" s="54" t="s">
        <v>380</v>
      </c>
      <c r="M507" s="54" t="s">
        <v>381</v>
      </c>
      <c r="N507" s="54" t="s">
        <v>382</v>
      </c>
      <c r="O507" s="59">
        <v>46153</v>
      </c>
      <c r="P507" s="57"/>
      <c r="Q507" s="57"/>
      <c r="R507" s="61"/>
      <c r="S507" s="61"/>
    </row>
    <row r="508" spans="2:19" s="62" customFormat="1" outlineLevel="1" x14ac:dyDescent="0.25">
      <c r="B508" s="53"/>
      <c r="C508" s="54">
        <v>495</v>
      </c>
      <c r="D508" s="54" t="s">
        <v>383</v>
      </c>
      <c r="E508" s="55" t="s">
        <v>1470</v>
      </c>
      <c r="F508" s="53" t="s">
        <v>384</v>
      </c>
      <c r="G508" s="63">
        <v>1</v>
      </c>
      <c r="H508" s="57" t="s">
        <v>61</v>
      </c>
      <c r="I508" s="54" t="s">
        <v>385</v>
      </c>
      <c r="J508" s="54" t="s">
        <v>386</v>
      </c>
      <c r="K508" s="54" t="s">
        <v>387</v>
      </c>
      <c r="L508" s="54" t="s">
        <v>388</v>
      </c>
      <c r="M508" s="54" t="s">
        <v>389</v>
      </c>
      <c r="N508" s="54" t="s">
        <v>390</v>
      </c>
      <c r="O508" s="59">
        <v>46153</v>
      </c>
      <c r="P508" s="57"/>
      <c r="Q508" s="57"/>
      <c r="R508" s="61"/>
      <c r="S508" s="61"/>
    </row>
    <row r="509" spans="2:19" s="62" customFormat="1" outlineLevel="1" x14ac:dyDescent="0.25">
      <c r="B509" s="53"/>
      <c r="C509" s="58">
        <v>496</v>
      </c>
      <c r="D509" s="54" t="s">
        <v>892</v>
      </c>
      <c r="E509" s="55" t="s">
        <v>1470</v>
      </c>
      <c r="F509" s="64" t="s">
        <v>893</v>
      </c>
      <c r="G509" s="63">
        <v>1</v>
      </c>
      <c r="H509" s="57" t="s">
        <v>61</v>
      </c>
      <c r="I509" s="54" t="s">
        <v>894</v>
      </c>
      <c r="J509" s="54" t="s">
        <v>895</v>
      </c>
      <c r="K509" s="54" t="s">
        <v>896</v>
      </c>
      <c r="L509" s="58" t="s">
        <v>897</v>
      </c>
      <c r="M509" s="58" t="s">
        <v>897</v>
      </c>
      <c r="N509" s="54" t="s">
        <v>898</v>
      </c>
      <c r="O509" s="59">
        <v>46153</v>
      </c>
      <c r="P509" s="57"/>
      <c r="Q509" s="57"/>
      <c r="R509" s="61"/>
      <c r="S509" s="61"/>
    </row>
    <row r="510" spans="2:19" s="62" customFormat="1" outlineLevel="1" x14ac:dyDescent="0.25">
      <c r="B510" s="53"/>
      <c r="C510" s="54">
        <v>497</v>
      </c>
      <c r="D510" s="54" t="s">
        <v>431</v>
      </c>
      <c r="E510" s="55" t="s">
        <v>1470</v>
      </c>
      <c r="F510" s="53" t="s">
        <v>432</v>
      </c>
      <c r="G510" s="63">
        <v>2</v>
      </c>
      <c r="H510" s="57" t="s">
        <v>152</v>
      </c>
      <c r="I510" s="54" t="s">
        <v>868</v>
      </c>
      <c r="J510" s="54" t="s">
        <v>869</v>
      </c>
      <c r="K510" s="54" t="s">
        <v>870</v>
      </c>
      <c r="L510" s="54" t="s">
        <v>436</v>
      </c>
      <c r="M510" s="54" t="s">
        <v>436</v>
      </c>
      <c r="N510" s="54" t="s">
        <v>438</v>
      </c>
      <c r="O510" s="59">
        <v>46153</v>
      </c>
      <c r="P510" s="57"/>
      <c r="Q510" s="57"/>
      <c r="R510" s="61"/>
      <c r="S510" s="61"/>
    </row>
    <row r="511" spans="2:19" s="62" customFormat="1" outlineLevel="1" x14ac:dyDescent="0.25">
      <c r="B511" s="53"/>
      <c r="C511" s="54">
        <v>498</v>
      </c>
      <c r="D511" s="54" t="s">
        <v>447</v>
      </c>
      <c r="E511" s="55" t="s">
        <v>1470</v>
      </c>
      <c r="F511" s="53" t="s">
        <v>448</v>
      </c>
      <c r="G511" s="63">
        <v>1</v>
      </c>
      <c r="H511" s="57" t="s">
        <v>24</v>
      </c>
      <c r="I511" s="54" t="s">
        <v>449</v>
      </c>
      <c r="J511" s="54" t="s">
        <v>450</v>
      </c>
      <c r="K511" s="54" t="s">
        <v>451</v>
      </c>
      <c r="L511" s="54" t="s">
        <v>452</v>
      </c>
      <c r="M511" s="54" t="s">
        <v>453</v>
      </c>
      <c r="N511" s="54" t="s">
        <v>454</v>
      </c>
      <c r="O511" s="59">
        <v>46153</v>
      </c>
      <c r="P511" s="57"/>
      <c r="Q511" s="57"/>
      <c r="R511" s="61"/>
      <c r="S511" s="61"/>
    </row>
    <row r="512" spans="2:19" s="62" customFormat="1" ht="36" customHeight="1" outlineLevel="1" x14ac:dyDescent="0.25">
      <c r="B512" s="53"/>
      <c r="C512" s="54">
        <v>499</v>
      </c>
      <c r="D512" s="54" t="s">
        <v>596</v>
      </c>
      <c r="E512" s="55" t="s">
        <v>1470</v>
      </c>
      <c r="F512" s="53" t="s">
        <v>597</v>
      </c>
      <c r="G512" s="63">
        <v>1</v>
      </c>
      <c r="H512" s="57" t="s">
        <v>61</v>
      </c>
      <c r="I512" s="54" t="s">
        <v>598</v>
      </c>
      <c r="J512" s="54" t="s">
        <v>599</v>
      </c>
      <c r="K512" s="54" t="s">
        <v>600</v>
      </c>
      <c r="L512" s="54" t="s">
        <v>601</v>
      </c>
      <c r="M512" s="54" t="s">
        <v>781</v>
      </c>
      <c r="N512" s="54" t="s">
        <v>603</v>
      </c>
      <c r="O512" s="59">
        <v>46153</v>
      </c>
      <c r="P512" s="57"/>
      <c r="Q512" s="57"/>
      <c r="R512" s="61"/>
      <c r="S512" s="61"/>
    </row>
    <row r="513" spans="2:19" s="62" customFormat="1" outlineLevel="1" x14ac:dyDescent="0.25">
      <c r="B513" s="53"/>
      <c r="C513" s="54">
        <v>500</v>
      </c>
      <c r="D513" s="54" t="s">
        <v>463</v>
      </c>
      <c r="E513" s="55" t="s">
        <v>1470</v>
      </c>
      <c r="F513" s="53" t="s">
        <v>464</v>
      </c>
      <c r="G513" s="63">
        <v>1</v>
      </c>
      <c r="H513" s="57" t="s">
        <v>152</v>
      </c>
      <c r="I513" s="54" t="s">
        <v>465</v>
      </c>
      <c r="J513" s="54" t="s">
        <v>466</v>
      </c>
      <c r="K513" s="54" t="s">
        <v>467</v>
      </c>
      <c r="L513" s="54" t="s">
        <v>468</v>
      </c>
      <c r="M513" s="54" t="s">
        <v>469</v>
      </c>
      <c r="N513" s="54" t="s">
        <v>470</v>
      </c>
      <c r="O513" s="59">
        <v>46153</v>
      </c>
      <c r="P513" s="57"/>
      <c r="Q513" s="57"/>
      <c r="R513" s="61"/>
      <c r="S513" s="61"/>
    </row>
    <row r="514" spans="2:19" s="62" customFormat="1" ht="36" customHeight="1" outlineLevel="1" x14ac:dyDescent="0.25">
      <c r="B514" s="53"/>
      <c r="C514" s="54" t="s">
        <v>1478</v>
      </c>
      <c r="D514" s="54" t="s">
        <v>760</v>
      </c>
      <c r="E514" s="55" t="s">
        <v>1470</v>
      </c>
      <c r="F514" s="53" t="s">
        <v>761</v>
      </c>
      <c r="G514" s="63">
        <v>6</v>
      </c>
      <c r="H514" s="57" t="s">
        <v>61</v>
      </c>
      <c r="I514" s="54" t="s">
        <v>762</v>
      </c>
      <c r="J514" s="54" t="s">
        <v>763</v>
      </c>
      <c r="K514" s="54" t="s">
        <v>764</v>
      </c>
      <c r="L514" s="54" t="s">
        <v>765</v>
      </c>
      <c r="M514" s="54" t="s">
        <v>1479</v>
      </c>
      <c r="N514" s="54" t="s">
        <v>766</v>
      </c>
      <c r="O514" s="59">
        <v>46153</v>
      </c>
      <c r="P514" s="57"/>
      <c r="Q514" s="57"/>
      <c r="R514" s="61"/>
      <c r="S514" s="61"/>
    </row>
    <row r="515" spans="2:19" s="62" customFormat="1" ht="30" customHeight="1" outlineLevel="1" x14ac:dyDescent="0.25">
      <c r="B515" s="53"/>
      <c r="C515" s="54">
        <v>502</v>
      </c>
      <c r="D515" s="54" t="s">
        <v>478</v>
      </c>
      <c r="E515" s="55" t="s">
        <v>1470</v>
      </c>
      <c r="F515" s="53" t="s">
        <v>479</v>
      </c>
      <c r="G515" s="63">
        <v>1</v>
      </c>
      <c r="H515" s="57" t="s">
        <v>111</v>
      </c>
      <c r="I515" s="54" t="s">
        <v>480</v>
      </c>
      <c r="J515" s="54" t="s">
        <v>481</v>
      </c>
      <c r="K515" s="54" t="s">
        <v>482</v>
      </c>
      <c r="L515" s="54" t="s">
        <v>483</v>
      </c>
      <c r="M515" s="54" t="s">
        <v>634</v>
      </c>
      <c r="N515" s="54" t="s">
        <v>485</v>
      </c>
      <c r="O515" s="59">
        <v>46153</v>
      </c>
      <c r="P515" s="57"/>
      <c r="Q515" s="57"/>
      <c r="R515" s="61"/>
      <c r="S515" s="61"/>
    </row>
    <row r="516" spans="2:19" s="62" customFormat="1" outlineLevel="1" x14ac:dyDescent="0.25">
      <c r="B516" s="53"/>
      <c r="C516" s="54">
        <v>503</v>
      </c>
      <c r="D516" s="54" t="s">
        <v>486</v>
      </c>
      <c r="E516" s="55" t="s">
        <v>1470</v>
      </c>
      <c r="F516" s="53" t="s">
        <v>487</v>
      </c>
      <c r="G516" s="63">
        <v>1</v>
      </c>
      <c r="H516" s="57" t="s">
        <v>152</v>
      </c>
      <c r="I516" s="54" t="s">
        <v>488</v>
      </c>
      <c r="J516" s="54" t="s">
        <v>489</v>
      </c>
      <c r="K516" s="54" t="s">
        <v>490</v>
      </c>
      <c r="L516" s="54" t="s">
        <v>491</v>
      </c>
      <c r="M516" s="54" t="s">
        <v>492</v>
      </c>
      <c r="N516" s="54" t="s">
        <v>493</v>
      </c>
      <c r="O516" s="59">
        <v>46153</v>
      </c>
      <c r="P516" s="57"/>
      <c r="Q516" s="57"/>
      <c r="R516" s="61"/>
      <c r="S516" s="61"/>
    </row>
    <row r="517" spans="2:19" s="62" customFormat="1" outlineLevel="1" x14ac:dyDescent="0.25">
      <c r="B517" s="53"/>
      <c r="C517" s="54">
        <v>504</v>
      </c>
      <c r="D517" s="54" t="s">
        <v>494</v>
      </c>
      <c r="E517" s="55" t="s">
        <v>1470</v>
      </c>
      <c r="F517" s="53" t="s">
        <v>495</v>
      </c>
      <c r="G517" s="63">
        <v>1</v>
      </c>
      <c r="H517" s="57" t="s">
        <v>61</v>
      </c>
      <c r="I517" s="54" t="s">
        <v>496</v>
      </c>
      <c r="J517" s="54" t="s">
        <v>497</v>
      </c>
      <c r="K517" s="54" t="s">
        <v>498</v>
      </c>
      <c r="L517" s="54" t="s">
        <v>499</v>
      </c>
      <c r="M517" s="54" t="s">
        <v>500</v>
      </c>
      <c r="N517" s="54" t="s">
        <v>501</v>
      </c>
      <c r="O517" s="59">
        <v>46153</v>
      </c>
      <c r="P517" s="57"/>
      <c r="Q517" s="57"/>
      <c r="R517" s="61"/>
      <c r="S517" s="61"/>
    </row>
    <row r="518" spans="2:19" s="62" customFormat="1" outlineLevel="1" x14ac:dyDescent="0.25">
      <c r="B518" s="53"/>
      <c r="C518" s="54">
        <v>505</v>
      </c>
      <c r="D518" s="54" t="s">
        <v>644</v>
      </c>
      <c r="E518" s="55" t="s">
        <v>1470</v>
      </c>
      <c r="F518" s="53" t="s">
        <v>645</v>
      </c>
      <c r="G518" s="63">
        <v>2</v>
      </c>
      <c r="H518" s="57" t="s">
        <v>61</v>
      </c>
      <c r="I518" s="54" t="s">
        <v>646</v>
      </c>
      <c r="J518" s="54" t="s">
        <v>647</v>
      </c>
      <c r="K518" s="54" t="s">
        <v>648</v>
      </c>
      <c r="L518" s="54" t="s">
        <v>649</v>
      </c>
      <c r="M518" s="54" t="s">
        <v>650</v>
      </c>
      <c r="N518" s="54"/>
      <c r="O518" s="59">
        <v>46153</v>
      </c>
      <c r="P518" s="57"/>
      <c r="Q518" s="57"/>
      <c r="R518" s="61"/>
      <c r="S518" s="61"/>
    </row>
    <row r="519" spans="2:19" s="33" customFormat="1" ht="30" customHeight="1" x14ac:dyDescent="0.25">
      <c r="B519" s="42"/>
      <c r="C519" s="42"/>
      <c r="D519" s="42"/>
      <c r="E519" s="28" t="s">
        <v>1258</v>
      </c>
      <c r="F519" s="28"/>
      <c r="G519" s="29">
        <f>SUM(G520:G559)</f>
        <v>57</v>
      </c>
      <c r="H519" s="34"/>
      <c r="I519" s="49"/>
      <c r="J519" s="50"/>
      <c r="K519" s="51"/>
      <c r="L519" s="42"/>
      <c r="M519" s="42"/>
      <c r="N519" s="36"/>
      <c r="O519" s="34"/>
      <c r="P519" s="35"/>
      <c r="Q519" s="35"/>
      <c r="R519" s="36"/>
      <c r="S519" s="32"/>
    </row>
    <row r="520" spans="2:19" s="62" customFormat="1" ht="25.5" customHeight="1" outlineLevel="1" x14ac:dyDescent="0.25">
      <c r="B520" s="53"/>
      <c r="C520" s="54">
        <v>506</v>
      </c>
      <c r="D520" s="54" t="s">
        <v>43</v>
      </c>
      <c r="E520" s="55" t="s">
        <v>1258</v>
      </c>
      <c r="F520" s="53" t="s">
        <v>44</v>
      </c>
      <c r="G520" s="63">
        <v>2</v>
      </c>
      <c r="H520" s="57" t="s">
        <v>24</v>
      </c>
      <c r="I520" s="54" t="s">
        <v>45</v>
      </c>
      <c r="J520" s="54" t="s">
        <v>46</v>
      </c>
      <c r="K520" s="54" t="s">
        <v>47</v>
      </c>
      <c r="L520" s="54" t="s">
        <v>48</v>
      </c>
      <c r="M520" s="54" t="s">
        <v>49</v>
      </c>
      <c r="N520" s="54" t="s">
        <v>50</v>
      </c>
      <c r="O520" s="74">
        <v>46125</v>
      </c>
      <c r="P520" s="57"/>
      <c r="Q520" s="57"/>
      <c r="R520" s="61"/>
      <c r="S520" s="61"/>
    </row>
    <row r="521" spans="2:19" s="62" customFormat="1" ht="25.5" customHeight="1" outlineLevel="1" x14ac:dyDescent="0.25">
      <c r="B521" s="53"/>
      <c r="C521" s="54">
        <v>507</v>
      </c>
      <c r="D521" s="54" t="s">
        <v>782</v>
      </c>
      <c r="E521" s="55" t="s">
        <v>1258</v>
      </c>
      <c r="F521" s="53" t="s">
        <v>783</v>
      </c>
      <c r="G521" s="63">
        <v>1</v>
      </c>
      <c r="H521" s="57" t="s">
        <v>784</v>
      </c>
      <c r="I521" s="54" t="s">
        <v>785</v>
      </c>
      <c r="J521" s="54" t="s">
        <v>786</v>
      </c>
      <c r="K521" s="54" t="s">
        <v>787</v>
      </c>
      <c r="L521" s="54" t="s">
        <v>788</v>
      </c>
      <c r="M521" s="54" t="s">
        <v>789</v>
      </c>
      <c r="N521" s="54" t="s">
        <v>790</v>
      </c>
      <c r="O521" s="74">
        <v>46125</v>
      </c>
      <c r="P521" s="57"/>
      <c r="Q521" s="57"/>
      <c r="R521" s="61"/>
      <c r="S521" s="61"/>
    </row>
    <row r="522" spans="2:19" s="62" customFormat="1" ht="25.5" customHeight="1" outlineLevel="1" x14ac:dyDescent="0.25">
      <c r="B522" s="53"/>
      <c r="C522" s="54">
        <v>508</v>
      </c>
      <c r="D522" s="54" t="s">
        <v>59</v>
      </c>
      <c r="E522" s="55" t="s">
        <v>1258</v>
      </c>
      <c r="F522" s="53" t="s">
        <v>60</v>
      </c>
      <c r="G522" s="63">
        <v>8</v>
      </c>
      <c r="H522" s="57" t="s">
        <v>61</v>
      </c>
      <c r="I522" s="54" t="s">
        <v>62</v>
      </c>
      <c r="J522" s="54" t="s">
        <v>63</v>
      </c>
      <c r="K522" s="54" t="s">
        <v>64</v>
      </c>
      <c r="L522" s="54" t="s">
        <v>65</v>
      </c>
      <c r="M522" s="54" t="s">
        <v>66</v>
      </c>
      <c r="N522" s="54" t="s">
        <v>67</v>
      </c>
      <c r="O522" s="74">
        <v>46125</v>
      </c>
      <c r="P522" s="57"/>
      <c r="Q522" s="57"/>
      <c r="R522" s="61"/>
      <c r="S522" s="61"/>
    </row>
    <row r="523" spans="2:19" s="62" customFormat="1" ht="25.5" customHeight="1" outlineLevel="1" x14ac:dyDescent="0.25">
      <c r="B523" s="53"/>
      <c r="C523" s="54">
        <v>509</v>
      </c>
      <c r="D523" s="54" t="s">
        <v>109</v>
      </c>
      <c r="E523" s="55" t="s">
        <v>1258</v>
      </c>
      <c r="F523" s="53" t="s">
        <v>110</v>
      </c>
      <c r="G523" s="63">
        <v>1</v>
      </c>
      <c r="H523" s="57" t="s">
        <v>111</v>
      </c>
      <c r="I523" s="54" t="s">
        <v>112</v>
      </c>
      <c r="J523" s="54" t="s">
        <v>113</v>
      </c>
      <c r="K523" s="54" t="s">
        <v>114</v>
      </c>
      <c r="L523" s="54" t="s">
        <v>115</v>
      </c>
      <c r="M523" s="54" t="s">
        <v>115</v>
      </c>
      <c r="N523" s="54" t="s">
        <v>116</v>
      </c>
      <c r="O523" s="74">
        <v>46125</v>
      </c>
      <c r="P523" s="57"/>
      <c r="Q523" s="57"/>
      <c r="R523" s="61"/>
      <c r="S523" s="61"/>
    </row>
    <row r="524" spans="2:19" s="62" customFormat="1" ht="25.5" customHeight="1" outlineLevel="1" x14ac:dyDescent="0.25">
      <c r="B524" s="53"/>
      <c r="C524" s="54">
        <v>510</v>
      </c>
      <c r="D524" s="54" t="s">
        <v>125</v>
      </c>
      <c r="E524" s="55" t="s">
        <v>1258</v>
      </c>
      <c r="F524" s="53" t="s">
        <v>126</v>
      </c>
      <c r="G524" s="63">
        <v>1</v>
      </c>
      <c r="H524" s="57" t="s">
        <v>127</v>
      </c>
      <c r="I524" s="54" t="s">
        <v>128</v>
      </c>
      <c r="J524" s="54" t="s">
        <v>129</v>
      </c>
      <c r="K524" s="54" t="s">
        <v>130</v>
      </c>
      <c r="L524" s="54" t="s">
        <v>131</v>
      </c>
      <c r="M524" s="54" t="s">
        <v>132</v>
      </c>
      <c r="N524" s="54" t="s">
        <v>133</v>
      </c>
      <c r="O524" s="74">
        <v>46125</v>
      </c>
      <c r="P524" s="57"/>
      <c r="Q524" s="57"/>
      <c r="R524" s="61"/>
      <c r="S524" s="61"/>
    </row>
    <row r="525" spans="2:19" s="62" customFormat="1" ht="25.5" customHeight="1" outlineLevel="1" x14ac:dyDescent="0.25">
      <c r="B525" s="53"/>
      <c r="C525" s="54">
        <v>511</v>
      </c>
      <c r="D525" s="54" t="s">
        <v>134</v>
      </c>
      <c r="E525" s="55" t="s">
        <v>1258</v>
      </c>
      <c r="F525" s="53" t="s">
        <v>135</v>
      </c>
      <c r="G525" s="63">
        <v>1</v>
      </c>
      <c r="H525" s="57" t="s">
        <v>24</v>
      </c>
      <c r="I525" s="54" t="s">
        <v>136</v>
      </c>
      <c r="J525" s="54" t="s">
        <v>137</v>
      </c>
      <c r="K525" s="54" t="s">
        <v>138</v>
      </c>
      <c r="L525" s="54" t="s">
        <v>139</v>
      </c>
      <c r="M525" s="54" t="s">
        <v>140</v>
      </c>
      <c r="N525" s="54" t="s">
        <v>141</v>
      </c>
      <c r="O525" s="74">
        <v>46125</v>
      </c>
      <c r="P525" s="57"/>
      <c r="Q525" s="57"/>
      <c r="R525" s="61"/>
      <c r="S525" s="61"/>
    </row>
    <row r="526" spans="2:19" s="62" customFormat="1" ht="25.5" customHeight="1" outlineLevel="1" x14ac:dyDescent="0.25">
      <c r="B526" s="53"/>
      <c r="C526" s="54">
        <v>512</v>
      </c>
      <c r="D526" s="54" t="s">
        <v>554</v>
      </c>
      <c r="E526" s="55" t="s">
        <v>1258</v>
      </c>
      <c r="F526" s="53" t="s">
        <v>555</v>
      </c>
      <c r="G526" s="63">
        <v>1</v>
      </c>
      <c r="H526" s="57" t="s">
        <v>61</v>
      </c>
      <c r="I526" s="54" t="s">
        <v>556</v>
      </c>
      <c r="J526" s="54" t="s">
        <v>557</v>
      </c>
      <c r="K526" s="54" t="s">
        <v>558</v>
      </c>
      <c r="L526" s="54" t="s">
        <v>559</v>
      </c>
      <c r="M526" s="54" t="s">
        <v>560</v>
      </c>
      <c r="N526" s="54" t="s">
        <v>561</v>
      </c>
      <c r="O526" s="74">
        <v>46125</v>
      </c>
      <c r="P526" s="57"/>
      <c r="Q526" s="57"/>
      <c r="R526" s="61"/>
      <c r="S526" s="61"/>
    </row>
    <row r="527" spans="2:19" s="62" customFormat="1" ht="25.5" customHeight="1" outlineLevel="1" x14ac:dyDescent="0.25">
      <c r="B527" s="53"/>
      <c r="C527" s="54">
        <v>513</v>
      </c>
      <c r="D527" s="54" t="s">
        <v>142</v>
      </c>
      <c r="E527" s="55" t="s">
        <v>1258</v>
      </c>
      <c r="F527" s="53" t="s">
        <v>143</v>
      </c>
      <c r="G527" s="63">
        <v>1</v>
      </c>
      <c r="H527" s="57" t="s">
        <v>61</v>
      </c>
      <c r="I527" s="54" t="s">
        <v>144</v>
      </c>
      <c r="J527" s="54" t="s">
        <v>145</v>
      </c>
      <c r="K527" s="54" t="s">
        <v>146</v>
      </c>
      <c r="L527" s="54" t="s">
        <v>147</v>
      </c>
      <c r="M527" s="54" t="s">
        <v>148</v>
      </c>
      <c r="N527" s="54" t="s">
        <v>149</v>
      </c>
      <c r="O527" s="74">
        <v>46125</v>
      </c>
      <c r="P527" s="57"/>
      <c r="Q527" s="57"/>
      <c r="R527" s="61"/>
      <c r="S527" s="61"/>
    </row>
    <row r="528" spans="2:19" s="62" customFormat="1" ht="25.5" customHeight="1" outlineLevel="1" x14ac:dyDescent="0.25">
      <c r="B528" s="53"/>
      <c r="C528" s="54">
        <v>514</v>
      </c>
      <c r="D528" s="54" t="s">
        <v>159</v>
      </c>
      <c r="E528" s="55" t="s">
        <v>1258</v>
      </c>
      <c r="F528" s="53" t="s">
        <v>160</v>
      </c>
      <c r="G528" s="63">
        <v>1</v>
      </c>
      <c r="H528" s="57" t="s">
        <v>61</v>
      </c>
      <c r="I528" s="54" t="s">
        <v>161</v>
      </c>
      <c r="J528" s="54" t="s">
        <v>162</v>
      </c>
      <c r="K528" s="54" t="s">
        <v>163</v>
      </c>
      <c r="L528" s="54" t="s">
        <v>164</v>
      </c>
      <c r="M528" s="54" t="s">
        <v>164</v>
      </c>
      <c r="N528" s="54" t="s">
        <v>165</v>
      </c>
      <c r="O528" s="74">
        <v>46125</v>
      </c>
      <c r="P528" s="57"/>
      <c r="Q528" s="57"/>
      <c r="R528" s="61"/>
      <c r="S528" s="61"/>
    </row>
    <row r="529" spans="2:19" s="62" customFormat="1" ht="25.5" customHeight="1" outlineLevel="1" x14ac:dyDescent="0.25">
      <c r="B529" s="53"/>
      <c r="C529" s="54">
        <v>515</v>
      </c>
      <c r="D529" s="54" t="s">
        <v>166</v>
      </c>
      <c r="E529" s="55" t="s">
        <v>1258</v>
      </c>
      <c r="F529" s="53" t="s">
        <v>167</v>
      </c>
      <c r="G529" s="63">
        <v>1</v>
      </c>
      <c r="H529" s="57" t="s">
        <v>61</v>
      </c>
      <c r="I529" s="54" t="s">
        <v>168</v>
      </c>
      <c r="J529" s="54" t="s">
        <v>169</v>
      </c>
      <c r="K529" s="54" t="s">
        <v>170</v>
      </c>
      <c r="L529" s="54" t="s">
        <v>171</v>
      </c>
      <c r="M529" s="54" t="s">
        <v>172</v>
      </c>
      <c r="N529" s="54" t="s">
        <v>173</v>
      </c>
      <c r="O529" s="74">
        <v>46125</v>
      </c>
      <c r="P529" s="57"/>
      <c r="Q529" s="57"/>
      <c r="R529" s="61"/>
      <c r="S529" s="61"/>
    </row>
    <row r="530" spans="2:19" s="62" customFormat="1" ht="25.5" customHeight="1" outlineLevel="1" x14ac:dyDescent="0.25">
      <c r="B530" s="53"/>
      <c r="C530" s="54">
        <v>516</v>
      </c>
      <c r="D530" s="54" t="s">
        <v>174</v>
      </c>
      <c r="E530" s="55" t="s">
        <v>1258</v>
      </c>
      <c r="F530" s="53" t="s">
        <v>175</v>
      </c>
      <c r="G530" s="63">
        <v>1</v>
      </c>
      <c r="H530" s="57" t="s">
        <v>152</v>
      </c>
      <c r="I530" s="54" t="s">
        <v>176</v>
      </c>
      <c r="J530" s="54" t="s">
        <v>177</v>
      </c>
      <c r="K530" s="54" t="s">
        <v>178</v>
      </c>
      <c r="L530" s="54" t="s">
        <v>179</v>
      </c>
      <c r="M530" s="54" t="s">
        <v>180</v>
      </c>
      <c r="N530" s="54" t="s">
        <v>181</v>
      </c>
      <c r="O530" s="74">
        <v>46125</v>
      </c>
      <c r="P530" s="57"/>
      <c r="Q530" s="57"/>
      <c r="R530" s="61"/>
      <c r="S530" s="61"/>
    </row>
    <row r="531" spans="2:19" s="62" customFormat="1" ht="25.5" customHeight="1" outlineLevel="1" x14ac:dyDescent="0.25">
      <c r="B531" s="53"/>
      <c r="C531" s="54">
        <v>517</v>
      </c>
      <c r="D531" s="54" t="s">
        <v>667</v>
      </c>
      <c r="E531" s="55" t="s">
        <v>1258</v>
      </c>
      <c r="F531" s="53" t="s">
        <v>668</v>
      </c>
      <c r="G531" s="63">
        <v>2</v>
      </c>
      <c r="H531" s="57" t="s">
        <v>61</v>
      </c>
      <c r="I531" s="54" t="s">
        <v>669</v>
      </c>
      <c r="J531" s="54" t="s">
        <v>670</v>
      </c>
      <c r="K531" s="68" t="s">
        <v>671</v>
      </c>
      <c r="L531" s="54" t="s">
        <v>672</v>
      </c>
      <c r="M531" s="54" t="s">
        <v>672</v>
      </c>
      <c r="N531" s="54" t="s">
        <v>673</v>
      </c>
      <c r="O531" s="74">
        <v>46125</v>
      </c>
      <c r="P531" s="57"/>
      <c r="Q531" s="57"/>
      <c r="R531" s="61"/>
      <c r="S531" s="61"/>
    </row>
    <row r="532" spans="2:19" s="62" customFormat="1" ht="25.5" customHeight="1" outlineLevel="1" x14ac:dyDescent="0.25">
      <c r="B532" s="53"/>
      <c r="C532" s="54">
        <v>518</v>
      </c>
      <c r="D532" s="54" t="s">
        <v>182</v>
      </c>
      <c r="E532" s="55" t="s">
        <v>1258</v>
      </c>
      <c r="F532" s="53" t="s">
        <v>183</v>
      </c>
      <c r="G532" s="63">
        <v>1</v>
      </c>
      <c r="H532" s="57" t="s">
        <v>111</v>
      </c>
      <c r="I532" s="54" t="s">
        <v>184</v>
      </c>
      <c r="J532" s="54" t="s">
        <v>185</v>
      </c>
      <c r="K532" s="54" t="s">
        <v>186</v>
      </c>
      <c r="L532" s="54" t="s">
        <v>187</v>
      </c>
      <c r="M532" s="54" t="s">
        <v>188</v>
      </c>
      <c r="N532" s="54" t="s">
        <v>189</v>
      </c>
      <c r="O532" s="74">
        <v>46125</v>
      </c>
      <c r="P532" s="57"/>
      <c r="Q532" s="57"/>
      <c r="R532" s="61"/>
      <c r="S532" s="61"/>
    </row>
    <row r="533" spans="2:19" s="62" customFormat="1" ht="25.5" customHeight="1" outlineLevel="1" x14ac:dyDescent="0.25">
      <c r="B533" s="53"/>
      <c r="C533" s="54">
        <v>519</v>
      </c>
      <c r="D533" s="54" t="s">
        <v>190</v>
      </c>
      <c r="E533" s="55" t="s">
        <v>1258</v>
      </c>
      <c r="F533" s="53" t="s">
        <v>191</v>
      </c>
      <c r="G533" s="63">
        <v>1</v>
      </c>
      <c r="H533" s="57" t="s">
        <v>24</v>
      </c>
      <c r="I533" s="54" t="s">
        <v>1271</v>
      </c>
      <c r="J533" s="54" t="s">
        <v>1272</v>
      </c>
      <c r="K533" s="54" t="s">
        <v>1273</v>
      </c>
      <c r="L533" s="54" t="s">
        <v>195</v>
      </c>
      <c r="M533" s="54" t="s">
        <v>1274</v>
      </c>
      <c r="N533" s="54" t="s">
        <v>197</v>
      </c>
      <c r="O533" s="74">
        <v>46125</v>
      </c>
      <c r="P533" s="57"/>
      <c r="Q533" s="57"/>
      <c r="R533" s="61"/>
      <c r="S533" s="61"/>
    </row>
    <row r="534" spans="2:19" s="62" customFormat="1" ht="25.5" customHeight="1" outlineLevel="1" x14ac:dyDescent="0.25">
      <c r="B534" s="53"/>
      <c r="C534" s="54">
        <v>520</v>
      </c>
      <c r="D534" s="54" t="s">
        <v>198</v>
      </c>
      <c r="E534" s="55" t="s">
        <v>1258</v>
      </c>
      <c r="F534" s="53" t="s">
        <v>199</v>
      </c>
      <c r="G534" s="63">
        <v>1</v>
      </c>
      <c r="H534" s="57" t="s">
        <v>200</v>
      </c>
      <c r="I534" s="54" t="s">
        <v>201</v>
      </c>
      <c r="J534" s="54" t="s">
        <v>202</v>
      </c>
      <c r="K534" s="54" t="s">
        <v>203</v>
      </c>
      <c r="L534" s="54" t="s">
        <v>204</v>
      </c>
      <c r="M534" s="54" t="s">
        <v>205</v>
      </c>
      <c r="N534" s="54" t="s">
        <v>206</v>
      </c>
      <c r="O534" s="74">
        <v>46125</v>
      </c>
      <c r="P534" s="57"/>
      <c r="Q534" s="57"/>
      <c r="R534" s="61"/>
      <c r="S534" s="61"/>
    </row>
    <row r="535" spans="2:19" s="62" customFormat="1" ht="25.5" customHeight="1" outlineLevel="1" x14ac:dyDescent="0.25">
      <c r="B535" s="53"/>
      <c r="C535" s="54">
        <v>521</v>
      </c>
      <c r="D535" s="54" t="s">
        <v>215</v>
      </c>
      <c r="E535" s="55" t="s">
        <v>1258</v>
      </c>
      <c r="F535" s="53" t="s">
        <v>216</v>
      </c>
      <c r="G535" s="63">
        <v>1</v>
      </c>
      <c r="H535" s="57" t="s">
        <v>24</v>
      </c>
      <c r="I535" s="54" t="s">
        <v>217</v>
      </c>
      <c r="J535" s="54" t="s">
        <v>218</v>
      </c>
      <c r="K535" s="54" t="s">
        <v>219</v>
      </c>
      <c r="L535" s="54" t="s">
        <v>220</v>
      </c>
      <c r="M535" s="54" t="s">
        <v>221</v>
      </c>
      <c r="N535" s="54" t="s">
        <v>222</v>
      </c>
      <c r="O535" s="74">
        <v>46125</v>
      </c>
      <c r="P535" s="57"/>
      <c r="Q535" s="57"/>
      <c r="R535" s="61"/>
      <c r="S535" s="61"/>
    </row>
    <row r="536" spans="2:19" s="62" customFormat="1" ht="25.5" customHeight="1" outlineLevel="1" x14ac:dyDescent="0.25">
      <c r="B536" s="53"/>
      <c r="C536" s="54">
        <v>522</v>
      </c>
      <c r="D536" s="54" t="s">
        <v>223</v>
      </c>
      <c r="E536" s="55" t="s">
        <v>1258</v>
      </c>
      <c r="F536" s="53" t="s">
        <v>224</v>
      </c>
      <c r="G536" s="63">
        <v>1</v>
      </c>
      <c r="H536" s="57" t="s">
        <v>61</v>
      </c>
      <c r="I536" s="54" t="s">
        <v>225</v>
      </c>
      <c r="J536" s="54" t="s">
        <v>226</v>
      </c>
      <c r="K536" s="54" t="s">
        <v>227</v>
      </c>
      <c r="L536" s="54" t="s">
        <v>228</v>
      </c>
      <c r="M536" s="54" t="s">
        <v>229</v>
      </c>
      <c r="N536" s="54" t="s">
        <v>230</v>
      </c>
      <c r="O536" s="74">
        <v>46125</v>
      </c>
      <c r="P536" s="57"/>
      <c r="Q536" s="57"/>
      <c r="R536" s="61"/>
      <c r="S536" s="61"/>
    </row>
    <row r="537" spans="2:19" s="62" customFormat="1" ht="30" customHeight="1" outlineLevel="1" x14ac:dyDescent="0.25">
      <c r="B537" s="53"/>
      <c r="C537" s="54">
        <v>523</v>
      </c>
      <c r="D537" s="54" t="s">
        <v>231</v>
      </c>
      <c r="E537" s="55" t="s">
        <v>1258</v>
      </c>
      <c r="F537" s="53" t="s">
        <v>232</v>
      </c>
      <c r="G537" s="63">
        <v>2</v>
      </c>
      <c r="H537" s="57" t="s">
        <v>61</v>
      </c>
      <c r="I537" s="54" t="s">
        <v>233</v>
      </c>
      <c r="J537" s="54" t="s">
        <v>234</v>
      </c>
      <c r="K537" s="54" t="s">
        <v>235</v>
      </c>
      <c r="L537" s="54" t="s">
        <v>236</v>
      </c>
      <c r="M537" s="54" t="s">
        <v>891</v>
      </c>
      <c r="N537" s="54" t="s">
        <v>238</v>
      </c>
      <c r="O537" s="74">
        <v>46125</v>
      </c>
      <c r="P537" s="57"/>
      <c r="Q537" s="57"/>
      <c r="R537" s="61"/>
      <c r="S537" s="61"/>
    </row>
    <row r="538" spans="2:19" s="62" customFormat="1" ht="30" customHeight="1" outlineLevel="1" x14ac:dyDescent="0.25">
      <c r="B538" s="53"/>
      <c r="C538" s="54">
        <v>524</v>
      </c>
      <c r="D538" s="54" t="s">
        <v>247</v>
      </c>
      <c r="E538" s="55" t="s">
        <v>1258</v>
      </c>
      <c r="F538" s="53" t="s">
        <v>248</v>
      </c>
      <c r="G538" s="63">
        <v>1</v>
      </c>
      <c r="H538" s="57" t="s">
        <v>61</v>
      </c>
      <c r="I538" s="54" t="s">
        <v>528</v>
      </c>
      <c r="J538" s="54" t="s">
        <v>1068</v>
      </c>
      <c r="K538" s="68" t="s">
        <v>530</v>
      </c>
      <c r="L538" s="54" t="s">
        <v>252</v>
      </c>
      <c r="M538" s="54" t="s">
        <v>531</v>
      </c>
      <c r="N538" s="54" t="s">
        <v>254</v>
      </c>
      <c r="O538" s="74">
        <v>46125</v>
      </c>
      <c r="P538" s="57"/>
      <c r="Q538" s="57"/>
      <c r="R538" s="61"/>
      <c r="S538" s="61"/>
    </row>
    <row r="539" spans="2:19" s="62" customFormat="1" ht="25.5" customHeight="1" outlineLevel="1" x14ac:dyDescent="0.25">
      <c r="B539" s="53"/>
      <c r="C539" s="54">
        <v>525</v>
      </c>
      <c r="D539" s="54" t="s">
        <v>263</v>
      </c>
      <c r="E539" s="55" t="s">
        <v>1258</v>
      </c>
      <c r="F539" s="53" t="s">
        <v>264</v>
      </c>
      <c r="G539" s="63">
        <v>1</v>
      </c>
      <c r="H539" s="57" t="s">
        <v>61</v>
      </c>
      <c r="I539" s="54" t="s">
        <v>265</v>
      </c>
      <c r="J539" s="54" t="s">
        <v>266</v>
      </c>
      <c r="K539" s="54" t="s">
        <v>267</v>
      </c>
      <c r="L539" s="54" t="s">
        <v>252</v>
      </c>
      <c r="M539" s="54" t="s">
        <v>268</v>
      </c>
      <c r="N539" s="54" t="s">
        <v>269</v>
      </c>
      <c r="O539" s="74">
        <v>46125</v>
      </c>
      <c r="P539" s="57"/>
      <c r="Q539" s="57"/>
      <c r="R539" s="61"/>
      <c r="S539" s="61"/>
    </row>
    <row r="540" spans="2:19" s="62" customFormat="1" ht="25.5" customHeight="1" outlineLevel="1" x14ac:dyDescent="0.25">
      <c r="B540" s="53"/>
      <c r="C540" s="54">
        <v>526</v>
      </c>
      <c r="D540" s="54" t="s">
        <v>270</v>
      </c>
      <c r="E540" s="55" t="s">
        <v>1258</v>
      </c>
      <c r="F540" s="53" t="s">
        <v>271</v>
      </c>
      <c r="G540" s="63">
        <v>1</v>
      </c>
      <c r="H540" s="57" t="s">
        <v>61</v>
      </c>
      <c r="I540" s="54" t="s">
        <v>272</v>
      </c>
      <c r="J540" s="54" t="s">
        <v>273</v>
      </c>
      <c r="K540" s="54" t="s">
        <v>274</v>
      </c>
      <c r="L540" s="54" t="s">
        <v>792</v>
      </c>
      <c r="M540" s="54" t="s">
        <v>792</v>
      </c>
      <c r="N540" s="54" t="s">
        <v>277</v>
      </c>
      <c r="O540" s="74">
        <v>46125</v>
      </c>
      <c r="P540" s="57"/>
      <c r="Q540" s="57"/>
      <c r="R540" s="61"/>
      <c r="S540" s="61"/>
    </row>
    <row r="541" spans="2:19" s="62" customFormat="1" ht="25.5" customHeight="1" outlineLevel="1" x14ac:dyDescent="0.25">
      <c r="B541" s="53"/>
      <c r="C541" s="54">
        <v>527</v>
      </c>
      <c r="D541" s="54" t="s">
        <v>294</v>
      </c>
      <c r="E541" s="55" t="s">
        <v>1258</v>
      </c>
      <c r="F541" s="53" t="s">
        <v>295</v>
      </c>
      <c r="G541" s="63">
        <v>2</v>
      </c>
      <c r="H541" s="57" t="s">
        <v>61</v>
      </c>
      <c r="I541" s="54" t="s">
        <v>908</v>
      </c>
      <c r="J541" s="54" t="s">
        <v>909</v>
      </c>
      <c r="K541" s="54" t="s">
        <v>910</v>
      </c>
      <c r="L541" s="54" t="s">
        <v>299</v>
      </c>
      <c r="M541" s="54" t="s">
        <v>300</v>
      </c>
      <c r="N541" s="54" t="s">
        <v>301</v>
      </c>
      <c r="O541" s="74">
        <v>46125</v>
      </c>
      <c r="P541" s="57"/>
      <c r="Q541" s="57"/>
      <c r="R541" s="61"/>
      <c r="S541" s="61"/>
    </row>
    <row r="542" spans="2:19" s="62" customFormat="1" ht="25.5" customHeight="1" outlineLevel="1" x14ac:dyDescent="0.25">
      <c r="B542" s="53"/>
      <c r="C542" s="54">
        <v>528</v>
      </c>
      <c r="D542" s="54" t="s">
        <v>310</v>
      </c>
      <c r="E542" s="55" t="s">
        <v>1258</v>
      </c>
      <c r="F542" s="53" t="s">
        <v>311</v>
      </c>
      <c r="G542" s="63">
        <v>1</v>
      </c>
      <c r="H542" s="57" t="s">
        <v>152</v>
      </c>
      <c r="I542" s="54" t="s">
        <v>312</v>
      </c>
      <c r="J542" s="54" t="s">
        <v>313</v>
      </c>
      <c r="K542" s="54" t="s">
        <v>314</v>
      </c>
      <c r="L542" s="54" t="s">
        <v>315</v>
      </c>
      <c r="M542" s="54" t="s">
        <v>316</v>
      </c>
      <c r="N542" s="54" t="s">
        <v>317</v>
      </c>
      <c r="O542" s="74">
        <v>46125</v>
      </c>
      <c r="P542" s="57"/>
      <c r="Q542" s="57"/>
      <c r="R542" s="61"/>
      <c r="S542" s="61"/>
    </row>
    <row r="543" spans="2:19" s="62" customFormat="1" ht="25.5" customHeight="1" outlineLevel="1" x14ac:dyDescent="0.25">
      <c r="B543" s="53"/>
      <c r="C543" s="54">
        <v>529</v>
      </c>
      <c r="D543" s="54" t="s">
        <v>326</v>
      </c>
      <c r="E543" s="55" t="s">
        <v>1258</v>
      </c>
      <c r="F543" s="53" t="s">
        <v>327</v>
      </c>
      <c r="G543" s="63">
        <v>1</v>
      </c>
      <c r="H543" s="57" t="s">
        <v>152</v>
      </c>
      <c r="I543" s="54" t="s">
        <v>328</v>
      </c>
      <c r="J543" s="54" t="s">
        <v>329</v>
      </c>
      <c r="K543" s="54" t="s">
        <v>330</v>
      </c>
      <c r="L543" s="54" t="s">
        <v>331</v>
      </c>
      <c r="M543" s="54" t="s">
        <v>332</v>
      </c>
      <c r="N543" s="54" t="s">
        <v>333</v>
      </c>
      <c r="O543" s="74">
        <v>46125</v>
      </c>
      <c r="P543" s="57"/>
      <c r="Q543" s="57"/>
      <c r="R543" s="61"/>
      <c r="S543" s="61"/>
    </row>
    <row r="544" spans="2:19" s="62" customFormat="1" ht="25.5" customHeight="1" outlineLevel="1" x14ac:dyDescent="0.25">
      <c r="B544" s="53"/>
      <c r="C544" s="54">
        <v>530</v>
      </c>
      <c r="D544" s="54" t="s">
        <v>334</v>
      </c>
      <c r="E544" s="55" t="s">
        <v>1258</v>
      </c>
      <c r="F544" s="53" t="s">
        <v>335</v>
      </c>
      <c r="G544" s="63">
        <v>2</v>
      </c>
      <c r="H544" s="57" t="s">
        <v>61</v>
      </c>
      <c r="I544" s="54" t="s">
        <v>336</v>
      </c>
      <c r="J544" s="54" t="s">
        <v>337</v>
      </c>
      <c r="K544" s="54" t="s">
        <v>338</v>
      </c>
      <c r="L544" s="54" t="s">
        <v>339</v>
      </c>
      <c r="M544" s="54" t="s">
        <v>543</v>
      </c>
      <c r="N544" s="54" t="s">
        <v>341</v>
      </c>
      <c r="O544" s="74">
        <v>46125</v>
      </c>
      <c r="P544" s="57"/>
      <c r="Q544" s="57"/>
      <c r="R544" s="61"/>
      <c r="S544" s="61"/>
    </row>
    <row r="545" spans="2:19" s="62" customFormat="1" ht="25.5" customHeight="1" outlineLevel="1" x14ac:dyDescent="0.25">
      <c r="B545" s="53"/>
      <c r="C545" s="54">
        <v>531</v>
      </c>
      <c r="D545" s="54" t="s">
        <v>350</v>
      </c>
      <c r="E545" s="55" t="s">
        <v>1258</v>
      </c>
      <c r="F545" s="53" t="s">
        <v>351</v>
      </c>
      <c r="G545" s="63">
        <v>1</v>
      </c>
      <c r="H545" s="57" t="s">
        <v>152</v>
      </c>
      <c r="I545" s="54" t="s">
        <v>352</v>
      </c>
      <c r="J545" s="54" t="s">
        <v>353</v>
      </c>
      <c r="K545" s="54" t="s">
        <v>354</v>
      </c>
      <c r="L545" s="54" t="s">
        <v>355</v>
      </c>
      <c r="M545" s="54" t="s">
        <v>355</v>
      </c>
      <c r="N545" s="54" t="s">
        <v>356</v>
      </c>
      <c r="O545" s="74">
        <v>46125</v>
      </c>
      <c r="P545" s="57"/>
      <c r="Q545" s="57"/>
      <c r="R545" s="61"/>
      <c r="S545" s="61"/>
    </row>
    <row r="546" spans="2:19" s="62" customFormat="1" ht="25.5" customHeight="1" outlineLevel="1" x14ac:dyDescent="0.25">
      <c r="B546" s="53"/>
      <c r="C546" s="54">
        <v>532</v>
      </c>
      <c r="D546" s="54" t="s">
        <v>802</v>
      </c>
      <c r="E546" s="55" t="s">
        <v>1258</v>
      </c>
      <c r="F546" s="53" t="s">
        <v>803</v>
      </c>
      <c r="G546" s="63">
        <v>2</v>
      </c>
      <c r="H546" s="57" t="s">
        <v>804</v>
      </c>
      <c r="I546" s="54" t="s">
        <v>805</v>
      </c>
      <c r="J546" s="54" t="s">
        <v>806</v>
      </c>
      <c r="K546" s="54" t="s">
        <v>807</v>
      </c>
      <c r="L546" s="54" t="s">
        <v>808</v>
      </c>
      <c r="M546" s="54" t="s">
        <v>809</v>
      </c>
      <c r="N546" s="54" t="s">
        <v>810</v>
      </c>
      <c r="O546" s="74">
        <v>46125</v>
      </c>
      <c r="P546" s="57"/>
      <c r="Q546" s="57"/>
      <c r="R546" s="61"/>
      <c r="S546" s="61"/>
    </row>
    <row r="547" spans="2:19" s="62" customFormat="1" ht="25.5" customHeight="1" outlineLevel="1" x14ac:dyDescent="0.25">
      <c r="B547" s="53"/>
      <c r="C547" s="54">
        <v>533</v>
      </c>
      <c r="D547" s="54" t="s">
        <v>366</v>
      </c>
      <c r="E547" s="55" t="s">
        <v>1258</v>
      </c>
      <c r="F547" s="53" t="s">
        <v>367</v>
      </c>
      <c r="G547" s="63">
        <v>2</v>
      </c>
      <c r="H547" s="57" t="s">
        <v>368</v>
      </c>
      <c r="I547" s="54" t="s">
        <v>369</v>
      </c>
      <c r="J547" s="54" t="s">
        <v>370</v>
      </c>
      <c r="K547" s="54" t="s">
        <v>371</v>
      </c>
      <c r="L547" s="54" t="s">
        <v>372</v>
      </c>
      <c r="M547" s="54" t="s">
        <v>373</v>
      </c>
      <c r="N547" s="54" t="s">
        <v>374</v>
      </c>
      <c r="O547" s="74">
        <v>46125</v>
      </c>
      <c r="P547" s="57"/>
      <c r="Q547" s="57"/>
      <c r="R547" s="61"/>
      <c r="S547" s="61"/>
    </row>
    <row r="548" spans="2:19" s="62" customFormat="1" ht="25.5" customHeight="1" outlineLevel="1" x14ac:dyDescent="0.25">
      <c r="B548" s="53"/>
      <c r="C548" s="54">
        <v>534</v>
      </c>
      <c r="D548" s="54" t="s">
        <v>604</v>
      </c>
      <c r="E548" s="55" t="s">
        <v>1258</v>
      </c>
      <c r="F548" s="53" t="s">
        <v>605</v>
      </c>
      <c r="G548" s="63">
        <v>1</v>
      </c>
      <c r="H548" s="57" t="s">
        <v>61</v>
      </c>
      <c r="I548" s="54" t="s">
        <v>606</v>
      </c>
      <c r="J548" s="54" t="s">
        <v>607</v>
      </c>
      <c r="K548" s="54" t="s">
        <v>608</v>
      </c>
      <c r="L548" s="54" t="s">
        <v>252</v>
      </c>
      <c r="M548" s="54" t="s">
        <v>609</v>
      </c>
      <c r="N548" s="54" t="s">
        <v>610</v>
      </c>
      <c r="O548" s="74">
        <v>46125</v>
      </c>
      <c r="P548" s="57"/>
      <c r="Q548" s="57"/>
      <c r="R548" s="61"/>
      <c r="S548" s="61"/>
    </row>
    <row r="549" spans="2:19" s="62" customFormat="1" outlineLevel="1" x14ac:dyDescent="0.25">
      <c r="B549" s="53"/>
      <c r="C549" s="54">
        <v>535</v>
      </c>
      <c r="D549" s="54" t="s">
        <v>375</v>
      </c>
      <c r="E549" s="53" t="s">
        <v>1258</v>
      </c>
      <c r="F549" s="53" t="s">
        <v>376</v>
      </c>
      <c r="G549" s="63">
        <v>1</v>
      </c>
      <c r="H549" s="57" t="s">
        <v>111</v>
      </c>
      <c r="I549" s="54" t="s">
        <v>377</v>
      </c>
      <c r="J549" s="54" t="s">
        <v>378</v>
      </c>
      <c r="K549" s="54" t="s">
        <v>379</v>
      </c>
      <c r="L549" s="54" t="s">
        <v>380</v>
      </c>
      <c r="M549" s="54" t="s">
        <v>381</v>
      </c>
      <c r="N549" s="54" t="s">
        <v>382</v>
      </c>
      <c r="O549" s="74">
        <v>46125</v>
      </c>
      <c r="P549" s="57"/>
      <c r="Q549" s="57"/>
      <c r="R549" s="61"/>
      <c r="S549" s="61"/>
    </row>
    <row r="550" spans="2:19" s="62" customFormat="1" ht="25.5" customHeight="1" outlineLevel="1" x14ac:dyDescent="0.25">
      <c r="B550" s="53"/>
      <c r="C550" s="54">
        <v>536</v>
      </c>
      <c r="D550" s="54" t="s">
        <v>383</v>
      </c>
      <c r="E550" s="55" t="s">
        <v>1258</v>
      </c>
      <c r="F550" s="53" t="s">
        <v>384</v>
      </c>
      <c r="G550" s="63">
        <v>3</v>
      </c>
      <c r="H550" s="57" t="s">
        <v>61</v>
      </c>
      <c r="I550" s="54" t="s">
        <v>385</v>
      </c>
      <c r="J550" s="54" t="s">
        <v>386</v>
      </c>
      <c r="K550" s="54" t="s">
        <v>387</v>
      </c>
      <c r="L550" s="54" t="s">
        <v>388</v>
      </c>
      <c r="M550" s="54" t="s">
        <v>389</v>
      </c>
      <c r="N550" s="54" t="s">
        <v>390</v>
      </c>
      <c r="O550" s="74">
        <v>46125</v>
      </c>
      <c r="P550" s="57"/>
      <c r="Q550" s="57"/>
      <c r="R550" s="61"/>
      <c r="S550" s="61"/>
    </row>
    <row r="551" spans="2:19" s="62" customFormat="1" ht="25.5" customHeight="1" outlineLevel="1" x14ac:dyDescent="0.25">
      <c r="B551" s="53"/>
      <c r="C551" s="54">
        <v>537</v>
      </c>
      <c r="D551" s="54" t="s">
        <v>399</v>
      </c>
      <c r="E551" s="55" t="s">
        <v>1258</v>
      </c>
      <c r="F551" s="53" t="s">
        <v>400</v>
      </c>
      <c r="G551" s="63">
        <v>1</v>
      </c>
      <c r="H551" s="57" t="s">
        <v>152</v>
      </c>
      <c r="I551" s="54" t="s">
        <v>401</v>
      </c>
      <c r="J551" s="54" t="s">
        <v>402</v>
      </c>
      <c r="K551" s="54" t="s">
        <v>403</v>
      </c>
      <c r="L551" s="54" t="s">
        <v>404</v>
      </c>
      <c r="M551" s="54" t="s">
        <v>791</v>
      </c>
      <c r="N551" s="54" t="s">
        <v>406</v>
      </c>
      <c r="O551" s="74">
        <v>46125</v>
      </c>
      <c r="P551" s="57"/>
      <c r="Q551" s="57"/>
      <c r="R551" s="61"/>
      <c r="S551" s="61"/>
    </row>
    <row r="552" spans="2:19" s="62" customFormat="1" ht="25.5" customHeight="1" outlineLevel="1" x14ac:dyDescent="0.25">
      <c r="B552" s="53"/>
      <c r="C552" s="54">
        <v>538</v>
      </c>
      <c r="D552" s="54" t="s">
        <v>431</v>
      </c>
      <c r="E552" s="55" t="s">
        <v>1258</v>
      </c>
      <c r="F552" s="53" t="s">
        <v>432</v>
      </c>
      <c r="G552" s="63">
        <v>1</v>
      </c>
      <c r="H552" s="57" t="s">
        <v>152</v>
      </c>
      <c r="I552" s="54" t="s">
        <v>433</v>
      </c>
      <c r="J552" s="54" t="s">
        <v>434</v>
      </c>
      <c r="K552" s="54" t="s">
        <v>435</v>
      </c>
      <c r="L552" s="54" t="s">
        <v>436</v>
      </c>
      <c r="M552" s="54" t="s">
        <v>437</v>
      </c>
      <c r="N552" s="54" t="s">
        <v>438</v>
      </c>
      <c r="O552" s="74">
        <v>46125</v>
      </c>
      <c r="P552" s="57"/>
      <c r="Q552" s="57"/>
      <c r="R552" s="61"/>
      <c r="S552" s="61"/>
    </row>
    <row r="553" spans="2:19" s="62" customFormat="1" ht="30" customHeight="1" outlineLevel="1" x14ac:dyDescent="0.25">
      <c r="B553" s="53"/>
      <c r="C553" s="54">
        <v>539</v>
      </c>
      <c r="D553" s="54" t="s">
        <v>439</v>
      </c>
      <c r="E553" s="55" t="s">
        <v>1258</v>
      </c>
      <c r="F553" s="53" t="s">
        <v>440</v>
      </c>
      <c r="G553" s="63">
        <v>1</v>
      </c>
      <c r="H553" s="57" t="s">
        <v>152</v>
      </c>
      <c r="I553" s="54" t="s">
        <v>441</v>
      </c>
      <c r="J553" s="54" t="s">
        <v>442</v>
      </c>
      <c r="K553" s="54" t="s">
        <v>443</v>
      </c>
      <c r="L553" s="54" t="s">
        <v>444</v>
      </c>
      <c r="M553" s="54" t="s">
        <v>570</v>
      </c>
      <c r="N553" s="54" t="s">
        <v>446</v>
      </c>
      <c r="O553" s="74">
        <v>46125</v>
      </c>
      <c r="P553" s="57"/>
      <c r="Q553" s="57"/>
      <c r="R553" s="61"/>
      <c r="S553" s="61"/>
    </row>
    <row r="554" spans="2:19" s="62" customFormat="1" ht="25.5" customHeight="1" outlineLevel="1" x14ac:dyDescent="0.25">
      <c r="B554" s="53"/>
      <c r="C554" s="54">
        <v>540</v>
      </c>
      <c r="D554" s="54" t="s">
        <v>571</v>
      </c>
      <c r="E554" s="55" t="s">
        <v>1258</v>
      </c>
      <c r="F554" s="53" t="s">
        <v>572</v>
      </c>
      <c r="G554" s="63">
        <v>2</v>
      </c>
      <c r="H554" s="57" t="s">
        <v>573</v>
      </c>
      <c r="I554" s="54" t="s">
        <v>574</v>
      </c>
      <c r="J554" s="54" t="s">
        <v>575</v>
      </c>
      <c r="K554" s="54" t="s">
        <v>576</v>
      </c>
      <c r="L554" s="54" t="s">
        <v>577</v>
      </c>
      <c r="M554" s="54" t="s">
        <v>578</v>
      </c>
      <c r="N554" s="54" t="s">
        <v>579</v>
      </c>
      <c r="O554" s="74">
        <v>46125</v>
      </c>
      <c r="P554" s="57"/>
      <c r="Q554" s="57"/>
      <c r="R554" s="61"/>
      <c r="S554" s="61"/>
    </row>
    <row r="555" spans="2:19" s="62" customFormat="1" ht="25.5" customHeight="1" outlineLevel="1" x14ac:dyDescent="0.25">
      <c r="B555" s="53"/>
      <c r="C555" s="54">
        <v>541</v>
      </c>
      <c r="D555" s="54" t="s">
        <v>588</v>
      </c>
      <c r="E555" s="55" t="s">
        <v>1258</v>
      </c>
      <c r="F555" s="53" t="s">
        <v>589</v>
      </c>
      <c r="G555" s="63">
        <v>1</v>
      </c>
      <c r="H555" s="57" t="s">
        <v>24</v>
      </c>
      <c r="I555" s="54" t="s">
        <v>590</v>
      </c>
      <c r="J555" s="54" t="s">
        <v>591</v>
      </c>
      <c r="K555" s="54" t="s">
        <v>592</v>
      </c>
      <c r="L555" s="54" t="s">
        <v>593</v>
      </c>
      <c r="M555" s="54" t="s">
        <v>594</v>
      </c>
      <c r="N555" s="54" t="s">
        <v>595</v>
      </c>
      <c r="O555" s="74">
        <v>46125</v>
      </c>
      <c r="P555" s="57"/>
      <c r="Q555" s="57"/>
      <c r="R555" s="61"/>
      <c r="S555" s="61"/>
    </row>
    <row r="556" spans="2:19" s="62" customFormat="1" ht="30" customHeight="1" outlineLevel="1" x14ac:dyDescent="0.25">
      <c r="B556" s="53"/>
      <c r="C556" s="54">
        <v>542</v>
      </c>
      <c r="D556" s="54" t="s">
        <v>478</v>
      </c>
      <c r="E556" s="55" t="s">
        <v>1258</v>
      </c>
      <c r="F556" s="53" t="s">
        <v>479</v>
      </c>
      <c r="G556" s="63">
        <v>1</v>
      </c>
      <c r="H556" s="57" t="s">
        <v>111</v>
      </c>
      <c r="I556" s="54" t="s">
        <v>480</v>
      </c>
      <c r="J556" s="54" t="s">
        <v>481</v>
      </c>
      <c r="K556" s="54" t="s">
        <v>482</v>
      </c>
      <c r="L556" s="54" t="s">
        <v>483</v>
      </c>
      <c r="M556" s="54" t="s">
        <v>634</v>
      </c>
      <c r="N556" s="54" t="s">
        <v>485</v>
      </c>
      <c r="O556" s="74">
        <v>46125</v>
      </c>
      <c r="P556" s="57"/>
      <c r="Q556" s="57"/>
      <c r="R556" s="61"/>
      <c r="S556" s="61"/>
    </row>
    <row r="557" spans="2:19" s="62" customFormat="1" ht="25.5" customHeight="1" outlineLevel="1" x14ac:dyDescent="0.25">
      <c r="B557" s="53"/>
      <c r="C557" s="54">
        <v>543</v>
      </c>
      <c r="D557" s="54" t="s">
        <v>494</v>
      </c>
      <c r="E557" s="55" t="s">
        <v>1258</v>
      </c>
      <c r="F557" s="53" t="s">
        <v>495</v>
      </c>
      <c r="G557" s="63">
        <v>1</v>
      </c>
      <c r="H557" s="57" t="s">
        <v>61</v>
      </c>
      <c r="I557" s="54" t="s">
        <v>496</v>
      </c>
      <c r="J557" s="54" t="s">
        <v>497</v>
      </c>
      <c r="K557" s="54" t="s">
        <v>498</v>
      </c>
      <c r="L557" s="54" t="s">
        <v>499</v>
      </c>
      <c r="M557" s="54" t="s">
        <v>500</v>
      </c>
      <c r="N557" s="54" t="s">
        <v>501</v>
      </c>
      <c r="O557" s="74">
        <v>46125</v>
      </c>
      <c r="P557" s="57"/>
      <c r="Q557" s="57"/>
      <c r="R557" s="61"/>
      <c r="S557" s="61"/>
    </row>
    <row r="558" spans="2:19" s="62" customFormat="1" ht="25.5" customHeight="1" outlineLevel="1" x14ac:dyDescent="0.25">
      <c r="B558" s="53"/>
      <c r="C558" s="54">
        <v>544</v>
      </c>
      <c r="D558" s="54" t="s">
        <v>502</v>
      </c>
      <c r="E558" s="55" t="s">
        <v>1258</v>
      </c>
      <c r="F558" s="53" t="s">
        <v>503</v>
      </c>
      <c r="G558" s="63">
        <v>1</v>
      </c>
      <c r="H558" s="57" t="s">
        <v>61</v>
      </c>
      <c r="I558" s="54" t="s">
        <v>504</v>
      </c>
      <c r="J558" s="54" t="s">
        <v>505</v>
      </c>
      <c r="K558" s="54" t="s">
        <v>506</v>
      </c>
      <c r="L558" s="54" t="s">
        <v>283</v>
      </c>
      <c r="M558" s="54" t="s">
        <v>284</v>
      </c>
      <c r="N558" s="54" t="s">
        <v>507</v>
      </c>
      <c r="O558" s="74">
        <v>46125</v>
      </c>
      <c r="P558" s="57"/>
      <c r="Q558" s="57"/>
      <c r="R558" s="61"/>
      <c r="S558" s="61"/>
    </row>
    <row r="559" spans="2:19" s="62" customFormat="1" ht="25.5" customHeight="1" outlineLevel="1" x14ac:dyDescent="0.25">
      <c r="B559" s="53"/>
      <c r="C559" s="54">
        <v>545</v>
      </c>
      <c r="D559" s="54" t="s">
        <v>508</v>
      </c>
      <c r="E559" s="55" t="s">
        <v>1258</v>
      </c>
      <c r="F559" s="53" t="s">
        <v>509</v>
      </c>
      <c r="G559" s="63">
        <v>1</v>
      </c>
      <c r="H559" s="57" t="s">
        <v>61</v>
      </c>
      <c r="I559" s="54" t="s">
        <v>510</v>
      </c>
      <c r="J559" s="54" t="s">
        <v>511</v>
      </c>
      <c r="K559" s="54" t="s">
        <v>512</v>
      </c>
      <c r="L559" s="54" t="s">
        <v>513</v>
      </c>
      <c r="M559" s="54" t="s">
        <v>514</v>
      </c>
      <c r="N559" s="54" t="s">
        <v>515</v>
      </c>
      <c r="O559" s="74">
        <v>46125</v>
      </c>
      <c r="P559" s="57"/>
      <c r="Q559" s="57"/>
      <c r="R559" s="61"/>
      <c r="S559" s="61"/>
    </row>
    <row r="560" spans="2:19" s="33" customFormat="1" x14ac:dyDescent="0.25">
      <c r="B560" s="42"/>
      <c r="C560" s="42"/>
      <c r="D560" s="42"/>
      <c r="E560" s="28" t="s">
        <v>1224</v>
      </c>
      <c r="F560" s="28"/>
      <c r="G560" s="29">
        <f>SUM(G561:G595)</f>
        <v>54</v>
      </c>
      <c r="H560" s="34"/>
      <c r="I560" s="49"/>
      <c r="J560" s="50"/>
      <c r="K560" s="51"/>
      <c r="L560" s="42"/>
      <c r="M560" s="42"/>
      <c r="N560" s="36"/>
      <c r="O560" s="34"/>
      <c r="P560" s="35"/>
      <c r="Q560" s="35"/>
      <c r="R560" s="36"/>
      <c r="S560" s="32"/>
    </row>
    <row r="561" spans="2:19" s="62" customFormat="1" outlineLevel="1" x14ac:dyDescent="0.25">
      <c r="B561" s="53"/>
      <c r="C561" s="54">
        <v>546</v>
      </c>
      <c r="D561" s="54" t="s">
        <v>811</v>
      </c>
      <c r="E561" s="55" t="s">
        <v>1224</v>
      </c>
      <c r="F561" s="53" t="s">
        <v>812</v>
      </c>
      <c r="G561" s="63">
        <v>2</v>
      </c>
      <c r="H561" s="57" t="s">
        <v>813</v>
      </c>
      <c r="I561" s="54" t="s">
        <v>814</v>
      </c>
      <c r="J561" s="54" t="s">
        <v>815</v>
      </c>
      <c r="K561" s="54" t="s">
        <v>816</v>
      </c>
      <c r="L561" s="54" t="s">
        <v>817</v>
      </c>
      <c r="M561" s="54" t="s">
        <v>1148</v>
      </c>
      <c r="N561" s="54" t="s">
        <v>819</v>
      </c>
      <c r="O561" s="59">
        <v>46125</v>
      </c>
      <c r="P561" s="57"/>
      <c r="Q561" s="57"/>
      <c r="R561" s="61"/>
      <c r="S561" s="61"/>
    </row>
    <row r="562" spans="2:19" s="62" customFormat="1" outlineLevel="1" x14ac:dyDescent="0.25">
      <c r="B562" s="53"/>
      <c r="C562" s="54">
        <v>547</v>
      </c>
      <c r="D562" s="54" t="s">
        <v>43</v>
      </c>
      <c r="E562" s="55" t="s">
        <v>1224</v>
      </c>
      <c r="F562" s="53" t="s">
        <v>44</v>
      </c>
      <c r="G562" s="63">
        <v>2</v>
      </c>
      <c r="H562" s="57" t="s">
        <v>24</v>
      </c>
      <c r="I562" s="54" t="s">
        <v>45</v>
      </c>
      <c r="J562" s="54" t="s">
        <v>46</v>
      </c>
      <c r="K562" s="54" t="s">
        <v>47</v>
      </c>
      <c r="L562" s="54" t="s">
        <v>48</v>
      </c>
      <c r="M562" s="54" t="s">
        <v>49</v>
      </c>
      <c r="N562" s="54" t="s">
        <v>50</v>
      </c>
      <c r="O562" s="59">
        <v>46125</v>
      </c>
      <c r="P562" s="57"/>
      <c r="Q562" s="57"/>
      <c r="R562" s="61"/>
      <c r="S562" s="61"/>
    </row>
    <row r="563" spans="2:19" s="62" customFormat="1" outlineLevel="1" x14ac:dyDescent="0.25">
      <c r="B563" s="53"/>
      <c r="C563" s="54">
        <v>548</v>
      </c>
      <c r="D563" s="54" t="s">
        <v>51</v>
      </c>
      <c r="E563" s="55" t="s">
        <v>1224</v>
      </c>
      <c r="F563" s="53" t="s">
        <v>52</v>
      </c>
      <c r="G563" s="63">
        <v>6</v>
      </c>
      <c r="H563" s="57" t="s">
        <v>24</v>
      </c>
      <c r="I563" s="54" t="s">
        <v>53</v>
      </c>
      <c r="J563" s="54" t="s">
        <v>54</v>
      </c>
      <c r="K563" s="54" t="s">
        <v>55</v>
      </c>
      <c r="L563" s="54" t="s">
        <v>56</v>
      </c>
      <c r="M563" s="54" t="s">
        <v>57</v>
      </c>
      <c r="N563" s="54" t="s">
        <v>58</v>
      </c>
      <c r="O563" s="59">
        <v>46125</v>
      </c>
      <c r="P563" s="57"/>
      <c r="Q563" s="57"/>
      <c r="R563" s="61"/>
      <c r="S563" s="61"/>
    </row>
    <row r="564" spans="2:19" s="62" customFormat="1" outlineLevel="1" x14ac:dyDescent="0.25">
      <c r="B564" s="53"/>
      <c r="C564" s="54">
        <v>549</v>
      </c>
      <c r="D564" s="54" t="s">
        <v>782</v>
      </c>
      <c r="E564" s="55" t="s">
        <v>1224</v>
      </c>
      <c r="F564" s="53" t="s">
        <v>783</v>
      </c>
      <c r="G564" s="63">
        <v>1</v>
      </c>
      <c r="H564" s="57" t="s">
        <v>784</v>
      </c>
      <c r="I564" s="54" t="s">
        <v>785</v>
      </c>
      <c r="J564" s="54" t="s">
        <v>786</v>
      </c>
      <c r="K564" s="54" t="s">
        <v>787</v>
      </c>
      <c r="L564" s="54" t="s">
        <v>788</v>
      </c>
      <c r="M564" s="54" t="s">
        <v>789</v>
      </c>
      <c r="N564" s="54" t="s">
        <v>790</v>
      </c>
      <c r="O564" s="74">
        <v>46119</v>
      </c>
      <c r="P564" s="57"/>
      <c r="Q564" s="57"/>
      <c r="R564" s="61"/>
      <c r="S564" s="61"/>
    </row>
    <row r="565" spans="2:19" s="62" customFormat="1" outlineLevel="1" x14ac:dyDescent="0.25">
      <c r="B565" s="53"/>
      <c r="C565" s="54">
        <v>550</v>
      </c>
      <c r="D565" s="54" t="s">
        <v>59</v>
      </c>
      <c r="E565" s="55" t="s">
        <v>1224</v>
      </c>
      <c r="F565" s="53" t="s">
        <v>60</v>
      </c>
      <c r="G565" s="63">
        <v>4</v>
      </c>
      <c r="H565" s="57" t="s">
        <v>61</v>
      </c>
      <c r="I565" s="54" t="s">
        <v>62</v>
      </c>
      <c r="J565" s="54" t="s">
        <v>63</v>
      </c>
      <c r="K565" s="54" t="s">
        <v>64</v>
      </c>
      <c r="L565" s="54" t="s">
        <v>65</v>
      </c>
      <c r="M565" s="54" t="s">
        <v>66</v>
      </c>
      <c r="N565" s="54" t="s">
        <v>67</v>
      </c>
      <c r="O565" s="74">
        <v>46119</v>
      </c>
      <c r="P565" s="57"/>
      <c r="Q565" s="57"/>
      <c r="R565" s="61"/>
      <c r="S565" s="61"/>
    </row>
    <row r="566" spans="2:19" s="62" customFormat="1" outlineLevel="1" x14ac:dyDescent="0.25">
      <c r="B566" s="53"/>
      <c r="C566" s="54">
        <v>551</v>
      </c>
      <c r="D566" s="54" t="s">
        <v>75</v>
      </c>
      <c r="E566" s="55" t="s">
        <v>1224</v>
      </c>
      <c r="F566" s="53" t="s">
        <v>76</v>
      </c>
      <c r="G566" s="63">
        <v>1</v>
      </c>
      <c r="H566" s="57" t="s">
        <v>77</v>
      </c>
      <c r="I566" s="54" t="s">
        <v>78</v>
      </c>
      <c r="J566" s="54" t="s">
        <v>79</v>
      </c>
      <c r="K566" s="54" t="s">
        <v>80</v>
      </c>
      <c r="L566" s="54" t="s">
        <v>81</v>
      </c>
      <c r="M566" s="54" t="s">
        <v>82</v>
      </c>
      <c r="N566" s="54" t="s">
        <v>83</v>
      </c>
      <c r="O566" s="74">
        <v>46119</v>
      </c>
      <c r="P566" s="57"/>
      <c r="Q566" s="57"/>
      <c r="R566" s="61"/>
      <c r="S566" s="61"/>
    </row>
    <row r="567" spans="2:19" s="62" customFormat="1" outlineLevel="1" x14ac:dyDescent="0.25">
      <c r="B567" s="53"/>
      <c r="C567" s="54">
        <v>552</v>
      </c>
      <c r="D567" s="54" t="s">
        <v>117</v>
      </c>
      <c r="E567" s="55" t="s">
        <v>1224</v>
      </c>
      <c r="F567" s="53" t="s">
        <v>118</v>
      </c>
      <c r="G567" s="63">
        <v>1</v>
      </c>
      <c r="H567" s="57" t="s">
        <v>24</v>
      </c>
      <c r="I567" s="54" t="s">
        <v>119</v>
      </c>
      <c r="J567" s="54" t="s">
        <v>120</v>
      </c>
      <c r="K567" s="54" t="s">
        <v>121</v>
      </c>
      <c r="L567" s="54" t="s">
        <v>122</v>
      </c>
      <c r="M567" s="54" t="s">
        <v>123</v>
      </c>
      <c r="N567" s="54" t="s">
        <v>124</v>
      </c>
      <c r="O567" s="59">
        <v>46125</v>
      </c>
      <c r="P567" s="57"/>
      <c r="Q567" s="57"/>
      <c r="R567" s="61"/>
      <c r="S567" s="61"/>
    </row>
    <row r="568" spans="2:19" s="62" customFormat="1" outlineLevel="1" x14ac:dyDescent="0.25">
      <c r="B568" s="53"/>
      <c r="C568" s="54">
        <v>553</v>
      </c>
      <c r="D568" s="54" t="s">
        <v>125</v>
      </c>
      <c r="E568" s="55" t="s">
        <v>1224</v>
      </c>
      <c r="F568" s="53" t="s">
        <v>126</v>
      </c>
      <c r="G568" s="63">
        <v>1</v>
      </c>
      <c r="H568" s="57" t="s">
        <v>127</v>
      </c>
      <c r="I568" s="54" t="s">
        <v>128</v>
      </c>
      <c r="J568" s="54" t="s">
        <v>129</v>
      </c>
      <c r="K568" s="54" t="s">
        <v>130</v>
      </c>
      <c r="L568" s="54" t="s">
        <v>131</v>
      </c>
      <c r="M568" s="54" t="s">
        <v>132</v>
      </c>
      <c r="N568" s="54" t="s">
        <v>133</v>
      </c>
      <c r="O568" s="74">
        <v>46119</v>
      </c>
      <c r="P568" s="57"/>
      <c r="Q568" s="57"/>
      <c r="R568" s="61"/>
      <c r="S568" s="61"/>
    </row>
    <row r="569" spans="2:19" s="62" customFormat="1" outlineLevel="1" x14ac:dyDescent="0.25">
      <c r="B569" s="53"/>
      <c r="C569" s="54">
        <v>554</v>
      </c>
      <c r="D569" s="54" t="s">
        <v>134</v>
      </c>
      <c r="E569" s="55" t="s">
        <v>1224</v>
      </c>
      <c r="F569" s="53" t="s">
        <v>135</v>
      </c>
      <c r="G569" s="63">
        <v>1</v>
      </c>
      <c r="H569" s="57" t="s">
        <v>24</v>
      </c>
      <c r="I569" s="54" t="s">
        <v>136</v>
      </c>
      <c r="J569" s="54" t="s">
        <v>137</v>
      </c>
      <c r="K569" s="54" t="s">
        <v>138</v>
      </c>
      <c r="L569" s="54" t="s">
        <v>139</v>
      </c>
      <c r="M569" s="54" t="s">
        <v>140</v>
      </c>
      <c r="N569" s="54" t="s">
        <v>141</v>
      </c>
      <c r="O569" s="59">
        <v>46125</v>
      </c>
      <c r="P569" s="57"/>
      <c r="Q569" s="57"/>
      <c r="R569" s="61"/>
      <c r="S569" s="61"/>
    </row>
    <row r="570" spans="2:19" s="62" customFormat="1" outlineLevel="1" x14ac:dyDescent="0.25">
      <c r="B570" s="53"/>
      <c r="C570" s="54">
        <v>555</v>
      </c>
      <c r="D570" s="54" t="s">
        <v>554</v>
      </c>
      <c r="E570" s="55" t="s">
        <v>1224</v>
      </c>
      <c r="F570" s="53" t="s">
        <v>555</v>
      </c>
      <c r="G570" s="63">
        <v>1</v>
      </c>
      <c r="H570" s="57" t="s">
        <v>61</v>
      </c>
      <c r="I570" s="54" t="s">
        <v>556</v>
      </c>
      <c r="J570" s="54" t="s">
        <v>557</v>
      </c>
      <c r="K570" s="54" t="s">
        <v>558</v>
      </c>
      <c r="L570" s="54" t="s">
        <v>559</v>
      </c>
      <c r="M570" s="54" t="s">
        <v>560</v>
      </c>
      <c r="N570" s="54" t="s">
        <v>561</v>
      </c>
      <c r="O570" s="74">
        <v>46119</v>
      </c>
      <c r="P570" s="57"/>
      <c r="Q570" s="57"/>
      <c r="R570" s="61"/>
      <c r="S570" s="61"/>
    </row>
    <row r="571" spans="2:19" s="62" customFormat="1" outlineLevel="1" x14ac:dyDescent="0.25">
      <c r="B571" s="53"/>
      <c r="C571" s="54">
        <v>556</v>
      </c>
      <c r="D571" s="54" t="s">
        <v>142</v>
      </c>
      <c r="E571" s="55" t="s">
        <v>1224</v>
      </c>
      <c r="F571" s="53" t="s">
        <v>143</v>
      </c>
      <c r="G571" s="63">
        <v>1</v>
      </c>
      <c r="H571" s="57" t="s">
        <v>61</v>
      </c>
      <c r="I571" s="54" t="s">
        <v>144</v>
      </c>
      <c r="J571" s="54" t="s">
        <v>145</v>
      </c>
      <c r="K571" s="54" t="s">
        <v>146</v>
      </c>
      <c r="L571" s="54" t="s">
        <v>147</v>
      </c>
      <c r="M571" s="54" t="s">
        <v>148</v>
      </c>
      <c r="N571" s="54" t="s">
        <v>149</v>
      </c>
      <c r="O571" s="74">
        <v>46119</v>
      </c>
      <c r="P571" s="57"/>
      <c r="Q571" s="57"/>
      <c r="R571" s="61"/>
      <c r="S571" s="61"/>
    </row>
    <row r="572" spans="2:19" s="62" customFormat="1" outlineLevel="1" x14ac:dyDescent="0.25">
      <c r="B572" s="53"/>
      <c r="C572" s="54">
        <v>557</v>
      </c>
      <c r="D572" s="54" t="s">
        <v>159</v>
      </c>
      <c r="E572" s="55" t="s">
        <v>1224</v>
      </c>
      <c r="F572" s="53" t="s">
        <v>160</v>
      </c>
      <c r="G572" s="63">
        <v>1</v>
      </c>
      <c r="H572" s="57" t="s">
        <v>61</v>
      </c>
      <c r="I572" s="54" t="s">
        <v>161</v>
      </c>
      <c r="J572" s="54" t="s">
        <v>162</v>
      </c>
      <c r="K572" s="54" t="s">
        <v>163</v>
      </c>
      <c r="L572" s="54" t="s">
        <v>164</v>
      </c>
      <c r="M572" s="54" t="s">
        <v>164</v>
      </c>
      <c r="N572" s="54" t="s">
        <v>165</v>
      </c>
      <c r="O572" s="74">
        <v>46119</v>
      </c>
      <c r="P572" s="57"/>
      <c r="Q572" s="57"/>
      <c r="R572" s="61"/>
      <c r="S572" s="61"/>
    </row>
    <row r="573" spans="2:19" s="62" customFormat="1" outlineLevel="1" x14ac:dyDescent="0.25">
      <c r="B573" s="53"/>
      <c r="C573" s="54">
        <v>558</v>
      </c>
      <c r="D573" s="54" t="s">
        <v>166</v>
      </c>
      <c r="E573" s="55" t="s">
        <v>1224</v>
      </c>
      <c r="F573" s="53" t="s">
        <v>167</v>
      </c>
      <c r="G573" s="63">
        <v>2</v>
      </c>
      <c r="H573" s="57" t="s">
        <v>61</v>
      </c>
      <c r="I573" s="54" t="s">
        <v>168</v>
      </c>
      <c r="J573" s="54" t="s">
        <v>169</v>
      </c>
      <c r="K573" s="54" t="s">
        <v>170</v>
      </c>
      <c r="L573" s="54" t="s">
        <v>171</v>
      </c>
      <c r="M573" s="54" t="s">
        <v>172</v>
      </c>
      <c r="N573" s="54" t="s">
        <v>173</v>
      </c>
      <c r="O573" s="74">
        <v>46119</v>
      </c>
      <c r="P573" s="57"/>
      <c r="Q573" s="57"/>
      <c r="R573" s="61"/>
      <c r="S573" s="61"/>
    </row>
    <row r="574" spans="2:19" s="62" customFormat="1" outlineLevel="1" x14ac:dyDescent="0.25">
      <c r="B574" s="53"/>
      <c r="C574" s="54">
        <v>559</v>
      </c>
      <c r="D574" s="54" t="s">
        <v>174</v>
      </c>
      <c r="E574" s="55" t="s">
        <v>1224</v>
      </c>
      <c r="F574" s="53" t="s">
        <v>175</v>
      </c>
      <c r="G574" s="63">
        <v>1</v>
      </c>
      <c r="H574" s="57" t="s">
        <v>152</v>
      </c>
      <c r="I574" s="54" t="s">
        <v>176</v>
      </c>
      <c r="J574" s="54" t="s">
        <v>177</v>
      </c>
      <c r="K574" s="54" t="s">
        <v>178</v>
      </c>
      <c r="L574" s="54" t="s">
        <v>179</v>
      </c>
      <c r="M574" s="54" t="s">
        <v>180</v>
      </c>
      <c r="N574" s="54" t="s">
        <v>181</v>
      </c>
      <c r="O574" s="74">
        <v>46119</v>
      </c>
      <c r="P574" s="57"/>
      <c r="Q574" s="57"/>
      <c r="R574" s="61"/>
      <c r="S574" s="61"/>
    </row>
    <row r="575" spans="2:19" s="62" customFormat="1" outlineLevel="1" x14ac:dyDescent="0.25">
      <c r="B575" s="53"/>
      <c r="C575" s="54">
        <v>560</v>
      </c>
      <c r="D575" s="54" t="s">
        <v>667</v>
      </c>
      <c r="E575" s="55" t="s">
        <v>1224</v>
      </c>
      <c r="F575" s="53" t="s">
        <v>668</v>
      </c>
      <c r="G575" s="63">
        <v>2</v>
      </c>
      <c r="H575" s="57" t="s">
        <v>61</v>
      </c>
      <c r="I575" s="54" t="s">
        <v>669</v>
      </c>
      <c r="J575" s="54" t="s">
        <v>670</v>
      </c>
      <c r="K575" s="68" t="s">
        <v>671</v>
      </c>
      <c r="L575" s="54" t="s">
        <v>672</v>
      </c>
      <c r="M575" s="54" t="s">
        <v>672</v>
      </c>
      <c r="N575" s="54" t="s">
        <v>673</v>
      </c>
      <c r="O575" s="74">
        <v>46119</v>
      </c>
      <c r="P575" s="57"/>
      <c r="Q575" s="57"/>
      <c r="R575" s="61"/>
      <c r="S575" s="61"/>
    </row>
    <row r="576" spans="2:19" s="62" customFormat="1" outlineLevel="1" x14ac:dyDescent="0.25">
      <c r="B576" s="53"/>
      <c r="C576" s="54">
        <v>561</v>
      </c>
      <c r="D576" s="54" t="s">
        <v>198</v>
      </c>
      <c r="E576" s="55" t="s">
        <v>1224</v>
      </c>
      <c r="F576" s="53" t="s">
        <v>199</v>
      </c>
      <c r="G576" s="63">
        <v>1</v>
      </c>
      <c r="H576" s="57" t="s">
        <v>200</v>
      </c>
      <c r="I576" s="54" t="s">
        <v>201</v>
      </c>
      <c r="J576" s="54" t="s">
        <v>202</v>
      </c>
      <c r="K576" s="54" t="s">
        <v>203</v>
      </c>
      <c r="L576" s="54" t="s">
        <v>204</v>
      </c>
      <c r="M576" s="54" t="s">
        <v>205</v>
      </c>
      <c r="N576" s="54" t="s">
        <v>206</v>
      </c>
      <c r="O576" s="74">
        <v>46119</v>
      </c>
      <c r="P576" s="57"/>
      <c r="Q576" s="57"/>
      <c r="R576" s="61"/>
      <c r="S576" s="61"/>
    </row>
    <row r="577" spans="2:19" s="62" customFormat="1" outlineLevel="1" x14ac:dyDescent="0.25">
      <c r="B577" s="53"/>
      <c r="C577" s="54">
        <v>562</v>
      </c>
      <c r="D577" s="54" t="s">
        <v>223</v>
      </c>
      <c r="E577" s="55" t="s">
        <v>1224</v>
      </c>
      <c r="F577" s="53" t="s">
        <v>224</v>
      </c>
      <c r="G577" s="63">
        <v>1</v>
      </c>
      <c r="H577" s="57" t="s">
        <v>61</v>
      </c>
      <c r="I577" s="54" t="s">
        <v>225</v>
      </c>
      <c r="J577" s="54" t="s">
        <v>226</v>
      </c>
      <c r="K577" s="54" t="s">
        <v>227</v>
      </c>
      <c r="L577" s="54" t="s">
        <v>228</v>
      </c>
      <c r="M577" s="54" t="s">
        <v>229</v>
      </c>
      <c r="N577" s="54" t="s">
        <v>230</v>
      </c>
      <c r="O577" s="74">
        <v>46119</v>
      </c>
      <c r="P577" s="57"/>
      <c r="Q577" s="57"/>
      <c r="R577" s="61"/>
      <c r="S577" s="61"/>
    </row>
    <row r="578" spans="2:19" s="62" customFormat="1" ht="30" customHeight="1" outlineLevel="1" x14ac:dyDescent="0.25">
      <c r="B578" s="53"/>
      <c r="C578" s="54">
        <v>563</v>
      </c>
      <c r="D578" s="54" t="s">
        <v>231</v>
      </c>
      <c r="E578" s="55" t="s">
        <v>1224</v>
      </c>
      <c r="F578" s="53" t="s">
        <v>232</v>
      </c>
      <c r="G578" s="63">
        <v>2</v>
      </c>
      <c r="H578" s="57" t="s">
        <v>61</v>
      </c>
      <c r="I578" s="54" t="s">
        <v>233</v>
      </c>
      <c r="J578" s="54" t="s">
        <v>234</v>
      </c>
      <c r="K578" s="54" t="s">
        <v>235</v>
      </c>
      <c r="L578" s="54" t="s">
        <v>236</v>
      </c>
      <c r="M578" s="54" t="s">
        <v>891</v>
      </c>
      <c r="N578" s="54" t="s">
        <v>238</v>
      </c>
      <c r="O578" s="74">
        <v>46119</v>
      </c>
      <c r="P578" s="57"/>
      <c r="Q578" s="57"/>
      <c r="R578" s="61"/>
      <c r="S578" s="61"/>
    </row>
    <row r="579" spans="2:19" s="62" customFormat="1" ht="30" customHeight="1" outlineLevel="1" x14ac:dyDescent="0.25">
      <c r="B579" s="53"/>
      <c r="C579" s="54">
        <v>564</v>
      </c>
      <c r="D579" s="54" t="s">
        <v>247</v>
      </c>
      <c r="E579" s="55" t="s">
        <v>1224</v>
      </c>
      <c r="F579" s="53" t="s">
        <v>248</v>
      </c>
      <c r="G579" s="63">
        <v>2</v>
      </c>
      <c r="H579" s="57" t="s">
        <v>61</v>
      </c>
      <c r="I579" s="54" t="s">
        <v>528</v>
      </c>
      <c r="J579" s="54" t="s">
        <v>1068</v>
      </c>
      <c r="K579" s="68" t="s">
        <v>530</v>
      </c>
      <c r="L579" s="54" t="s">
        <v>252</v>
      </c>
      <c r="M579" s="54" t="s">
        <v>531</v>
      </c>
      <c r="N579" s="54" t="s">
        <v>254</v>
      </c>
      <c r="O579" s="74">
        <v>46119</v>
      </c>
      <c r="P579" s="57"/>
      <c r="Q579" s="57"/>
      <c r="R579" s="61"/>
      <c r="S579" s="61"/>
    </row>
    <row r="580" spans="2:19" s="62" customFormat="1" outlineLevel="1" x14ac:dyDescent="0.25">
      <c r="B580" s="53"/>
      <c r="C580" s="54">
        <v>565</v>
      </c>
      <c r="D580" s="54" t="s">
        <v>263</v>
      </c>
      <c r="E580" s="55" t="s">
        <v>1224</v>
      </c>
      <c r="F580" s="53" t="s">
        <v>264</v>
      </c>
      <c r="G580" s="63">
        <v>1</v>
      </c>
      <c r="H580" s="57" t="s">
        <v>61</v>
      </c>
      <c r="I580" s="54" t="s">
        <v>265</v>
      </c>
      <c r="J580" s="54" t="s">
        <v>266</v>
      </c>
      <c r="K580" s="54" t="s">
        <v>267</v>
      </c>
      <c r="L580" s="54" t="s">
        <v>252</v>
      </c>
      <c r="M580" s="54" t="s">
        <v>268</v>
      </c>
      <c r="N580" s="54" t="s">
        <v>269</v>
      </c>
      <c r="O580" s="74">
        <v>46119</v>
      </c>
      <c r="P580" s="57"/>
      <c r="Q580" s="57"/>
      <c r="R580" s="61"/>
      <c r="S580" s="61"/>
    </row>
    <row r="581" spans="2:19" s="62" customFormat="1" outlineLevel="1" x14ac:dyDescent="0.25">
      <c r="B581" s="53"/>
      <c r="C581" s="54">
        <v>566</v>
      </c>
      <c r="D581" s="54" t="s">
        <v>651</v>
      </c>
      <c r="E581" s="55" t="s">
        <v>1224</v>
      </c>
      <c r="F581" s="53" t="s">
        <v>652</v>
      </c>
      <c r="G581" s="63">
        <v>1</v>
      </c>
      <c r="H581" s="57" t="s">
        <v>111</v>
      </c>
      <c r="I581" s="54" t="s">
        <v>653</v>
      </c>
      <c r="J581" s="54" t="s">
        <v>654</v>
      </c>
      <c r="K581" s="54" t="s">
        <v>655</v>
      </c>
      <c r="L581" s="54" t="s">
        <v>656</v>
      </c>
      <c r="M581" s="54" t="s">
        <v>657</v>
      </c>
      <c r="N581" s="54" t="s">
        <v>658</v>
      </c>
      <c r="O581" s="74">
        <v>46119</v>
      </c>
      <c r="P581" s="57"/>
      <c r="Q581" s="57"/>
      <c r="R581" s="61"/>
      <c r="S581" s="61"/>
    </row>
    <row r="582" spans="2:19" s="62" customFormat="1" outlineLevel="1" x14ac:dyDescent="0.25">
      <c r="B582" s="53"/>
      <c r="C582" s="54">
        <v>567</v>
      </c>
      <c r="D582" s="54" t="s">
        <v>270</v>
      </c>
      <c r="E582" s="55" t="s">
        <v>1224</v>
      </c>
      <c r="F582" s="53" t="s">
        <v>271</v>
      </c>
      <c r="G582" s="63">
        <v>1</v>
      </c>
      <c r="H582" s="57" t="s">
        <v>61</v>
      </c>
      <c r="I582" s="54" t="s">
        <v>272</v>
      </c>
      <c r="J582" s="54" t="s">
        <v>273</v>
      </c>
      <c r="K582" s="54" t="s">
        <v>274</v>
      </c>
      <c r="L582" s="54" t="s">
        <v>792</v>
      </c>
      <c r="M582" s="54" t="s">
        <v>792</v>
      </c>
      <c r="N582" s="54" t="s">
        <v>277</v>
      </c>
      <c r="O582" s="74">
        <v>46119</v>
      </c>
      <c r="P582" s="57"/>
      <c r="Q582" s="57"/>
      <c r="R582" s="61"/>
      <c r="S582" s="61"/>
    </row>
    <row r="583" spans="2:19" s="62" customFormat="1" outlineLevel="1" x14ac:dyDescent="0.25">
      <c r="B583" s="53"/>
      <c r="C583" s="54">
        <v>568</v>
      </c>
      <c r="D583" s="54" t="s">
        <v>294</v>
      </c>
      <c r="E583" s="55" t="s">
        <v>1224</v>
      </c>
      <c r="F583" s="53" t="s">
        <v>295</v>
      </c>
      <c r="G583" s="63">
        <v>1</v>
      </c>
      <c r="H583" s="57" t="s">
        <v>61</v>
      </c>
      <c r="I583" s="54" t="s">
        <v>908</v>
      </c>
      <c r="J583" s="54" t="s">
        <v>909</v>
      </c>
      <c r="K583" s="54" t="s">
        <v>910</v>
      </c>
      <c r="L583" s="54" t="s">
        <v>299</v>
      </c>
      <c r="M583" s="54" t="s">
        <v>300</v>
      </c>
      <c r="N583" s="54" t="s">
        <v>301</v>
      </c>
      <c r="O583" s="74">
        <v>46119</v>
      </c>
      <c r="P583" s="57"/>
      <c r="Q583" s="57"/>
      <c r="R583" s="61"/>
      <c r="S583" s="61"/>
    </row>
    <row r="584" spans="2:19" s="62" customFormat="1" ht="30" customHeight="1" outlineLevel="1" x14ac:dyDescent="0.25">
      <c r="B584" s="53"/>
      <c r="C584" s="54" t="s">
        <v>1480</v>
      </c>
      <c r="D584" s="54" t="s">
        <v>302</v>
      </c>
      <c r="E584" s="55" t="s">
        <v>1224</v>
      </c>
      <c r="F584" s="53" t="s">
        <v>303</v>
      </c>
      <c r="G584" s="63">
        <v>2</v>
      </c>
      <c r="H584" s="57" t="s">
        <v>61</v>
      </c>
      <c r="I584" s="54" t="s">
        <v>304</v>
      </c>
      <c r="J584" s="54" t="s">
        <v>305</v>
      </c>
      <c r="K584" s="54" t="s">
        <v>306</v>
      </c>
      <c r="L584" s="54" t="s">
        <v>307</v>
      </c>
      <c r="M584" s="54" t="s">
        <v>526</v>
      </c>
      <c r="N584" s="54" t="s">
        <v>309</v>
      </c>
      <c r="O584" s="74">
        <v>46119</v>
      </c>
      <c r="P584" s="57"/>
      <c r="Q584" s="57"/>
      <c r="R584" s="61"/>
      <c r="S584" s="61"/>
    </row>
    <row r="585" spans="2:19" s="62" customFormat="1" outlineLevel="1" x14ac:dyDescent="0.25">
      <c r="B585" s="53"/>
      <c r="C585" s="54">
        <v>570</v>
      </c>
      <c r="D585" s="54" t="s">
        <v>310</v>
      </c>
      <c r="E585" s="55" t="s">
        <v>1224</v>
      </c>
      <c r="F585" s="53" t="s">
        <v>311</v>
      </c>
      <c r="G585" s="63">
        <v>1</v>
      </c>
      <c r="H585" s="57" t="s">
        <v>152</v>
      </c>
      <c r="I585" s="54" t="s">
        <v>312</v>
      </c>
      <c r="J585" s="54" t="s">
        <v>313</v>
      </c>
      <c r="K585" s="54" t="s">
        <v>314</v>
      </c>
      <c r="L585" s="54" t="s">
        <v>315</v>
      </c>
      <c r="M585" s="54" t="s">
        <v>316</v>
      </c>
      <c r="N585" s="54" t="s">
        <v>317</v>
      </c>
      <c r="O585" s="74">
        <v>46119</v>
      </c>
      <c r="P585" s="57"/>
      <c r="Q585" s="57"/>
      <c r="R585" s="61"/>
      <c r="S585" s="61"/>
    </row>
    <row r="586" spans="2:19" s="62" customFormat="1" outlineLevel="1" x14ac:dyDescent="0.25">
      <c r="B586" s="53"/>
      <c r="C586" s="54">
        <v>571</v>
      </c>
      <c r="D586" s="54" t="s">
        <v>342</v>
      </c>
      <c r="E586" s="55" t="s">
        <v>1224</v>
      </c>
      <c r="F586" s="53" t="s">
        <v>343</v>
      </c>
      <c r="G586" s="63">
        <v>1</v>
      </c>
      <c r="H586" s="57" t="s">
        <v>24</v>
      </c>
      <c r="I586" s="54" t="s">
        <v>344</v>
      </c>
      <c r="J586" s="54" t="s">
        <v>345</v>
      </c>
      <c r="K586" s="54" t="s">
        <v>346</v>
      </c>
      <c r="L586" s="54" t="s">
        <v>348</v>
      </c>
      <c r="M586" s="54" t="s">
        <v>348</v>
      </c>
      <c r="N586" s="54" t="s">
        <v>349</v>
      </c>
      <c r="O586" s="59">
        <v>46125</v>
      </c>
      <c r="P586" s="57"/>
      <c r="Q586" s="57"/>
      <c r="R586" s="61"/>
      <c r="S586" s="61"/>
    </row>
    <row r="587" spans="2:19" s="62" customFormat="1" outlineLevel="1" x14ac:dyDescent="0.25">
      <c r="B587" s="53"/>
      <c r="C587" s="54">
        <v>572</v>
      </c>
      <c r="D587" s="54" t="s">
        <v>350</v>
      </c>
      <c r="E587" s="55" t="s">
        <v>1224</v>
      </c>
      <c r="F587" s="53" t="s">
        <v>351</v>
      </c>
      <c r="G587" s="63">
        <v>1</v>
      </c>
      <c r="H587" s="57" t="s">
        <v>152</v>
      </c>
      <c r="I587" s="54" t="s">
        <v>352</v>
      </c>
      <c r="J587" s="54" t="s">
        <v>353</v>
      </c>
      <c r="K587" s="54" t="s">
        <v>354</v>
      </c>
      <c r="L587" s="54" t="s">
        <v>355</v>
      </c>
      <c r="M587" s="54" t="s">
        <v>355</v>
      </c>
      <c r="N587" s="54" t="s">
        <v>356</v>
      </c>
      <c r="O587" s="74">
        <v>46119</v>
      </c>
      <c r="P587" s="57"/>
      <c r="Q587" s="57"/>
      <c r="R587" s="61"/>
      <c r="S587" s="61"/>
    </row>
    <row r="588" spans="2:19" s="62" customFormat="1" ht="30" customHeight="1" outlineLevel="1" x14ac:dyDescent="0.25">
      <c r="B588" s="53"/>
      <c r="C588" s="54" t="s">
        <v>1231</v>
      </c>
      <c r="D588" s="54" t="s">
        <v>802</v>
      </c>
      <c r="E588" s="55" t="s">
        <v>1224</v>
      </c>
      <c r="F588" s="53" t="s">
        <v>803</v>
      </c>
      <c r="G588" s="63">
        <v>3</v>
      </c>
      <c r="H588" s="57" t="s">
        <v>804</v>
      </c>
      <c r="I588" s="54" t="s">
        <v>874</v>
      </c>
      <c r="J588" s="54" t="s">
        <v>875</v>
      </c>
      <c r="K588" s="54" t="s">
        <v>876</v>
      </c>
      <c r="L588" s="54" t="s">
        <v>808</v>
      </c>
      <c r="M588" s="54" t="s">
        <v>1232</v>
      </c>
      <c r="N588" s="54" t="s">
        <v>810</v>
      </c>
      <c r="O588" s="74">
        <v>46119</v>
      </c>
      <c r="P588" s="57"/>
      <c r="Q588" s="57"/>
      <c r="R588" s="61"/>
      <c r="S588" s="61"/>
    </row>
    <row r="589" spans="2:19" s="62" customFormat="1" outlineLevel="1" x14ac:dyDescent="0.25">
      <c r="B589" s="53"/>
      <c r="C589" s="54">
        <v>574</v>
      </c>
      <c r="D589" s="54" t="s">
        <v>375</v>
      </c>
      <c r="E589" s="55" t="s">
        <v>1224</v>
      </c>
      <c r="F589" s="53" t="s">
        <v>376</v>
      </c>
      <c r="G589" s="63">
        <v>1</v>
      </c>
      <c r="H589" s="57" t="s">
        <v>111</v>
      </c>
      <c r="I589" s="54" t="s">
        <v>1235</v>
      </c>
      <c r="J589" s="54" t="s">
        <v>1236</v>
      </c>
      <c r="K589" s="54" t="s">
        <v>1237</v>
      </c>
      <c r="L589" s="54" t="s">
        <v>380</v>
      </c>
      <c r="M589" s="54" t="s">
        <v>1238</v>
      </c>
      <c r="N589" s="54" t="s">
        <v>382</v>
      </c>
      <c r="O589" s="74">
        <v>46119</v>
      </c>
      <c r="P589" s="57"/>
      <c r="Q589" s="57"/>
      <c r="R589" s="61"/>
      <c r="S589" s="61"/>
    </row>
    <row r="590" spans="2:19" s="62" customFormat="1" outlineLevel="1" x14ac:dyDescent="0.25">
      <c r="B590" s="53"/>
      <c r="C590" s="54">
        <v>575</v>
      </c>
      <c r="D590" s="54" t="s">
        <v>383</v>
      </c>
      <c r="E590" s="55" t="s">
        <v>1224</v>
      </c>
      <c r="F590" s="53" t="s">
        <v>384</v>
      </c>
      <c r="G590" s="63">
        <v>2</v>
      </c>
      <c r="H590" s="57" t="s">
        <v>61</v>
      </c>
      <c r="I590" s="54" t="s">
        <v>385</v>
      </c>
      <c r="J590" s="54" t="s">
        <v>386</v>
      </c>
      <c r="K590" s="54" t="s">
        <v>387</v>
      </c>
      <c r="L590" s="54" t="s">
        <v>388</v>
      </c>
      <c r="M590" s="54" t="s">
        <v>389</v>
      </c>
      <c r="N590" s="54" t="s">
        <v>390</v>
      </c>
      <c r="O590" s="74">
        <v>46119</v>
      </c>
      <c r="P590" s="57"/>
      <c r="Q590" s="57"/>
      <c r="R590" s="61"/>
      <c r="S590" s="61"/>
    </row>
    <row r="591" spans="2:19" s="62" customFormat="1" outlineLevel="1" x14ac:dyDescent="0.25">
      <c r="B591" s="53"/>
      <c r="C591" s="54">
        <v>576</v>
      </c>
      <c r="D591" s="54" t="s">
        <v>431</v>
      </c>
      <c r="E591" s="55" t="s">
        <v>1224</v>
      </c>
      <c r="F591" s="53" t="s">
        <v>432</v>
      </c>
      <c r="G591" s="63">
        <v>1</v>
      </c>
      <c r="H591" s="57" t="s">
        <v>152</v>
      </c>
      <c r="I591" s="54" t="s">
        <v>868</v>
      </c>
      <c r="J591" s="54" t="s">
        <v>869</v>
      </c>
      <c r="K591" s="54" t="s">
        <v>870</v>
      </c>
      <c r="L591" s="54" t="s">
        <v>436</v>
      </c>
      <c r="M591" s="54" t="s">
        <v>436</v>
      </c>
      <c r="N591" s="54" t="s">
        <v>438</v>
      </c>
      <c r="O591" s="74">
        <v>46119</v>
      </c>
      <c r="P591" s="57"/>
      <c r="Q591" s="57"/>
      <c r="R591" s="61"/>
      <c r="S591" s="61"/>
    </row>
    <row r="592" spans="2:19" s="62" customFormat="1" outlineLevel="1" x14ac:dyDescent="0.25">
      <c r="B592" s="53"/>
      <c r="C592" s="54">
        <v>577</v>
      </c>
      <c r="D592" s="54" t="s">
        <v>596</v>
      </c>
      <c r="E592" s="55" t="s">
        <v>1224</v>
      </c>
      <c r="F592" s="53" t="s">
        <v>597</v>
      </c>
      <c r="G592" s="63">
        <v>1</v>
      </c>
      <c r="H592" s="57" t="s">
        <v>61</v>
      </c>
      <c r="I592" s="54" t="s">
        <v>598</v>
      </c>
      <c r="J592" s="54" t="s">
        <v>599</v>
      </c>
      <c r="K592" s="54" t="s">
        <v>600</v>
      </c>
      <c r="L592" s="54" t="s">
        <v>601</v>
      </c>
      <c r="M592" s="54" t="s">
        <v>602</v>
      </c>
      <c r="N592" s="54" t="s">
        <v>603</v>
      </c>
      <c r="O592" s="74">
        <v>46119</v>
      </c>
      <c r="P592" s="57"/>
      <c r="Q592" s="57"/>
      <c r="R592" s="61"/>
      <c r="S592" s="61"/>
    </row>
    <row r="593" spans="2:19" s="62" customFormat="1" outlineLevel="1" x14ac:dyDescent="0.25">
      <c r="B593" s="53"/>
      <c r="C593" s="54">
        <v>578</v>
      </c>
      <c r="D593" s="54" t="s">
        <v>463</v>
      </c>
      <c r="E593" s="55" t="s">
        <v>1224</v>
      </c>
      <c r="F593" s="53" t="s">
        <v>464</v>
      </c>
      <c r="G593" s="63">
        <v>1</v>
      </c>
      <c r="H593" s="57" t="s">
        <v>152</v>
      </c>
      <c r="I593" s="54" t="s">
        <v>465</v>
      </c>
      <c r="J593" s="54" t="s">
        <v>466</v>
      </c>
      <c r="K593" s="54" t="s">
        <v>467</v>
      </c>
      <c r="L593" s="54" t="s">
        <v>468</v>
      </c>
      <c r="M593" s="54" t="s">
        <v>469</v>
      </c>
      <c r="N593" s="54" t="s">
        <v>470</v>
      </c>
      <c r="O593" s="74">
        <v>46119</v>
      </c>
      <c r="P593" s="57"/>
      <c r="Q593" s="57"/>
      <c r="R593" s="61"/>
      <c r="S593" s="61"/>
    </row>
    <row r="594" spans="2:19" s="62" customFormat="1" ht="30" customHeight="1" outlineLevel="1" x14ac:dyDescent="0.25">
      <c r="B594" s="53"/>
      <c r="C594" s="54">
        <v>579</v>
      </c>
      <c r="D594" s="54" t="s">
        <v>478</v>
      </c>
      <c r="E594" s="55" t="s">
        <v>1224</v>
      </c>
      <c r="F594" s="53" t="s">
        <v>479</v>
      </c>
      <c r="G594" s="63">
        <v>1</v>
      </c>
      <c r="H594" s="57" t="s">
        <v>111</v>
      </c>
      <c r="I594" s="54" t="s">
        <v>480</v>
      </c>
      <c r="J594" s="54" t="s">
        <v>481</v>
      </c>
      <c r="K594" s="54" t="s">
        <v>482</v>
      </c>
      <c r="L594" s="54" t="s">
        <v>483</v>
      </c>
      <c r="M594" s="54" t="s">
        <v>634</v>
      </c>
      <c r="N594" s="54" t="s">
        <v>485</v>
      </c>
      <c r="O594" s="74">
        <v>46119</v>
      </c>
      <c r="P594" s="57"/>
      <c r="Q594" s="57"/>
      <c r="R594" s="61"/>
      <c r="S594" s="61"/>
    </row>
    <row r="595" spans="2:19" s="62" customFormat="1" outlineLevel="1" x14ac:dyDescent="0.25">
      <c r="B595" s="53"/>
      <c r="C595" s="54">
        <v>580</v>
      </c>
      <c r="D595" s="54" t="s">
        <v>644</v>
      </c>
      <c r="E595" s="55" t="s">
        <v>1224</v>
      </c>
      <c r="F595" s="53" t="s">
        <v>645</v>
      </c>
      <c r="G595" s="63">
        <v>2</v>
      </c>
      <c r="H595" s="57" t="s">
        <v>61</v>
      </c>
      <c r="I595" s="54" t="s">
        <v>646</v>
      </c>
      <c r="J595" s="54" t="s">
        <v>647</v>
      </c>
      <c r="K595" s="54" t="s">
        <v>648</v>
      </c>
      <c r="L595" s="54" t="s">
        <v>649</v>
      </c>
      <c r="M595" s="54" t="s">
        <v>650</v>
      </c>
      <c r="N595" s="54"/>
      <c r="O595" s="74">
        <v>46119</v>
      </c>
      <c r="P595" s="57"/>
      <c r="Q595" s="57"/>
      <c r="R595" s="61"/>
      <c r="S595" s="61"/>
    </row>
    <row r="596" spans="2:19" s="33" customFormat="1" x14ac:dyDescent="0.25">
      <c r="B596" s="42"/>
      <c r="C596" s="42"/>
      <c r="D596" s="42"/>
      <c r="E596" s="28" t="s">
        <v>1481</v>
      </c>
      <c r="F596" s="28"/>
      <c r="G596" s="29">
        <f>SUM(G597:G613)</f>
        <v>34</v>
      </c>
      <c r="H596" s="34"/>
      <c r="I596" s="49"/>
      <c r="J596" s="50"/>
      <c r="K596" s="51"/>
      <c r="L596" s="42"/>
      <c r="M596" s="42"/>
      <c r="N596" s="36"/>
      <c r="O596" s="34"/>
      <c r="P596" s="35"/>
      <c r="Q596" s="35"/>
      <c r="R596" s="36"/>
      <c r="S596" s="32"/>
    </row>
    <row r="597" spans="2:19" s="62" customFormat="1" outlineLevel="1" x14ac:dyDescent="0.25">
      <c r="B597" s="53"/>
      <c r="C597" s="54">
        <v>581</v>
      </c>
      <c r="D597" s="54" t="s">
        <v>59</v>
      </c>
      <c r="E597" s="55" t="s">
        <v>1481</v>
      </c>
      <c r="F597" s="53" t="s">
        <v>60</v>
      </c>
      <c r="G597" s="63">
        <v>2</v>
      </c>
      <c r="H597" s="57" t="s">
        <v>61</v>
      </c>
      <c r="I597" s="54" t="s">
        <v>62</v>
      </c>
      <c r="J597" s="54" t="s">
        <v>63</v>
      </c>
      <c r="K597" s="54" t="s">
        <v>64</v>
      </c>
      <c r="L597" s="54" t="s">
        <v>65</v>
      </c>
      <c r="M597" s="54" t="s">
        <v>66</v>
      </c>
      <c r="N597" s="54" t="s">
        <v>67</v>
      </c>
      <c r="O597" s="74">
        <v>46111</v>
      </c>
      <c r="P597" s="57"/>
      <c r="Q597" s="57"/>
      <c r="R597" s="61"/>
      <c r="S597" s="61"/>
    </row>
    <row r="598" spans="2:19" s="62" customFormat="1" outlineLevel="1" x14ac:dyDescent="0.25">
      <c r="B598" s="53"/>
      <c r="C598" s="54">
        <v>582</v>
      </c>
      <c r="D598" s="54" t="s">
        <v>75</v>
      </c>
      <c r="E598" s="55" t="s">
        <v>1481</v>
      </c>
      <c r="F598" s="53" t="s">
        <v>76</v>
      </c>
      <c r="G598" s="63">
        <v>10</v>
      </c>
      <c r="H598" s="57" t="s">
        <v>77</v>
      </c>
      <c r="I598" s="54" t="s">
        <v>78</v>
      </c>
      <c r="J598" s="54" t="s">
        <v>79</v>
      </c>
      <c r="K598" s="54" t="s">
        <v>80</v>
      </c>
      <c r="L598" s="54" t="s">
        <v>81</v>
      </c>
      <c r="M598" s="54" t="s">
        <v>82</v>
      </c>
      <c r="N598" s="54" t="s">
        <v>83</v>
      </c>
      <c r="O598" s="74">
        <v>46111</v>
      </c>
      <c r="P598" s="57"/>
      <c r="Q598" s="57"/>
      <c r="R598" s="61"/>
      <c r="S598" s="61"/>
    </row>
    <row r="599" spans="2:19" s="62" customFormat="1" outlineLevel="1" x14ac:dyDescent="0.25">
      <c r="B599" s="53"/>
      <c r="C599" s="54">
        <v>583</v>
      </c>
      <c r="D599" s="54" t="s">
        <v>109</v>
      </c>
      <c r="E599" s="55" t="s">
        <v>1481</v>
      </c>
      <c r="F599" s="53" t="s">
        <v>110</v>
      </c>
      <c r="G599" s="63">
        <v>1</v>
      </c>
      <c r="H599" s="57" t="s">
        <v>111</v>
      </c>
      <c r="I599" s="54" t="s">
        <v>112</v>
      </c>
      <c r="J599" s="54" t="s">
        <v>113</v>
      </c>
      <c r="K599" s="54" t="s">
        <v>114</v>
      </c>
      <c r="L599" s="54" t="s">
        <v>115</v>
      </c>
      <c r="M599" s="54" t="s">
        <v>115</v>
      </c>
      <c r="N599" s="54" t="s">
        <v>116</v>
      </c>
      <c r="O599" s="74">
        <v>46111</v>
      </c>
      <c r="P599" s="57"/>
      <c r="Q599" s="57"/>
      <c r="R599" s="61"/>
      <c r="S599" s="61"/>
    </row>
    <row r="600" spans="2:19" s="62" customFormat="1" outlineLevel="1" x14ac:dyDescent="0.25">
      <c r="B600" s="53"/>
      <c r="C600" s="54">
        <v>584</v>
      </c>
      <c r="D600" s="54" t="s">
        <v>166</v>
      </c>
      <c r="E600" s="55" t="s">
        <v>1481</v>
      </c>
      <c r="F600" s="53" t="s">
        <v>167</v>
      </c>
      <c r="G600" s="63">
        <v>2</v>
      </c>
      <c r="H600" s="57" t="s">
        <v>61</v>
      </c>
      <c r="I600" s="54" t="s">
        <v>168</v>
      </c>
      <c r="J600" s="54" t="s">
        <v>169</v>
      </c>
      <c r="K600" s="54" t="s">
        <v>170</v>
      </c>
      <c r="L600" s="54" t="s">
        <v>171</v>
      </c>
      <c r="M600" s="54" t="s">
        <v>172</v>
      </c>
      <c r="N600" s="54" t="s">
        <v>173</v>
      </c>
      <c r="O600" s="74">
        <v>46111</v>
      </c>
      <c r="P600" s="57"/>
      <c r="Q600" s="57"/>
      <c r="R600" s="61"/>
      <c r="S600" s="61"/>
    </row>
    <row r="601" spans="2:19" s="62" customFormat="1" outlineLevel="1" x14ac:dyDescent="0.25">
      <c r="B601" s="53"/>
      <c r="C601" s="54">
        <v>585</v>
      </c>
      <c r="D601" s="54" t="s">
        <v>190</v>
      </c>
      <c r="E601" s="55" t="s">
        <v>1481</v>
      </c>
      <c r="F601" s="53" t="s">
        <v>191</v>
      </c>
      <c r="G601" s="63">
        <v>1</v>
      </c>
      <c r="H601" s="57" t="s">
        <v>24</v>
      </c>
      <c r="I601" s="54" t="s">
        <v>1271</v>
      </c>
      <c r="J601" s="54" t="s">
        <v>1272</v>
      </c>
      <c r="K601" s="54" t="s">
        <v>1273</v>
      </c>
      <c r="L601" s="54" t="s">
        <v>195</v>
      </c>
      <c r="M601" s="54" t="s">
        <v>1274</v>
      </c>
      <c r="N601" s="54" t="s">
        <v>197</v>
      </c>
      <c r="O601" s="74">
        <v>46111</v>
      </c>
      <c r="P601" s="57"/>
      <c r="Q601" s="57"/>
      <c r="R601" s="61"/>
      <c r="S601" s="61"/>
    </row>
    <row r="602" spans="2:19" s="62" customFormat="1" outlineLevel="1" x14ac:dyDescent="0.25">
      <c r="B602" s="53"/>
      <c r="C602" s="54">
        <v>586</v>
      </c>
      <c r="D602" s="54" t="s">
        <v>198</v>
      </c>
      <c r="E602" s="55" t="s">
        <v>1481</v>
      </c>
      <c r="F602" s="53" t="s">
        <v>199</v>
      </c>
      <c r="G602" s="63">
        <v>3</v>
      </c>
      <c r="H602" s="57" t="s">
        <v>200</v>
      </c>
      <c r="I602" s="54" t="s">
        <v>201</v>
      </c>
      <c r="J602" s="54" t="s">
        <v>202</v>
      </c>
      <c r="K602" s="54" t="s">
        <v>203</v>
      </c>
      <c r="L602" s="54" t="s">
        <v>204</v>
      </c>
      <c r="M602" s="54" t="s">
        <v>205</v>
      </c>
      <c r="N602" s="54" t="s">
        <v>206</v>
      </c>
      <c r="O602" s="74">
        <v>46111</v>
      </c>
      <c r="P602" s="57"/>
      <c r="Q602" s="57"/>
      <c r="R602" s="61"/>
      <c r="S602" s="61"/>
    </row>
    <row r="603" spans="2:19" s="62" customFormat="1" outlineLevel="1" x14ac:dyDescent="0.25">
      <c r="B603" s="53"/>
      <c r="C603" s="54">
        <v>587</v>
      </c>
      <c r="D603" s="54" t="s">
        <v>215</v>
      </c>
      <c r="E603" s="55" t="s">
        <v>1481</v>
      </c>
      <c r="F603" s="53" t="s">
        <v>216</v>
      </c>
      <c r="G603" s="63">
        <v>1</v>
      </c>
      <c r="H603" s="57" t="s">
        <v>24</v>
      </c>
      <c r="I603" s="54" t="s">
        <v>217</v>
      </c>
      <c r="J603" s="54" t="s">
        <v>218</v>
      </c>
      <c r="K603" s="54" t="s">
        <v>219</v>
      </c>
      <c r="L603" s="54" t="s">
        <v>220</v>
      </c>
      <c r="M603" s="54" t="s">
        <v>221</v>
      </c>
      <c r="N603" s="54" t="s">
        <v>222</v>
      </c>
      <c r="O603" s="74">
        <v>46111</v>
      </c>
      <c r="P603" s="57"/>
      <c r="Q603" s="57"/>
      <c r="R603" s="61"/>
      <c r="S603" s="61"/>
    </row>
    <row r="604" spans="2:19" s="62" customFormat="1" outlineLevel="1" x14ac:dyDescent="0.25">
      <c r="B604" s="53"/>
      <c r="C604" s="54">
        <v>588</v>
      </c>
      <c r="D604" s="54" t="s">
        <v>263</v>
      </c>
      <c r="E604" s="55" t="s">
        <v>1481</v>
      </c>
      <c r="F604" s="53" t="s">
        <v>264</v>
      </c>
      <c r="G604" s="63">
        <v>1</v>
      </c>
      <c r="H604" s="57" t="s">
        <v>61</v>
      </c>
      <c r="I604" s="54" t="s">
        <v>265</v>
      </c>
      <c r="J604" s="54" t="s">
        <v>266</v>
      </c>
      <c r="K604" s="54" t="s">
        <v>267</v>
      </c>
      <c r="L604" s="54" t="s">
        <v>252</v>
      </c>
      <c r="M604" s="54" t="s">
        <v>268</v>
      </c>
      <c r="N604" s="54" t="s">
        <v>269</v>
      </c>
      <c r="O604" s="74">
        <v>46111</v>
      </c>
      <c r="P604" s="57"/>
      <c r="Q604" s="57"/>
      <c r="R604" s="61"/>
      <c r="S604" s="61"/>
    </row>
    <row r="605" spans="2:19" s="62" customFormat="1" outlineLevel="1" x14ac:dyDescent="0.25">
      <c r="B605" s="53"/>
      <c r="C605" s="54">
        <v>589</v>
      </c>
      <c r="D605" s="54" t="s">
        <v>326</v>
      </c>
      <c r="E605" s="55" t="s">
        <v>1481</v>
      </c>
      <c r="F605" s="53" t="s">
        <v>327</v>
      </c>
      <c r="G605" s="63">
        <v>1</v>
      </c>
      <c r="H605" s="57" t="s">
        <v>152</v>
      </c>
      <c r="I605" s="54" t="s">
        <v>328</v>
      </c>
      <c r="J605" s="54" t="s">
        <v>329</v>
      </c>
      <c r="K605" s="54" t="s">
        <v>330</v>
      </c>
      <c r="L605" s="54" t="s">
        <v>331</v>
      </c>
      <c r="M605" s="54" t="s">
        <v>332</v>
      </c>
      <c r="N605" s="54" t="s">
        <v>333</v>
      </c>
      <c r="O605" s="74">
        <v>46111</v>
      </c>
      <c r="P605" s="57"/>
      <c r="Q605" s="57"/>
      <c r="R605" s="61"/>
      <c r="S605" s="61"/>
    </row>
    <row r="606" spans="2:19" s="62" customFormat="1" outlineLevel="1" x14ac:dyDescent="0.25">
      <c r="B606" s="53"/>
      <c r="C606" s="54">
        <v>590</v>
      </c>
      <c r="D606" s="54" t="s">
        <v>375</v>
      </c>
      <c r="E606" s="55" t="s">
        <v>1481</v>
      </c>
      <c r="F606" s="53" t="s">
        <v>376</v>
      </c>
      <c r="G606" s="63">
        <v>1</v>
      </c>
      <c r="H606" s="57" t="s">
        <v>111</v>
      </c>
      <c r="I606" s="54" t="s">
        <v>377</v>
      </c>
      <c r="J606" s="54" t="s">
        <v>378</v>
      </c>
      <c r="K606" s="54" t="s">
        <v>379</v>
      </c>
      <c r="L606" s="54" t="s">
        <v>380</v>
      </c>
      <c r="M606" s="54" t="s">
        <v>381</v>
      </c>
      <c r="N606" s="54" t="s">
        <v>382</v>
      </c>
      <c r="O606" s="74">
        <v>46111</v>
      </c>
      <c r="P606" s="57"/>
      <c r="Q606" s="57"/>
      <c r="R606" s="61"/>
      <c r="S606" s="61"/>
    </row>
    <row r="607" spans="2:19" s="62" customFormat="1" outlineLevel="1" x14ac:dyDescent="0.25">
      <c r="B607" s="53"/>
      <c r="C607" s="54">
        <v>591</v>
      </c>
      <c r="D607" s="54" t="s">
        <v>383</v>
      </c>
      <c r="E607" s="55" t="s">
        <v>1481</v>
      </c>
      <c r="F607" s="53" t="s">
        <v>384</v>
      </c>
      <c r="G607" s="63">
        <v>2</v>
      </c>
      <c r="H607" s="57" t="s">
        <v>61</v>
      </c>
      <c r="I607" s="54" t="s">
        <v>385</v>
      </c>
      <c r="J607" s="54" t="s">
        <v>386</v>
      </c>
      <c r="K607" s="54" t="s">
        <v>387</v>
      </c>
      <c r="L607" s="54" t="s">
        <v>388</v>
      </c>
      <c r="M607" s="54" t="s">
        <v>389</v>
      </c>
      <c r="N607" s="54" t="s">
        <v>390</v>
      </c>
      <c r="O607" s="74">
        <v>46111</v>
      </c>
      <c r="P607" s="57"/>
      <c r="Q607" s="57"/>
      <c r="R607" s="61"/>
      <c r="S607" s="61"/>
    </row>
    <row r="608" spans="2:19" s="62" customFormat="1" outlineLevel="1" x14ac:dyDescent="0.25">
      <c r="B608" s="53"/>
      <c r="C608" s="54">
        <v>592</v>
      </c>
      <c r="D608" s="54" t="s">
        <v>399</v>
      </c>
      <c r="E608" s="55" t="s">
        <v>1481</v>
      </c>
      <c r="F608" s="53" t="s">
        <v>400</v>
      </c>
      <c r="G608" s="63">
        <v>1</v>
      </c>
      <c r="H608" s="57" t="s">
        <v>152</v>
      </c>
      <c r="I608" s="54" t="s">
        <v>401</v>
      </c>
      <c r="J608" s="54" t="s">
        <v>402</v>
      </c>
      <c r="K608" s="54" t="s">
        <v>403</v>
      </c>
      <c r="L608" s="54" t="s">
        <v>404</v>
      </c>
      <c r="M608" s="54" t="s">
        <v>791</v>
      </c>
      <c r="N608" s="54" t="s">
        <v>406</v>
      </c>
      <c r="O608" s="74">
        <v>46111</v>
      </c>
      <c r="P608" s="57"/>
      <c r="Q608" s="57"/>
      <c r="R608" s="61"/>
      <c r="S608" s="61"/>
    </row>
    <row r="609" spans="2:19" s="62" customFormat="1" outlineLevel="1" x14ac:dyDescent="0.25">
      <c r="B609" s="53"/>
      <c r="C609" s="54">
        <v>593</v>
      </c>
      <c r="D609" s="54" t="s">
        <v>431</v>
      </c>
      <c r="E609" s="55" t="s">
        <v>1481</v>
      </c>
      <c r="F609" s="53" t="s">
        <v>432</v>
      </c>
      <c r="G609" s="63">
        <v>1</v>
      </c>
      <c r="H609" s="57" t="s">
        <v>152</v>
      </c>
      <c r="I609" s="54" t="s">
        <v>678</v>
      </c>
      <c r="J609" s="54" t="s">
        <v>679</v>
      </c>
      <c r="K609" s="54" t="s">
        <v>680</v>
      </c>
      <c r="L609" s="54" t="s">
        <v>436</v>
      </c>
      <c r="M609" s="54" t="s">
        <v>331</v>
      </c>
      <c r="N609" s="54" t="s">
        <v>438</v>
      </c>
      <c r="O609" s="74">
        <v>46111</v>
      </c>
      <c r="P609" s="57"/>
      <c r="Q609" s="57"/>
      <c r="R609" s="61"/>
      <c r="S609" s="61"/>
    </row>
    <row r="610" spans="2:19" s="62" customFormat="1" outlineLevel="1" x14ac:dyDescent="0.25">
      <c r="B610" s="53"/>
      <c r="C610" s="54">
        <v>594</v>
      </c>
      <c r="D610" s="54" t="s">
        <v>571</v>
      </c>
      <c r="E610" s="55" t="s">
        <v>1481</v>
      </c>
      <c r="F610" s="53" t="s">
        <v>572</v>
      </c>
      <c r="G610" s="63">
        <v>1</v>
      </c>
      <c r="H610" s="57" t="s">
        <v>573</v>
      </c>
      <c r="I610" s="54" t="s">
        <v>574</v>
      </c>
      <c r="J610" s="54" t="s">
        <v>575</v>
      </c>
      <c r="K610" s="54" t="s">
        <v>576</v>
      </c>
      <c r="L610" s="54" t="s">
        <v>577</v>
      </c>
      <c r="M610" s="54" t="s">
        <v>578</v>
      </c>
      <c r="N610" s="54" t="s">
        <v>579</v>
      </c>
      <c r="O610" s="74">
        <v>46111</v>
      </c>
      <c r="P610" s="57"/>
      <c r="Q610" s="57"/>
      <c r="R610" s="61"/>
      <c r="S610" s="61"/>
    </row>
    <row r="611" spans="2:19" s="62" customFormat="1" outlineLevel="1" x14ac:dyDescent="0.25">
      <c r="B611" s="53"/>
      <c r="C611" s="54">
        <v>595</v>
      </c>
      <c r="D611" s="54" t="s">
        <v>455</v>
      </c>
      <c r="E611" s="55" t="s">
        <v>1481</v>
      </c>
      <c r="F611" s="53" t="s">
        <v>456</v>
      </c>
      <c r="G611" s="63">
        <v>4</v>
      </c>
      <c r="H611" s="57" t="s">
        <v>111</v>
      </c>
      <c r="I611" s="54" t="s">
        <v>457</v>
      </c>
      <c r="J611" s="54" t="s">
        <v>458</v>
      </c>
      <c r="K611" s="54" t="s">
        <v>459</v>
      </c>
      <c r="L611" s="54" t="s">
        <v>460</v>
      </c>
      <c r="M611" s="54" t="s">
        <v>461</v>
      </c>
      <c r="N611" s="54" t="s">
        <v>462</v>
      </c>
      <c r="O611" s="74">
        <v>46111</v>
      </c>
      <c r="P611" s="57"/>
      <c r="Q611" s="57"/>
      <c r="R611" s="61"/>
      <c r="S611" s="61"/>
    </row>
    <row r="612" spans="2:19" s="62" customFormat="1" outlineLevel="1" x14ac:dyDescent="0.25">
      <c r="B612" s="53"/>
      <c r="C612" s="54">
        <v>596</v>
      </c>
      <c r="D612" s="54" t="s">
        <v>502</v>
      </c>
      <c r="E612" s="55" t="s">
        <v>1481</v>
      </c>
      <c r="F612" s="53" t="s">
        <v>503</v>
      </c>
      <c r="G612" s="63">
        <v>1</v>
      </c>
      <c r="H612" s="57" t="s">
        <v>61</v>
      </c>
      <c r="I612" s="54" t="s">
        <v>504</v>
      </c>
      <c r="J612" s="54" t="s">
        <v>505</v>
      </c>
      <c r="K612" s="54" t="s">
        <v>506</v>
      </c>
      <c r="L612" s="54" t="s">
        <v>283</v>
      </c>
      <c r="M612" s="54" t="s">
        <v>284</v>
      </c>
      <c r="N612" s="54" t="s">
        <v>507</v>
      </c>
      <c r="O612" s="74">
        <v>46111</v>
      </c>
      <c r="P612" s="57"/>
      <c r="Q612" s="57"/>
      <c r="R612" s="61"/>
      <c r="S612" s="61"/>
    </row>
    <row r="613" spans="2:19" s="62" customFormat="1" outlineLevel="1" x14ac:dyDescent="0.25">
      <c r="B613" s="53"/>
      <c r="C613" s="54">
        <v>597</v>
      </c>
      <c r="D613" s="54" t="s">
        <v>508</v>
      </c>
      <c r="E613" s="55" t="s">
        <v>1481</v>
      </c>
      <c r="F613" s="53" t="s">
        <v>509</v>
      </c>
      <c r="G613" s="63">
        <v>1</v>
      </c>
      <c r="H613" s="57" t="s">
        <v>61</v>
      </c>
      <c r="I613" s="54" t="s">
        <v>510</v>
      </c>
      <c r="J613" s="54" t="s">
        <v>511</v>
      </c>
      <c r="K613" s="54" t="s">
        <v>512</v>
      </c>
      <c r="L613" s="54" t="s">
        <v>513</v>
      </c>
      <c r="M613" s="54" t="s">
        <v>514</v>
      </c>
      <c r="N613" s="54" t="s">
        <v>515</v>
      </c>
      <c r="O613" s="74">
        <v>46111</v>
      </c>
      <c r="P613" s="57"/>
      <c r="Q613" s="57"/>
      <c r="R613" s="61"/>
      <c r="S613" s="61"/>
    </row>
    <row r="614" spans="2:19" s="33" customFormat="1" ht="30" customHeight="1" x14ac:dyDescent="0.25">
      <c r="B614" s="42"/>
      <c r="C614" s="42"/>
      <c r="D614" s="42"/>
      <c r="E614" s="28" t="s">
        <v>1482</v>
      </c>
      <c r="F614" s="52"/>
      <c r="G614" s="29">
        <f>SUM(G615:G649)</f>
        <v>37</v>
      </c>
      <c r="H614" s="34"/>
      <c r="I614" s="49"/>
      <c r="J614" s="50"/>
      <c r="K614" s="51"/>
      <c r="L614" s="42"/>
      <c r="M614" s="42"/>
      <c r="N614" s="36"/>
      <c r="O614" s="34"/>
      <c r="P614" s="35"/>
      <c r="Q614" s="35"/>
      <c r="R614" s="32" t="s">
        <v>934</v>
      </c>
      <c r="S614" s="32"/>
    </row>
    <row r="615" spans="2:19" s="62" customFormat="1" ht="25.5" customHeight="1" outlineLevel="1" x14ac:dyDescent="0.25">
      <c r="B615" s="53"/>
      <c r="C615" s="54">
        <v>598</v>
      </c>
      <c r="D615" s="54" t="s">
        <v>34</v>
      </c>
      <c r="E615" s="55" t="s">
        <v>1482</v>
      </c>
      <c r="F615" s="64" t="s">
        <v>35</v>
      </c>
      <c r="G615" s="63">
        <v>1</v>
      </c>
      <c r="H615" s="57" t="s">
        <v>36</v>
      </c>
      <c r="I615" s="54" t="s">
        <v>37</v>
      </c>
      <c r="J615" s="54" t="s">
        <v>38</v>
      </c>
      <c r="K615" s="54" t="s">
        <v>39</v>
      </c>
      <c r="L615" s="54" t="s">
        <v>40</v>
      </c>
      <c r="M615" s="54" t="s">
        <v>553</v>
      </c>
      <c r="N615" s="54" t="s">
        <v>42</v>
      </c>
      <c r="O615" s="74">
        <v>46111</v>
      </c>
      <c r="P615" s="57"/>
      <c r="Q615" s="57"/>
      <c r="R615" s="61" t="s">
        <v>934</v>
      </c>
      <c r="S615" s="61" t="s">
        <v>31</v>
      </c>
    </row>
    <row r="616" spans="2:19" s="62" customFormat="1" ht="25.5" customHeight="1" outlineLevel="1" x14ac:dyDescent="0.25">
      <c r="B616" s="53"/>
      <c r="C616" s="54">
        <v>599</v>
      </c>
      <c r="D616" s="54" t="s">
        <v>1079</v>
      </c>
      <c r="E616" s="55" t="s">
        <v>1482</v>
      </c>
      <c r="F616" s="64" t="s">
        <v>918</v>
      </c>
      <c r="G616" s="63">
        <v>1</v>
      </c>
      <c r="H616" s="57" t="s">
        <v>152</v>
      </c>
      <c r="I616" s="54" t="s">
        <v>1080</v>
      </c>
      <c r="J616" s="54" t="s">
        <v>1081</v>
      </c>
      <c r="K616" s="54" t="s">
        <v>1082</v>
      </c>
      <c r="L616" s="54" t="s">
        <v>1083</v>
      </c>
      <c r="M616" s="54" t="s">
        <v>1084</v>
      </c>
      <c r="N616" s="54" t="s">
        <v>1085</v>
      </c>
      <c r="O616" s="74">
        <v>46111</v>
      </c>
      <c r="P616" s="57"/>
      <c r="Q616" s="57"/>
      <c r="R616" s="61" t="s">
        <v>934</v>
      </c>
      <c r="S616" s="61" t="s">
        <v>84</v>
      </c>
    </row>
    <row r="617" spans="2:19" s="62" customFormat="1" ht="25.5" customHeight="1" outlineLevel="1" x14ac:dyDescent="0.25">
      <c r="B617" s="53"/>
      <c r="C617" s="54">
        <v>600</v>
      </c>
      <c r="D617" s="54" t="s">
        <v>59</v>
      </c>
      <c r="E617" s="55" t="s">
        <v>1482</v>
      </c>
      <c r="F617" s="64" t="s">
        <v>60</v>
      </c>
      <c r="G617" s="63">
        <v>1</v>
      </c>
      <c r="H617" s="57" t="s">
        <v>61</v>
      </c>
      <c r="I617" s="54" t="s">
        <v>62</v>
      </c>
      <c r="J617" s="54" t="s">
        <v>63</v>
      </c>
      <c r="K617" s="54" t="s">
        <v>64</v>
      </c>
      <c r="L617" s="54" t="s">
        <v>65</v>
      </c>
      <c r="M617" s="54" t="s">
        <v>66</v>
      </c>
      <c r="N617" s="54" t="s">
        <v>67</v>
      </c>
      <c r="O617" s="74">
        <v>46146</v>
      </c>
      <c r="P617" s="57"/>
      <c r="Q617" s="57"/>
      <c r="R617" s="61" t="s">
        <v>934</v>
      </c>
      <c r="S617" s="61" t="s">
        <v>31</v>
      </c>
    </row>
    <row r="618" spans="2:19" s="62" customFormat="1" ht="25.5" customHeight="1" outlineLevel="1" x14ac:dyDescent="0.25">
      <c r="B618" s="53"/>
      <c r="C618" s="54">
        <v>601</v>
      </c>
      <c r="D618" s="54" t="s">
        <v>75</v>
      </c>
      <c r="E618" s="55" t="s">
        <v>1482</v>
      </c>
      <c r="F618" s="64" t="s">
        <v>76</v>
      </c>
      <c r="G618" s="63">
        <v>1</v>
      </c>
      <c r="H618" s="57" t="s">
        <v>77</v>
      </c>
      <c r="I618" s="54" t="s">
        <v>78</v>
      </c>
      <c r="J618" s="54" t="s">
        <v>79</v>
      </c>
      <c r="K618" s="54" t="s">
        <v>80</v>
      </c>
      <c r="L618" s="54" t="s">
        <v>81</v>
      </c>
      <c r="M618" s="54" t="s">
        <v>82</v>
      </c>
      <c r="N618" s="54" t="s">
        <v>83</v>
      </c>
      <c r="O618" s="74">
        <v>46111</v>
      </c>
      <c r="P618" s="57"/>
      <c r="Q618" s="57"/>
      <c r="R618" s="61" t="s">
        <v>934</v>
      </c>
      <c r="S618" s="61" t="s">
        <v>84</v>
      </c>
    </row>
    <row r="619" spans="2:19" s="62" customFormat="1" ht="30" customHeight="1" outlineLevel="1" x14ac:dyDescent="0.25">
      <c r="B619" s="53"/>
      <c r="C619" s="54">
        <v>602</v>
      </c>
      <c r="D619" s="54" t="s">
        <v>725</v>
      </c>
      <c r="E619" s="55" t="s">
        <v>1482</v>
      </c>
      <c r="F619" s="64" t="s">
        <v>726</v>
      </c>
      <c r="G619" s="63">
        <v>1</v>
      </c>
      <c r="H619" s="57" t="s">
        <v>727</v>
      </c>
      <c r="I619" s="54" t="s">
        <v>1351</v>
      </c>
      <c r="J619" s="54" t="s">
        <v>729</v>
      </c>
      <c r="K619" s="54" t="s">
        <v>730</v>
      </c>
      <c r="L619" s="54" t="s">
        <v>731</v>
      </c>
      <c r="M619" s="54" t="s">
        <v>732</v>
      </c>
      <c r="N619" s="54" t="s">
        <v>733</v>
      </c>
      <c r="O619" s="74">
        <v>46146</v>
      </c>
      <c r="P619" s="57"/>
      <c r="Q619" s="57"/>
      <c r="R619" s="61" t="s">
        <v>934</v>
      </c>
      <c r="S619" s="61" t="s">
        <v>31</v>
      </c>
    </row>
    <row r="620" spans="2:19" s="62" customFormat="1" ht="25.5" customHeight="1" outlineLevel="1" x14ac:dyDescent="0.25">
      <c r="B620" s="53"/>
      <c r="C620" s="54">
        <v>603</v>
      </c>
      <c r="D620" s="54" t="s">
        <v>109</v>
      </c>
      <c r="E620" s="55" t="s">
        <v>1482</v>
      </c>
      <c r="F620" s="64" t="s">
        <v>110</v>
      </c>
      <c r="G620" s="63">
        <v>1</v>
      </c>
      <c r="H620" s="57" t="s">
        <v>111</v>
      </c>
      <c r="I620" s="54" t="s">
        <v>112</v>
      </c>
      <c r="J620" s="54" t="s">
        <v>113</v>
      </c>
      <c r="K620" s="54" t="s">
        <v>114</v>
      </c>
      <c r="L620" s="54" t="s">
        <v>115</v>
      </c>
      <c r="M620" s="54" t="s">
        <v>115</v>
      </c>
      <c r="N620" s="54" t="s">
        <v>116</v>
      </c>
      <c r="O620" s="74">
        <v>46111</v>
      </c>
      <c r="P620" s="57"/>
      <c r="Q620" s="57"/>
      <c r="R620" s="61" t="s">
        <v>934</v>
      </c>
      <c r="S620" s="61" t="s">
        <v>84</v>
      </c>
    </row>
    <row r="621" spans="2:19" s="62" customFormat="1" ht="25.5" customHeight="1" outlineLevel="1" x14ac:dyDescent="0.25">
      <c r="B621" s="53"/>
      <c r="C621" s="54">
        <v>604</v>
      </c>
      <c r="D621" s="54" t="s">
        <v>125</v>
      </c>
      <c r="E621" s="55" t="s">
        <v>1482</v>
      </c>
      <c r="F621" s="64" t="s">
        <v>126</v>
      </c>
      <c r="G621" s="63">
        <v>1</v>
      </c>
      <c r="H621" s="57" t="s">
        <v>127</v>
      </c>
      <c r="I621" s="54" t="s">
        <v>128</v>
      </c>
      <c r="J621" s="54" t="s">
        <v>129</v>
      </c>
      <c r="K621" s="54" t="s">
        <v>130</v>
      </c>
      <c r="L621" s="54" t="s">
        <v>131</v>
      </c>
      <c r="M621" s="54" t="s">
        <v>132</v>
      </c>
      <c r="N621" s="54" t="s">
        <v>133</v>
      </c>
      <c r="O621" s="74">
        <v>46111</v>
      </c>
      <c r="P621" s="57"/>
      <c r="Q621" s="57"/>
      <c r="R621" s="61" t="s">
        <v>934</v>
      </c>
      <c r="S621" s="61" t="s">
        <v>84</v>
      </c>
    </row>
    <row r="622" spans="2:19" s="62" customFormat="1" ht="25.5" customHeight="1" outlineLevel="1" x14ac:dyDescent="0.25">
      <c r="B622" s="53"/>
      <c r="C622" s="54">
        <v>605</v>
      </c>
      <c r="D622" s="54" t="s">
        <v>142</v>
      </c>
      <c r="E622" s="55" t="s">
        <v>1482</v>
      </c>
      <c r="F622" s="64" t="s">
        <v>143</v>
      </c>
      <c r="G622" s="63">
        <v>1</v>
      </c>
      <c r="H622" s="57" t="s">
        <v>61</v>
      </c>
      <c r="I622" s="54" t="s">
        <v>144</v>
      </c>
      <c r="J622" s="54" t="s">
        <v>145</v>
      </c>
      <c r="K622" s="54" t="s">
        <v>146</v>
      </c>
      <c r="L622" s="54" t="s">
        <v>147</v>
      </c>
      <c r="M622" s="54" t="s">
        <v>148</v>
      </c>
      <c r="N622" s="54" t="s">
        <v>149</v>
      </c>
      <c r="O622" s="74">
        <v>46146</v>
      </c>
      <c r="P622" s="57"/>
      <c r="Q622" s="57"/>
      <c r="R622" s="61" t="s">
        <v>934</v>
      </c>
      <c r="S622" s="61" t="s">
        <v>84</v>
      </c>
    </row>
    <row r="623" spans="2:19" s="62" customFormat="1" ht="25.5" customHeight="1" outlineLevel="1" x14ac:dyDescent="0.25">
      <c r="B623" s="53"/>
      <c r="C623" s="54">
        <v>606</v>
      </c>
      <c r="D623" s="54" t="s">
        <v>159</v>
      </c>
      <c r="E623" s="55" t="s">
        <v>1482</v>
      </c>
      <c r="F623" s="64" t="s">
        <v>160</v>
      </c>
      <c r="G623" s="63">
        <v>1</v>
      </c>
      <c r="H623" s="57" t="s">
        <v>61</v>
      </c>
      <c r="I623" s="54" t="s">
        <v>161</v>
      </c>
      <c r="J623" s="54" t="s">
        <v>162</v>
      </c>
      <c r="K623" s="54" t="s">
        <v>163</v>
      </c>
      <c r="L623" s="54" t="s">
        <v>164</v>
      </c>
      <c r="M623" s="54" t="s">
        <v>164</v>
      </c>
      <c r="N623" s="54" t="s">
        <v>165</v>
      </c>
      <c r="O623" s="74">
        <v>46146</v>
      </c>
      <c r="P623" s="57"/>
      <c r="Q623" s="57"/>
      <c r="R623" s="61" t="s">
        <v>934</v>
      </c>
      <c r="S623" s="61" t="s">
        <v>31</v>
      </c>
    </row>
    <row r="624" spans="2:19" s="62" customFormat="1" ht="25.5" customHeight="1" outlineLevel="1" x14ac:dyDescent="0.25">
      <c r="B624" s="53"/>
      <c r="C624" s="54">
        <v>607</v>
      </c>
      <c r="D624" s="54" t="s">
        <v>174</v>
      </c>
      <c r="E624" s="55" t="s">
        <v>1482</v>
      </c>
      <c r="F624" s="64" t="s">
        <v>175</v>
      </c>
      <c r="G624" s="63">
        <v>1</v>
      </c>
      <c r="H624" s="57" t="s">
        <v>152</v>
      </c>
      <c r="I624" s="54" t="s">
        <v>176</v>
      </c>
      <c r="J624" s="54" t="s">
        <v>177</v>
      </c>
      <c r="K624" s="54" t="s">
        <v>178</v>
      </c>
      <c r="L624" s="54" t="s">
        <v>179</v>
      </c>
      <c r="M624" s="54" t="s">
        <v>180</v>
      </c>
      <c r="N624" s="54" t="s">
        <v>181</v>
      </c>
      <c r="O624" s="74">
        <v>46111</v>
      </c>
      <c r="P624" s="57"/>
      <c r="Q624" s="57"/>
      <c r="R624" s="61" t="s">
        <v>934</v>
      </c>
      <c r="S624" s="61" t="s">
        <v>84</v>
      </c>
    </row>
    <row r="625" spans="2:19" s="62" customFormat="1" ht="25.5" customHeight="1" outlineLevel="1" x14ac:dyDescent="0.25">
      <c r="B625" s="53"/>
      <c r="C625" s="54">
        <v>608</v>
      </c>
      <c r="D625" s="54" t="s">
        <v>667</v>
      </c>
      <c r="E625" s="55" t="s">
        <v>1482</v>
      </c>
      <c r="F625" s="64" t="s">
        <v>668</v>
      </c>
      <c r="G625" s="63">
        <v>1</v>
      </c>
      <c r="H625" s="57" t="s">
        <v>61</v>
      </c>
      <c r="I625" s="54" t="s">
        <v>674</v>
      </c>
      <c r="J625" s="54" t="s">
        <v>675</v>
      </c>
      <c r="K625" s="68" t="s">
        <v>676</v>
      </c>
      <c r="L625" s="54" t="s">
        <v>672</v>
      </c>
      <c r="M625" s="54" t="s">
        <v>677</v>
      </c>
      <c r="N625" s="54" t="s">
        <v>673</v>
      </c>
      <c r="O625" s="74">
        <v>46146</v>
      </c>
      <c r="P625" s="57"/>
      <c r="Q625" s="57"/>
      <c r="R625" s="61" t="s">
        <v>934</v>
      </c>
      <c r="S625" s="61" t="s">
        <v>84</v>
      </c>
    </row>
    <row r="626" spans="2:19" s="62" customFormat="1" ht="25.5" customHeight="1" outlineLevel="1" x14ac:dyDescent="0.25">
      <c r="B626" s="53"/>
      <c r="C626" s="54">
        <v>609</v>
      </c>
      <c r="D626" s="54" t="s">
        <v>182</v>
      </c>
      <c r="E626" s="55" t="s">
        <v>1482</v>
      </c>
      <c r="F626" s="64" t="s">
        <v>183</v>
      </c>
      <c r="G626" s="63">
        <v>1</v>
      </c>
      <c r="H626" s="57" t="s">
        <v>111</v>
      </c>
      <c r="I626" s="54" t="s">
        <v>184</v>
      </c>
      <c r="J626" s="54" t="s">
        <v>185</v>
      </c>
      <c r="K626" s="54" t="s">
        <v>186</v>
      </c>
      <c r="L626" s="54" t="s">
        <v>187</v>
      </c>
      <c r="M626" s="54" t="s">
        <v>188</v>
      </c>
      <c r="N626" s="54" t="s">
        <v>189</v>
      </c>
      <c r="O626" s="74">
        <v>46111</v>
      </c>
      <c r="P626" s="57"/>
      <c r="Q626" s="57"/>
      <c r="R626" s="61" t="s">
        <v>934</v>
      </c>
      <c r="S626" s="61" t="s">
        <v>84</v>
      </c>
    </row>
    <row r="627" spans="2:19" s="62" customFormat="1" ht="25.5" customHeight="1" outlineLevel="1" x14ac:dyDescent="0.25">
      <c r="B627" s="53"/>
      <c r="C627" s="54">
        <v>610</v>
      </c>
      <c r="D627" s="54" t="s">
        <v>190</v>
      </c>
      <c r="E627" s="55" t="s">
        <v>1482</v>
      </c>
      <c r="F627" s="64" t="s">
        <v>191</v>
      </c>
      <c r="G627" s="63">
        <v>1</v>
      </c>
      <c r="H627" s="57" t="s">
        <v>24</v>
      </c>
      <c r="I627" s="54" t="s">
        <v>1471</v>
      </c>
      <c r="J627" s="54" t="s">
        <v>1472</v>
      </c>
      <c r="K627" s="54" t="s">
        <v>1473</v>
      </c>
      <c r="L627" s="54" t="s">
        <v>195</v>
      </c>
      <c r="M627" s="54" t="s">
        <v>140</v>
      </c>
      <c r="N627" s="54" t="s">
        <v>197</v>
      </c>
      <c r="O627" s="74">
        <v>46111</v>
      </c>
      <c r="P627" s="57"/>
      <c r="Q627" s="57"/>
      <c r="R627" s="61" t="s">
        <v>934</v>
      </c>
      <c r="S627" s="61" t="s">
        <v>31</v>
      </c>
    </row>
    <row r="628" spans="2:19" s="62" customFormat="1" ht="25.5" customHeight="1" outlineLevel="1" x14ac:dyDescent="0.25">
      <c r="B628" s="53"/>
      <c r="C628" s="54">
        <v>611</v>
      </c>
      <c r="D628" s="54" t="s">
        <v>198</v>
      </c>
      <c r="E628" s="55" t="s">
        <v>1482</v>
      </c>
      <c r="F628" s="64" t="s">
        <v>199</v>
      </c>
      <c r="G628" s="63">
        <v>1</v>
      </c>
      <c r="H628" s="57" t="s">
        <v>200</v>
      </c>
      <c r="I628" s="54" t="s">
        <v>201</v>
      </c>
      <c r="J628" s="54" t="s">
        <v>202</v>
      </c>
      <c r="K628" s="54" t="s">
        <v>203</v>
      </c>
      <c r="L628" s="54" t="s">
        <v>204</v>
      </c>
      <c r="M628" s="54" t="s">
        <v>205</v>
      </c>
      <c r="N628" s="54" t="s">
        <v>206</v>
      </c>
      <c r="O628" s="74">
        <v>46111</v>
      </c>
      <c r="P628" s="57"/>
      <c r="Q628" s="57"/>
      <c r="R628" s="61" t="s">
        <v>934</v>
      </c>
      <c r="S628" s="61" t="s">
        <v>84</v>
      </c>
    </row>
    <row r="629" spans="2:19" s="62" customFormat="1" ht="25.5" customHeight="1" outlineLevel="1" x14ac:dyDescent="0.25">
      <c r="B629" s="53"/>
      <c r="C629" s="54">
        <v>612</v>
      </c>
      <c r="D629" s="54" t="s">
        <v>207</v>
      </c>
      <c r="E629" s="55" t="s">
        <v>1482</v>
      </c>
      <c r="F629" s="64" t="s">
        <v>208</v>
      </c>
      <c r="G629" s="63">
        <v>1</v>
      </c>
      <c r="H629" s="57" t="s">
        <v>61</v>
      </c>
      <c r="I629" s="54" t="s">
        <v>209</v>
      </c>
      <c r="J629" s="54" t="s">
        <v>210</v>
      </c>
      <c r="K629" s="54" t="s">
        <v>211</v>
      </c>
      <c r="L629" s="54" t="s">
        <v>212</v>
      </c>
      <c r="M629" s="54" t="s">
        <v>213</v>
      </c>
      <c r="N629" s="54" t="s">
        <v>214</v>
      </c>
      <c r="O629" s="74">
        <v>46146</v>
      </c>
      <c r="P629" s="57"/>
      <c r="Q629" s="57"/>
      <c r="R629" s="61" t="s">
        <v>934</v>
      </c>
      <c r="S629" s="61" t="s">
        <v>31</v>
      </c>
    </row>
    <row r="630" spans="2:19" s="62" customFormat="1" ht="30" customHeight="1" outlineLevel="1" x14ac:dyDescent="0.25">
      <c r="B630" s="53"/>
      <c r="C630" s="54">
        <v>613</v>
      </c>
      <c r="D630" s="54" t="s">
        <v>231</v>
      </c>
      <c r="E630" s="55" t="s">
        <v>1482</v>
      </c>
      <c r="F630" s="64" t="s">
        <v>232</v>
      </c>
      <c r="G630" s="63">
        <v>1</v>
      </c>
      <c r="H630" s="57" t="s">
        <v>61</v>
      </c>
      <c r="I630" s="54" t="s">
        <v>233</v>
      </c>
      <c r="J630" s="54" t="s">
        <v>234</v>
      </c>
      <c r="K630" s="54" t="s">
        <v>235</v>
      </c>
      <c r="L630" s="54" t="s">
        <v>236</v>
      </c>
      <c r="M630" s="54" t="s">
        <v>891</v>
      </c>
      <c r="N630" s="54" t="s">
        <v>238</v>
      </c>
      <c r="O630" s="74">
        <v>46146</v>
      </c>
      <c r="P630" s="57"/>
      <c r="Q630" s="57"/>
      <c r="R630" s="61" t="s">
        <v>934</v>
      </c>
      <c r="S630" s="61" t="s">
        <v>84</v>
      </c>
    </row>
    <row r="631" spans="2:19" s="62" customFormat="1" ht="30" customHeight="1" outlineLevel="1" x14ac:dyDescent="0.25">
      <c r="B631" s="53"/>
      <c r="C631" s="54">
        <v>614</v>
      </c>
      <c r="D631" s="54" t="s">
        <v>247</v>
      </c>
      <c r="E631" s="55" t="s">
        <v>1482</v>
      </c>
      <c r="F631" s="64" t="s">
        <v>248</v>
      </c>
      <c r="G631" s="63">
        <v>1</v>
      </c>
      <c r="H631" s="57" t="s">
        <v>61</v>
      </c>
      <c r="I631" s="54" t="s">
        <v>1483</v>
      </c>
      <c r="J631" s="54" t="s">
        <v>250</v>
      </c>
      <c r="K631" s="54" t="s">
        <v>251</v>
      </c>
      <c r="L631" s="54" t="s">
        <v>252</v>
      </c>
      <c r="M631" s="54" t="s">
        <v>535</v>
      </c>
      <c r="N631" s="54" t="s">
        <v>254</v>
      </c>
      <c r="O631" s="74">
        <v>46146</v>
      </c>
      <c r="P631" s="57"/>
      <c r="Q631" s="57"/>
      <c r="R631" s="61" t="s">
        <v>934</v>
      </c>
      <c r="S631" s="61" t="s">
        <v>84</v>
      </c>
    </row>
    <row r="632" spans="2:19" s="62" customFormat="1" ht="25.5" customHeight="1" outlineLevel="1" x14ac:dyDescent="0.25">
      <c r="B632" s="53"/>
      <c r="C632" s="54">
        <v>615</v>
      </c>
      <c r="D632" s="54" t="s">
        <v>743</v>
      </c>
      <c r="E632" s="55" t="s">
        <v>1482</v>
      </c>
      <c r="F632" s="64" t="s">
        <v>744</v>
      </c>
      <c r="G632" s="63">
        <v>1</v>
      </c>
      <c r="H632" s="57" t="s">
        <v>745</v>
      </c>
      <c r="I632" s="54" t="s">
        <v>746</v>
      </c>
      <c r="J632" s="54" t="s">
        <v>747</v>
      </c>
      <c r="K632" s="54" t="s">
        <v>748</v>
      </c>
      <c r="L632" s="54" t="s">
        <v>749</v>
      </c>
      <c r="M632" s="54" t="s">
        <v>750</v>
      </c>
      <c r="N632" s="54" t="s">
        <v>751</v>
      </c>
      <c r="O632" s="74">
        <v>46111</v>
      </c>
      <c r="P632" s="57"/>
      <c r="Q632" s="57"/>
      <c r="R632" s="61" t="s">
        <v>934</v>
      </c>
      <c r="S632" s="61" t="s">
        <v>84</v>
      </c>
    </row>
    <row r="633" spans="2:19" s="62" customFormat="1" ht="25.5" customHeight="1" outlineLevel="1" x14ac:dyDescent="0.25">
      <c r="B633" s="53"/>
      <c r="C633" s="54">
        <v>616</v>
      </c>
      <c r="D633" s="54" t="s">
        <v>859</v>
      </c>
      <c r="E633" s="55" t="s">
        <v>1482</v>
      </c>
      <c r="F633" s="64" t="s">
        <v>860</v>
      </c>
      <c r="G633" s="63">
        <v>1</v>
      </c>
      <c r="H633" s="57" t="s">
        <v>861</v>
      </c>
      <c r="I633" s="54" t="s">
        <v>862</v>
      </c>
      <c r="J633" s="54" t="s">
        <v>863</v>
      </c>
      <c r="K633" s="54" t="s">
        <v>864</v>
      </c>
      <c r="L633" s="54" t="s">
        <v>865</v>
      </c>
      <c r="M633" s="54" t="s">
        <v>866</v>
      </c>
      <c r="N633" s="54" t="s">
        <v>867</v>
      </c>
      <c r="O633" s="74">
        <v>46111</v>
      </c>
      <c r="P633" s="57"/>
      <c r="Q633" s="57"/>
      <c r="R633" s="61" t="s">
        <v>934</v>
      </c>
      <c r="S633" s="61" t="s">
        <v>31</v>
      </c>
    </row>
    <row r="634" spans="2:19" s="62" customFormat="1" ht="25.5" customHeight="1" outlineLevel="1" x14ac:dyDescent="0.25">
      <c r="B634" s="53"/>
      <c r="C634" s="54">
        <v>617</v>
      </c>
      <c r="D634" s="54" t="s">
        <v>326</v>
      </c>
      <c r="E634" s="55" t="s">
        <v>1482</v>
      </c>
      <c r="F634" s="64" t="s">
        <v>327</v>
      </c>
      <c r="G634" s="63">
        <v>1</v>
      </c>
      <c r="H634" s="57" t="s">
        <v>152</v>
      </c>
      <c r="I634" s="54" t="s">
        <v>328</v>
      </c>
      <c r="J634" s="54" t="s">
        <v>329</v>
      </c>
      <c r="K634" s="54" t="s">
        <v>330</v>
      </c>
      <c r="L634" s="54" t="s">
        <v>331</v>
      </c>
      <c r="M634" s="54" t="s">
        <v>332</v>
      </c>
      <c r="N634" s="54" t="s">
        <v>333</v>
      </c>
      <c r="O634" s="74">
        <v>46111</v>
      </c>
      <c r="P634" s="57"/>
      <c r="Q634" s="57"/>
      <c r="R634" s="61" t="s">
        <v>934</v>
      </c>
      <c r="S634" s="61" t="s">
        <v>31</v>
      </c>
    </row>
    <row r="635" spans="2:19" s="62" customFormat="1" ht="25.5" customHeight="1" outlineLevel="1" x14ac:dyDescent="0.25">
      <c r="B635" s="53"/>
      <c r="C635" s="54">
        <v>618</v>
      </c>
      <c r="D635" s="54" t="s">
        <v>342</v>
      </c>
      <c r="E635" s="55" t="s">
        <v>1482</v>
      </c>
      <c r="F635" s="64" t="s">
        <v>343</v>
      </c>
      <c r="G635" s="63">
        <v>1</v>
      </c>
      <c r="H635" s="57" t="s">
        <v>24</v>
      </c>
      <c r="I635" s="54" t="s">
        <v>344</v>
      </c>
      <c r="J635" s="54" t="s">
        <v>345</v>
      </c>
      <c r="K635" s="54" t="s">
        <v>346</v>
      </c>
      <c r="L635" s="54" t="s">
        <v>348</v>
      </c>
      <c r="M635" s="54" t="s">
        <v>348</v>
      </c>
      <c r="N635" s="54" t="s">
        <v>349</v>
      </c>
      <c r="O635" s="74">
        <v>46111</v>
      </c>
      <c r="P635" s="57"/>
      <c r="Q635" s="57"/>
      <c r="R635" s="61" t="s">
        <v>934</v>
      </c>
      <c r="S635" s="61" t="s">
        <v>31</v>
      </c>
    </row>
    <row r="636" spans="2:19" s="62" customFormat="1" ht="25.5" customHeight="1" outlineLevel="1" x14ac:dyDescent="0.25">
      <c r="B636" s="53"/>
      <c r="C636" s="54">
        <v>619</v>
      </c>
      <c r="D636" s="54" t="s">
        <v>802</v>
      </c>
      <c r="E636" s="55" t="s">
        <v>1482</v>
      </c>
      <c r="F636" s="64" t="s">
        <v>803</v>
      </c>
      <c r="G636" s="63">
        <v>1</v>
      </c>
      <c r="H636" s="57" t="s">
        <v>804</v>
      </c>
      <c r="I636" s="54" t="s">
        <v>805</v>
      </c>
      <c r="J636" s="54" t="s">
        <v>806</v>
      </c>
      <c r="K636" s="53" t="s">
        <v>807</v>
      </c>
      <c r="L636" s="54" t="s">
        <v>808</v>
      </c>
      <c r="M636" s="54" t="s">
        <v>809</v>
      </c>
      <c r="N636" s="54" t="s">
        <v>810</v>
      </c>
      <c r="O636" s="74">
        <v>46111</v>
      </c>
      <c r="P636" s="57"/>
      <c r="Q636" s="57"/>
      <c r="R636" s="61" t="s">
        <v>934</v>
      </c>
      <c r="S636" s="61" t="s">
        <v>84</v>
      </c>
    </row>
    <row r="637" spans="2:19" s="62" customFormat="1" ht="25.5" customHeight="1" outlineLevel="1" x14ac:dyDescent="0.25">
      <c r="B637" s="53"/>
      <c r="C637" s="54">
        <v>620</v>
      </c>
      <c r="D637" s="54" t="s">
        <v>366</v>
      </c>
      <c r="E637" s="55" t="s">
        <v>1482</v>
      </c>
      <c r="F637" s="64" t="s">
        <v>367</v>
      </c>
      <c r="G637" s="63">
        <v>1</v>
      </c>
      <c r="H637" s="57" t="s">
        <v>368</v>
      </c>
      <c r="I637" s="54" t="s">
        <v>369</v>
      </c>
      <c r="J637" s="54" t="s">
        <v>370</v>
      </c>
      <c r="K637" s="54" t="s">
        <v>371</v>
      </c>
      <c r="L637" s="54" t="s">
        <v>372</v>
      </c>
      <c r="M637" s="54" t="s">
        <v>373</v>
      </c>
      <c r="N637" s="54" t="s">
        <v>374</v>
      </c>
      <c r="O637" s="74">
        <v>46111</v>
      </c>
      <c r="P637" s="57"/>
      <c r="Q637" s="57"/>
      <c r="R637" s="61" t="s">
        <v>934</v>
      </c>
      <c r="S637" s="61" t="s">
        <v>84</v>
      </c>
    </row>
    <row r="638" spans="2:19" s="62" customFormat="1" outlineLevel="1" x14ac:dyDescent="0.25">
      <c r="B638" s="53"/>
      <c r="C638" s="54">
        <v>621</v>
      </c>
      <c r="D638" s="54" t="s">
        <v>375</v>
      </c>
      <c r="E638" s="55" t="s">
        <v>1482</v>
      </c>
      <c r="F638" s="64" t="s">
        <v>376</v>
      </c>
      <c r="G638" s="63">
        <v>1</v>
      </c>
      <c r="H638" s="57" t="s">
        <v>111</v>
      </c>
      <c r="I638" s="54" t="s">
        <v>377</v>
      </c>
      <c r="J638" s="54" t="s">
        <v>378</v>
      </c>
      <c r="K638" s="54" t="s">
        <v>379</v>
      </c>
      <c r="L638" s="54" t="s">
        <v>380</v>
      </c>
      <c r="M638" s="54" t="s">
        <v>381</v>
      </c>
      <c r="N638" s="54" t="s">
        <v>382</v>
      </c>
      <c r="O638" s="74">
        <v>46111</v>
      </c>
      <c r="P638" s="57"/>
      <c r="Q638" s="57"/>
      <c r="R638" s="61" t="s">
        <v>934</v>
      </c>
      <c r="S638" s="61" t="s">
        <v>31</v>
      </c>
    </row>
    <row r="639" spans="2:19" s="62" customFormat="1" ht="25.5" customHeight="1" outlineLevel="1" x14ac:dyDescent="0.25">
      <c r="B639" s="53"/>
      <c r="C639" s="54">
        <v>622</v>
      </c>
      <c r="D639" s="54" t="s">
        <v>383</v>
      </c>
      <c r="E639" s="55" t="s">
        <v>1482</v>
      </c>
      <c r="F639" s="64" t="s">
        <v>384</v>
      </c>
      <c r="G639" s="63">
        <v>1</v>
      </c>
      <c r="H639" s="57" t="s">
        <v>61</v>
      </c>
      <c r="I639" s="54" t="s">
        <v>385</v>
      </c>
      <c r="J639" s="54" t="s">
        <v>386</v>
      </c>
      <c r="K639" s="54" t="s">
        <v>387</v>
      </c>
      <c r="L639" s="54" t="s">
        <v>388</v>
      </c>
      <c r="M639" s="54" t="s">
        <v>389</v>
      </c>
      <c r="N639" s="54" t="s">
        <v>390</v>
      </c>
      <c r="O639" s="74">
        <v>46146</v>
      </c>
      <c r="P639" s="57"/>
      <c r="Q639" s="57"/>
      <c r="R639" s="61" t="s">
        <v>934</v>
      </c>
      <c r="S639" s="61" t="s">
        <v>84</v>
      </c>
    </row>
    <row r="640" spans="2:19" s="62" customFormat="1" ht="25.5" customHeight="1" outlineLevel="1" x14ac:dyDescent="0.25">
      <c r="B640" s="53"/>
      <c r="C640" s="54">
        <v>623</v>
      </c>
      <c r="D640" s="54" t="s">
        <v>399</v>
      </c>
      <c r="E640" s="55" t="s">
        <v>1482</v>
      </c>
      <c r="F640" s="64" t="s">
        <v>400</v>
      </c>
      <c r="G640" s="63">
        <v>1</v>
      </c>
      <c r="H640" s="57" t="s">
        <v>152</v>
      </c>
      <c r="I640" s="54" t="s">
        <v>401</v>
      </c>
      <c r="J640" s="54" t="s">
        <v>402</v>
      </c>
      <c r="K640" s="54" t="s">
        <v>403</v>
      </c>
      <c r="L640" s="54" t="s">
        <v>404</v>
      </c>
      <c r="M640" s="54" t="s">
        <v>791</v>
      </c>
      <c r="N640" s="54" t="s">
        <v>406</v>
      </c>
      <c r="O640" s="74">
        <v>46111</v>
      </c>
      <c r="P640" s="57"/>
      <c r="Q640" s="57"/>
      <c r="R640" s="61" t="s">
        <v>934</v>
      </c>
      <c r="S640" s="61" t="s">
        <v>84</v>
      </c>
    </row>
    <row r="641" spans="2:19" s="62" customFormat="1" ht="25.5" customHeight="1" outlineLevel="1" x14ac:dyDescent="0.25">
      <c r="B641" s="53"/>
      <c r="C641" s="54">
        <v>624</v>
      </c>
      <c r="D641" s="54" t="s">
        <v>431</v>
      </c>
      <c r="E641" s="55" t="s">
        <v>1482</v>
      </c>
      <c r="F641" s="64" t="s">
        <v>432</v>
      </c>
      <c r="G641" s="63">
        <v>1</v>
      </c>
      <c r="H641" s="57" t="s">
        <v>152</v>
      </c>
      <c r="I641" s="54" t="s">
        <v>1484</v>
      </c>
      <c r="J641" s="54" t="s">
        <v>1485</v>
      </c>
      <c r="K641" s="54" t="s">
        <v>1486</v>
      </c>
      <c r="L641" s="54" t="s">
        <v>436</v>
      </c>
      <c r="M641" s="54" t="s">
        <v>437</v>
      </c>
      <c r="N641" s="54" t="s">
        <v>438</v>
      </c>
      <c r="O641" s="74">
        <v>46111</v>
      </c>
      <c r="P641" s="57"/>
      <c r="Q641" s="57"/>
      <c r="R641" s="61" t="s">
        <v>934</v>
      </c>
      <c r="S641" s="61" t="s">
        <v>31</v>
      </c>
    </row>
    <row r="642" spans="2:19" s="62" customFormat="1" ht="25.5" customHeight="1" outlineLevel="1" x14ac:dyDescent="0.25">
      <c r="B642" s="53"/>
      <c r="C642" s="54">
        <v>625</v>
      </c>
      <c r="D642" s="54" t="s">
        <v>571</v>
      </c>
      <c r="E642" s="55" t="s">
        <v>1482</v>
      </c>
      <c r="F642" s="64" t="s">
        <v>572</v>
      </c>
      <c r="G642" s="63">
        <v>1</v>
      </c>
      <c r="H642" s="57" t="s">
        <v>573</v>
      </c>
      <c r="I642" s="54" t="s">
        <v>574</v>
      </c>
      <c r="J642" s="54" t="s">
        <v>575</v>
      </c>
      <c r="K642" s="54" t="s">
        <v>576</v>
      </c>
      <c r="L642" s="54" t="s">
        <v>577</v>
      </c>
      <c r="M642" s="54" t="s">
        <v>578</v>
      </c>
      <c r="N642" s="54" t="s">
        <v>579</v>
      </c>
      <c r="O642" s="74">
        <v>46111</v>
      </c>
      <c r="P642" s="57"/>
      <c r="Q642" s="57"/>
      <c r="R642" s="61" t="s">
        <v>934</v>
      </c>
      <c r="S642" s="61" t="s">
        <v>84</v>
      </c>
    </row>
    <row r="643" spans="2:19" s="62" customFormat="1" ht="25.5" customHeight="1" outlineLevel="1" x14ac:dyDescent="0.25">
      <c r="B643" s="53"/>
      <c r="C643" s="54">
        <v>626</v>
      </c>
      <c r="D643" s="54" t="s">
        <v>760</v>
      </c>
      <c r="E643" s="55" t="s">
        <v>1482</v>
      </c>
      <c r="F643" s="64" t="s">
        <v>761</v>
      </c>
      <c r="G643" s="63">
        <v>1</v>
      </c>
      <c r="H643" s="57" t="s">
        <v>61</v>
      </c>
      <c r="I643" s="54" t="s">
        <v>762</v>
      </c>
      <c r="J643" s="54" t="s">
        <v>763</v>
      </c>
      <c r="K643" s="54" t="s">
        <v>764</v>
      </c>
      <c r="L643" s="54" t="s">
        <v>765</v>
      </c>
      <c r="M643" s="54" t="s">
        <v>765</v>
      </c>
      <c r="N643" s="54" t="s">
        <v>766</v>
      </c>
      <c r="O643" s="74">
        <v>46146</v>
      </c>
      <c r="P643" s="57"/>
      <c r="Q643" s="57"/>
      <c r="R643" s="61" t="s">
        <v>934</v>
      </c>
      <c r="S643" s="61" t="s">
        <v>84</v>
      </c>
    </row>
    <row r="644" spans="2:19" s="62" customFormat="1" ht="30" customHeight="1" outlineLevel="1" x14ac:dyDescent="0.25">
      <c r="B644" s="53"/>
      <c r="C644" s="54">
        <v>627</v>
      </c>
      <c r="D644" s="54" t="s">
        <v>478</v>
      </c>
      <c r="E644" s="55" t="s">
        <v>1482</v>
      </c>
      <c r="F644" s="64" t="s">
        <v>479</v>
      </c>
      <c r="G644" s="63">
        <v>1</v>
      </c>
      <c r="H644" s="57" t="s">
        <v>111</v>
      </c>
      <c r="I644" s="54" t="s">
        <v>480</v>
      </c>
      <c r="J644" s="54" t="s">
        <v>481</v>
      </c>
      <c r="K644" s="54" t="s">
        <v>482</v>
      </c>
      <c r="L644" s="54" t="s">
        <v>483</v>
      </c>
      <c r="M644" s="54" t="s">
        <v>634</v>
      </c>
      <c r="N644" s="54" t="s">
        <v>485</v>
      </c>
      <c r="O644" s="74">
        <v>46111</v>
      </c>
      <c r="P644" s="57"/>
      <c r="Q644" s="57"/>
      <c r="R644" s="61" t="s">
        <v>934</v>
      </c>
      <c r="S644" s="61" t="s">
        <v>84</v>
      </c>
    </row>
    <row r="645" spans="2:19" s="62" customFormat="1" ht="25.5" customHeight="1" outlineLevel="1" x14ac:dyDescent="0.25">
      <c r="B645" s="53"/>
      <c r="C645" s="54">
        <v>628</v>
      </c>
      <c r="D645" s="54" t="s">
        <v>494</v>
      </c>
      <c r="E645" s="55" t="s">
        <v>1482</v>
      </c>
      <c r="F645" s="64" t="s">
        <v>495</v>
      </c>
      <c r="G645" s="63">
        <v>1</v>
      </c>
      <c r="H645" s="57" t="s">
        <v>61</v>
      </c>
      <c r="I645" s="54" t="s">
        <v>496</v>
      </c>
      <c r="J645" s="54" t="s">
        <v>497</v>
      </c>
      <c r="K645" s="54" t="s">
        <v>498</v>
      </c>
      <c r="L645" s="54" t="s">
        <v>499</v>
      </c>
      <c r="M645" s="54" t="s">
        <v>500</v>
      </c>
      <c r="N645" s="54" t="s">
        <v>501</v>
      </c>
      <c r="O645" s="74">
        <v>46146</v>
      </c>
      <c r="P645" s="57"/>
      <c r="Q645" s="57"/>
      <c r="R645" s="61" t="s">
        <v>934</v>
      </c>
      <c r="S645" s="61" t="s">
        <v>84</v>
      </c>
    </row>
    <row r="646" spans="2:19" s="62" customFormat="1" ht="25.5" customHeight="1" outlineLevel="1" x14ac:dyDescent="0.25">
      <c r="B646" s="53"/>
      <c r="C646" s="54">
        <v>629</v>
      </c>
      <c r="D646" s="54" t="s">
        <v>502</v>
      </c>
      <c r="E646" s="55" t="s">
        <v>1482</v>
      </c>
      <c r="F646" s="64" t="s">
        <v>503</v>
      </c>
      <c r="G646" s="63">
        <v>1</v>
      </c>
      <c r="H646" s="57" t="s">
        <v>61</v>
      </c>
      <c r="I646" s="54" t="s">
        <v>504</v>
      </c>
      <c r="J646" s="54" t="s">
        <v>505</v>
      </c>
      <c r="K646" s="54" t="s">
        <v>506</v>
      </c>
      <c r="L646" s="54" t="s">
        <v>283</v>
      </c>
      <c r="M646" s="54" t="s">
        <v>284</v>
      </c>
      <c r="N646" s="54" t="s">
        <v>507</v>
      </c>
      <c r="O646" s="74">
        <v>46146</v>
      </c>
      <c r="P646" s="57"/>
      <c r="Q646" s="57"/>
      <c r="R646" s="61" t="s">
        <v>934</v>
      </c>
      <c r="S646" s="61" t="s">
        <v>84</v>
      </c>
    </row>
    <row r="647" spans="2:19" s="62" customFormat="1" ht="25.5" customHeight="1" outlineLevel="1" x14ac:dyDescent="0.25">
      <c r="B647" s="53"/>
      <c r="C647" s="54">
        <v>630</v>
      </c>
      <c r="D647" s="54" t="s">
        <v>508</v>
      </c>
      <c r="E647" s="55" t="s">
        <v>1482</v>
      </c>
      <c r="F647" s="64" t="s">
        <v>509</v>
      </c>
      <c r="G647" s="63">
        <v>2</v>
      </c>
      <c r="H647" s="57" t="s">
        <v>61</v>
      </c>
      <c r="I647" s="54" t="s">
        <v>510</v>
      </c>
      <c r="J647" s="54" t="s">
        <v>511</v>
      </c>
      <c r="K647" s="54" t="s">
        <v>512</v>
      </c>
      <c r="L647" s="54" t="s">
        <v>513</v>
      </c>
      <c r="M647" s="54" t="s">
        <v>514</v>
      </c>
      <c r="N647" s="54" t="s">
        <v>515</v>
      </c>
      <c r="O647" s="74">
        <v>46146</v>
      </c>
      <c r="P647" s="57"/>
      <c r="Q647" s="57"/>
      <c r="R647" s="61" t="s">
        <v>934</v>
      </c>
      <c r="S647" s="61" t="s">
        <v>31</v>
      </c>
    </row>
    <row r="648" spans="2:19" s="62" customFormat="1" ht="25.5" customHeight="1" outlineLevel="1" x14ac:dyDescent="0.25">
      <c r="B648" s="53"/>
      <c r="C648" s="69">
        <v>631</v>
      </c>
      <c r="D648" s="54" t="s">
        <v>516</v>
      </c>
      <c r="E648" s="55" t="s">
        <v>1482</v>
      </c>
      <c r="F648" s="67" t="s">
        <v>517</v>
      </c>
      <c r="G648" s="63">
        <v>2</v>
      </c>
      <c r="H648" s="57" t="s">
        <v>61</v>
      </c>
      <c r="I648" s="64" t="s">
        <v>518</v>
      </c>
      <c r="J648" s="64" t="s">
        <v>519</v>
      </c>
      <c r="K648" s="53" t="s">
        <v>520</v>
      </c>
      <c r="L648" s="69" t="s">
        <v>521</v>
      </c>
      <c r="M648" s="69" t="s">
        <v>522</v>
      </c>
      <c r="N648" s="54" t="s">
        <v>523</v>
      </c>
      <c r="O648" s="74">
        <v>46146</v>
      </c>
      <c r="P648" s="57"/>
      <c r="Q648" s="57"/>
      <c r="R648" s="61" t="s">
        <v>934</v>
      </c>
      <c r="S648" s="61" t="s">
        <v>31</v>
      </c>
    </row>
    <row r="649" spans="2:19" s="62" customFormat="1" ht="25.5" customHeight="1" outlineLevel="1" x14ac:dyDescent="0.25">
      <c r="B649" s="53"/>
      <c r="C649" s="54">
        <v>632</v>
      </c>
      <c r="D649" s="54" t="s">
        <v>644</v>
      </c>
      <c r="E649" s="55" t="s">
        <v>1482</v>
      </c>
      <c r="F649" s="64" t="s">
        <v>645</v>
      </c>
      <c r="G649" s="63">
        <v>1</v>
      </c>
      <c r="H649" s="57" t="s">
        <v>61</v>
      </c>
      <c r="I649" s="54" t="s">
        <v>646</v>
      </c>
      <c r="J649" s="54" t="s">
        <v>647</v>
      </c>
      <c r="K649" s="54" t="s">
        <v>648</v>
      </c>
      <c r="L649" s="54" t="s">
        <v>649</v>
      </c>
      <c r="M649" s="54" t="s">
        <v>650</v>
      </c>
      <c r="N649" s="54"/>
      <c r="O649" s="74">
        <v>46146</v>
      </c>
      <c r="P649" s="57"/>
      <c r="Q649" s="57"/>
      <c r="R649" s="61" t="s">
        <v>934</v>
      </c>
      <c r="S649" s="61" t="s">
        <v>793</v>
      </c>
    </row>
    <row r="650" spans="2:19" x14ac:dyDescent="0.25">
      <c r="G650" s="17">
        <f>SUBTOTAL(9,G156:G649)</f>
        <v>3083</v>
      </c>
    </row>
    <row r="651" spans="2:19" x14ac:dyDescent="0.25">
      <c r="G651" s="17">
        <v>2</v>
      </c>
    </row>
    <row r="652" spans="2:19" x14ac:dyDescent="0.25">
      <c r="G652" s="17">
        <v>3</v>
      </c>
    </row>
  </sheetData>
  <conditionalFormatting sqref="C1:C1048576">
    <cfRule type="expression" dxfId="2" priority="1">
      <formula>ISNUMBER(SEARCH(CHAR(10),C1))</formula>
    </cfRule>
  </conditionalFormatting>
  <conditionalFormatting sqref="L509:M509">
    <cfRule type="expression" dxfId="1" priority="3">
      <formula>ISNUMBER(SEARCH(CHAR(10),L509))</formula>
    </cfRule>
  </conditionalFormatting>
  <conditionalFormatting sqref="M1:M508 M510:M1048576">
    <cfRule type="expression" dxfId="0" priority="4">
      <formula>ISNUMBER(SEARCH(CHAR(10),M1))</formula>
    </cfRule>
  </conditionalFormatting>
  <hyperlinks>
    <hyperlink ref="K17" r:id="rId1" xr:uid="{00000000-0004-0000-0B00-000000000000}"/>
    <hyperlink ref="K77" r:id="rId2" xr:uid="{00000000-0004-0000-0B00-000001000000}"/>
    <hyperlink ref="K88" r:id="rId3" display="krunoslav.fuckor@pravo.hr, " xr:uid="{00000000-0004-0000-0B00-000002000000}"/>
    <hyperlink ref="K194" r:id="rId4" xr:uid="{00000000-0004-0000-0B00-000003000000}"/>
    <hyperlink ref="K210" r:id="rId5" display="krunoslav.fuckor@pravo.hr, " xr:uid="{00000000-0004-0000-0B00-000004000000}"/>
    <hyperlink ref="K272" r:id="rId6" display="krunoslav.fuckor@pravo.hr, " xr:uid="{00000000-0004-0000-0B00-000005000000}"/>
    <hyperlink ref="K329" r:id="rId7" display="krunoslav.fuckor@pravo.hr, " xr:uid="{00000000-0004-0000-0B00-000006000000}"/>
    <hyperlink ref="K509" r:id="rId8" xr:uid="{00000000-0004-0000-0B00-000007000000}"/>
    <hyperlink ref="K619" r:id="rId9" xr:uid="{00000000-0004-0000-0B00-000008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84"/>
  <sheetViews>
    <sheetView workbookViewId="0">
      <pane ySplit="1" topLeftCell="A68" activePane="bottomLeft" state="frozen"/>
      <selection pane="bottomLeft" activeCell="H86" sqref="H86"/>
    </sheetView>
  </sheetViews>
  <sheetFormatPr defaultColWidth="8.85546875" defaultRowHeight="15" x14ac:dyDescent="0.25"/>
  <cols>
    <col min="1" max="1" width="34" customWidth="1"/>
    <col min="2" max="2" width="30" customWidth="1"/>
    <col min="3" max="3" width="16" customWidth="1"/>
    <col min="4" max="4" width="10" customWidth="1"/>
    <col min="5" max="5" width="16" customWidth="1"/>
    <col min="6" max="6" width="36" customWidth="1"/>
    <col min="7" max="7" width="24" customWidth="1"/>
    <col min="8" max="8" width="18" customWidth="1"/>
    <col min="9" max="9" width="28" customWidth="1"/>
    <col min="10" max="10" width="24" customWidth="1"/>
    <col min="11" max="11" width="30" customWidth="1"/>
  </cols>
  <sheetData>
    <row r="1" spans="1:11" ht="45" customHeight="1" x14ac:dyDescent="0.25">
      <c r="A1" s="5" t="s">
        <v>1487</v>
      </c>
      <c r="B1" s="5" t="s">
        <v>1488</v>
      </c>
      <c r="C1" s="5" t="s">
        <v>1489</v>
      </c>
      <c r="D1" s="5" t="s">
        <v>4</v>
      </c>
      <c r="E1" s="5" t="s">
        <v>14</v>
      </c>
      <c r="F1" s="5" t="s">
        <v>1490</v>
      </c>
      <c r="G1" s="5" t="s">
        <v>1491</v>
      </c>
      <c r="H1" s="5" t="s">
        <v>1492</v>
      </c>
      <c r="I1" s="5" t="s">
        <v>1493</v>
      </c>
      <c r="J1" s="5" t="s">
        <v>1494</v>
      </c>
      <c r="K1" s="5" t="s">
        <v>1495</v>
      </c>
    </row>
    <row r="2" spans="1:11" x14ac:dyDescent="0.25">
      <c r="G2" t="s">
        <v>9</v>
      </c>
      <c r="H2" t="s">
        <v>1496</v>
      </c>
      <c r="I2" t="s">
        <v>11</v>
      </c>
      <c r="J2" t="s">
        <v>1497</v>
      </c>
    </row>
    <row r="3" spans="1:11" x14ac:dyDescent="0.25">
      <c r="A3" t="s">
        <v>919</v>
      </c>
      <c r="B3" t="s">
        <v>1020</v>
      </c>
      <c r="C3" t="s">
        <v>61</v>
      </c>
      <c r="D3">
        <v>202</v>
      </c>
      <c r="E3">
        <v>76023745044</v>
      </c>
      <c r="F3" t="s">
        <v>1021</v>
      </c>
      <c r="G3" t="s">
        <v>1017</v>
      </c>
      <c r="H3" t="s">
        <v>1018</v>
      </c>
      <c r="I3" t="s">
        <v>1019</v>
      </c>
      <c r="J3" t="s">
        <v>919</v>
      </c>
    </row>
    <row r="4" spans="1:11" x14ac:dyDescent="0.25">
      <c r="A4" t="s">
        <v>303</v>
      </c>
      <c r="B4" t="s">
        <v>307</v>
      </c>
      <c r="C4" t="s">
        <v>61</v>
      </c>
      <c r="D4">
        <v>215</v>
      </c>
      <c r="E4">
        <v>52097842295</v>
      </c>
      <c r="F4" t="s">
        <v>307</v>
      </c>
      <c r="G4" t="s">
        <v>304</v>
      </c>
      <c r="H4" t="s">
        <v>305</v>
      </c>
      <c r="I4" t="s">
        <v>306</v>
      </c>
      <c r="J4" t="s">
        <v>303</v>
      </c>
    </row>
    <row r="5" spans="1:11" x14ac:dyDescent="0.25">
      <c r="F5" t="s">
        <v>1498</v>
      </c>
    </row>
    <row r="6" spans="1:11" x14ac:dyDescent="0.25">
      <c r="A6" t="s">
        <v>761</v>
      </c>
      <c r="B6" t="s">
        <v>765</v>
      </c>
      <c r="C6" t="s">
        <v>61</v>
      </c>
      <c r="D6">
        <v>214</v>
      </c>
      <c r="E6">
        <v>95847257607</v>
      </c>
      <c r="F6" t="s">
        <v>765</v>
      </c>
      <c r="G6" t="s">
        <v>762</v>
      </c>
      <c r="H6" t="s">
        <v>763</v>
      </c>
      <c r="I6" t="s">
        <v>764</v>
      </c>
      <c r="J6" t="s">
        <v>761</v>
      </c>
      <c r="K6" t="s">
        <v>1499</v>
      </c>
    </row>
    <row r="7" spans="1:11" x14ac:dyDescent="0.25">
      <c r="F7" t="s">
        <v>1500</v>
      </c>
    </row>
    <row r="8" spans="1:11" x14ac:dyDescent="0.25">
      <c r="A8" t="s">
        <v>319</v>
      </c>
      <c r="B8" t="s">
        <v>323</v>
      </c>
      <c r="C8" t="s">
        <v>111</v>
      </c>
      <c r="D8">
        <v>1939</v>
      </c>
      <c r="E8">
        <v>55704161999</v>
      </c>
      <c r="F8" t="s">
        <v>324</v>
      </c>
      <c r="G8" t="s">
        <v>320</v>
      </c>
      <c r="H8" t="s">
        <v>321</v>
      </c>
      <c r="I8" t="s">
        <v>322</v>
      </c>
      <c r="J8" t="s">
        <v>319</v>
      </c>
    </row>
    <row r="9" spans="1:11" x14ac:dyDescent="0.25">
      <c r="A9" t="s">
        <v>917</v>
      </c>
      <c r="B9" t="s">
        <v>967</v>
      </c>
      <c r="C9" t="s">
        <v>152</v>
      </c>
      <c r="D9">
        <v>3927</v>
      </c>
      <c r="E9">
        <v>60277424315</v>
      </c>
      <c r="F9" t="s">
        <v>985</v>
      </c>
      <c r="G9" t="s">
        <v>964</v>
      </c>
      <c r="H9" t="s">
        <v>965</v>
      </c>
      <c r="I9" t="s">
        <v>966</v>
      </c>
      <c r="J9" t="s">
        <v>303</v>
      </c>
    </row>
    <row r="10" spans="1:11" x14ac:dyDescent="0.25">
      <c r="F10" t="s">
        <v>968</v>
      </c>
    </row>
    <row r="11" spans="1:11" x14ac:dyDescent="0.25">
      <c r="A11" t="s">
        <v>248</v>
      </c>
      <c r="B11" t="s">
        <v>252</v>
      </c>
      <c r="C11" t="s">
        <v>61</v>
      </c>
      <c r="D11">
        <v>141</v>
      </c>
      <c r="E11">
        <v>42061107444</v>
      </c>
      <c r="F11" t="s">
        <v>531</v>
      </c>
      <c r="G11" t="s">
        <v>1067</v>
      </c>
      <c r="H11">
        <v>385919845267</v>
      </c>
      <c r="I11" t="s">
        <v>1069</v>
      </c>
      <c r="J11" t="s">
        <v>248</v>
      </c>
    </row>
    <row r="12" spans="1:11" x14ac:dyDescent="0.25">
      <c r="F12" t="s">
        <v>535</v>
      </c>
      <c r="G12" t="s">
        <v>532</v>
      </c>
      <c r="H12">
        <v>38598302567</v>
      </c>
      <c r="I12" t="s">
        <v>534</v>
      </c>
    </row>
    <row r="13" spans="1:11" x14ac:dyDescent="0.25">
      <c r="A13" t="s">
        <v>208</v>
      </c>
      <c r="B13" t="s">
        <v>212</v>
      </c>
      <c r="C13" t="s">
        <v>61</v>
      </c>
      <c r="D13">
        <v>3340</v>
      </c>
      <c r="E13">
        <v>34967762426</v>
      </c>
      <c r="F13" t="s">
        <v>213</v>
      </c>
      <c r="G13" t="s">
        <v>209</v>
      </c>
      <c r="H13" t="s">
        <v>210</v>
      </c>
      <c r="I13" t="s">
        <v>211</v>
      </c>
      <c r="J13" t="s">
        <v>208</v>
      </c>
      <c r="K13" t="s">
        <v>1501</v>
      </c>
    </row>
    <row r="14" spans="1:11" x14ac:dyDescent="0.25">
      <c r="A14" t="s">
        <v>769</v>
      </c>
      <c r="B14" t="s">
        <v>773</v>
      </c>
      <c r="C14" t="s">
        <v>61</v>
      </c>
      <c r="D14">
        <v>152</v>
      </c>
      <c r="E14">
        <v>27208467122</v>
      </c>
      <c r="F14" t="s">
        <v>774</v>
      </c>
      <c r="G14" t="s">
        <v>770</v>
      </c>
      <c r="H14" t="s">
        <v>771</v>
      </c>
      <c r="I14" t="s">
        <v>772</v>
      </c>
      <c r="J14" t="s">
        <v>769</v>
      </c>
    </row>
    <row r="15" spans="1:11" x14ac:dyDescent="0.25">
      <c r="A15" t="s">
        <v>311</v>
      </c>
      <c r="B15" t="s">
        <v>315</v>
      </c>
      <c r="C15" t="s">
        <v>152</v>
      </c>
      <c r="D15">
        <v>125</v>
      </c>
      <c r="E15">
        <v>52778515544</v>
      </c>
      <c r="F15" t="s">
        <v>316</v>
      </c>
      <c r="G15" t="s">
        <v>312</v>
      </c>
      <c r="H15">
        <v>385912244189</v>
      </c>
      <c r="I15" t="s">
        <v>314</v>
      </c>
      <c r="J15" t="s">
        <v>311</v>
      </c>
    </row>
    <row r="16" spans="1:11" x14ac:dyDescent="0.25">
      <c r="A16" t="s">
        <v>448</v>
      </c>
      <c r="B16" t="s">
        <v>452</v>
      </c>
      <c r="C16" t="s">
        <v>24</v>
      </c>
      <c r="D16">
        <v>316</v>
      </c>
      <c r="E16">
        <v>84477684422</v>
      </c>
      <c r="F16" t="s">
        <v>453</v>
      </c>
      <c r="G16" t="s">
        <v>449</v>
      </c>
      <c r="H16" t="s">
        <v>450</v>
      </c>
      <c r="I16" t="s">
        <v>451</v>
      </c>
      <c r="J16" t="s">
        <v>448</v>
      </c>
    </row>
    <row r="17" spans="1:11" x14ac:dyDescent="0.25">
      <c r="A17" t="s">
        <v>537</v>
      </c>
      <c r="B17" t="s">
        <v>541</v>
      </c>
      <c r="C17" t="s">
        <v>111</v>
      </c>
      <c r="D17">
        <v>290</v>
      </c>
      <c r="E17">
        <v>26093119930</v>
      </c>
      <c r="F17" t="s">
        <v>541</v>
      </c>
      <c r="G17" t="s">
        <v>538</v>
      </c>
      <c r="H17" t="s">
        <v>539</v>
      </c>
      <c r="I17" t="s">
        <v>540</v>
      </c>
      <c r="J17" t="s">
        <v>537</v>
      </c>
    </row>
    <row r="18" spans="1:11" x14ac:dyDescent="0.25">
      <c r="A18" t="s">
        <v>487</v>
      </c>
      <c r="B18" t="s">
        <v>491</v>
      </c>
      <c r="C18" t="s">
        <v>152</v>
      </c>
      <c r="D18">
        <v>158</v>
      </c>
      <c r="E18">
        <v>98816779821</v>
      </c>
      <c r="F18" t="s">
        <v>492</v>
      </c>
      <c r="G18" t="s">
        <v>488</v>
      </c>
      <c r="H18" t="s">
        <v>489</v>
      </c>
      <c r="I18" t="s">
        <v>490</v>
      </c>
      <c r="J18" t="s">
        <v>487</v>
      </c>
    </row>
    <row r="19" spans="1:11" x14ac:dyDescent="0.25">
      <c r="A19" t="s">
        <v>335</v>
      </c>
      <c r="B19" t="s">
        <v>339</v>
      </c>
      <c r="C19" t="s">
        <v>61</v>
      </c>
      <c r="D19">
        <v>138</v>
      </c>
      <c r="E19">
        <v>57029260362</v>
      </c>
      <c r="F19" t="s">
        <v>543</v>
      </c>
      <c r="G19" t="s">
        <v>336</v>
      </c>
      <c r="H19" t="s">
        <v>337</v>
      </c>
      <c r="I19" t="s">
        <v>338</v>
      </c>
      <c r="J19" t="s">
        <v>335</v>
      </c>
    </row>
    <row r="20" spans="1:11" x14ac:dyDescent="0.25">
      <c r="F20" t="s">
        <v>1404</v>
      </c>
    </row>
    <row r="21" spans="1:11" x14ac:dyDescent="0.25">
      <c r="A21" t="s">
        <v>464</v>
      </c>
      <c r="B21" t="s">
        <v>468</v>
      </c>
      <c r="C21" t="s">
        <v>152</v>
      </c>
      <c r="D21">
        <v>199</v>
      </c>
      <c r="E21">
        <v>95494259952</v>
      </c>
      <c r="F21" t="s">
        <v>1133</v>
      </c>
      <c r="G21" t="s">
        <v>465</v>
      </c>
      <c r="H21" t="s">
        <v>466</v>
      </c>
      <c r="I21" t="s">
        <v>467</v>
      </c>
      <c r="J21" t="s">
        <v>464</v>
      </c>
    </row>
    <row r="22" spans="1:11" x14ac:dyDescent="0.25">
      <c r="F22" t="s">
        <v>469</v>
      </c>
    </row>
    <row r="23" spans="1:11" x14ac:dyDescent="0.25">
      <c r="A23" t="s">
        <v>22</v>
      </c>
      <c r="B23" t="s">
        <v>28</v>
      </c>
      <c r="C23" t="s">
        <v>24</v>
      </c>
      <c r="D23">
        <v>133</v>
      </c>
      <c r="E23">
        <v>857144221</v>
      </c>
      <c r="F23" t="s">
        <v>29</v>
      </c>
      <c r="G23" t="s">
        <v>25</v>
      </c>
      <c r="H23" t="s">
        <v>26</v>
      </c>
      <c r="I23" t="s">
        <v>27</v>
      </c>
      <c r="J23" t="s">
        <v>22</v>
      </c>
    </row>
    <row r="24" spans="1:11" x14ac:dyDescent="0.25">
      <c r="A24" t="s">
        <v>160</v>
      </c>
      <c r="B24" t="s">
        <v>164</v>
      </c>
      <c r="C24" t="s">
        <v>61</v>
      </c>
      <c r="D24">
        <v>205</v>
      </c>
      <c r="E24">
        <v>26975482530</v>
      </c>
      <c r="F24" t="s">
        <v>164</v>
      </c>
      <c r="G24" t="s">
        <v>161</v>
      </c>
      <c r="H24">
        <v>989478881</v>
      </c>
      <c r="I24" t="s">
        <v>163</v>
      </c>
      <c r="J24" t="s">
        <v>160</v>
      </c>
    </row>
    <row r="25" spans="1:11" x14ac:dyDescent="0.25">
      <c r="A25" t="s">
        <v>545</v>
      </c>
      <c r="B25" t="s">
        <v>549</v>
      </c>
      <c r="C25" t="s">
        <v>24</v>
      </c>
      <c r="D25">
        <v>163</v>
      </c>
      <c r="E25">
        <v>83615500218</v>
      </c>
      <c r="F25" t="s">
        <v>550</v>
      </c>
      <c r="G25" t="s">
        <v>546</v>
      </c>
      <c r="H25" t="s">
        <v>547</v>
      </c>
      <c r="I25" t="s">
        <v>548</v>
      </c>
      <c r="J25" t="s">
        <v>545</v>
      </c>
    </row>
    <row r="26" spans="1:11" x14ac:dyDescent="0.25">
      <c r="A26" t="s">
        <v>495</v>
      </c>
      <c r="B26" t="s">
        <v>499</v>
      </c>
      <c r="C26" t="s">
        <v>61</v>
      </c>
      <c r="D26">
        <v>3324</v>
      </c>
      <c r="E26">
        <v>99454315441</v>
      </c>
      <c r="F26" t="s">
        <v>500</v>
      </c>
      <c r="G26" t="s">
        <v>496</v>
      </c>
      <c r="H26" t="s">
        <v>497</v>
      </c>
      <c r="I26" t="s">
        <v>498</v>
      </c>
      <c r="J26" t="s">
        <v>495</v>
      </c>
    </row>
    <row r="27" spans="1:11" x14ac:dyDescent="0.25">
      <c r="A27" t="s">
        <v>408</v>
      </c>
      <c r="B27" t="s">
        <v>412</v>
      </c>
      <c r="C27" t="s">
        <v>61</v>
      </c>
      <c r="D27">
        <v>184</v>
      </c>
      <c r="E27">
        <v>71259740533</v>
      </c>
      <c r="F27" t="s">
        <v>552</v>
      </c>
      <c r="G27" t="s">
        <v>409</v>
      </c>
      <c r="H27" t="s">
        <v>410</v>
      </c>
      <c r="I27" t="s">
        <v>411</v>
      </c>
      <c r="J27" t="s">
        <v>408</v>
      </c>
    </row>
    <row r="28" spans="1:11" x14ac:dyDescent="0.25">
      <c r="F28" t="s">
        <v>923</v>
      </c>
    </row>
    <row r="29" spans="1:11" x14ac:dyDescent="0.25">
      <c r="A29" t="s">
        <v>35</v>
      </c>
      <c r="B29" t="s">
        <v>40</v>
      </c>
      <c r="C29" t="s">
        <v>36</v>
      </c>
      <c r="D29">
        <v>131</v>
      </c>
      <c r="E29">
        <v>2024882310</v>
      </c>
      <c r="F29" t="s">
        <v>553</v>
      </c>
      <c r="G29" t="s">
        <v>37</v>
      </c>
      <c r="H29" t="s">
        <v>38</v>
      </c>
      <c r="I29" t="s">
        <v>39</v>
      </c>
      <c r="J29" t="s">
        <v>35</v>
      </c>
      <c r="K29" t="s">
        <v>1502</v>
      </c>
    </row>
    <row r="30" spans="1:11" x14ac:dyDescent="0.25">
      <c r="F30" t="s">
        <v>858</v>
      </c>
    </row>
    <row r="31" spans="1:11" x14ac:dyDescent="0.25">
      <c r="A31" t="s">
        <v>167</v>
      </c>
      <c r="B31" t="s">
        <v>171</v>
      </c>
      <c r="C31" t="s">
        <v>61</v>
      </c>
      <c r="D31">
        <v>130</v>
      </c>
      <c r="E31">
        <v>28011548575</v>
      </c>
      <c r="F31" t="s">
        <v>172</v>
      </c>
      <c r="G31" t="s">
        <v>168</v>
      </c>
      <c r="H31" t="s">
        <v>169</v>
      </c>
      <c r="I31" t="s">
        <v>170</v>
      </c>
      <c r="J31" t="s">
        <v>167</v>
      </c>
    </row>
    <row r="32" spans="1:11" x14ac:dyDescent="0.25">
      <c r="A32" t="s">
        <v>327</v>
      </c>
      <c r="B32" t="s">
        <v>331</v>
      </c>
      <c r="C32" t="s">
        <v>152</v>
      </c>
      <c r="D32">
        <v>275</v>
      </c>
      <c r="E32">
        <v>56597320763</v>
      </c>
      <c r="F32" t="s">
        <v>332</v>
      </c>
      <c r="G32" t="s">
        <v>328</v>
      </c>
      <c r="H32" t="s">
        <v>329</v>
      </c>
      <c r="I32" t="s">
        <v>330</v>
      </c>
      <c r="J32" t="s">
        <v>327</v>
      </c>
    </row>
    <row r="33" spans="1:10" x14ac:dyDescent="0.25">
      <c r="A33" t="s">
        <v>555</v>
      </c>
      <c r="B33" t="s">
        <v>559</v>
      </c>
      <c r="C33" t="s">
        <v>61</v>
      </c>
      <c r="D33">
        <v>191</v>
      </c>
      <c r="E33">
        <v>25410051374</v>
      </c>
      <c r="F33" t="s">
        <v>1311</v>
      </c>
      <c r="G33" t="s">
        <v>1308</v>
      </c>
      <c r="H33">
        <v>385992529898</v>
      </c>
      <c r="I33" t="s">
        <v>1310</v>
      </c>
      <c r="J33" t="s">
        <v>555</v>
      </c>
    </row>
    <row r="34" spans="1:10" x14ac:dyDescent="0.25">
      <c r="F34" t="s">
        <v>560</v>
      </c>
    </row>
    <row r="35" spans="1:10" x14ac:dyDescent="0.25">
      <c r="F35" t="s">
        <v>1354</v>
      </c>
    </row>
    <row r="36" spans="1:10" x14ac:dyDescent="0.25">
      <c r="A36" t="s">
        <v>920</v>
      </c>
      <c r="B36" t="s">
        <v>951</v>
      </c>
      <c r="C36" t="s">
        <v>61</v>
      </c>
      <c r="D36">
        <v>180</v>
      </c>
      <c r="E36">
        <v>22910368449</v>
      </c>
      <c r="F36" t="s">
        <v>952</v>
      </c>
      <c r="G36" t="s">
        <v>948</v>
      </c>
      <c r="H36" t="s">
        <v>949</v>
      </c>
      <c r="I36" t="s">
        <v>950</v>
      </c>
      <c r="J36" t="s">
        <v>920</v>
      </c>
    </row>
    <row r="37" spans="1:10" x14ac:dyDescent="0.25">
      <c r="F37" t="s">
        <v>1503</v>
      </c>
    </row>
    <row r="38" spans="1:10" x14ac:dyDescent="0.25">
      <c r="A38" t="s">
        <v>563</v>
      </c>
      <c r="B38" t="s">
        <v>567</v>
      </c>
      <c r="C38" t="s">
        <v>61</v>
      </c>
      <c r="D38">
        <v>153</v>
      </c>
      <c r="E38">
        <v>7699719217</v>
      </c>
      <c r="F38" t="s">
        <v>568</v>
      </c>
      <c r="G38" t="s">
        <v>564</v>
      </c>
      <c r="H38" t="s">
        <v>565</v>
      </c>
      <c r="I38" t="s">
        <v>566</v>
      </c>
      <c r="J38" t="s">
        <v>563</v>
      </c>
    </row>
    <row r="39" spans="1:10" x14ac:dyDescent="0.25">
      <c r="A39" t="s">
        <v>86</v>
      </c>
      <c r="B39" t="s">
        <v>91</v>
      </c>
      <c r="C39" t="s">
        <v>87</v>
      </c>
      <c r="D39">
        <v>3409</v>
      </c>
      <c r="E39">
        <v>11614501047</v>
      </c>
      <c r="F39" t="s">
        <v>92</v>
      </c>
      <c r="G39" t="s">
        <v>88</v>
      </c>
      <c r="H39" t="s">
        <v>89</v>
      </c>
      <c r="I39" t="s">
        <v>90</v>
      </c>
      <c r="J39" t="s">
        <v>86</v>
      </c>
    </row>
    <row r="40" spans="1:10" x14ac:dyDescent="0.25">
      <c r="A40" t="s">
        <v>440</v>
      </c>
      <c r="B40" t="s">
        <v>444</v>
      </c>
      <c r="C40" t="s">
        <v>152</v>
      </c>
      <c r="D40">
        <v>5717</v>
      </c>
      <c r="E40">
        <v>83830458507</v>
      </c>
      <c r="F40" t="s">
        <v>570</v>
      </c>
      <c r="G40" t="s">
        <v>1504</v>
      </c>
      <c r="H40" t="s">
        <v>1505</v>
      </c>
      <c r="I40" t="s">
        <v>1506</v>
      </c>
      <c r="J40" t="s">
        <v>440</v>
      </c>
    </row>
    <row r="41" spans="1:10" x14ac:dyDescent="0.25">
      <c r="F41" t="s">
        <v>1031</v>
      </c>
      <c r="G41" t="s">
        <v>1028</v>
      </c>
      <c r="H41" t="s">
        <v>1029</v>
      </c>
      <c r="I41" t="s">
        <v>1030</v>
      </c>
    </row>
    <row r="42" spans="1:10" x14ac:dyDescent="0.25">
      <c r="F42" t="s">
        <v>1170</v>
      </c>
      <c r="G42" t="s">
        <v>1504</v>
      </c>
      <c r="H42" t="s">
        <v>1505</v>
      </c>
      <c r="I42" t="s">
        <v>1506</v>
      </c>
    </row>
    <row r="43" spans="1:10" x14ac:dyDescent="0.25">
      <c r="A43" t="s">
        <v>572</v>
      </c>
      <c r="B43" t="s">
        <v>577</v>
      </c>
      <c r="C43" t="s">
        <v>573</v>
      </c>
      <c r="D43">
        <v>174</v>
      </c>
      <c r="E43">
        <v>85799845149</v>
      </c>
      <c r="F43" t="s">
        <v>578</v>
      </c>
      <c r="G43" t="s">
        <v>574</v>
      </c>
      <c r="H43" t="s">
        <v>575</v>
      </c>
      <c r="I43" t="s">
        <v>576</v>
      </c>
      <c r="J43" t="s">
        <v>572</v>
      </c>
    </row>
    <row r="44" spans="1:10" x14ac:dyDescent="0.25">
      <c r="A44" t="s">
        <v>175</v>
      </c>
      <c r="B44" t="s">
        <v>179</v>
      </c>
      <c r="C44" t="s">
        <v>152</v>
      </c>
      <c r="D44">
        <v>3637</v>
      </c>
      <c r="E44">
        <v>28082679513</v>
      </c>
      <c r="F44" t="s">
        <v>180</v>
      </c>
      <c r="G44" t="s">
        <v>176</v>
      </c>
      <c r="H44" t="s">
        <v>177</v>
      </c>
      <c r="I44" t="s">
        <v>178</v>
      </c>
      <c r="J44" t="s">
        <v>175</v>
      </c>
    </row>
    <row r="45" spans="1:10" x14ac:dyDescent="0.25">
      <c r="A45" t="s">
        <v>110</v>
      </c>
      <c r="B45" t="s">
        <v>115</v>
      </c>
      <c r="C45" t="s">
        <v>111</v>
      </c>
      <c r="D45">
        <v>4660</v>
      </c>
      <c r="E45">
        <v>19213484918</v>
      </c>
      <c r="F45" t="s">
        <v>115</v>
      </c>
      <c r="G45" t="s">
        <v>112</v>
      </c>
      <c r="H45" t="s">
        <v>113</v>
      </c>
      <c r="I45" t="s">
        <v>114</v>
      </c>
      <c r="J45" t="s">
        <v>110</v>
      </c>
    </row>
    <row r="46" spans="1:10" x14ac:dyDescent="0.25">
      <c r="A46" t="s">
        <v>581</v>
      </c>
      <c r="B46" t="s">
        <v>585</v>
      </c>
      <c r="C46" t="s">
        <v>61</v>
      </c>
      <c r="D46">
        <v>121</v>
      </c>
      <c r="E46">
        <v>14509285435</v>
      </c>
      <c r="F46" t="s">
        <v>1009</v>
      </c>
      <c r="G46" t="s">
        <v>582</v>
      </c>
      <c r="H46">
        <v>98806500</v>
      </c>
      <c r="I46" t="s">
        <v>584</v>
      </c>
      <c r="J46" t="s">
        <v>581</v>
      </c>
    </row>
    <row r="47" spans="1:10" x14ac:dyDescent="0.25">
      <c r="F47" t="s">
        <v>586</v>
      </c>
    </row>
    <row r="48" spans="1:10" x14ac:dyDescent="0.25">
      <c r="F48" t="s">
        <v>1171</v>
      </c>
    </row>
    <row r="49" spans="1:11" x14ac:dyDescent="0.25">
      <c r="A49" t="s">
        <v>351</v>
      </c>
      <c r="B49" t="s">
        <v>355</v>
      </c>
      <c r="C49" t="s">
        <v>152</v>
      </c>
      <c r="D49">
        <v>181</v>
      </c>
      <c r="E49">
        <v>58868871646</v>
      </c>
      <c r="F49" t="s">
        <v>355</v>
      </c>
      <c r="G49" t="s">
        <v>352</v>
      </c>
      <c r="H49" t="s">
        <v>353</v>
      </c>
      <c r="I49" t="s">
        <v>354</v>
      </c>
      <c r="J49" t="s">
        <v>351</v>
      </c>
    </row>
    <row r="50" spans="1:11" x14ac:dyDescent="0.25">
      <c r="A50" t="s">
        <v>392</v>
      </c>
      <c r="B50" t="s">
        <v>396</v>
      </c>
      <c r="C50" t="s">
        <v>111</v>
      </c>
      <c r="D50">
        <v>1907</v>
      </c>
      <c r="E50">
        <v>70505505759</v>
      </c>
      <c r="F50" t="s">
        <v>397</v>
      </c>
      <c r="G50" t="s">
        <v>393</v>
      </c>
      <c r="H50" t="s">
        <v>394</v>
      </c>
      <c r="I50" t="s">
        <v>395</v>
      </c>
      <c r="J50" t="s">
        <v>392</v>
      </c>
    </row>
    <row r="51" spans="1:11" x14ac:dyDescent="0.25">
      <c r="A51" t="s">
        <v>589</v>
      </c>
      <c r="B51" t="s">
        <v>593</v>
      </c>
      <c r="C51" t="s">
        <v>24</v>
      </c>
      <c r="D51">
        <v>5769</v>
      </c>
      <c r="E51">
        <v>98004523293</v>
      </c>
      <c r="F51" t="s">
        <v>594</v>
      </c>
      <c r="G51" t="s">
        <v>590</v>
      </c>
      <c r="H51" t="s">
        <v>591</v>
      </c>
      <c r="I51" t="s">
        <v>592</v>
      </c>
      <c r="J51" t="s">
        <v>392</v>
      </c>
    </row>
    <row r="52" spans="1:11" x14ac:dyDescent="0.25">
      <c r="A52" t="s">
        <v>597</v>
      </c>
      <c r="B52" t="s">
        <v>601</v>
      </c>
      <c r="C52" t="s">
        <v>61</v>
      </c>
      <c r="D52">
        <v>186</v>
      </c>
      <c r="E52">
        <v>90633715804</v>
      </c>
      <c r="F52" t="s">
        <v>602</v>
      </c>
      <c r="G52" t="s">
        <v>598</v>
      </c>
      <c r="H52" t="s">
        <v>599</v>
      </c>
      <c r="I52" t="s">
        <v>600</v>
      </c>
      <c r="J52" t="s">
        <v>597</v>
      </c>
    </row>
    <row r="53" spans="1:11" x14ac:dyDescent="0.25">
      <c r="F53" t="s">
        <v>1507</v>
      </c>
    </row>
    <row r="54" spans="1:11" x14ac:dyDescent="0.25">
      <c r="A54" t="s">
        <v>264</v>
      </c>
      <c r="B54" t="s">
        <v>252</v>
      </c>
      <c r="C54" t="s">
        <v>61</v>
      </c>
      <c r="D54">
        <v>122</v>
      </c>
      <c r="E54">
        <v>43594593297</v>
      </c>
      <c r="F54" t="s">
        <v>268</v>
      </c>
      <c r="G54" t="s">
        <v>265</v>
      </c>
      <c r="H54" t="s">
        <v>266</v>
      </c>
      <c r="I54" t="s">
        <v>267</v>
      </c>
      <c r="J54" t="s">
        <v>264</v>
      </c>
    </row>
    <row r="55" spans="1:11" x14ac:dyDescent="0.25">
      <c r="A55" t="s">
        <v>95</v>
      </c>
      <c r="B55" t="s">
        <v>99</v>
      </c>
      <c r="C55" t="s">
        <v>36</v>
      </c>
      <c r="D55">
        <v>198</v>
      </c>
      <c r="E55">
        <v>16146181375</v>
      </c>
      <c r="F55" t="s">
        <v>100</v>
      </c>
      <c r="G55" t="s">
        <v>96</v>
      </c>
      <c r="H55" t="s">
        <v>97</v>
      </c>
      <c r="I55" t="s">
        <v>98</v>
      </c>
      <c r="J55" t="s">
        <v>95</v>
      </c>
    </row>
    <row r="56" spans="1:11" x14ac:dyDescent="0.25">
      <c r="A56" t="s">
        <v>456</v>
      </c>
      <c r="B56" t="s">
        <v>460</v>
      </c>
      <c r="C56" t="s">
        <v>111</v>
      </c>
      <c r="D56">
        <v>172</v>
      </c>
      <c r="E56">
        <v>92037849504</v>
      </c>
      <c r="F56" t="s">
        <v>461</v>
      </c>
      <c r="G56" t="s">
        <v>457</v>
      </c>
      <c r="H56" t="s">
        <v>458</v>
      </c>
      <c r="I56" t="s">
        <v>459</v>
      </c>
      <c r="J56" t="s">
        <v>456</v>
      </c>
      <c r="K56" t="s">
        <v>1508</v>
      </c>
    </row>
    <row r="57" spans="1:11" x14ac:dyDescent="0.25">
      <c r="A57" t="s">
        <v>605</v>
      </c>
      <c r="B57" t="s">
        <v>252</v>
      </c>
      <c r="C57" t="s">
        <v>61</v>
      </c>
      <c r="D57">
        <v>161</v>
      </c>
      <c r="E57">
        <v>62924153420</v>
      </c>
      <c r="F57" t="s">
        <v>609</v>
      </c>
      <c r="G57" t="s">
        <v>606</v>
      </c>
      <c r="H57" t="s">
        <v>607</v>
      </c>
      <c r="I57" t="s">
        <v>608</v>
      </c>
      <c r="J57" t="s">
        <v>605</v>
      </c>
    </row>
    <row r="58" spans="1:11" x14ac:dyDescent="0.25">
      <c r="A58" t="s">
        <v>918</v>
      </c>
      <c r="B58" t="s">
        <v>1083</v>
      </c>
      <c r="C58" t="s">
        <v>152</v>
      </c>
      <c r="D58">
        <v>5499</v>
      </c>
      <c r="E58">
        <v>4150850819</v>
      </c>
      <c r="F58" t="s">
        <v>1509</v>
      </c>
      <c r="G58" t="s">
        <v>1080</v>
      </c>
      <c r="H58">
        <v>385912240766</v>
      </c>
      <c r="I58" t="s">
        <v>1082</v>
      </c>
      <c r="J58" t="s">
        <v>918</v>
      </c>
    </row>
    <row r="59" spans="1:11" x14ac:dyDescent="0.25">
      <c r="A59" t="s">
        <v>143</v>
      </c>
      <c r="B59" t="s">
        <v>147</v>
      </c>
      <c r="C59" t="s">
        <v>61</v>
      </c>
      <c r="D59">
        <v>185</v>
      </c>
      <c r="E59">
        <v>25564990903</v>
      </c>
      <c r="F59" t="s">
        <v>148</v>
      </c>
      <c r="G59" t="s">
        <v>144</v>
      </c>
      <c r="H59" t="s">
        <v>145</v>
      </c>
      <c r="I59" t="s">
        <v>146</v>
      </c>
      <c r="J59" t="s">
        <v>143</v>
      </c>
    </row>
    <row r="60" spans="1:11" x14ac:dyDescent="0.25">
      <c r="A60" t="s">
        <v>60</v>
      </c>
      <c r="B60" t="s">
        <v>65</v>
      </c>
      <c r="C60" t="s">
        <v>61</v>
      </c>
      <c r="D60">
        <v>3689</v>
      </c>
      <c r="E60">
        <v>7730927366</v>
      </c>
      <c r="F60" t="s">
        <v>66</v>
      </c>
      <c r="G60" t="s">
        <v>62</v>
      </c>
      <c r="H60" t="s">
        <v>63</v>
      </c>
      <c r="I60" t="s">
        <v>64</v>
      </c>
      <c r="J60" t="s">
        <v>60</v>
      </c>
    </row>
    <row r="61" spans="1:11" x14ac:dyDescent="0.25">
      <c r="A61" t="s">
        <v>783</v>
      </c>
      <c r="B61" t="s">
        <v>788</v>
      </c>
      <c r="C61" t="s">
        <v>784</v>
      </c>
      <c r="D61">
        <v>208</v>
      </c>
      <c r="E61">
        <v>5384220316</v>
      </c>
      <c r="F61" t="s">
        <v>789</v>
      </c>
      <c r="G61" t="s">
        <v>785</v>
      </c>
      <c r="H61" t="s">
        <v>786</v>
      </c>
      <c r="I61" t="s">
        <v>787</v>
      </c>
      <c r="J61" t="s">
        <v>783</v>
      </c>
    </row>
    <row r="62" spans="1:11" x14ac:dyDescent="0.25">
      <c r="A62" t="s">
        <v>216</v>
      </c>
      <c r="B62" t="s">
        <v>220</v>
      </c>
      <c r="C62" t="s">
        <v>24</v>
      </c>
      <c r="D62">
        <v>267</v>
      </c>
      <c r="E62">
        <v>36149548625</v>
      </c>
      <c r="F62" t="s">
        <v>221</v>
      </c>
      <c r="G62" t="s">
        <v>217</v>
      </c>
      <c r="H62" t="s">
        <v>218</v>
      </c>
      <c r="I62" t="s">
        <v>219</v>
      </c>
      <c r="J62" t="s">
        <v>216</v>
      </c>
    </row>
    <row r="63" spans="1:11" x14ac:dyDescent="0.25">
      <c r="A63" t="s">
        <v>287</v>
      </c>
      <c r="B63" t="s">
        <v>291</v>
      </c>
      <c r="C63" t="s">
        <v>61</v>
      </c>
      <c r="D63">
        <v>210</v>
      </c>
      <c r="E63">
        <v>48987767944</v>
      </c>
      <c r="F63" t="s">
        <v>292</v>
      </c>
      <c r="G63" t="s">
        <v>288</v>
      </c>
      <c r="H63" t="s">
        <v>289</v>
      </c>
      <c r="I63" t="s">
        <v>290</v>
      </c>
      <c r="J63" t="s">
        <v>287</v>
      </c>
    </row>
    <row r="64" spans="1:11" x14ac:dyDescent="0.25">
      <c r="A64" t="s">
        <v>612</v>
      </c>
      <c r="B64" t="s">
        <v>616</v>
      </c>
      <c r="C64" t="s">
        <v>24</v>
      </c>
      <c r="D64">
        <v>4917</v>
      </c>
      <c r="E64">
        <v>99401575594</v>
      </c>
      <c r="F64" t="s">
        <v>616</v>
      </c>
      <c r="G64" t="s">
        <v>613</v>
      </c>
      <c r="H64" t="s">
        <v>614</v>
      </c>
      <c r="I64" t="s">
        <v>615</v>
      </c>
      <c r="J64" t="s">
        <v>612</v>
      </c>
    </row>
    <row r="65" spans="1:10" x14ac:dyDescent="0.25">
      <c r="A65" t="s">
        <v>400</v>
      </c>
      <c r="B65" t="s">
        <v>404</v>
      </c>
      <c r="C65" t="s">
        <v>152</v>
      </c>
      <c r="D65">
        <v>6229</v>
      </c>
      <c r="E65">
        <v>70788591483</v>
      </c>
      <c r="F65" t="s">
        <v>791</v>
      </c>
      <c r="G65" t="s">
        <v>401</v>
      </c>
      <c r="H65" t="s">
        <v>402</v>
      </c>
      <c r="I65" t="s">
        <v>403</v>
      </c>
      <c r="J65" t="s">
        <v>400</v>
      </c>
    </row>
    <row r="66" spans="1:10" x14ac:dyDescent="0.25">
      <c r="F66" t="s">
        <v>1510</v>
      </c>
    </row>
    <row r="67" spans="1:10" x14ac:dyDescent="0.25">
      <c r="A67" t="s">
        <v>343</v>
      </c>
      <c r="B67" t="s">
        <v>347</v>
      </c>
      <c r="C67" t="s">
        <v>24</v>
      </c>
      <c r="D67">
        <v>3430</v>
      </c>
      <c r="E67">
        <v>57848936921</v>
      </c>
      <c r="F67" t="s">
        <v>347</v>
      </c>
      <c r="G67" t="s">
        <v>344</v>
      </c>
      <c r="H67" t="s">
        <v>345</v>
      </c>
      <c r="I67" t="s">
        <v>346</v>
      </c>
      <c r="J67" t="s">
        <v>343</v>
      </c>
    </row>
    <row r="68" spans="1:10" x14ac:dyDescent="0.25">
      <c r="F68" t="s">
        <v>348</v>
      </c>
    </row>
    <row r="69" spans="1:10" x14ac:dyDescent="0.25">
      <c r="A69" t="s">
        <v>619</v>
      </c>
      <c r="B69" t="s">
        <v>623</v>
      </c>
      <c r="C69" t="s">
        <v>61</v>
      </c>
      <c r="D69">
        <v>136</v>
      </c>
      <c r="E69">
        <v>25329931628</v>
      </c>
      <c r="F69" t="s">
        <v>624</v>
      </c>
      <c r="G69" t="s">
        <v>620</v>
      </c>
      <c r="H69" t="s">
        <v>621</v>
      </c>
      <c r="I69" t="s">
        <v>622</v>
      </c>
      <c r="J69" t="s">
        <v>619</v>
      </c>
    </row>
    <row r="70" spans="1:10" x14ac:dyDescent="0.25">
      <c r="A70" t="s">
        <v>627</v>
      </c>
      <c r="B70" t="s">
        <v>631</v>
      </c>
      <c r="C70" t="s">
        <v>152</v>
      </c>
      <c r="D70">
        <v>137</v>
      </c>
      <c r="E70">
        <v>16214165873</v>
      </c>
      <c r="F70" t="s">
        <v>632</v>
      </c>
      <c r="G70" t="s">
        <v>628</v>
      </c>
      <c r="H70">
        <v>912241440</v>
      </c>
      <c r="I70" t="s">
        <v>630</v>
      </c>
      <c r="J70" t="s">
        <v>627</v>
      </c>
    </row>
    <row r="71" spans="1:10" x14ac:dyDescent="0.25">
      <c r="A71" t="s">
        <v>479</v>
      </c>
      <c r="B71" t="s">
        <v>483</v>
      </c>
      <c r="C71" t="s">
        <v>111</v>
      </c>
      <c r="D71">
        <v>147</v>
      </c>
      <c r="E71">
        <v>98164324541</v>
      </c>
      <c r="F71" t="s">
        <v>634</v>
      </c>
      <c r="G71" t="s">
        <v>1511</v>
      </c>
      <c r="H71" t="s">
        <v>1512</v>
      </c>
      <c r="I71" t="s">
        <v>1513</v>
      </c>
      <c r="J71" t="s">
        <v>479</v>
      </c>
    </row>
    <row r="72" spans="1:10" x14ac:dyDescent="0.25">
      <c r="F72" t="s">
        <v>1514</v>
      </c>
    </row>
    <row r="73" spans="1:10" x14ac:dyDescent="0.25">
      <c r="A73" t="s">
        <v>44</v>
      </c>
      <c r="B73" t="s">
        <v>48</v>
      </c>
      <c r="C73" t="s">
        <v>24</v>
      </c>
      <c r="D73">
        <v>149</v>
      </c>
      <c r="E73">
        <v>2879747067</v>
      </c>
      <c r="F73" t="s">
        <v>49</v>
      </c>
      <c r="G73" t="s">
        <v>45</v>
      </c>
      <c r="H73" t="s">
        <v>46</v>
      </c>
      <c r="I73" t="s">
        <v>47</v>
      </c>
      <c r="J73" t="s">
        <v>44</v>
      </c>
    </row>
    <row r="74" spans="1:10" x14ac:dyDescent="0.25">
      <c r="A74" t="s">
        <v>271</v>
      </c>
      <c r="B74" t="s">
        <v>275</v>
      </c>
      <c r="C74" t="s">
        <v>61</v>
      </c>
      <c r="D74">
        <v>165</v>
      </c>
      <c r="E74">
        <v>45001686598</v>
      </c>
      <c r="F74" t="s">
        <v>275</v>
      </c>
      <c r="G74" t="s">
        <v>272</v>
      </c>
      <c r="H74" t="s">
        <v>273</v>
      </c>
      <c r="I74" t="s">
        <v>274</v>
      </c>
      <c r="J74" t="s">
        <v>271</v>
      </c>
    </row>
    <row r="75" spans="1:10" x14ac:dyDescent="0.25">
      <c r="F75" t="s">
        <v>792</v>
      </c>
    </row>
    <row r="76" spans="1:10" x14ac:dyDescent="0.25">
      <c r="A76" t="s">
        <v>636</v>
      </c>
      <c r="B76" t="s">
        <v>641</v>
      </c>
      <c r="C76" t="s">
        <v>637</v>
      </c>
      <c r="D76">
        <v>3482</v>
      </c>
      <c r="E76">
        <v>31444990605</v>
      </c>
      <c r="F76" t="s">
        <v>642</v>
      </c>
      <c r="G76" t="s">
        <v>638</v>
      </c>
      <c r="H76" t="s">
        <v>639</v>
      </c>
      <c r="I76" t="s">
        <v>640</v>
      </c>
      <c r="J76" t="s">
        <v>636</v>
      </c>
    </row>
    <row r="77" spans="1:10" x14ac:dyDescent="0.25">
      <c r="F77" t="s">
        <v>1336</v>
      </c>
    </row>
    <row r="78" spans="1:10" x14ac:dyDescent="0.25">
      <c r="A78" t="s">
        <v>860</v>
      </c>
      <c r="B78" t="s">
        <v>865</v>
      </c>
      <c r="C78" t="s">
        <v>861</v>
      </c>
      <c r="D78">
        <v>182</v>
      </c>
      <c r="E78">
        <v>48006703414</v>
      </c>
      <c r="F78" t="s">
        <v>866</v>
      </c>
      <c r="G78" t="s">
        <v>862</v>
      </c>
      <c r="H78" t="s">
        <v>863</v>
      </c>
      <c r="I78" t="s">
        <v>864</v>
      </c>
      <c r="J78" t="s">
        <v>860</v>
      </c>
    </row>
    <row r="79" spans="1:10" x14ac:dyDescent="0.25">
      <c r="A79" t="s">
        <v>509</v>
      </c>
      <c r="B79" t="s">
        <v>513</v>
      </c>
      <c r="C79" t="s">
        <v>61</v>
      </c>
      <c r="D79">
        <v>206</v>
      </c>
      <c r="E79">
        <v>36162371878</v>
      </c>
      <c r="F79" t="s">
        <v>514</v>
      </c>
      <c r="G79" t="s">
        <v>510</v>
      </c>
      <c r="H79" t="s">
        <v>511</v>
      </c>
      <c r="I79" t="s">
        <v>512</v>
      </c>
      <c r="J79" t="s">
        <v>1515</v>
      </c>
    </row>
    <row r="80" spans="1:10" x14ac:dyDescent="0.25">
      <c r="A80" t="s">
        <v>103</v>
      </c>
      <c r="B80" t="s">
        <v>107</v>
      </c>
      <c r="C80" t="s">
        <v>61</v>
      </c>
      <c r="D80">
        <v>3986</v>
      </c>
      <c r="E80">
        <v>18422925218</v>
      </c>
      <c r="F80" t="s">
        <v>107</v>
      </c>
      <c r="G80" t="s">
        <v>104</v>
      </c>
      <c r="H80" t="s">
        <v>105</v>
      </c>
      <c r="I80" t="s">
        <v>106</v>
      </c>
      <c r="J80" t="s">
        <v>103</v>
      </c>
    </row>
    <row r="81" spans="1:10" x14ac:dyDescent="0.25">
      <c r="A81" t="s">
        <v>645</v>
      </c>
      <c r="B81" t="s">
        <v>649</v>
      </c>
      <c r="C81" t="s">
        <v>61</v>
      </c>
      <c r="D81">
        <v>188</v>
      </c>
      <c r="F81" t="s">
        <v>650</v>
      </c>
      <c r="G81" t="s">
        <v>646</v>
      </c>
      <c r="H81" t="s">
        <v>647</v>
      </c>
      <c r="I81" t="s">
        <v>648</v>
      </c>
      <c r="J81" t="s">
        <v>645</v>
      </c>
    </row>
    <row r="82" spans="1:10" x14ac:dyDescent="0.25">
      <c r="A82" t="s">
        <v>425</v>
      </c>
      <c r="B82" t="s">
        <v>429</v>
      </c>
      <c r="C82" t="s">
        <v>111</v>
      </c>
      <c r="D82">
        <v>169</v>
      </c>
      <c r="E82">
        <v>76722145702</v>
      </c>
      <c r="F82" t="s">
        <v>429</v>
      </c>
      <c r="G82" t="s">
        <v>426</v>
      </c>
      <c r="H82" t="s">
        <v>427</v>
      </c>
      <c r="I82" t="s">
        <v>428</v>
      </c>
      <c r="J82" t="s">
        <v>425</v>
      </c>
    </row>
    <row r="83" spans="1:10" x14ac:dyDescent="0.25">
      <c r="A83" t="s">
        <v>135</v>
      </c>
      <c r="B83" t="s">
        <v>139</v>
      </c>
      <c r="C83" t="s">
        <v>24</v>
      </c>
      <c r="D83">
        <v>4914</v>
      </c>
      <c r="E83">
        <v>24624257529</v>
      </c>
      <c r="F83" t="s">
        <v>140</v>
      </c>
      <c r="G83" t="s">
        <v>136</v>
      </c>
      <c r="H83" t="s">
        <v>137</v>
      </c>
      <c r="I83" t="s">
        <v>138</v>
      </c>
      <c r="J83" t="s">
        <v>135</v>
      </c>
    </row>
    <row r="84" spans="1:10" x14ac:dyDescent="0.25">
      <c r="A84" t="s">
        <v>151</v>
      </c>
      <c r="B84" t="s">
        <v>156</v>
      </c>
      <c r="C84" t="s">
        <v>152</v>
      </c>
      <c r="D84">
        <v>168</v>
      </c>
      <c r="E84">
        <v>26416570803</v>
      </c>
      <c r="F84" t="s">
        <v>1114</v>
      </c>
      <c r="G84" t="s">
        <v>153</v>
      </c>
      <c r="H84" t="s">
        <v>154</v>
      </c>
      <c r="I84" t="s">
        <v>155</v>
      </c>
      <c r="J84" t="s">
        <v>151</v>
      </c>
    </row>
    <row r="85" spans="1:10" x14ac:dyDescent="0.25">
      <c r="F85" t="s">
        <v>157</v>
      </c>
    </row>
    <row r="86" spans="1:10" x14ac:dyDescent="0.25">
      <c r="F86" t="s">
        <v>1172</v>
      </c>
    </row>
    <row r="87" spans="1:10" x14ac:dyDescent="0.25">
      <c r="A87" t="s">
        <v>652</v>
      </c>
      <c r="B87" t="s">
        <v>656</v>
      </c>
      <c r="C87" t="s">
        <v>111</v>
      </c>
      <c r="D87">
        <v>173</v>
      </c>
      <c r="E87">
        <v>43767699965</v>
      </c>
      <c r="F87" t="s">
        <v>657</v>
      </c>
      <c r="G87" t="s">
        <v>653</v>
      </c>
      <c r="H87" t="s">
        <v>654</v>
      </c>
      <c r="I87" t="s">
        <v>655</v>
      </c>
      <c r="J87" t="s">
        <v>652</v>
      </c>
    </row>
    <row r="88" spans="1:10" x14ac:dyDescent="0.25">
      <c r="A88" t="s">
        <v>52</v>
      </c>
      <c r="B88" t="s">
        <v>56</v>
      </c>
      <c r="C88" t="s">
        <v>24</v>
      </c>
      <c r="D88">
        <v>132</v>
      </c>
      <c r="E88">
        <v>3541568700</v>
      </c>
      <c r="F88" t="s">
        <v>57</v>
      </c>
      <c r="G88" t="s">
        <v>53</v>
      </c>
      <c r="H88" t="s">
        <v>54</v>
      </c>
      <c r="I88" t="s">
        <v>55</v>
      </c>
      <c r="J88" t="s">
        <v>52</v>
      </c>
    </row>
    <row r="89" spans="1:10" x14ac:dyDescent="0.25">
      <c r="A89" t="s">
        <v>796</v>
      </c>
      <c r="B89" t="s">
        <v>236</v>
      </c>
      <c r="C89" t="s">
        <v>61</v>
      </c>
      <c r="D89">
        <v>151</v>
      </c>
      <c r="E89">
        <v>38583303160</v>
      </c>
      <c r="F89" t="s">
        <v>1516</v>
      </c>
      <c r="G89" t="s">
        <v>1173</v>
      </c>
      <c r="H89" t="s">
        <v>1174</v>
      </c>
      <c r="I89" t="s">
        <v>1175</v>
      </c>
      <c r="J89" t="s">
        <v>796</v>
      </c>
    </row>
    <row r="90" spans="1:10" x14ac:dyDescent="0.25">
      <c r="F90" t="s">
        <v>1176</v>
      </c>
    </row>
    <row r="91" spans="1:10" x14ac:dyDescent="0.25">
      <c r="A91" t="s">
        <v>279</v>
      </c>
      <c r="B91" t="s">
        <v>283</v>
      </c>
      <c r="C91" t="s">
        <v>61</v>
      </c>
      <c r="D91">
        <v>146</v>
      </c>
      <c r="E91">
        <v>47824453867</v>
      </c>
      <c r="F91" t="s">
        <v>284</v>
      </c>
      <c r="G91" t="s">
        <v>280</v>
      </c>
      <c r="H91" t="s">
        <v>281</v>
      </c>
      <c r="I91" t="s">
        <v>282</v>
      </c>
      <c r="J91" t="s">
        <v>279</v>
      </c>
    </row>
    <row r="92" spans="1:10" x14ac:dyDescent="0.25">
      <c r="A92" t="s">
        <v>660</v>
      </c>
      <c r="B92" t="s">
        <v>664</v>
      </c>
      <c r="C92" t="s">
        <v>152</v>
      </c>
      <c r="D92">
        <v>170</v>
      </c>
      <c r="E92">
        <v>96371000697</v>
      </c>
      <c r="F92" t="s">
        <v>665</v>
      </c>
      <c r="G92" t="s">
        <v>661</v>
      </c>
      <c r="H92" t="s">
        <v>662</v>
      </c>
      <c r="I92" t="s">
        <v>663</v>
      </c>
      <c r="J92" t="s">
        <v>660</v>
      </c>
    </row>
    <row r="93" spans="1:10" x14ac:dyDescent="0.25">
      <c r="A93" t="s">
        <v>118</v>
      </c>
      <c r="B93" t="s">
        <v>122</v>
      </c>
      <c r="C93" t="s">
        <v>24</v>
      </c>
      <c r="D93">
        <v>4919</v>
      </c>
      <c r="E93">
        <v>20858497843</v>
      </c>
      <c r="F93" t="s">
        <v>123</v>
      </c>
      <c r="G93" t="s">
        <v>119</v>
      </c>
      <c r="H93" t="s">
        <v>120</v>
      </c>
      <c r="I93" t="s">
        <v>121</v>
      </c>
      <c r="J93" t="s">
        <v>118</v>
      </c>
    </row>
    <row r="94" spans="1:10" x14ac:dyDescent="0.25">
      <c r="A94" t="s">
        <v>668</v>
      </c>
      <c r="B94" t="s">
        <v>672</v>
      </c>
      <c r="C94" t="s">
        <v>61</v>
      </c>
      <c r="D94">
        <v>469</v>
      </c>
      <c r="E94">
        <v>28163265527</v>
      </c>
      <c r="F94" t="s">
        <v>672</v>
      </c>
      <c r="G94" t="s">
        <v>669</v>
      </c>
      <c r="H94" t="s">
        <v>670</v>
      </c>
      <c r="I94" t="s">
        <v>671</v>
      </c>
      <c r="J94" t="s">
        <v>668</v>
      </c>
    </row>
    <row r="95" spans="1:10" x14ac:dyDescent="0.25">
      <c r="F95" t="s">
        <v>1038</v>
      </c>
      <c r="G95" t="s">
        <v>1035</v>
      </c>
      <c r="H95" t="s">
        <v>1036</v>
      </c>
      <c r="I95" t="s">
        <v>1517</v>
      </c>
    </row>
    <row r="96" spans="1:10" x14ac:dyDescent="0.25">
      <c r="F96" t="s">
        <v>1358</v>
      </c>
      <c r="G96" t="s">
        <v>1518</v>
      </c>
      <c r="H96" t="s">
        <v>1519</v>
      </c>
      <c r="I96" t="s">
        <v>1357</v>
      </c>
    </row>
    <row r="97" spans="1:11" x14ac:dyDescent="0.25">
      <c r="F97" t="s">
        <v>677</v>
      </c>
      <c r="G97" t="s">
        <v>674</v>
      </c>
      <c r="H97" t="s">
        <v>675</v>
      </c>
      <c r="I97" t="s">
        <v>676</v>
      </c>
    </row>
    <row r="98" spans="1:11" x14ac:dyDescent="0.25">
      <c r="A98" t="s">
        <v>503</v>
      </c>
      <c r="B98" t="s">
        <v>283</v>
      </c>
      <c r="C98" t="s">
        <v>61</v>
      </c>
      <c r="D98">
        <v>203</v>
      </c>
      <c r="E98">
        <v>99534693762</v>
      </c>
      <c r="F98" t="s">
        <v>284</v>
      </c>
      <c r="G98" t="s">
        <v>504</v>
      </c>
      <c r="H98" t="s">
        <v>505</v>
      </c>
      <c r="I98" t="s">
        <v>506</v>
      </c>
      <c r="J98" t="s">
        <v>503</v>
      </c>
    </row>
    <row r="99" spans="1:11" x14ac:dyDescent="0.25">
      <c r="A99" t="s">
        <v>384</v>
      </c>
      <c r="B99" t="s">
        <v>388</v>
      </c>
      <c r="C99" t="s">
        <v>61</v>
      </c>
      <c r="D99">
        <v>150</v>
      </c>
      <c r="E99">
        <v>70221464726</v>
      </c>
      <c r="F99" t="s">
        <v>389</v>
      </c>
      <c r="G99" t="s">
        <v>385</v>
      </c>
      <c r="H99" t="s">
        <v>386</v>
      </c>
      <c r="I99" t="s">
        <v>387</v>
      </c>
      <c r="J99" t="s">
        <v>384</v>
      </c>
    </row>
    <row r="100" spans="1:11" x14ac:dyDescent="0.25">
      <c r="A100" t="s">
        <v>432</v>
      </c>
      <c r="B100" t="s">
        <v>436</v>
      </c>
      <c r="C100" t="s">
        <v>152</v>
      </c>
      <c r="D100">
        <v>222</v>
      </c>
      <c r="E100">
        <v>78808975734</v>
      </c>
      <c r="F100" t="s">
        <v>871</v>
      </c>
      <c r="G100" t="s">
        <v>868</v>
      </c>
      <c r="H100" t="s">
        <v>869</v>
      </c>
      <c r="I100" t="s">
        <v>870</v>
      </c>
      <c r="J100" t="s">
        <v>432</v>
      </c>
      <c r="K100" t="s">
        <v>1520</v>
      </c>
    </row>
    <row r="101" spans="1:11" x14ac:dyDescent="0.25">
      <c r="F101" t="s">
        <v>331</v>
      </c>
      <c r="G101" t="s">
        <v>678</v>
      </c>
      <c r="H101" t="s">
        <v>679</v>
      </c>
      <c r="I101" t="s">
        <v>680</v>
      </c>
    </row>
    <row r="102" spans="1:11" x14ac:dyDescent="0.25">
      <c r="F102" t="s">
        <v>437</v>
      </c>
      <c r="G102" t="s">
        <v>433</v>
      </c>
      <c r="H102" t="s">
        <v>434</v>
      </c>
      <c r="I102" t="s">
        <v>435</v>
      </c>
    </row>
    <row r="103" spans="1:11" x14ac:dyDescent="0.25">
      <c r="A103" t="s">
        <v>367</v>
      </c>
      <c r="B103" t="s">
        <v>372</v>
      </c>
      <c r="C103" t="s">
        <v>368</v>
      </c>
      <c r="D103">
        <v>3554</v>
      </c>
      <c r="E103">
        <v>61738073226</v>
      </c>
      <c r="F103" t="s">
        <v>373</v>
      </c>
      <c r="G103" t="s">
        <v>369</v>
      </c>
      <c r="H103" t="s">
        <v>370</v>
      </c>
      <c r="I103" t="s">
        <v>371</v>
      </c>
      <c r="J103" t="s">
        <v>367</v>
      </c>
    </row>
    <row r="104" spans="1:11" x14ac:dyDescent="0.25">
      <c r="F104" t="s">
        <v>1521</v>
      </c>
    </row>
    <row r="105" spans="1:11" x14ac:dyDescent="0.25">
      <c r="F105" t="s">
        <v>1522</v>
      </c>
    </row>
    <row r="106" spans="1:11" x14ac:dyDescent="0.25">
      <c r="F106" t="s">
        <v>1523</v>
      </c>
    </row>
    <row r="107" spans="1:11" x14ac:dyDescent="0.25">
      <c r="F107" t="s">
        <v>1524</v>
      </c>
    </row>
    <row r="108" spans="1:11" x14ac:dyDescent="0.25">
      <c r="A108" t="s">
        <v>1525</v>
      </c>
      <c r="B108" t="s">
        <v>521</v>
      </c>
      <c r="C108" t="s">
        <v>61</v>
      </c>
      <c r="D108">
        <v>4589</v>
      </c>
      <c r="E108">
        <v>36752094474</v>
      </c>
      <c r="F108" t="s">
        <v>522</v>
      </c>
      <c r="G108" t="s">
        <v>518</v>
      </c>
      <c r="H108" t="s">
        <v>519</v>
      </c>
      <c r="I108" t="s">
        <v>520</v>
      </c>
      <c r="J108" t="s">
        <v>1526</v>
      </c>
    </row>
    <row r="109" spans="1:11" x14ac:dyDescent="0.25">
      <c r="F109" t="s">
        <v>1527</v>
      </c>
      <c r="G109" t="s">
        <v>1528</v>
      </c>
      <c r="H109" t="s">
        <v>1529</v>
      </c>
      <c r="I109" t="s">
        <v>1530</v>
      </c>
    </row>
    <row r="110" spans="1:11" x14ac:dyDescent="0.25">
      <c r="A110" t="s">
        <v>803</v>
      </c>
      <c r="B110" t="s">
        <v>808</v>
      </c>
      <c r="C110" t="s">
        <v>804</v>
      </c>
      <c r="D110">
        <v>4497</v>
      </c>
      <c r="E110">
        <v>59624928052</v>
      </c>
      <c r="F110" t="s">
        <v>1531</v>
      </c>
      <c r="G110" t="s">
        <v>1532</v>
      </c>
      <c r="H110" t="s">
        <v>1533</v>
      </c>
      <c r="I110" t="s">
        <v>961</v>
      </c>
      <c r="J110" t="s">
        <v>803</v>
      </c>
    </row>
    <row r="111" spans="1:11" x14ac:dyDescent="0.25">
      <c r="F111" t="s">
        <v>1534</v>
      </c>
      <c r="G111" t="s">
        <v>805</v>
      </c>
      <c r="H111" t="s">
        <v>806</v>
      </c>
      <c r="I111" t="s">
        <v>807</v>
      </c>
    </row>
    <row r="112" spans="1:11" x14ac:dyDescent="0.25">
      <c r="F112" t="s">
        <v>1535</v>
      </c>
    </row>
    <row r="113" spans="1:11" x14ac:dyDescent="0.25">
      <c r="A113" t="s">
        <v>812</v>
      </c>
      <c r="B113" t="s">
        <v>817</v>
      </c>
      <c r="C113" t="s">
        <v>813</v>
      </c>
      <c r="D113">
        <v>3990</v>
      </c>
      <c r="E113">
        <v>1338491514</v>
      </c>
      <c r="F113" t="s">
        <v>818</v>
      </c>
      <c r="G113" t="s">
        <v>814</v>
      </c>
      <c r="H113" t="s">
        <v>815</v>
      </c>
      <c r="I113" t="s">
        <v>816</v>
      </c>
      <c r="J113" t="s">
        <v>812</v>
      </c>
    </row>
    <row r="114" spans="1:11" x14ac:dyDescent="0.25">
      <c r="F114" t="s">
        <v>1148</v>
      </c>
    </row>
    <row r="115" spans="1:11" x14ac:dyDescent="0.25">
      <c r="F115" t="s">
        <v>1536</v>
      </c>
    </row>
    <row r="116" spans="1:11" x14ac:dyDescent="0.25">
      <c r="F116" t="s">
        <v>1537</v>
      </c>
    </row>
    <row r="117" spans="1:11" x14ac:dyDescent="0.25">
      <c r="A117" t="s">
        <v>376</v>
      </c>
      <c r="B117" t="s">
        <v>380</v>
      </c>
      <c r="C117" t="s">
        <v>111</v>
      </c>
      <c r="D117">
        <v>221</v>
      </c>
      <c r="E117">
        <v>64218323816</v>
      </c>
      <c r="F117" t="s">
        <v>1238</v>
      </c>
      <c r="G117" t="s">
        <v>1235</v>
      </c>
      <c r="I117" t="s">
        <v>1237</v>
      </c>
      <c r="J117" t="s">
        <v>376</v>
      </c>
      <c r="K117" t="s">
        <v>1538</v>
      </c>
    </row>
    <row r="118" spans="1:11" x14ac:dyDescent="0.25">
      <c r="F118" t="s">
        <v>1539</v>
      </c>
      <c r="G118" t="s">
        <v>377</v>
      </c>
      <c r="H118" t="s">
        <v>378</v>
      </c>
      <c r="I118" t="s">
        <v>379</v>
      </c>
    </row>
    <row r="119" spans="1:11" x14ac:dyDescent="0.25">
      <c r="F119" t="s">
        <v>1540</v>
      </c>
      <c r="G119" t="s">
        <v>473</v>
      </c>
      <c r="H119" t="s">
        <v>1541</v>
      </c>
      <c r="I119" t="s">
        <v>475</v>
      </c>
    </row>
    <row r="120" spans="1:11" x14ac:dyDescent="0.25">
      <c r="F120" t="s">
        <v>1542</v>
      </c>
      <c r="G120" t="s">
        <v>1543</v>
      </c>
      <c r="H120" t="s">
        <v>1544</v>
      </c>
      <c r="I120" t="s">
        <v>1545</v>
      </c>
    </row>
    <row r="121" spans="1:11" x14ac:dyDescent="0.25">
      <c r="F121" t="s">
        <v>1546</v>
      </c>
      <c r="G121" t="s">
        <v>1547</v>
      </c>
      <c r="H121" t="s">
        <v>1548</v>
      </c>
      <c r="I121" t="s">
        <v>1549</v>
      </c>
    </row>
    <row r="122" spans="1:11" x14ac:dyDescent="0.25">
      <c r="F122" t="s">
        <v>1550</v>
      </c>
      <c r="G122" t="s">
        <v>1551</v>
      </c>
      <c r="H122" t="s">
        <v>1552</v>
      </c>
      <c r="I122" t="s">
        <v>1553</v>
      </c>
    </row>
    <row r="123" spans="1:11" x14ac:dyDescent="0.25">
      <c r="A123" t="s">
        <v>199</v>
      </c>
      <c r="B123" t="s">
        <v>204</v>
      </c>
      <c r="C123" t="s">
        <v>200</v>
      </c>
      <c r="D123">
        <v>1972</v>
      </c>
      <c r="E123">
        <v>33027834374</v>
      </c>
      <c r="F123" t="s">
        <v>1554</v>
      </c>
      <c r="G123" t="s">
        <v>201</v>
      </c>
      <c r="H123" t="s">
        <v>202</v>
      </c>
      <c r="I123" t="s">
        <v>203</v>
      </c>
      <c r="J123" t="s">
        <v>199</v>
      </c>
    </row>
    <row r="124" spans="1:11" x14ac:dyDescent="0.25">
      <c r="F124" t="s">
        <v>1555</v>
      </c>
    </row>
    <row r="125" spans="1:11" x14ac:dyDescent="0.25">
      <c r="F125" t="s">
        <v>1556</v>
      </c>
    </row>
    <row r="126" spans="1:11" x14ac:dyDescent="0.25">
      <c r="F126" t="s">
        <v>1557</v>
      </c>
    </row>
    <row r="127" spans="1:11" x14ac:dyDescent="0.25">
      <c r="F127" t="s">
        <v>1558</v>
      </c>
    </row>
    <row r="128" spans="1:11" x14ac:dyDescent="0.25">
      <c r="F128" t="s">
        <v>1559</v>
      </c>
    </row>
    <row r="129" spans="1:11" x14ac:dyDescent="0.25">
      <c r="F129" t="s">
        <v>1560</v>
      </c>
    </row>
    <row r="130" spans="1:11" x14ac:dyDescent="0.25">
      <c r="F130" t="s">
        <v>1561</v>
      </c>
    </row>
    <row r="131" spans="1:11" x14ac:dyDescent="0.25">
      <c r="F131" t="s">
        <v>1562</v>
      </c>
    </row>
    <row r="132" spans="1:11" x14ac:dyDescent="0.25">
      <c r="A132" t="s">
        <v>191</v>
      </c>
      <c r="B132" t="s">
        <v>195</v>
      </c>
      <c r="C132" t="s">
        <v>24</v>
      </c>
      <c r="D132">
        <v>5713</v>
      </c>
      <c r="E132">
        <v>29845096215</v>
      </c>
      <c r="F132" t="s">
        <v>696</v>
      </c>
      <c r="G132" t="s">
        <v>1563</v>
      </c>
      <c r="H132" t="s">
        <v>1564</v>
      </c>
      <c r="I132" t="s">
        <v>1565</v>
      </c>
      <c r="J132" t="s">
        <v>191</v>
      </c>
    </row>
    <row r="133" spans="1:11" x14ac:dyDescent="0.25">
      <c r="F133" t="s">
        <v>1566</v>
      </c>
      <c r="G133" t="s">
        <v>1567</v>
      </c>
      <c r="H133" t="s">
        <v>1568</v>
      </c>
      <c r="I133" t="s">
        <v>1569</v>
      </c>
    </row>
    <row r="134" spans="1:11" x14ac:dyDescent="0.25">
      <c r="F134" t="s">
        <v>1570</v>
      </c>
      <c r="G134" t="s">
        <v>1571</v>
      </c>
      <c r="H134" t="s">
        <v>1572</v>
      </c>
      <c r="I134" t="s">
        <v>1573</v>
      </c>
    </row>
    <row r="135" spans="1:11" x14ac:dyDescent="0.25">
      <c r="F135" t="s">
        <v>140</v>
      </c>
      <c r="G135" t="s">
        <v>1471</v>
      </c>
      <c r="H135" t="s">
        <v>1472</v>
      </c>
      <c r="I135" t="s">
        <v>1473</v>
      </c>
    </row>
    <row r="136" spans="1:11" x14ac:dyDescent="0.25">
      <c r="F136" t="s">
        <v>1574</v>
      </c>
      <c r="G136" t="s">
        <v>1575</v>
      </c>
      <c r="H136" t="s">
        <v>1575</v>
      </c>
      <c r="I136" t="s">
        <v>1575</v>
      </c>
      <c r="K136" t="s">
        <v>1576</v>
      </c>
    </row>
    <row r="137" spans="1:11" x14ac:dyDescent="0.25">
      <c r="F137" t="s">
        <v>1577</v>
      </c>
      <c r="G137" t="s">
        <v>1578</v>
      </c>
      <c r="H137" t="s">
        <v>1579</v>
      </c>
      <c r="I137" t="s">
        <v>1580</v>
      </c>
    </row>
    <row r="138" spans="1:11" x14ac:dyDescent="0.25">
      <c r="F138" t="s">
        <v>1581</v>
      </c>
      <c r="G138" t="s">
        <v>1582</v>
      </c>
      <c r="H138" t="s">
        <v>1583</v>
      </c>
      <c r="I138" t="s">
        <v>1584</v>
      </c>
    </row>
    <row r="139" spans="1:11" x14ac:dyDescent="0.25">
      <c r="F139" t="s">
        <v>1585</v>
      </c>
      <c r="G139" t="s">
        <v>1586</v>
      </c>
      <c r="H139" t="s">
        <v>1587</v>
      </c>
      <c r="I139" t="s">
        <v>1588</v>
      </c>
    </row>
    <row r="140" spans="1:11" x14ac:dyDescent="0.25">
      <c r="F140" t="s">
        <v>196</v>
      </c>
      <c r="G140" t="s">
        <v>192</v>
      </c>
      <c r="H140" t="s">
        <v>193</v>
      </c>
      <c r="I140" t="s">
        <v>194</v>
      </c>
    </row>
    <row r="141" spans="1:11" x14ac:dyDescent="0.25">
      <c r="F141" t="s">
        <v>1274</v>
      </c>
      <c r="G141" t="s">
        <v>1271</v>
      </c>
      <c r="H141" t="s">
        <v>1272</v>
      </c>
      <c r="I141" t="s">
        <v>1273</v>
      </c>
    </row>
    <row r="142" spans="1:11" x14ac:dyDescent="0.25">
      <c r="A142" t="s">
        <v>76</v>
      </c>
      <c r="B142" t="s">
        <v>81</v>
      </c>
      <c r="C142" t="s">
        <v>77</v>
      </c>
      <c r="D142">
        <v>368</v>
      </c>
      <c r="E142">
        <v>10839679016</v>
      </c>
      <c r="F142" t="s">
        <v>82</v>
      </c>
      <c r="G142" t="s">
        <v>78</v>
      </c>
      <c r="H142" t="s">
        <v>79</v>
      </c>
      <c r="I142" t="s">
        <v>80</v>
      </c>
      <c r="J142" t="s">
        <v>76</v>
      </c>
    </row>
    <row r="143" spans="1:11" x14ac:dyDescent="0.25">
      <c r="F143" t="s">
        <v>1589</v>
      </c>
      <c r="G143" t="s">
        <v>1590</v>
      </c>
      <c r="H143" t="s">
        <v>1591</v>
      </c>
      <c r="I143" t="s">
        <v>1592</v>
      </c>
    </row>
    <row r="144" spans="1:11" x14ac:dyDescent="0.25">
      <c r="F144" t="s">
        <v>938</v>
      </c>
      <c r="G144" t="s">
        <v>935</v>
      </c>
      <c r="H144" t="s">
        <v>936</v>
      </c>
      <c r="I144" t="s">
        <v>937</v>
      </c>
    </row>
    <row r="145" spans="1:11" x14ac:dyDescent="0.25">
      <c r="F145" t="s">
        <v>946</v>
      </c>
      <c r="G145" t="s">
        <v>943</v>
      </c>
      <c r="H145" t="s">
        <v>944</v>
      </c>
      <c r="I145" t="s">
        <v>945</v>
      </c>
    </row>
    <row r="146" spans="1:11" x14ac:dyDescent="0.25">
      <c r="F146" t="s">
        <v>1593</v>
      </c>
      <c r="G146" t="s">
        <v>78</v>
      </c>
      <c r="H146" t="s">
        <v>79</v>
      </c>
      <c r="I146" t="s">
        <v>937</v>
      </c>
    </row>
    <row r="147" spans="1:11" x14ac:dyDescent="0.25">
      <c r="F147" t="s">
        <v>1594</v>
      </c>
      <c r="G147" t="s">
        <v>1590</v>
      </c>
      <c r="H147" t="s">
        <v>1591</v>
      </c>
      <c r="I147" t="s">
        <v>1592</v>
      </c>
    </row>
    <row r="148" spans="1:11" x14ac:dyDescent="0.25">
      <c r="F148" t="s">
        <v>1595</v>
      </c>
      <c r="G148" t="s">
        <v>78</v>
      </c>
      <c r="H148" t="s">
        <v>79</v>
      </c>
      <c r="I148" t="s">
        <v>80</v>
      </c>
    </row>
    <row r="149" spans="1:11" x14ac:dyDescent="0.25">
      <c r="F149" t="s">
        <v>1596</v>
      </c>
      <c r="G149" t="s">
        <v>1597</v>
      </c>
      <c r="H149" t="s">
        <v>1598</v>
      </c>
      <c r="I149" t="s">
        <v>1599</v>
      </c>
    </row>
    <row r="150" spans="1:11" x14ac:dyDescent="0.25">
      <c r="A150" t="s">
        <v>232</v>
      </c>
      <c r="B150" t="s">
        <v>236</v>
      </c>
      <c r="C150" t="s">
        <v>61</v>
      </c>
      <c r="D150">
        <v>219</v>
      </c>
      <c r="E150">
        <v>36612267447</v>
      </c>
      <c r="F150" t="s">
        <v>891</v>
      </c>
      <c r="G150" t="s">
        <v>1600</v>
      </c>
      <c r="H150" t="s">
        <v>1601</v>
      </c>
      <c r="I150" t="s">
        <v>1602</v>
      </c>
      <c r="J150" t="s">
        <v>232</v>
      </c>
    </row>
    <row r="151" spans="1:11" x14ac:dyDescent="0.25">
      <c r="F151" t="s">
        <v>700</v>
      </c>
      <c r="G151" t="s">
        <v>1603</v>
      </c>
      <c r="H151" t="s">
        <v>698</v>
      </c>
      <c r="I151" t="s">
        <v>699</v>
      </c>
    </row>
    <row r="152" spans="1:11" x14ac:dyDescent="0.25">
      <c r="A152" t="s">
        <v>707</v>
      </c>
      <c r="B152" t="s">
        <v>711</v>
      </c>
      <c r="C152" t="s">
        <v>111</v>
      </c>
      <c r="D152">
        <v>154</v>
      </c>
      <c r="E152">
        <v>46319717480</v>
      </c>
      <c r="F152" t="s">
        <v>712</v>
      </c>
      <c r="G152" t="s">
        <v>708</v>
      </c>
      <c r="H152" t="s">
        <v>709</v>
      </c>
      <c r="I152" t="s">
        <v>710</v>
      </c>
      <c r="J152" t="s">
        <v>707</v>
      </c>
    </row>
    <row r="153" spans="1:11" x14ac:dyDescent="0.25">
      <c r="A153" t="s">
        <v>69</v>
      </c>
      <c r="B153" t="s">
        <v>73</v>
      </c>
      <c r="C153" t="s">
        <v>61</v>
      </c>
      <c r="D153">
        <v>1918</v>
      </c>
      <c r="E153">
        <v>8814003451</v>
      </c>
      <c r="F153" t="s">
        <v>73</v>
      </c>
      <c r="G153" t="s">
        <v>70</v>
      </c>
      <c r="H153" t="s">
        <v>71</v>
      </c>
      <c r="I153" t="s">
        <v>72</v>
      </c>
      <c r="J153" t="s">
        <v>69</v>
      </c>
    </row>
    <row r="154" spans="1:11" x14ac:dyDescent="0.25">
      <c r="F154" t="s">
        <v>1604</v>
      </c>
      <c r="G154" t="s">
        <v>1605</v>
      </c>
      <c r="H154" t="s">
        <v>1606</v>
      </c>
      <c r="I154" t="s">
        <v>1607</v>
      </c>
    </row>
    <row r="155" spans="1:11" x14ac:dyDescent="0.25">
      <c r="F155" t="s">
        <v>842</v>
      </c>
      <c r="G155" t="s">
        <v>1608</v>
      </c>
      <c r="H155" t="s">
        <v>1609</v>
      </c>
      <c r="I155" t="s">
        <v>1610</v>
      </c>
    </row>
    <row r="156" spans="1:11" x14ac:dyDescent="0.25">
      <c r="F156" t="s">
        <v>846</v>
      </c>
      <c r="G156" t="s">
        <v>843</v>
      </c>
      <c r="H156" t="s">
        <v>844</v>
      </c>
      <c r="I156" t="s">
        <v>1611</v>
      </c>
    </row>
    <row r="157" spans="1:11" x14ac:dyDescent="0.25">
      <c r="F157" t="s">
        <v>1612</v>
      </c>
      <c r="G157" t="s">
        <v>1613</v>
      </c>
      <c r="H157" t="s">
        <v>1614</v>
      </c>
      <c r="I157" t="s">
        <v>1615</v>
      </c>
    </row>
    <row r="158" spans="1:11" x14ac:dyDescent="0.25">
      <c r="A158" t="s">
        <v>256</v>
      </c>
      <c r="B158" t="s">
        <v>260</v>
      </c>
      <c r="C158" t="s">
        <v>61</v>
      </c>
      <c r="D158">
        <v>177</v>
      </c>
      <c r="E158">
        <v>43097527965</v>
      </c>
      <c r="F158" t="s">
        <v>847</v>
      </c>
      <c r="G158" t="s">
        <v>257</v>
      </c>
      <c r="H158" t="s">
        <v>1616</v>
      </c>
      <c r="I158" t="s">
        <v>1617</v>
      </c>
      <c r="J158" t="s">
        <v>256</v>
      </c>
      <c r="K158" t="s">
        <v>1618</v>
      </c>
    </row>
    <row r="159" spans="1:11" x14ac:dyDescent="0.25">
      <c r="F159" t="s">
        <v>1293</v>
      </c>
      <c r="G159" t="s">
        <v>1290</v>
      </c>
      <c r="H159" t="s">
        <v>1291</v>
      </c>
      <c r="I159" t="s">
        <v>1619</v>
      </c>
    </row>
    <row r="160" spans="1:11" x14ac:dyDescent="0.25">
      <c r="F160" t="s">
        <v>1620</v>
      </c>
      <c r="G160" t="s">
        <v>1621</v>
      </c>
      <c r="H160" t="s">
        <v>1622</v>
      </c>
      <c r="I160" t="s">
        <v>1623</v>
      </c>
    </row>
    <row r="161" spans="1:10" x14ac:dyDescent="0.25">
      <c r="A161" t="s">
        <v>472</v>
      </c>
      <c r="B161" t="s">
        <v>476</v>
      </c>
      <c r="C161" t="s">
        <v>111</v>
      </c>
      <c r="D161">
        <v>281</v>
      </c>
      <c r="E161">
        <v>96996385705</v>
      </c>
      <c r="F161" t="s">
        <v>476</v>
      </c>
      <c r="G161" t="s">
        <v>473</v>
      </c>
      <c r="H161" t="s">
        <v>474</v>
      </c>
      <c r="I161" t="s">
        <v>475</v>
      </c>
      <c r="J161" t="s">
        <v>472</v>
      </c>
    </row>
    <row r="162" spans="1:10" x14ac:dyDescent="0.25">
      <c r="A162" t="s">
        <v>893</v>
      </c>
      <c r="B162" t="s">
        <v>991</v>
      </c>
      <c r="C162" t="s">
        <v>61</v>
      </c>
      <c r="D162">
        <v>187</v>
      </c>
      <c r="E162">
        <v>72226488129</v>
      </c>
      <c r="F162" t="s">
        <v>897</v>
      </c>
      <c r="G162" t="s">
        <v>894</v>
      </c>
      <c r="H162" t="s">
        <v>895</v>
      </c>
      <c r="I162" t="s">
        <v>896</v>
      </c>
      <c r="J162" t="s">
        <v>893</v>
      </c>
    </row>
    <row r="163" spans="1:10" x14ac:dyDescent="0.25">
      <c r="F163" t="s">
        <v>1624</v>
      </c>
      <c r="G163" t="s">
        <v>1625</v>
      </c>
      <c r="H163" t="s">
        <v>1626</v>
      </c>
      <c r="I163" t="s">
        <v>1627</v>
      </c>
    </row>
    <row r="164" spans="1:10" x14ac:dyDescent="0.25">
      <c r="F164" t="s">
        <v>1628</v>
      </c>
      <c r="G164" t="s">
        <v>1629</v>
      </c>
      <c r="H164" t="s">
        <v>1630</v>
      </c>
      <c r="I164" t="s">
        <v>1631</v>
      </c>
    </row>
    <row r="165" spans="1:10" x14ac:dyDescent="0.25">
      <c r="A165" t="s">
        <v>240</v>
      </c>
      <c r="B165" t="s">
        <v>244</v>
      </c>
      <c r="C165" t="s">
        <v>24</v>
      </c>
      <c r="D165">
        <v>3545</v>
      </c>
      <c r="E165">
        <v>38960125358</v>
      </c>
      <c r="F165" t="s">
        <v>244</v>
      </c>
      <c r="G165" t="s">
        <v>241</v>
      </c>
      <c r="H165" t="s">
        <v>242</v>
      </c>
      <c r="I165" t="s">
        <v>243</v>
      </c>
      <c r="J165" t="s">
        <v>240</v>
      </c>
    </row>
    <row r="166" spans="1:10" x14ac:dyDescent="0.25">
      <c r="F166" t="s">
        <v>714</v>
      </c>
    </row>
    <row r="167" spans="1:10" x14ac:dyDescent="0.25">
      <c r="F167" t="s">
        <v>245</v>
      </c>
    </row>
    <row r="168" spans="1:10" x14ac:dyDescent="0.25">
      <c r="F168" t="s">
        <v>1632</v>
      </c>
    </row>
    <row r="169" spans="1:10" x14ac:dyDescent="0.25">
      <c r="A169" t="s">
        <v>126</v>
      </c>
      <c r="B169" t="s">
        <v>131</v>
      </c>
      <c r="C169" t="s">
        <v>127</v>
      </c>
      <c r="D169">
        <v>536</v>
      </c>
      <c r="E169">
        <v>21720825730</v>
      </c>
      <c r="F169" t="s">
        <v>132</v>
      </c>
      <c r="G169" t="s">
        <v>128</v>
      </c>
      <c r="H169" t="s">
        <v>129</v>
      </c>
      <c r="I169" t="s">
        <v>130</v>
      </c>
      <c r="J169" t="s">
        <v>1633</v>
      </c>
    </row>
    <row r="170" spans="1:10" x14ac:dyDescent="0.25">
      <c r="A170" t="s">
        <v>900</v>
      </c>
      <c r="B170" t="s">
        <v>905</v>
      </c>
      <c r="C170" t="s">
        <v>901</v>
      </c>
      <c r="D170">
        <v>530</v>
      </c>
      <c r="E170">
        <v>13664089430</v>
      </c>
      <c r="F170" t="s">
        <v>930</v>
      </c>
      <c r="G170" t="s">
        <v>902</v>
      </c>
      <c r="H170" t="s">
        <v>903</v>
      </c>
      <c r="I170" t="s">
        <v>904</v>
      </c>
      <c r="J170" t="s">
        <v>1634</v>
      </c>
    </row>
    <row r="171" spans="1:10" x14ac:dyDescent="0.25">
      <c r="F171" t="s">
        <v>906</v>
      </c>
    </row>
    <row r="172" spans="1:10" x14ac:dyDescent="0.25">
      <c r="A172" t="s">
        <v>716</v>
      </c>
      <c r="B172" t="s">
        <v>721</v>
      </c>
      <c r="C172" t="s">
        <v>717</v>
      </c>
      <c r="D172">
        <v>1944</v>
      </c>
      <c r="E172">
        <v>42552392522</v>
      </c>
      <c r="F172" t="s">
        <v>722</v>
      </c>
      <c r="G172" t="s">
        <v>718</v>
      </c>
      <c r="H172" t="s">
        <v>719</v>
      </c>
      <c r="I172" t="s">
        <v>720</v>
      </c>
      <c r="J172" t="s">
        <v>1635</v>
      </c>
    </row>
    <row r="173" spans="1:10" x14ac:dyDescent="0.25">
      <c r="A173" t="s">
        <v>726</v>
      </c>
      <c r="B173" t="s">
        <v>731</v>
      </c>
      <c r="C173" t="s">
        <v>727</v>
      </c>
      <c r="D173">
        <v>3385</v>
      </c>
      <c r="E173">
        <v>16465214888</v>
      </c>
      <c r="F173" t="s">
        <v>732</v>
      </c>
      <c r="G173" t="s">
        <v>1351</v>
      </c>
      <c r="H173" t="s">
        <v>729</v>
      </c>
      <c r="I173" t="s">
        <v>730</v>
      </c>
      <c r="J173" t="s">
        <v>726</v>
      </c>
    </row>
    <row r="174" spans="1:10" x14ac:dyDescent="0.25">
      <c r="F174" t="s">
        <v>851</v>
      </c>
      <c r="G174" t="s">
        <v>848</v>
      </c>
      <c r="H174" t="s">
        <v>849</v>
      </c>
      <c r="I174" t="s">
        <v>850</v>
      </c>
    </row>
    <row r="175" spans="1:10" x14ac:dyDescent="0.25">
      <c r="A175" t="s">
        <v>735</v>
      </c>
      <c r="B175" t="s">
        <v>740</v>
      </c>
      <c r="C175" t="s">
        <v>736</v>
      </c>
      <c r="D175">
        <v>1963</v>
      </c>
      <c r="E175">
        <v>62820859976</v>
      </c>
      <c r="F175" t="s">
        <v>740</v>
      </c>
      <c r="G175" t="s">
        <v>737</v>
      </c>
      <c r="H175" t="s">
        <v>738</v>
      </c>
      <c r="I175" t="s">
        <v>739</v>
      </c>
      <c r="J175" t="s">
        <v>735</v>
      </c>
    </row>
    <row r="176" spans="1:10" x14ac:dyDescent="0.25">
      <c r="F176" t="s">
        <v>741</v>
      </c>
    </row>
    <row r="177" spans="1:10" x14ac:dyDescent="0.25">
      <c r="A177" t="s">
        <v>416</v>
      </c>
      <c r="B177" t="s">
        <v>421</v>
      </c>
      <c r="C177" t="s">
        <v>417</v>
      </c>
      <c r="D177">
        <v>113</v>
      </c>
      <c r="E177">
        <v>75480885018</v>
      </c>
      <c r="F177" t="s">
        <v>422</v>
      </c>
      <c r="G177" t="s">
        <v>418</v>
      </c>
      <c r="H177" t="s">
        <v>419</v>
      </c>
      <c r="I177" t="s">
        <v>420</v>
      </c>
      <c r="J177" t="s">
        <v>416</v>
      </c>
    </row>
    <row r="178" spans="1:10" x14ac:dyDescent="0.25">
      <c r="A178" t="s">
        <v>183</v>
      </c>
      <c r="B178" t="s">
        <v>187</v>
      </c>
      <c r="C178" t="s">
        <v>111</v>
      </c>
      <c r="D178">
        <v>250</v>
      </c>
      <c r="E178">
        <v>29573709870</v>
      </c>
      <c r="F178" t="s">
        <v>188</v>
      </c>
      <c r="G178" t="s">
        <v>184</v>
      </c>
      <c r="H178" t="s">
        <v>185</v>
      </c>
      <c r="I178" t="s">
        <v>186</v>
      </c>
      <c r="J178" t="s">
        <v>183</v>
      </c>
    </row>
    <row r="179" spans="1:10" x14ac:dyDescent="0.25">
      <c r="A179" t="s">
        <v>358</v>
      </c>
      <c r="B179" t="s">
        <v>363</v>
      </c>
      <c r="C179" t="s">
        <v>359</v>
      </c>
      <c r="D179">
        <v>232</v>
      </c>
      <c r="E179">
        <v>61727512157</v>
      </c>
      <c r="F179" t="s">
        <v>364</v>
      </c>
      <c r="G179" t="s">
        <v>360</v>
      </c>
      <c r="H179">
        <v>38598845215</v>
      </c>
      <c r="I179" t="s">
        <v>362</v>
      </c>
      <c r="J179" t="s">
        <v>358</v>
      </c>
    </row>
    <row r="180" spans="1:10" x14ac:dyDescent="0.25">
      <c r="A180" t="s">
        <v>744</v>
      </c>
      <c r="B180" t="s">
        <v>749</v>
      </c>
      <c r="C180" t="s">
        <v>745</v>
      </c>
      <c r="D180">
        <v>3795</v>
      </c>
      <c r="E180">
        <v>46576407858</v>
      </c>
      <c r="F180" t="s">
        <v>750</v>
      </c>
      <c r="G180" t="s">
        <v>746</v>
      </c>
      <c r="H180" t="s">
        <v>747</v>
      </c>
      <c r="I180" t="s">
        <v>748</v>
      </c>
      <c r="J180" t="s">
        <v>744</v>
      </c>
    </row>
    <row r="181" spans="1:10" x14ac:dyDescent="0.25">
      <c r="A181" t="s">
        <v>224</v>
      </c>
      <c r="B181" t="s">
        <v>228</v>
      </c>
      <c r="C181" t="s">
        <v>61</v>
      </c>
      <c r="D181">
        <v>140</v>
      </c>
      <c r="E181">
        <v>36389528408</v>
      </c>
      <c r="F181" t="s">
        <v>229</v>
      </c>
      <c r="G181" t="s">
        <v>225</v>
      </c>
      <c r="H181" t="s">
        <v>226</v>
      </c>
      <c r="I181" t="s">
        <v>227</v>
      </c>
      <c r="J181" t="s">
        <v>224</v>
      </c>
    </row>
    <row r="182" spans="1:10" x14ac:dyDescent="0.25">
      <c r="A182" t="s">
        <v>295</v>
      </c>
      <c r="B182" t="s">
        <v>299</v>
      </c>
      <c r="C182" t="s">
        <v>61</v>
      </c>
      <c r="D182">
        <v>245</v>
      </c>
      <c r="E182">
        <v>50952646228</v>
      </c>
      <c r="F182" t="s">
        <v>300</v>
      </c>
      <c r="G182" t="s">
        <v>1636</v>
      </c>
      <c r="H182" t="s">
        <v>1637</v>
      </c>
      <c r="I182" t="s">
        <v>1638</v>
      </c>
      <c r="J182" t="s">
        <v>295</v>
      </c>
    </row>
    <row r="183" spans="1:10" x14ac:dyDescent="0.25">
      <c r="F183" t="s">
        <v>1639</v>
      </c>
    </row>
    <row r="184" spans="1:10" x14ac:dyDescent="0.25">
      <c r="F184" t="s">
        <v>1640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98"/>
  <sheetViews>
    <sheetView workbookViewId="0">
      <pane ySplit="1" topLeftCell="A2" activePane="bottomLeft" state="frozen"/>
      <selection pane="bottomLeft" activeCell="D11" sqref="D11"/>
    </sheetView>
  </sheetViews>
  <sheetFormatPr defaultColWidth="8.85546875" defaultRowHeight="15" x14ac:dyDescent="0.25"/>
  <cols>
    <col min="1" max="1" width="34" customWidth="1"/>
    <col min="2" max="2" width="16" customWidth="1"/>
    <col min="3" max="3" width="32" customWidth="1"/>
    <col min="4" max="4" width="57.42578125" customWidth="1"/>
    <col min="5" max="5" width="28" customWidth="1"/>
    <col min="6" max="6" width="41" customWidth="1"/>
    <col min="7" max="7" width="56" customWidth="1"/>
    <col min="8" max="8" width="16" customWidth="1"/>
    <col min="9" max="9" width="10" customWidth="1"/>
    <col min="10" max="10" width="12" customWidth="1"/>
  </cols>
  <sheetData>
    <row r="1" spans="1:10" x14ac:dyDescent="0.25">
      <c r="A1" s="6" t="s">
        <v>1641</v>
      </c>
      <c r="B1" s="6" t="s">
        <v>1642</v>
      </c>
      <c r="C1" s="6" t="s">
        <v>12</v>
      </c>
      <c r="D1" s="6" t="s">
        <v>13</v>
      </c>
      <c r="E1" s="6" t="s">
        <v>9</v>
      </c>
      <c r="F1" s="6" t="s">
        <v>10</v>
      </c>
      <c r="G1" s="6" t="s">
        <v>11</v>
      </c>
      <c r="H1" s="6" t="s">
        <v>14</v>
      </c>
      <c r="I1" s="6" t="s">
        <v>4</v>
      </c>
      <c r="J1" s="6" t="s">
        <v>1643</v>
      </c>
    </row>
    <row r="2" spans="1:10" x14ac:dyDescent="0.25">
      <c r="A2" s="7" t="s">
        <v>919</v>
      </c>
      <c r="B2" s="7" t="s">
        <v>61</v>
      </c>
      <c r="C2" s="7" t="s">
        <v>1020</v>
      </c>
      <c r="D2" s="7" t="s">
        <v>1021</v>
      </c>
      <c r="E2" s="7" t="s">
        <v>1017</v>
      </c>
      <c r="F2" s="7" t="s">
        <v>1018</v>
      </c>
      <c r="G2" s="7" t="s">
        <v>1019</v>
      </c>
      <c r="H2" s="8" t="s">
        <v>1022</v>
      </c>
      <c r="I2" s="8" t="s">
        <v>1016</v>
      </c>
      <c r="J2" s="7">
        <v>1</v>
      </c>
    </row>
    <row r="3" spans="1:10" ht="30" customHeight="1" x14ac:dyDescent="0.25">
      <c r="A3" s="9" t="s">
        <v>303</v>
      </c>
      <c r="B3" s="9" t="s">
        <v>61</v>
      </c>
      <c r="C3" s="9" t="s">
        <v>307</v>
      </c>
      <c r="D3" s="9" t="s">
        <v>756</v>
      </c>
      <c r="E3" s="9" t="s">
        <v>1644</v>
      </c>
      <c r="F3" s="9" t="s">
        <v>1645</v>
      </c>
      <c r="G3" s="9" t="s">
        <v>1646</v>
      </c>
      <c r="H3" s="10" t="s">
        <v>309</v>
      </c>
      <c r="I3" s="10" t="s">
        <v>302</v>
      </c>
      <c r="J3" s="9">
        <v>2</v>
      </c>
    </row>
    <row r="4" spans="1:10" ht="30" customHeight="1" x14ac:dyDescent="0.25">
      <c r="A4" s="9" t="s">
        <v>761</v>
      </c>
      <c r="B4" s="9" t="s">
        <v>61</v>
      </c>
      <c r="C4" s="9" t="s">
        <v>765</v>
      </c>
      <c r="D4" s="9" t="s">
        <v>1647</v>
      </c>
      <c r="E4" s="9" t="s">
        <v>1648</v>
      </c>
      <c r="F4" s="9" t="s">
        <v>1649</v>
      </c>
      <c r="G4" s="9" t="s">
        <v>1650</v>
      </c>
      <c r="H4" s="10" t="s">
        <v>766</v>
      </c>
      <c r="I4" s="10" t="s">
        <v>760</v>
      </c>
      <c r="J4" s="9">
        <v>2</v>
      </c>
    </row>
    <row r="5" spans="1:10" x14ac:dyDescent="0.25">
      <c r="A5" s="7" t="s">
        <v>319</v>
      </c>
      <c r="B5" s="7" t="s">
        <v>111</v>
      </c>
      <c r="C5" s="7" t="s">
        <v>323</v>
      </c>
      <c r="D5" s="7" t="s">
        <v>324</v>
      </c>
      <c r="E5" s="7" t="s">
        <v>320</v>
      </c>
      <c r="F5" s="7" t="s">
        <v>321</v>
      </c>
      <c r="G5" s="7" t="s">
        <v>322</v>
      </c>
      <c r="H5" s="8" t="s">
        <v>325</v>
      </c>
      <c r="I5" s="8" t="s">
        <v>318</v>
      </c>
      <c r="J5" s="7">
        <v>1</v>
      </c>
    </row>
    <row r="6" spans="1:10" ht="30" customHeight="1" x14ac:dyDescent="0.25">
      <c r="A6" s="9" t="s">
        <v>917</v>
      </c>
      <c r="B6" s="9" t="s">
        <v>152</v>
      </c>
      <c r="C6" s="9" t="s">
        <v>967</v>
      </c>
      <c r="D6" s="9" t="s">
        <v>1651</v>
      </c>
      <c r="E6" s="9" t="s">
        <v>1652</v>
      </c>
      <c r="F6" s="9" t="s">
        <v>1653</v>
      </c>
      <c r="G6" s="9" t="s">
        <v>1654</v>
      </c>
      <c r="H6" s="10" t="s">
        <v>969</v>
      </c>
      <c r="I6" s="10" t="s">
        <v>963</v>
      </c>
      <c r="J6" s="9">
        <v>2</v>
      </c>
    </row>
    <row r="7" spans="1:10" ht="30" customHeight="1" x14ac:dyDescent="0.25">
      <c r="A7" s="9" t="s">
        <v>248</v>
      </c>
      <c r="B7" s="9" t="s">
        <v>61</v>
      </c>
      <c r="C7" s="9" t="s">
        <v>252</v>
      </c>
      <c r="D7" s="9" t="s">
        <v>1655</v>
      </c>
      <c r="E7" s="9" t="s">
        <v>1483</v>
      </c>
      <c r="F7" s="9" t="s">
        <v>1656</v>
      </c>
      <c r="G7" s="9" t="s">
        <v>1657</v>
      </c>
      <c r="H7" s="10" t="s">
        <v>254</v>
      </c>
      <c r="I7" s="10" t="s">
        <v>247</v>
      </c>
      <c r="J7" s="9">
        <v>2</v>
      </c>
    </row>
    <row r="8" spans="1:10" x14ac:dyDescent="0.25">
      <c r="A8" s="7" t="s">
        <v>208</v>
      </c>
      <c r="B8" s="7" t="s">
        <v>61</v>
      </c>
      <c r="C8" s="7" t="s">
        <v>212</v>
      </c>
      <c r="D8" s="7" t="s">
        <v>213</v>
      </c>
      <c r="E8" s="7" t="s">
        <v>209</v>
      </c>
      <c r="F8" s="7" t="s">
        <v>210</v>
      </c>
      <c r="G8" s="7" t="s">
        <v>211</v>
      </c>
      <c r="H8" s="8" t="s">
        <v>214</v>
      </c>
      <c r="I8" s="8" t="s">
        <v>207</v>
      </c>
      <c r="J8" s="7">
        <v>1</v>
      </c>
    </row>
    <row r="9" spans="1:10" x14ac:dyDescent="0.25">
      <c r="A9" s="7" t="s">
        <v>769</v>
      </c>
      <c r="B9" s="7" t="s">
        <v>61</v>
      </c>
      <c r="C9" s="7" t="s">
        <v>773</v>
      </c>
      <c r="D9" s="7" t="s">
        <v>774</v>
      </c>
      <c r="E9" s="7" t="s">
        <v>770</v>
      </c>
      <c r="F9" s="7" t="s">
        <v>771</v>
      </c>
      <c r="G9" s="7" t="s">
        <v>772</v>
      </c>
      <c r="H9" s="8" t="s">
        <v>775</v>
      </c>
      <c r="I9" s="8" t="s">
        <v>768</v>
      </c>
      <c r="J9" s="7">
        <v>1</v>
      </c>
    </row>
    <row r="10" spans="1:10" x14ac:dyDescent="0.25">
      <c r="A10" s="7" t="s">
        <v>311</v>
      </c>
      <c r="B10" s="7" t="s">
        <v>152</v>
      </c>
      <c r="C10" s="7" t="s">
        <v>315</v>
      </c>
      <c r="D10" s="7" t="s">
        <v>316</v>
      </c>
      <c r="E10" s="7" t="s">
        <v>312</v>
      </c>
      <c r="F10" s="7" t="s">
        <v>313</v>
      </c>
      <c r="G10" s="7" t="s">
        <v>314</v>
      </c>
      <c r="H10" s="8" t="s">
        <v>317</v>
      </c>
      <c r="I10" s="8" t="s">
        <v>310</v>
      </c>
      <c r="J10" s="7">
        <v>1</v>
      </c>
    </row>
    <row r="11" spans="1:10" x14ac:dyDescent="0.25">
      <c r="A11" s="7" t="s">
        <v>448</v>
      </c>
      <c r="B11" s="7" t="s">
        <v>24</v>
      </c>
      <c r="C11" s="7" t="s">
        <v>452</v>
      </c>
      <c r="D11" s="7" t="s">
        <v>453</v>
      </c>
      <c r="E11" s="7" t="s">
        <v>449</v>
      </c>
      <c r="F11" s="7" t="s">
        <v>450</v>
      </c>
      <c r="G11" s="7" t="s">
        <v>451</v>
      </c>
      <c r="H11" s="8" t="s">
        <v>454</v>
      </c>
      <c r="I11" s="8" t="s">
        <v>447</v>
      </c>
      <c r="J11" s="7">
        <v>1</v>
      </c>
    </row>
    <row r="12" spans="1:10" x14ac:dyDescent="0.25">
      <c r="A12" s="7" t="s">
        <v>537</v>
      </c>
      <c r="B12" s="7" t="s">
        <v>111</v>
      </c>
      <c r="C12" s="7" t="s">
        <v>541</v>
      </c>
      <c r="D12" s="7" t="s">
        <v>541</v>
      </c>
      <c r="E12" s="7" t="s">
        <v>538</v>
      </c>
      <c r="F12" s="7" t="s">
        <v>539</v>
      </c>
      <c r="G12" s="7" t="s">
        <v>540</v>
      </c>
      <c r="H12" s="8" t="s">
        <v>542</v>
      </c>
      <c r="I12" s="8" t="s">
        <v>536</v>
      </c>
      <c r="J12" s="7">
        <v>1</v>
      </c>
    </row>
    <row r="13" spans="1:10" ht="30" customHeight="1" x14ac:dyDescent="0.25">
      <c r="A13" s="7" t="s">
        <v>487</v>
      </c>
      <c r="B13" s="7" t="s">
        <v>152</v>
      </c>
      <c r="C13" s="7" t="s">
        <v>491</v>
      </c>
      <c r="D13" s="7" t="s">
        <v>492</v>
      </c>
      <c r="E13" s="7" t="s">
        <v>488</v>
      </c>
      <c r="F13" s="7" t="s">
        <v>489</v>
      </c>
      <c r="G13" s="7" t="s">
        <v>490</v>
      </c>
      <c r="H13" s="8" t="s">
        <v>493</v>
      </c>
      <c r="I13" s="8" t="s">
        <v>486</v>
      </c>
      <c r="J13" s="7">
        <v>1</v>
      </c>
    </row>
    <row r="14" spans="1:10" ht="30" customHeight="1" x14ac:dyDescent="0.25">
      <c r="A14" s="9" t="s">
        <v>335</v>
      </c>
      <c r="B14" s="9" t="s">
        <v>61</v>
      </c>
      <c r="C14" s="9" t="s">
        <v>339</v>
      </c>
      <c r="D14" s="9" t="s">
        <v>1658</v>
      </c>
      <c r="E14" s="9" t="s">
        <v>1659</v>
      </c>
      <c r="F14" s="9" t="s">
        <v>1660</v>
      </c>
      <c r="G14" s="9" t="s">
        <v>1661</v>
      </c>
      <c r="H14" s="10" t="s">
        <v>341</v>
      </c>
      <c r="I14" s="10" t="s">
        <v>334</v>
      </c>
      <c r="J14" s="9">
        <v>2</v>
      </c>
    </row>
    <row r="15" spans="1:10" ht="30" customHeight="1" x14ac:dyDescent="0.25">
      <c r="A15" s="9" t="s">
        <v>464</v>
      </c>
      <c r="B15" s="9" t="s">
        <v>152</v>
      </c>
      <c r="C15" s="9" t="s">
        <v>468</v>
      </c>
      <c r="D15" s="9" t="s">
        <v>1662</v>
      </c>
      <c r="E15" s="9" t="s">
        <v>1663</v>
      </c>
      <c r="F15" s="9" t="s">
        <v>1664</v>
      </c>
      <c r="G15" s="9" t="s">
        <v>1665</v>
      </c>
      <c r="H15" s="10" t="s">
        <v>470</v>
      </c>
      <c r="I15" s="10" t="s">
        <v>463</v>
      </c>
      <c r="J15" s="9">
        <v>2</v>
      </c>
    </row>
    <row r="16" spans="1:10" ht="30" customHeight="1" x14ac:dyDescent="0.25">
      <c r="A16" s="7" t="s">
        <v>22</v>
      </c>
      <c r="B16" s="7" t="s">
        <v>24</v>
      </c>
      <c r="C16" s="7" t="s">
        <v>28</v>
      </c>
      <c r="D16" s="7" t="s">
        <v>29</v>
      </c>
      <c r="E16" s="7" t="s">
        <v>25</v>
      </c>
      <c r="F16" s="7" t="s">
        <v>26</v>
      </c>
      <c r="G16" s="7" t="s">
        <v>27</v>
      </c>
      <c r="H16" s="8" t="s">
        <v>30</v>
      </c>
      <c r="I16" s="8" t="s">
        <v>21</v>
      </c>
      <c r="J16" s="7">
        <v>1</v>
      </c>
    </row>
    <row r="17" spans="1:10" ht="30" customHeight="1" x14ac:dyDescent="0.25">
      <c r="A17" s="7" t="s">
        <v>160</v>
      </c>
      <c r="B17" s="7" t="s">
        <v>61</v>
      </c>
      <c r="C17" s="7" t="s">
        <v>164</v>
      </c>
      <c r="D17" s="7" t="s">
        <v>164</v>
      </c>
      <c r="E17" s="7" t="s">
        <v>161</v>
      </c>
      <c r="F17" s="7" t="s">
        <v>162</v>
      </c>
      <c r="G17" s="7" t="s">
        <v>163</v>
      </c>
      <c r="H17" s="8" t="s">
        <v>165</v>
      </c>
      <c r="I17" s="8" t="s">
        <v>159</v>
      </c>
      <c r="J17" s="7">
        <v>1</v>
      </c>
    </row>
    <row r="18" spans="1:10" ht="30" customHeight="1" x14ac:dyDescent="0.25">
      <c r="A18" s="7" t="s">
        <v>545</v>
      </c>
      <c r="B18" s="7" t="s">
        <v>24</v>
      </c>
      <c r="C18" s="7" t="s">
        <v>549</v>
      </c>
      <c r="D18" s="7" t="s">
        <v>550</v>
      </c>
      <c r="E18" s="7" t="s">
        <v>546</v>
      </c>
      <c r="F18" s="7" t="s">
        <v>547</v>
      </c>
      <c r="G18" s="7" t="s">
        <v>548</v>
      </c>
      <c r="H18" s="8" t="s">
        <v>551</v>
      </c>
      <c r="I18" s="8" t="s">
        <v>544</v>
      </c>
      <c r="J18" s="7">
        <v>1</v>
      </c>
    </row>
    <row r="19" spans="1:10" x14ac:dyDescent="0.25">
      <c r="A19" s="7" t="s">
        <v>495</v>
      </c>
      <c r="B19" s="7" t="s">
        <v>61</v>
      </c>
      <c r="C19" s="7" t="s">
        <v>499</v>
      </c>
      <c r="D19" s="7" t="s">
        <v>500</v>
      </c>
      <c r="E19" s="7" t="s">
        <v>496</v>
      </c>
      <c r="F19" s="7" t="s">
        <v>497</v>
      </c>
      <c r="G19" s="7" t="s">
        <v>498</v>
      </c>
      <c r="H19" s="8" t="s">
        <v>501</v>
      </c>
      <c r="I19" s="8" t="s">
        <v>494</v>
      </c>
      <c r="J19" s="7">
        <v>1</v>
      </c>
    </row>
    <row r="20" spans="1:10" ht="30" customHeight="1" x14ac:dyDescent="0.25">
      <c r="A20" s="9" t="s">
        <v>408</v>
      </c>
      <c r="B20" s="9" t="s">
        <v>61</v>
      </c>
      <c r="C20" s="9" t="s">
        <v>412</v>
      </c>
      <c r="D20" s="9" t="s">
        <v>1666</v>
      </c>
      <c r="E20" s="9" t="s">
        <v>1667</v>
      </c>
      <c r="F20" s="9" t="s">
        <v>1668</v>
      </c>
      <c r="G20" s="9" t="s">
        <v>1669</v>
      </c>
      <c r="H20" s="10" t="s">
        <v>414</v>
      </c>
      <c r="I20" s="10" t="s">
        <v>407</v>
      </c>
      <c r="J20" s="9">
        <v>2</v>
      </c>
    </row>
    <row r="21" spans="1:10" ht="30" customHeight="1" x14ac:dyDescent="0.25">
      <c r="A21" s="9" t="s">
        <v>35</v>
      </c>
      <c r="B21" s="9" t="s">
        <v>36</v>
      </c>
      <c r="C21" s="9" t="s">
        <v>40</v>
      </c>
      <c r="D21" s="9" t="s">
        <v>41</v>
      </c>
      <c r="E21" s="9" t="s">
        <v>1670</v>
      </c>
      <c r="F21" s="9" t="s">
        <v>1671</v>
      </c>
      <c r="G21" s="9" t="s">
        <v>1672</v>
      </c>
      <c r="H21" s="10" t="s">
        <v>42</v>
      </c>
      <c r="I21" s="10" t="s">
        <v>34</v>
      </c>
      <c r="J21" s="9">
        <v>2</v>
      </c>
    </row>
    <row r="22" spans="1:10" x14ac:dyDescent="0.25">
      <c r="A22" s="7" t="s">
        <v>167</v>
      </c>
      <c r="B22" s="7" t="s">
        <v>61</v>
      </c>
      <c r="C22" s="7" t="s">
        <v>171</v>
      </c>
      <c r="D22" s="7" t="s">
        <v>172</v>
      </c>
      <c r="E22" s="7" t="s">
        <v>168</v>
      </c>
      <c r="F22" s="7" t="s">
        <v>169</v>
      </c>
      <c r="G22" s="7" t="s">
        <v>170</v>
      </c>
      <c r="H22" s="8" t="s">
        <v>173</v>
      </c>
      <c r="I22" s="8" t="s">
        <v>166</v>
      </c>
      <c r="J22" s="7">
        <v>1</v>
      </c>
    </row>
    <row r="23" spans="1:10" ht="30" customHeight="1" x14ac:dyDescent="0.25">
      <c r="A23" s="7" t="s">
        <v>327</v>
      </c>
      <c r="B23" s="7" t="s">
        <v>152</v>
      </c>
      <c r="C23" s="7" t="s">
        <v>331</v>
      </c>
      <c r="D23" s="7" t="s">
        <v>332</v>
      </c>
      <c r="E23" s="7" t="s">
        <v>328</v>
      </c>
      <c r="F23" s="7" t="s">
        <v>329</v>
      </c>
      <c r="G23" s="7" t="s">
        <v>330</v>
      </c>
      <c r="H23" s="8" t="s">
        <v>333</v>
      </c>
      <c r="I23" s="8" t="s">
        <v>326</v>
      </c>
      <c r="J23" s="7">
        <v>1</v>
      </c>
    </row>
    <row r="24" spans="1:10" ht="45" customHeight="1" x14ac:dyDescent="0.25">
      <c r="A24" s="9" t="s">
        <v>555</v>
      </c>
      <c r="B24" s="9" t="s">
        <v>61</v>
      </c>
      <c r="C24" s="9" t="s">
        <v>559</v>
      </c>
      <c r="D24" s="9" t="s">
        <v>1673</v>
      </c>
      <c r="E24" s="9" t="s">
        <v>1674</v>
      </c>
      <c r="F24" s="9" t="s">
        <v>1675</v>
      </c>
      <c r="G24" s="9" t="s">
        <v>1676</v>
      </c>
      <c r="H24" s="10" t="s">
        <v>561</v>
      </c>
      <c r="I24" s="10" t="s">
        <v>554</v>
      </c>
      <c r="J24" s="9">
        <v>3</v>
      </c>
    </row>
    <row r="25" spans="1:10" ht="30" customHeight="1" x14ac:dyDescent="0.25">
      <c r="A25" s="9" t="s">
        <v>920</v>
      </c>
      <c r="B25" s="9" t="s">
        <v>61</v>
      </c>
      <c r="C25" s="9" t="s">
        <v>951</v>
      </c>
      <c r="D25" s="9" t="s">
        <v>1677</v>
      </c>
      <c r="E25" s="9" t="s">
        <v>1678</v>
      </c>
      <c r="F25" s="9" t="s">
        <v>1679</v>
      </c>
      <c r="G25" s="9" t="s">
        <v>1680</v>
      </c>
      <c r="H25" s="10" t="s">
        <v>953</v>
      </c>
      <c r="I25" s="10" t="s">
        <v>947</v>
      </c>
      <c r="J25" s="9">
        <v>2</v>
      </c>
    </row>
    <row r="26" spans="1:10" ht="30" customHeight="1" x14ac:dyDescent="0.25">
      <c r="A26" s="7" t="s">
        <v>86</v>
      </c>
      <c r="B26" s="7" t="s">
        <v>87</v>
      </c>
      <c r="C26" s="7" t="s">
        <v>91</v>
      </c>
      <c r="D26" s="7" t="s">
        <v>92</v>
      </c>
      <c r="E26" s="7" t="s">
        <v>88</v>
      </c>
      <c r="F26" s="7" t="s">
        <v>89</v>
      </c>
      <c r="G26" s="7" t="s">
        <v>90</v>
      </c>
      <c r="H26" s="8" t="s">
        <v>93</v>
      </c>
      <c r="I26" s="8" t="s">
        <v>85</v>
      </c>
      <c r="J26" s="7">
        <v>1</v>
      </c>
    </row>
    <row r="27" spans="1:10" ht="45" customHeight="1" x14ac:dyDescent="0.25">
      <c r="A27" s="9" t="s">
        <v>440</v>
      </c>
      <c r="B27" s="9" t="s">
        <v>152</v>
      </c>
      <c r="C27" s="9" t="s">
        <v>444</v>
      </c>
      <c r="D27" s="9" t="s">
        <v>1681</v>
      </c>
      <c r="E27" s="9" t="s">
        <v>1682</v>
      </c>
      <c r="F27" s="9" t="s">
        <v>1683</v>
      </c>
      <c r="G27" s="9" t="s">
        <v>1684</v>
      </c>
      <c r="H27" s="10" t="s">
        <v>446</v>
      </c>
      <c r="I27" s="10" t="s">
        <v>439</v>
      </c>
      <c r="J27" s="9">
        <v>3</v>
      </c>
    </row>
    <row r="28" spans="1:10" ht="30" customHeight="1" x14ac:dyDescent="0.25">
      <c r="A28" s="7" t="s">
        <v>572</v>
      </c>
      <c r="B28" s="7" t="s">
        <v>573</v>
      </c>
      <c r="C28" s="7" t="s">
        <v>577</v>
      </c>
      <c r="D28" s="7" t="s">
        <v>578</v>
      </c>
      <c r="E28" s="7" t="s">
        <v>574</v>
      </c>
      <c r="F28" s="7" t="s">
        <v>575</v>
      </c>
      <c r="G28" s="7" t="s">
        <v>576</v>
      </c>
      <c r="H28" s="8" t="s">
        <v>579</v>
      </c>
      <c r="I28" s="8" t="s">
        <v>571</v>
      </c>
      <c r="J28" s="7">
        <v>1</v>
      </c>
    </row>
    <row r="29" spans="1:10" ht="30" customHeight="1" x14ac:dyDescent="0.25">
      <c r="A29" s="7" t="s">
        <v>175</v>
      </c>
      <c r="B29" s="7" t="s">
        <v>152</v>
      </c>
      <c r="C29" s="7" t="s">
        <v>179</v>
      </c>
      <c r="D29" s="7" t="s">
        <v>180</v>
      </c>
      <c r="E29" s="7" t="s">
        <v>176</v>
      </c>
      <c r="F29" s="7" t="s">
        <v>177</v>
      </c>
      <c r="G29" s="7" t="s">
        <v>178</v>
      </c>
      <c r="H29" s="8" t="s">
        <v>181</v>
      </c>
      <c r="I29" s="8" t="s">
        <v>174</v>
      </c>
      <c r="J29" s="7">
        <v>1</v>
      </c>
    </row>
    <row r="30" spans="1:10" x14ac:dyDescent="0.25">
      <c r="A30" s="7" t="s">
        <v>110</v>
      </c>
      <c r="B30" s="7" t="s">
        <v>111</v>
      </c>
      <c r="C30" s="7" t="s">
        <v>115</v>
      </c>
      <c r="D30" s="7" t="s">
        <v>115</v>
      </c>
      <c r="E30" s="7" t="s">
        <v>112</v>
      </c>
      <c r="F30" s="7" t="s">
        <v>113</v>
      </c>
      <c r="G30" s="7" t="s">
        <v>114</v>
      </c>
      <c r="H30" s="8" t="s">
        <v>116</v>
      </c>
      <c r="I30" s="8" t="s">
        <v>109</v>
      </c>
      <c r="J30" s="7">
        <v>1</v>
      </c>
    </row>
    <row r="31" spans="1:10" ht="30" customHeight="1" x14ac:dyDescent="0.25">
      <c r="A31" s="7" t="s">
        <v>563</v>
      </c>
      <c r="B31" s="7" t="s">
        <v>61</v>
      </c>
      <c r="C31" s="7" t="s">
        <v>567</v>
      </c>
      <c r="D31" s="7" t="s">
        <v>568</v>
      </c>
      <c r="E31" s="7" t="s">
        <v>564</v>
      </c>
      <c r="F31" s="7" t="s">
        <v>565</v>
      </c>
      <c r="G31" s="7" t="s">
        <v>566</v>
      </c>
      <c r="H31" s="8" t="s">
        <v>569</v>
      </c>
      <c r="I31" s="8" t="s">
        <v>562</v>
      </c>
      <c r="J31" s="7">
        <v>1</v>
      </c>
    </row>
    <row r="32" spans="1:10" ht="45" customHeight="1" x14ac:dyDescent="0.25">
      <c r="A32" s="9" t="s">
        <v>581</v>
      </c>
      <c r="B32" s="9" t="s">
        <v>61</v>
      </c>
      <c r="C32" s="9" t="s">
        <v>585</v>
      </c>
      <c r="D32" s="9" t="s">
        <v>1685</v>
      </c>
      <c r="E32" s="9" t="s">
        <v>1686</v>
      </c>
      <c r="F32" s="9" t="s">
        <v>1687</v>
      </c>
      <c r="G32" s="9" t="s">
        <v>1688</v>
      </c>
      <c r="H32" s="10" t="s">
        <v>587</v>
      </c>
      <c r="I32" s="10" t="s">
        <v>580</v>
      </c>
      <c r="J32" s="9">
        <v>3</v>
      </c>
    </row>
    <row r="33" spans="1:10" x14ac:dyDescent="0.25">
      <c r="A33" s="7" t="s">
        <v>351</v>
      </c>
      <c r="B33" s="7" t="s">
        <v>152</v>
      </c>
      <c r="C33" s="7" t="s">
        <v>355</v>
      </c>
      <c r="D33" s="7" t="s">
        <v>355</v>
      </c>
      <c r="E33" s="7" t="s">
        <v>352</v>
      </c>
      <c r="F33" s="7" t="s">
        <v>353</v>
      </c>
      <c r="G33" s="7" t="s">
        <v>354</v>
      </c>
      <c r="H33" s="8" t="s">
        <v>356</v>
      </c>
      <c r="I33" s="8" t="s">
        <v>350</v>
      </c>
      <c r="J33" s="7">
        <v>1</v>
      </c>
    </row>
    <row r="34" spans="1:10" x14ac:dyDescent="0.25">
      <c r="A34" s="7" t="s">
        <v>392</v>
      </c>
      <c r="B34" s="7" t="s">
        <v>111</v>
      </c>
      <c r="C34" s="7" t="s">
        <v>396</v>
      </c>
      <c r="D34" s="7" t="s">
        <v>397</v>
      </c>
      <c r="E34" s="7" t="s">
        <v>393</v>
      </c>
      <c r="F34" s="7" t="s">
        <v>394</v>
      </c>
      <c r="G34" s="7" t="s">
        <v>395</v>
      </c>
      <c r="H34" s="8" t="s">
        <v>398</v>
      </c>
      <c r="I34" s="8" t="s">
        <v>391</v>
      </c>
      <c r="J34" s="7">
        <v>1</v>
      </c>
    </row>
    <row r="35" spans="1:10" x14ac:dyDescent="0.25">
      <c r="A35" s="7" t="s">
        <v>589</v>
      </c>
      <c r="B35" s="7" t="s">
        <v>24</v>
      </c>
      <c r="C35" s="7" t="s">
        <v>593</v>
      </c>
      <c r="D35" s="7" t="s">
        <v>594</v>
      </c>
      <c r="E35" s="7" t="s">
        <v>590</v>
      </c>
      <c r="F35" s="7" t="s">
        <v>591</v>
      </c>
      <c r="G35" s="7" t="s">
        <v>592</v>
      </c>
      <c r="H35" s="8" t="s">
        <v>595</v>
      </c>
      <c r="I35" s="8" t="s">
        <v>588</v>
      </c>
      <c r="J35" s="7">
        <v>1</v>
      </c>
    </row>
    <row r="36" spans="1:10" ht="30" customHeight="1" x14ac:dyDescent="0.25">
      <c r="A36" s="9" t="s">
        <v>597</v>
      </c>
      <c r="B36" s="9" t="s">
        <v>61</v>
      </c>
      <c r="C36" s="9" t="s">
        <v>601</v>
      </c>
      <c r="D36" s="9" t="s">
        <v>1380</v>
      </c>
      <c r="E36" s="9" t="s">
        <v>1689</v>
      </c>
      <c r="F36" s="9" t="s">
        <v>1690</v>
      </c>
      <c r="G36" s="9" t="s">
        <v>1691</v>
      </c>
      <c r="H36" s="10" t="s">
        <v>603</v>
      </c>
      <c r="I36" s="10" t="s">
        <v>596</v>
      </c>
      <c r="J36" s="9">
        <v>2</v>
      </c>
    </row>
    <row r="37" spans="1:10" x14ac:dyDescent="0.25">
      <c r="A37" s="7" t="s">
        <v>264</v>
      </c>
      <c r="B37" s="7" t="s">
        <v>61</v>
      </c>
      <c r="C37" s="7" t="s">
        <v>252</v>
      </c>
      <c r="D37" s="7" t="s">
        <v>268</v>
      </c>
      <c r="E37" s="7" t="s">
        <v>265</v>
      </c>
      <c r="F37" s="7" t="s">
        <v>266</v>
      </c>
      <c r="G37" s="7" t="s">
        <v>267</v>
      </c>
      <c r="H37" s="8" t="s">
        <v>269</v>
      </c>
      <c r="I37" s="8" t="s">
        <v>263</v>
      </c>
      <c r="J37" s="7">
        <v>1</v>
      </c>
    </row>
    <row r="38" spans="1:10" x14ac:dyDescent="0.25">
      <c r="A38" s="7" t="s">
        <v>95</v>
      </c>
      <c r="B38" s="7" t="s">
        <v>36</v>
      </c>
      <c r="C38" s="7" t="s">
        <v>99</v>
      </c>
      <c r="D38" s="7" t="s">
        <v>100</v>
      </c>
      <c r="E38" s="7" t="s">
        <v>96</v>
      </c>
      <c r="F38" s="7" t="s">
        <v>97</v>
      </c>
      <c r="G38" s="7" t="s">
        <v>98</v>
      </c>
      <c r="H38" s="8" t="s">
        <v>101</v>
      </c>
      <c r="I38" s="8" t="s">
        <v>94</v>
      </c>
      <c r="J38" s="7">
        <v>1</v>
      </c>
    </row>
    <row r="39" spans="1:10" x14ac:dyDescent="0.25">
      <c r="A39" s="7" t="s">
        <v>143</v>
      </c>
      <c r="B39" s="7" t="s">
        <v>61</v>
      </c>
      <c r="C39" s="7" t="s">
        <v>147</v>
      </c>
      <c r="D39" s="7" t="s">
        <v>148</v>
      </c>
      <c r="E39" s="7" t="s">
        <v>144</v>
      </c>
      <c r="F39" s="7" t="s">
        <v>145</v>
      </c>
      <c r="G39" s="7" t="s">
        <v>146</v>
      </c>
      <c r="H39" s="8" t="s">
        <v>149</v>
      </c>
      <c r="I39" s="8" t="s">
        <v>142</v>
      </c>
      <c r="J39" s="7">
        <v>1</v>
      </c>
    </row>
    <row r="40" spans="1:10" x14ac:dyDescent="0.25">
      <c r="A40" s="7" t="s">
        <v>456</v>
      </c>
      <c r="B40" s="7" t="s">
        <v>111</v>
      </c>
      <c r="C40" s="7" t="s">
        <v>460</v>
      </c>
      <c r="D40" s="7" t="s">
        <v>461</v>
      </c>
      <c r="E40" s="7" t="s">
        <v>457</v>
      </c>
      <c r="F40" s="7" t="s">
        <v>458</v>
      </c>
      <c r="G40" s="7" t="s">
        <v>459</v>
      </c>
      <c r="H40" s="8" t="s">
        <v>462</v>
      </c>
      <c r="I40" s="8" t="s">
        <v>455</v>
      </c>
      <c r="J40" s="7">
        <v>1</v>
      </c>
    </row>
    <row r="41" spans="1:10" x14ac:dyDescent="0.25">
      <c r="A41" s="7" t="s">
        <v>605</v>
      </c>
      <c r="B41" s="7" t="s">
        <v>61</v>
      </c>
      <c r="C41" s="7" t="s">
        <v>252</v>
      </c>
      <c r="D41" s="7" t="s">
        <v>609</v>
      </c>
      <c r="E41" s="7" t="s">
        <v>606</v>
      </c>
      <c r="F41" s="7" t="s">
        <v>607</v>
      </c>
      <c r="G41" s="7" t="s">
        <v>608</v>
      </c>
      <c r="H41" s="8" t="s">
        <v>610</v>
      </c>
      <c r="I41" s="8" t="s">
        <v>604</v>
      </c>
      <c r="J41" s="7">
        <v>1</v>
      </c>
    </row>
    <row r="42" spans="1:10" ht="30" customHeight="1" x14ac:dyDescent="0.25">
      <c r="A42" s="7" t="s">
        <v>918</v>
      </c>
      <c r="B42" s="7" t="s">
        <v>152</v>
      </c>
      <c r="C42" s="7" t="s">
        <v>1083</v>
      </c>
      <c r="D42" s="7" t="s">
        <v>1084</v>
      </c>
      <c r="E42" s="7" t="s">
        <v>1080</v>
      </c>
      <c r="F42" s="7" t="s">
        <v>1081</v>
      </c>
      <c r="G42" s="7" t="s">
        <v>1082</v>
      </c>
      <c r="H42" s="8" t="s">
        <v>1085</v>
      </c>
      <c r="I42" s="8" t="s">
        <v>1079</v>
      </c>
      <c r="J42" s="7">
        <v>1</v>
      </c>
    </row>
    <row r="43" spans="1:10" x14ac:dyDescent="0.25">
      <c r="A43" s="7" t="s">
        <v>60</v>
      </c>
      <c r="B43" s="7" t="s">
        <v>61</v>
      </c>
      <c r="C43" s="7" t="s">
        <v>65</v>
      </c>
      <c r="D43" s="7" t="s">
        <v>66</v>
      </c>
      <c r="E43" s="7" t="s">
        <v>62</v>
      </c>
      <c r="F43" s="7" t="s">
        <v>63</v>
      </c>
      <c r="G43" s="7" t="s">
        <v>64</v>
      </c>
      <c r="H43" s="8" t="s">
        <v>67</v>
      </c>
      <c r="I43" s="8" t="s">
        <v>59</v>
      </c>
      <c r="J43" s="7">
        <v>1</v>
      </c>
    </row>
    <row r="44" spans="1:10" ht="30" customHeight="1" x14ac:dyDescent="0.25">
      <c r="A44" s="7" t="s">
        <v>783</v>
      </c>
      <c r="B44" s="7" t="s">
        <v>784</v>
      </c>
      <c r="C44" s="7" t="s">
        <v>788</v>
      </c>
      <c r="D44" s="7" t="s">
        <v>789</v>
      </c>
      <c r="E44" s="7" t="s">
        <v>785</v>
      </c>
      <c r="F44" s="7" t="s">
        <v>786</v>
      </c>
      <c r="G44" s="7" t="s">
        <v>787</v>
      </c>
      <c r="H44" s="8" t="s">
        <v>790</v>
      </c>
      <c r="I44" s="8" t="s">
        <v>782</v>
      </c>
      <c r="J44" s="7">
        <v>1</v>
      </c>
    </row>
    <row r="45" spans="1:10" x14ac:dyDescent="0.25">
      <c r="A45" s="7" t="s">
        <v>216</v>
      </c>
      <c r="B45" s="7" t="s">
        <v>24</v>
      </c>
      <c r="C45" s="7" t="s">
        <v>220</v>
      </c>
      <c r="D45" s="7" t="s">
        <v>221</v>
      </c>
      <c r="E45" s="7" t="s">
        <v>217</v>
      </c>
      <c r="F45" s="7" t="s">
        <v>218</v>
      </c>
      <c r="G45" s="7" t="s">
        <v>219</v>
      </c>
      <c r="H45" s="8" t="s">
        <v>222</v>
      </c>
      <c r="I45" s="8" t="s">
        <v>215</v>
      </c>
      <c r="J45" s="7">
        <v>1</v>
      </c>
    </row>
    <row r="46" spans="1:10" x14ac:dyDescent="0.25">
      <c r="A46" s="7" t="s">
        <v>287</v>
      </c>
      <c r="B46" s="7" t="s">
        <v>61</v>
      </c>
      <c r="C46" s="7" t="s">
        <v>291</v>
      </c>
      <c r="D46" s="7" t="s">
        <v>292</v>
      </c>
      <c r="E46" s="7" t="s">
        <v>288</v>
      </c>
      <c r="F46" s="7" t="s">
        <v>289</v>
      </c>
      <c r="G46" s="7" t="s">
        <v>290</v>
      </c>
      <c r="H46" s="8" t="s">
        <v>293</v>
      </c>
      <c r="I46" s="8" t="s">
        <v>286</v>
      </c>
      <c r="J46" s="7">
        <v>1</v>
      </c>
    </row>
    <row r="47" spans="1:10" x14ac:dyDescent="0.25">
      <c r="A47" s="7" t="s">
        <v>612</v>
      </c>
      <c r="B47" s="7" t="s">
        <v>24</v>
      </c>
      <c r="C47" s="7" t="s">
        <v>616</v>
      </c>
      <c r="D47" s="7" t="s">
        <v>616</v>
      </c>
      <c r="E47" s="7" t="s">
        <v>613</v>
      </c>
      <c r="F47" s="7" t="s">
        <v>614</v>
      </c>
      <c r="G47" s="7" t="s">
        <v>615</v>
      </c>
      <c r="H47" s="8" t="s">
        <v>617</v>
      </c>
      <c r="I47" s="8" t="s">
        <v>611</v>
      </c>
      <c r="J47" s="7">
        <v>1</v>
      </c>
    </row>
    <row r="48" spans="1:10" ht="30" customHeight="1" x14ac:dyDescent="0.25">
      <c r="A48" s="9" t="s">
        <v>400</v>
      </c>
      <c r="B48" s="9" t="s">
        <v>152</v>
      </c>
      <c r="C48" s="9" t="s">
        <v>404</v>
      </c>
      <c r="D48" s="9" t="s">
        <v>1692</v>
      </c>
      <c r="E48" s="9" t="s">
        <v>1693</v>
      </c>
      <c r="F48" s="9" t="s">
        <v>1694</v>
      </c>
      <c r="G48" s="9" t="s">
        <v>1695</v>
      </c>
      <c r="H48" s="10" t="s">
        <v>406</v>
      </c>
      <c r="I48" s="10" t="s">
        <v>399</v>
      </c>
      <c r="J48" s="9">
        <v>2</v>
      </c>
    </row>
    <row r="49" spans="1:10" ht="30" customHeight="1" x14ac:dyDescent="0.25">
      <c r="A49" s="9" t="s">
        <v>343</v>
      </c>
      <c r="B49" s="9" t="s">
        <v>24</v>
      </c>
      <c r="C49" s="9" t="s">
        <v>347</v>
      </c>
      <c r="D49" s="9" t="s">
        <v>1406</v>
      </c>
      <c r="E49" s="9" t="s">
        <v>1696</v>
      </c>
      <c r="F49" s="9" t="s">
        <v>1697</v>
      </c>
      <c r="G49" s="9" t="s">
        <v>1698</v>
      </c>
      <c r="H49" s="10" t="s">
        <v>349</v>
      </c>
      <c r="I49" s="10" t="s">
        <v>342</v>
      </c>
      <c r="J49" s="9">
        <v>2</v>
      </c>
    </row>
    <row r="50" spans="1:10" x14ac:dyDescent="0.25">
      <c r="A50" s="7" t="s">
        <v>619</v>
      </c>
      <c r="B50" s="7" t="s">
        <v>61</v>
      </c>
      <c r="C50" s="7" t="s">
        <v>623</v>
      </c>
      <c r="D50" s="7" t="s">
        <v>624</v>
      </c>
      <c r="E50" s="7" t="s">
        <v>620</v>
      </c>
      <c r="F50" s="7" t="s">
        <v>621</v>
      </c>
      <c r="G50" s="7" t="s">
        <v>622</v>
      </c>
      <c r="H50" s="8" t="s">
        <v>625</v>
      </c>
      <c r="I50" s="8" t="s">
        <v>618</v>
      </c>
      <c r="J50" s="7">
        <v>1</v>
      </c>
    </row>
    <row r="51" spans="1:10" x14ac:dyDescent="0.25">
      <c r="A51" s="7" t="s">
        <v>627</v>
      </c>
      <c r="B51" s="7" t="s">
        <v>152</v>
      </c>
      <c r="C51" s="7" t="s">
        <v>631</v>
      </c>
      <c r="D51" s="7" t="s">
        <v>632</v>
      </c>
      <c r="E51" s="7" t="s">
        <v>628</v>
      </c>
      <c r="F51" s="7" t="s">
        <v>629</v>
      </c>
      <c r="G51" s="7" t="s">
        <v>630</v>
      </c>
      <c r="H51" s="8" t="s">
        <v>633</v>
      </c>
      <c r="I51" s="8" t="s">
        <v>626</v>
      </c>
      <c r="J51" s="7">
        <v>1</v>
      </c>
    </row>
    <row r="52" spans="1:10" ht="30" customHeight="1" x14ac:dyDescent="0.25">
      <c r="A52" s="9" t="s">
        <v>479</v>
      </c>
      <c r="B52" s="9" t="s">
        <v>111</v>
      </c>
      <c r="C52" s="9" t="s">
        <v>483</v>
      </c>
      <c r="D52" s="9" t="s">
        <v>1699</v>
      </c>
      <c r="E52" s="9" t="s">
        <v>1700</v>
      </c>
      <c r="F52" s="9" t="s">
        <v>1701</v>
      </c>
      <c r="G52" s="9" t="s">
        <v>1702</v>
      </c>
      <c r="H52" s="10" t="s">
        <v>485</v>
      </c>
      <c r="I52" s="10" t="s">
        <v>478</v>
      </c>
      <c r="J52" s="9">
        <v>2</v>
      </c>
    </row>
    <row r="53" spans="1:10" x14ac:dyDescent="0.25">
      <c r="A53" s="7" t="s">
        <v>44</v>
      </c>
      <c r="B53" s="7" t="s">
        <v>24</v>
      </c>
      <c r="C53" s="7" t="s">
        <v>48</v>
      </c>
      <c r="D53" s="7" t="s">
        <v>49</v>
      </c>
      <c r="E53" s="7" t="s">
        <v>45</v>
      </c>
      <c r="F53" s="7" t="s">
        <v>46</v>
      </c>
      <c r="G53" s="7" t="s">
        <v>47</v>
      </c>
      <c r="H53" s="8" t="s">
        <v>50</v>
      </c>
      <c r="I53" s="8" t="s">
        <v>43</v>
      </c>
      <c r="J53" s="7">
        <v>1</v>
      </c>
    </row>
    <row r="54" spans="1:10" ht="30" customHeight="1" x14ac:dyDescent="0.25">
      <c r="A54" s="9" t="s">
        <v>271</v>
      </c>
      <c r="B54" s="9" t="s">
        <v>61</v>
      </c>
      <c r="C54" s="9" t="s">
        <v>275</v>
      </c>
      <c r="D54" s="9" t="s">
        <v>1703</v>
      </c>
      <c r="E54" s="9" t="s">
        <v>1704</v>
      </c>
      <c r="F54" s="9" t="s">
        <v>1705</v>
      </c>
      <c r="G54" s="9" t="s">
        <v>1706</v>
      </c>
      <c r="H54" s="10" t="s">
        <v>277</v>
      </c>
      <c r="I54" s="10" t="s">
        <v>270</v>
      </c>
      <c r="J54" s="9">
        <v>2</v>
      </c>
    </row>
    <row r="55" spans="1:10" x14ac:dyDescent="0.25">
      <c r="A55" s="7" t="s">
        <v>860</v>
      </c>
      <c r="B55" s="7" t="s">
        <v>861</v>
      </c>
      <c r="C55" s="7" t="s">
        <v>865</v>
      </c>
      <c r="D55" s="7" t="s">
        <v>866</v>
      </c>
      <c r="E55" s="7" t="s">
        <v>862</v>
      </c>
      <c r="F55" s="7" t="s">
        <v>863</v>
      </c>
      <c r="G55" s="7" t="s">
        <v>864</v>
      </c>
      <c r="H55" s="8" t="s">
        <v>867</v>
      </c>
      <c r="I55" s="8" t="s">
        <v>859</v>
      </c>
      <c r="J55" s="7">
        <v>1</v>
      </c>
    </row>
    <row r="56" spans="1:10" ht="30" customHeight="1" x14ac:dyDescent="0.25">
      <c r="A56" s="9" t="s">
        <v>636</v>
      </c>
      <c r="B56" s="9" t="s">
        <v>637</v>
      </c>
      <c r="C56" s="9" t="s">
        <v>641</v>
      </c>
      <c r="D56" s="9" t="s">
        <v>1400</v>
      </c>
      <c r="E56" s="9" t="s">
        <v>1707</v>
      </c>
      <c r="F56" s="9" t="s">
        <v>1708</v>
      </c>
      <c r="G56" s="9" t="s">
        <v>1709</v>
      </c>
      <c r="H56" s="10" t="s">
        <v>643</v>
      </c>
      <c r="I56" s="10" t="s">
        <v>635</v>
      </c>
      <c r="J56" s="9">
        <v>2</v>
      </c>
    </row>
    <row r="57" spans="1:10" ht="45" customHeight="1" x14ac:dyDescent="0.25">
      <c r="A57" s="7" t="s">
        <v>509</v>
      </c>
      <c r="B57" s="7" t="s">
        <v>61</v>
      </c>
      <c r="C57" s="7" t="s">
        <v>513</v>
      </c>
      <c r="D57" s="7" t="s">
        <v>514</v>
      </c>
      <c r="E57" s="7" t="s">
        <v>510</v>
      </c>
      <c r="F57" s="7" t="s">
        <v>511</v>
      </c>
      <c r="G57" s="7" t="s">
        <v>512</v>
      </c>
      <c r="H57" s="8" t="s">
        <v>515</v>
      </c>
      <c r="I57" s="8" t="s">
        <v>508</v>
      </c>
      <c r="J57" s="7">
        <v>1</v>
      </c>
    </row>
    <row r="58" spans="1:10" x14ac:dyDescent="0.25">
      <c r="A58" s="7" t="s">
        <v>103</v>
      </c>
      <c r="B58" s="7" t="s">
        <v>61</v>
      </c>
      <c r="C58" s="7" t="s">
        <v>107</v>
      </c>
      <c r="D58" s="7" t="s">
        <v>107</v>
      </c>
      <c r="E58" s="7" t="s">
        <v>104</v>
      </c>
      <c r="F58" s="7" t="s">
        <v>105</v>
      </c>
      <c r="G58" s="7" t="s">
        <v>106</v>
      </c>
      <c r="H58" s="8" t="s">
        <v>108</v>
      </c>
      <c r="I58" s="8" t="s">
        <v>102</v>
      </c>
      <c r="J58" s="7">
        <v>1</v>
      </c>
    </row>
    <row r="59" spans="1:10" x14ac:dyDescent="0.25">
      <c r="A59" s="7" t="s">
        <v>645</v>
      </c>
      <c r="B59" s="7" t="s">
        <v>61</v>
      </c>
      <c r="C59" s="7" t="s">
        <v>649</v>
      </c>
      <c r="D59" s="7" t="s">
        <v>650</v>
      </c>
      <c r="E59" s="7" t="s">
        <v>646</v>
      </c>
      <c r="F59" s="7" t="s">
        <v>647</v>
      </c>
      <c r="G59" s="7" t="s">
        <v>648</v>
      </c>
      <c r="H59" s="8"/>
      <c r="I59" s="8" t="s">
        <v>644</v>
      </c>
      <c r="J59" s="7">
        <v>1</v>
      </c>
    </row>
    <row r="60" spans="1:10" x14ac:dyDescent="0.25">
      <c r="A60" s="7" t="s">
        <v>425</v>
      </c>
      <c r="B60" s="7" t="s">
        <v>111</v>
      </c>
      <c r="C60" s="7" t="s">
        <v>429</v>
      </c>
      <c r="D60" s="7" t="s">
        <v>429</v>
      </c>
      <c r="E60" s="7" t="s">
        <v>426</v>
      </c>
      <c r="F60" s="7" t="s">
        <v>427</v>
      </c>
      <c r="G60" s="7" t="s">
        <v>428</v>
      </c>
      <c r="H60" s="8" t="s">
        <v>430</v>
      </c>
      <c r="I60" s="8" t="s">
        <v>424</v>
      </c>
      <c r="J60" s="7">
        <v>1</v>
      </c>
    </row>
    <row r="61" spans="1:10" x14ac:dyDescent="0.25">
      <c r="A61" s="7" t="s">
        <v>135</v>
      </c>
      <c r="B61" s="7" t="s">
        <v>24</v>
      </c>
      <c r="C61" s="7" t="s">
        <v>139</v>
      </c>
      <c r="D61" s="7" t="s">
        <v>140</v>
      </c>
      <c r="E61" s="7" t="s">
        <v>136</v>
      </c>
      <c r="F61" s="7" t="s">
        <v>137</v>
      </c>
      <c r="G61" s="7" t="s">
        <v>138</v>
      </c>
      <c r="H61" s="8" t="s">
        <v>141</v>
      </c>
      <c r="I61" s="8" t="s">
        <v>134</v>
      </c>
      <c r="J61" s="7">
        <v>1</v>
      </c>
    </row>
    <row r="62" spans="1:10" ht="45" customHeight="1" x14ac:dyDescent="0.25">
      <c r="A62" s="9" t="s">
        <v>151</v>
      </c>
      <c r="B62" s="9" t="s">
        <v>152</v>
      </c>
      <c r="C62" s="9" t="s">
        <v>156</v>
      </c>
      <c r="D62" s="9" t="s">
        <v>1710</v>
      </c>
      <c r="E62" s="9" t="s">
        <v>1711</v>
      </c>
      <c r="F62" s="9" t="s">
        <v>1712</v>
      </c>
      <c r="G62" s="9" t="s">
        <v>1713</v>
      </c>
      <c r="H62" s="10" t="s">
        <v>158</v>
      </c>
      <c r="I62" s="10" t="s">
        <v>150</v>
      </c>
      <c r="J62" s="9">
        <v>3</v>
      </c>
    </row>
    <row r="63" spans="1:10" x14ac:dyDescent="0.25">
      <c r="A63" s="7" t="s">
        <v>652</v>
      </c>
      <c r="B63" s="7" t="s">
        <v>111</v>
      </c>
      <c r="C63" s="7" t="s">
        <v>656</v>
      </c>
      <c r="D63" s="7" t="s">
        <v>657</v>
      </c>
      <c r="E63" s="7" t="s">
        <v>653</v>
      </c>
      <c r="F63" s="7" t="s">
        <v>654</v>
      </c>
      <c r="G63" s="7" t="s">
        <v>655</v>
      </c>
      <c r="H63" s="8" t="s">
        <v>658</v>
      </c>
      <c r="I63" s="8" t="s">
        <v>651</v>
      </c>
      <c r="J63" s="7">
        <v>1</v>
      </c>
    </row>
    <row r="64" spans="1:10" x14ac:dyDescent="0.25">
      <c r="A64" s="7" t="s">
        <v>52</v>
      </c>
      <c r="B64" s="7" t="s">
        <v>24</v>
      </c>
      <c r="C64" s="7" t="s">
        <v>56</v>
      </c>
      <c r="D64" s="7" t="s">
        <v>57</v>
      </c>
      <c r="E64" s="7" t="s">
        <v>53</v>
      </c>
      <c r="F64" s="7" t="s">
        <v>54</v>
      </c>
      <c r="G64" s="7" t="s">
        <v>55</v>
      </c>
      <c r="H64" s="8" t="s">
        <v>58</v>
      </c>
      <c r="I64" s="8" t="s">
        <v>51</v>
      </c>
      <c r="J64" s="7">
        <v>1</v>
      </c>
    </row>
    <row r="65" spans="1:10" ht="30" customHeight="1" x14ac:dyDescent="0.25">
      <c r="A65" s="9" t="s">
        <v>796</v>
      </c>
      <c r="B65" s="9" t="s">
        <v>61</v>
      </c>
      <c r="C65" s="9" t="s">
        <v>236</v>
      </c>
      <c r="D65" s="9" t="s">
        <v>1714</v>
      </c>
      <c r="E65" s="9" t="s">
        <v>1715</v>
      </c>
      <c r="F65" s="9" t="s">
        <v>1716</v>
      </c>
      <c r="G65" s="9" t="s">
        <v>1717</v>
      </c>
      <c r="H65" s="10" t="s">
        <v>801</v>
      </c>
      <c r="I65" s="10" t="s">
        <v>795</v>
      </c>
      <c r="J65" s="9">
        <v>2</v>
      </c>
    </row>
    <row r="66" spans="1:10" x14ac:dyDescent="0.25">
      <c r="A66" s="7" t="s">
        <v>279</v>
      </c>
      <c r="B66" s="7" t="s">
        <v>61</v>
      </c>
      <c r="C66" s="7" t="s">
        <v>283</v>
      </c>
      <c r="D66" s="7" t="s">
        <v>284</v>
      </c>
      <c r="E66" s="7" t="s">
        <v>280</v>
      </c>
      <c r="F66" s="7" t="s">
        <v>281</v>
      </c>
      <c r="G66" s="7" t="s">
        <v>282</v>
      </c>
      <c r="H66" s="8" t="s">
        <v>285</v>
      </c>
      <c r="I66" s="8" t="s">
        <v>278</v>
      </c>
      <c r="J66" s="7">
        <v>1</v>
      </c>
    </row>
    <row r="67" spans="1:10" ht="30" customHeight="1" x14ac:dyDescent="0.25">
      <c r="A67" s="7" t="s">
        <v>660</v>
      </c>
      <c r="B67" s="7" t="s">
        <v>152</v>
      </c>
      <c r="C67" s="7" t="s">
        <v>664</v>
      </c>
      <c r="D67" s="7" t="s">
        <v>665</v>
      </c>
      <c r="E67" s="7" t="s">
        <v>661</v>
      </c>
      <c r="F67" s="7" t="s">
        <v>662</v>
      </c>
      <c r="G67" s="7" t="s">
        <v>663</v>
      </c>
      <c r="H67" s="8" t="s">
        <v>666</v>
      </c>
      <c r="I67" s="8" t="s">
        <v>659</v>
      </c>
      <c r="J67" s="7">
        <v>1</v>
      </c>
    </row>
    <row r="68" spans="1:10" ht="30" customHeight="1" x14ac:dyDescent="0.25">
      <c r="A68" s="7" t="s">
        <v>118</v>
      </c>
      <c r="B68" s="7" t="s">
        <v>24</v>
      </c>
      <c r="C68" s="7" t="s">
        <v>122</v>
      </c>
      <c r="D68" s="7" t="s">
        <v>123</v>
      </c>
      <c r="E68" s="7" t="s">
        <v>119</v>
      </c>
      <c r="F68" s="7" t="s">
        <v>120</v>
      </c>
      <c r="G68" s="7" t="s">
        <v>121</v>
      </c>
      <c r="H68" s="8" t="s">
        <v>124</v>
      </c>
      <c r="I68" s="8" t="s">
        <v>117</v>
      </c>
      <c r="J68" s="7">
        <v>1</v>
      </c>
    </row>
    <row r="69" spans="1:10" ht="60" customHeight="1" x14ac:dyDescent="0.25">
      <c r="A69" s="9" t="s">
        <v>668</v>
      </c>
      <c r="B69" s="9" t="s">
        <v>61</v>
      </c>
      <c r="C69" s="9" t="s">
        <v>672</v>
      </c>
      <c r="D69" s="9" t="s">
        <v>1718</v>
      </c>
      <c r="E69" s="9" t="s">
        <v>1719</v>
      </c>
      <c r="F69" s="9" t="s">
        <v>1720</v>
      </c>
      <c r="G69" s="9" t="s">
        <v>1721</v>
      </c>
      <c r="H69" s="10" t="s">
        <v>673</v>
      </c>
      <c r="I69" s="10" t="s">
        <v>667</v>
      </c>
      <c r="J69" s="9">
        <v>4</v>
      </c>
    </row>
    <row r="70" spans="1:10" x14ac:dyDescent="0.25">
      <c r="A70" s="7" t="s">
        <v>503</v>
      </c>
      <c r="B70" s="7" t="s">
        <v>61</v>
      </c>
      <c r="C70" s="7" t="s">
        <v>283</v>
      </c>
      <c r="D70" s="7" t="s">
        <v>284</v>
      </c>
      <c r="E70" s="7" t="s">
        <v>504</v>
      </c>
      <c r="F70" s="7" t="s">
        <v>505</v>
      </c>
      <c r="G70" s="7" t="s">
        <v>506</v>
      </c>
      <c r="H70" s="8" t="s">
        <v>507</v>
      </c>
      <c r="I70" s="8" t="s">
        <v>502</v>
      </c>
      <c r="J70" s="7">
        <v>1</v>
      </c>
    </row>
    <row r="71" spans="1:10" x14ac:dyDescent="0.25">
      <c r="A71" s="7" t="s">
        <v>384</v>
      </c>
      <c r="B71" s="7" t="s">
        <v>61</v>
      </c>
      <c r="C71" s="7" t="s">
        <v>388</v>
      </c>
      <c r="D71" s="7" t="s">
        <v>389</v>
      </c>
      <c r="E71" s="7" t="s">
        <v>385</v>
      </c>
      <c r="F71" s="7" t="s">
        <v>386</v>
      </c>
      <c r="G71" s="7" t="s">
        <v>387</v>
      </c>
      <c r="H71" s="8" t="s">
        <v>390</v>
      </c>
      <c r="I71" s="8" t="s">
        <v>383</v>
      </c>
      <c r="J71" s="7">
        <v>1</v>
      </c>
    </row>
    <row r="72" spans="1:10" ht="45" customHeight="1" x14ac:dyDescent="0.25">
      <c r="A72" s="9" t="s">
        <v>432</v>
      </c>
      <c r="B72" s="9" t="s">
        <v>152</v>
      </c>
      <c r="C72" s="9" t="s">
        <v>436</v>
      </c>
      <c r="D72" s="9" t="s">
        <v>1722</v>
      </c>
      <c r="E72" s="9" t="s">
        <v>1046</v>
      </c>
      <c r="F72" s="9" t="s">
        <v>1047</v>
      </c>
      <c r="G72" s="9" t="s">
        <v>1048</v>
      </c>
      <c r="H72" s="10" t="s">
        <v>438</v>
      </c>
      <c r="I72" s="10" t="s">
        <v>431</v>
      </c>
      <c r="J72" s="9">
        <v>3</v>
      </c>
    </row>
    <row r="73" spans="1:10" ht="75" customHeight="1" x14ac:dyDescent="0.25">
      <c r="A73" s="9" t="s">
        <v>367</v>
      </c>
      <c r="B73" s="9" t="s">
        <v>368</v>
      </c>
      <c r="C73" s="9" t="s">
        <v>372</v>
      </c>
      <c r="D73" s="9" t="s">
        <v>1723</v>
      </c>
      <c r="E73" s="9" t="s">
        <v>1724</v>
      </c>
      <c r="F73" s="9" t="s">
        <v>1725</v>
      </c>
      <c r="G73" s="9" t="s">
        <v>1726</v>
      </c>
      <c r="H73" s="10" t="s">
        <v>374</v>
      </c>
      <c r="I73" s="10" t="s">
        <v>366</v>
      </c>
      <c r="J73" s="9">
        <v>5</v>
      </c>
    </row>
    <row r="74" spans="1:10" ht="60" customHeight="1" x14ac:dyDescent="0.25">
      <c r="A74" s="9" t="s">
        <v>1525</v>
      </c>
      <c r="B74" s="9" t="s">
        <v>61</v>
      </c>
      <c r="C74" s="9" t="s">
        <v>521</v>
      </c>
      <c r="D74" s="9" t="s">
        <v>1727</v>
      </c>
      <c r="E74" s="9" t="s">
        <v>1728</v>
      </c>
      <c r="F74" s="9" t="s">
        <v>1729</v>
      </c>
      <c r="G74" s="9" t="s">
        <v>1730</v>
      </c>
      <c r="H74" s="10" t="s">
        <v>523</v>
      </c>
      <c r="I74" s="10" t="s">
        <v>516</v>
      </c>
      <c r="J74" s="9">
        <v>2</v>
      </c>
    </row>
    <row r="75" spans="1:10" ht="45" customHeight="1" x14ac:dyDescent="0.25">
      <c r="A75" s="9" t="s">
        <v>803</v>
      </c>
      <c r="B75" s="9" t="s">
        <v>804</v>
      </c>
      <c r="C75" s="9" t="s">
        <v>808</v>
      </c>
      <c r="D75" s="9" t="s">
        <v>1731</v>
      </c>
      <c r="E75" s="9" t="s">
        <v>1732</v>
      </c>
      <c r="F75" s="9" t="s">
        <v>1733</v>
      </c>
      <c r="G75" s="9" t="s">
        <v>1734</v>
      </c>
      <c r="H75" s="10" t="s">
        <v>810</v>
      </c>
      <c r="I75" s="10" t="s">
        <v>802</v>
      </c>
      <c r="J75" s="9">
        <v>3</v>
      </c>
    </row>
    <row r="76" spans="1:10" ht="60" customHeight="1" x14ac:dyDescent="0.25">
      <c r="A76" s="9" t="s">
        <v>812</v>
      </c>
      <c r="B76" s="9" t="s">
        <v>813</v>
      </c>
      <c r="C76" s="9" t="s">
        <v>817</v>
      </c>
      <c r="D76" s="9" t="s">
        <v>1735</v>
      </c>
      <c r="E76" s="9" t="s">
        <v>1736</v>
      </c>
      <c r="F76" s="9" t="s">
        <v>1737</v>
      </c>
      <c r="G76" s="9" t="s">
        <v>1738</v>
      </c>
      <c r="H76" s="10" t="s">
        <v>819</v>
      </c>
      <c r="I76" s="10" t="s">
        <v>811</v>
      </c>
      <c r="J76" s="9">
        <v>4</v>
      </c>
    </row>
    <row r="77" spans="1:10" ht="105" customHeight="1" x14ac:dyDescent="0.25">
      <c r="A77" s="9" t="s">
        <v>376</v>
      </c>
      <c r="B77" s="9" t="s">
        <v>111</v>
      </c>
      <c r="C77" s="9" t="s">
        <v>380</v>
      </c>
      <c r="D77" s="9" t="s">
        <v>1739</v>
      </c>
      <c r="E77" s="9" t="s">
        <v>1740</v>
      </c>
      <c r="F77" s="9" t="s">
        <v>1741</v>
      </c>
      <c r="G77" s="9" t="s">
        <v>1742</v>
      </c>
      <c r="H77" s="10" t="s">
        <v>382</v>
      </c>
      <c r="I77" s="10" t="s">
        <v>375</v>
      </c>
      <c r="J77" s="9">
        <v>6</v>
      </c>
    </row>
    <row r="78" spans="1:10" ht="135" customHeight="1" x14ac:dyDescent="0.25">
      <c r="A78" s="9" t="s">
        <v>199</v>
      </c>
      <c r="B78" s="9" t="s">
        <v>200</v>
      </c>
      <c r="C78" s="9" t="s">
        <v>204</v>
      </c>
      <c r="D78" s="9" t="s">
        <v>1743</v>
      </c>
      <c r="E78" s="9" t="s">
        <v>1744</v>
      </c>
      <c r="F78" s="9" t="s">
        <v>1745</v>
      </c>
      <c r="G78" s="9" t="s">
        <v>1746</v>
      </c>
      <c r="H78" s="10" t="s">
        <v>206</v>
      </c>
      <c r="I78" s="10" t="s">
        <v>198</v>
      </c>
      <c r="J78" s="9">
        <v>9</v>
      </c>
    </row>
    <row r="79" spans="1:10" ht="150" customHeight="1" x14ac:dyDescent="0.25">
      <c r="A79" s="9" t="s">
        <v>191</v>
      </c>
      <c r="B79" s="9" t="s">
        <v>24</v>
      </c>
      <c r="C79" s="9" t="s">
        <v>195</v>
      </c>
      <c r="D79" s="9" t="s">
        <v>1747</v>
      </c>
      <c r="E79" s="9" t="s">
        <v>1748</v>
      </c>
      <c r="F79" s="9" t="s">
        <v>1749</v>
      </c>
      <c r="G79" s="9" t="s">
        <v>1750</v>
      </c>
      <c r="H79" s="10" t="s">
        <v>197</v>
      </c>
      <c r="I79" s="10" t="s">
        <v>190</v>
      </c>
      <c r="J79" s="9">
        <v>10</v>
      </c>
    </row>
    <row r="80" spans="1:10" ht="120" customHeight="1" x14ac:dyDescent="0.25">
      <c r="A80" s="9" t="s">
        <v>76</v>
      </c>
      <c r="B80" s="9" t="s">
        <v>77</v>
      </c>
      <c r="C80" s="9" t="s">
        <v>81</v>
      </c>
      <c r="D80" s="9" t="s">
        <v>1751</v>
      </c>
      <c r="E80" s="9" t="s">
        <v>1752</v>
      </c>
      <c r="F80" s="9" t="s">
        <v>1753</v>
      </c>
      <c r="G80" s="9" t="s">
        <v>1754</v>
      </c>
      <c r="H80" s="10" t="s">
        <v>83</v>
      </c>
      <c r="I80" s="10" t="s">
        <v>75</v>
      </c>
      <c r="J80" s="9">
        <v>8</v>
      </c>
    </row>
    <row r="81" spans="1:10" ht="30" customHeight="1" x14ac:dyDescent="0.25">
      <c r="A81" s="9" t="s">
        <v>232</v>
      </c>
      <c r="B81" s="9" t="s">
        <v>61</v>
      </c>
      <c r="C81" s="9" t="s">
        <v>236</v>
      </c>
      <c r="D81" s="9" t="s">
        <v>838</v>
      </c>
      <c r="E81" s="9" t="s">
        <v>702</v>
      </c>
      <c r="F81" s="9" t="s">
        <v>703</v>
      </c>
      <c r="G81" s="9" t="s">
        <v>704</v>
      </c>
      <c r="H81" s="10" t="s">
        <v>238</v>
      </c>
      <c r="I81" s="10" t="s">
        <v>231</v>
      </c>
      <c r="J81" s="9">
        <v>2</v>
      </c>
    </row>
    <row r="82" spans="1:10" x14ac:dyDescent="0.25">
      <c r="A82" s="7" t="s">
        <v>707</v>
      </c>
      <c r="B82" s="7" t="s">
        <v>111</v>
      </c>
      <c r="C82" s="7" t="s">
        <v>711</v>
      </c>
      <c r="D82" s="7" t="s">
        <v>712</v>
      </c>
      <c r="E82" s="7" t="s">
        <v>708</v>
      </c>
      <c r="F82" s="7" t="s">
        <v>709</v>
      </c>
      <c r="G82" s="7" t="s">
        <v>710</v>
      </c>
      <c r="H82" s="8" t="s">
        <v>713</v>
      </c>
      <c r="I82" s="8" t="s">
        <v>706</v>
      </c>
      <c r="J82" s="7">
        <v>1</v>
      </c>
    </row>
    <row r="83" spans="1:10" ht="75" customHeight="1" x14ac:dyDescent="0.25">
      <c r="A83" s="9" t="s">
        <v>69</v>
      </c>
      <c r="B83" s="9" t="s">
        <v>61</v>
      </c>
      <c r="C83" s="9" t="s">
        <v>73</v>
      </c>
      <c r="D83" s="9" t="s">
        <v>1755</v>
      </c>
      <c r="E83" s="9" t="s">
        <v>1756</v>
      </c>
      <c r="F83" s="9" t="s">
        <v>1757</v>
      </c>
      <c r="G83" s="9" t="s">
        <v>1758</v>
      </c>
      <c r="H83" s="10" t="s">
        <v>74</v>
      </c>
      <c r="I83" s="10" t="s">
        <v>68</v>
      </c>
      <c r="J83" s="9">
        <v>5</v>
      </c>
    </row>
    <row r="84" spans="1:10" ht="45" customHeight="1" x14ac:dyDescent="0.25">
      <c r="A84" s="9" t="s">
        <v>256</v>
      </c>
      <c r="B84" s="9" t="s">
        <v>61</v>
      </c>
      <c r="C84" s="9" t="s">
        <v>260</v>
      </c>
      <c r="D84" s="9" t="s">
        <v>1759</v>
      </c>
      <c r="E84" s="9" t="s">
        <v>1760</v>
      </c>
      <c r="F84" s="9" t="s">
        <v>1761</v>
      </c>
      <c r="G84" s="9" t="s">
        <v>1762</v>
      </c>
      <c r="H84" s="10" t="s">
        <v>262</v>
      </c>
      <c r="I84" s="10" t="s">
        <v>255</v>
      </c>
      <c r="J84" s="9">
        <v>3</v>
      </c>
    </row>
    <row r="85" spans="1:10" ht="60" customHeight="1" x14ac:dyDescent="0.25">
      <c r="A85" s="9" t="s">
        <v>240</v>
      </c>
      <c r="B85" s="9" t="s">
        <v>24</v>
      </c>
      <c r="C85" s="9" t="s">
        <v>244</v>
      </c>
      <c r="D85" s="9" t="s">
        <v>1763</v>
      </c>
      <c r="E85" s="9" t="s">
        <v>1764</v>
      </c>
      <c r="F85" s="9" t="s">
        <v>1765</v>
      </c>
      <c r="G85" s="9" t="s">
        <v>1766</v>
      </c>
      <c r="H85" s="10" t="s">
        <v>246</v>
      </c>
      <c r="I85" s="10" t="s">
        <v>239</v>
      </c>
      <c r="J85" s="9">
        <v>4</v>
      </c>
    </row>
    <row r="86" spans="1:10" x14ac:dyDescent="0.25">
      <c r="A86" s="7" t="s">
        <v>472</v>
      </c>
      <c r="B86" s="7" t="s">
        <v>111</v>
      </c>
      <c r="C86" s="7" t="s">
        <v>476</v>
      </c>
      <c r="D86" s="7" t="s">
        <v>476</v>
      </c>
      <c r="E86" s="7" t="s">
        <v>473</v>
      </c>
      <c r="F86" s="7" t="s">
        <v>474</v>
      </c>
      <c r="G86" s="7" t="s">
        <v>475</v>
      </c>
      <c r="H86" s="8" t="s">
        <v>477</v>
      </c>
      <c r="I86" s="8" t="s">
        <v>471</v>
      </c>
      <c r="J86" s="7">
        <v>1</v>
      </c>
    </row>
    <row r="87" spans="1:10" ht="45" customHeight="1" x14ac:dyDescent="0.25">
      <c r="A87" s="9" t="s">
        <v>893</v>
      </c>
      <c r="B87" s="9" t="s">
        <v>61</v>
      </c>
      <c r="C87" s="9" t="s">
        <v>991</v>
      </c>
      <c r="D87" s="9" t="s">
        <v>1767</v>
      </c>
      <c r="E87" s="9" t="s">
        <v>1251</v>
      </c>
      <c r="F87" s="9" t="s">
        <v>1252</v>
      </c>
      <c r="G87" s="9" t="s">
        <v>1253</v>
      </c>
      <c r="H87" s="10" t="s">
        <v>898</v>
      </c>
      <c r="I87" s="10" t="s">
        <v>892</v>
      </c>
      <c r="J87" s="9">
        <v>3</v>
      </c>
    </row>
    <row r="88" spans="1:10" ht="30" customHeight="1" x14ac:dyDescent="0.25">
      <c r="A88" s="7" t="s">
        <v>126</v>
      </c>
      <c r="B88" s="7" t="s">
        <v>127</v>
      </c>
      <c r="C88" s="7" t="s">
        <v>131</v>
      </c>
      <c r="D88" s="7" t="s">
        <v>132</v>
      </c>
      <c r="E88" s="7" t="s">
        <v>128</v>
      </c>
      <c r="F88" s="7" t="s">
        <v>129</v>
      </c>
      <c r="G88" s="7" t="s">
        <v>130</v>
      </c>
      <c r="H88" s="8" t="s">
        <v>133</v>
      </c>
      <c r="I88" s="8" t="s">
        <v>125</v>
      </c>
      <c r="J88" s="7">
        <v>1</v>
      </c>
    </row>
    <row r="89" spans="1:10" ht="30" customHeight="1" x14ac:dyDescent="0.25">
      <c r="A89" s="9" t="s">
        <v>900</v>
      </c>
      <c r="B89" s="9" t="s">
        <v>901</v>
      </c>
      <c r="C89" s="9" t="s">
        <v>905</v>
      </c>
      <c r="D89" s="9" t="s">
        <v>1768</v>
      </c>
      <c r="E89" s="9" t="s">
        <v>1769</v>
      </c>
      <c r="F89" s="9" t="s">
        <v>1770</v>
      </c>
      <c r="G89" s="9" t="s">
        <v>1771</v>
      </c>
      <c r="H89" s="10" t="s">
        <v>907</v>
      </c>
      <c r="I89" s="10" t="s">
        <v>899</v>
      </c>
      <c r="J89" s="9">
        <v>2</v>
      </c>
    </row>
    <row r="90" spans="1:10" ht="30" customHeight="1" x14ac:dyDescent="0.25">
      <c r="A90" s="7" t="s">
        <v>716</v>
      </c>
      <c r="B90" s="7" t="s">
        <v>717</v>
      </c>
      <c r="C90" s="7" t="s">
        <v>721</v>
      </c>
      <c r="D90" s="7" t="s">
        <v>722</v>
      </c>
      <c r="E90" s="7" t="s">
        <v>718</v>
      </c>
      <c r="F90" s="7" t="s">
        <v>719</v>
      </c>
      <c r="G90" s="7" t="s">
        <v>720</v>
      </c>
      <c r="H90" s="8" t="s">
        <v>723</v>
      </c>
      <c r="I90" s="8" t="s">
        <v>715</v>
      </c>
      <c r="J90" s="7">
        <v>1</v>
      </c>
    </row>
    <row r="91" spans="1:10" ht="30" customHeight="1" x14ac:dyDescent="0.25">
      <c r="A91" s="9" t="s">
        <v>726</v>
      </c>
      <c r="B91" s="9" t="s">
        <v>727</v>
      </c>
      <c r="C91" s="9" t="s">
        <v>731</v>
      </c>
      <c r="D91" s="9" t="s">
        <v>1160</v>
      </c>
      <c r="E91" s="9" t="s">
        <v>1157</v>
      </c>
      <c r="F91" s="9" t="s">
        <v>1158</v>
      </c>
      <c r="G91" s="9" t="s">
        <v>1159</v>
      </c>
      <c r="H91" s="10" t="s">
        <v>733</v>
      </c>
      <c r="I91" s="10" t="s">
        <v>725</v>
      </c>
      <c r="J91" s="9">
        <v>2</v>
      </c>
    </row>
    <row r="92" spans="1:10" ht="30" customHeight="1" x14ac:dyDescent="0.25">
      <c r="A92" s="9" t="s">
        <v>735</v>
      </c>
      <c r="B92" s="9" t="s">
        <v>736</v>
      </c>
      <c r="C92" s="9" t="s">
        <v>740</v>
      </c>
      <c r="D92" s="9" t="s">
        <v>1772</v>
      </c>
      <c r="E92" s="9" t="s">
        <v>1773</v>
      </c>
      <c r="F92" s="9" t="s">
        <v>1774</v>
      </c>
      <c r="G92" s="9" t="s">
        <v>1775</v>
      </c>
      <c r="H92" s="10" t="s">
        <v>742</v>
      </c>
      <c r="I92" s="10" t="s">
        <v>734</v>
      </c>
      <c r="J92" s="9">
        <v>2</v>
      </c>
    </row>
    <row r="93" spans="1:10" x14ac:dyDescent="0.25">
      <c r="A93" s="7" t="s">
        <v>416</v>
      </c>
      <c r="B93" s="7" t="s">
        <v>417</v>
      </c>
      <c r="C93" s="7" t="s">
        <v>421</v>
      </c>
      <c r="D93" s="7" t="s">
        <v>422</v>
      </c>
      <c r="E93" s="7" t="s">
        <v>418</v>
      </c>
      <c r="F93" s="7" t="s">
        <v>419</v>
      </c>
      <c r="G93" s="7" t="s">
        <v>420</v>
      </c>
      <c r="H93" s="8" t="s">
        <v>423</v>
      </c>
      <c r="I93" s="8" t="s">
        <v>415</v>
      </c>
      <c r="J93" s="7">
        <v>1</v>
      </c>
    </row>
    <row r="94" spans="1:10" x14ac:dyDescent="0.25">
      <c r="A94" s="7" t="s">
        <v>183</v>
      </c>
      <c r="B94" s="7" t="s">
        <v>111</v>
      </c>
      <c r="C94" s="7" t="s">
        <v>187</v>
      </c>
      <c r="D94" s="7" t="s">
        <v>188</v>
      </c>
      <c r="E94" s="7" t="s">
        <v>184</v>
      </c>
      <c r="F94" s="7" t="s">
        <v>185</v>
      </c>
      <c r="G94" s="7" t="s">
        <v>186</v>
      </c>
      <c r="H94" s="8" t="s">
        <v>189</v>
      </c>
      <c r="I94" s="8" t="s">
        <v>182</v>
      </c>
      <c r="J94" s="7">
        <v>1</v>
      </c>
    </row>
    <row r="95" spans="1:10" x14ac:dyDescent="0.25">
      <c r="A95" s="7" t="s">
        <v>744</v>
      </c>
      <c r="B95" s="7" t="s">
        <v>745</v>
      </c>
      <c r="C95" s="7" t="s">
        <v>749</v>
      </c>
      <c r="D95" s="7" t="s">
        <v>750</v>
      </c>
      <c r="E95" s="7" t="s">
        <v>746</v>
      </c>
      <c r="F95" s="7" t="s">
        <v>747</v>
      </c>
      <c r="G95" s="7" t="s">
        <v>748</v>
      </c>
      <c r="H95" s="8" t="s">
        <v>751</v>
      </c>
      <c r="I95" s="8" t="s">
        <v>743</v>
      </c>
      <c r="J95" s="7">
        <v>1</v>
      </c>
    </row>
    <row r="96" spans="1:10" x14ac:dyDescent="0.25">
      <c r="A96" s="7" t="s">
        <v>358</v>
      </c>
      <c r="B96" s="7" t="s">
        <v>359</v>
      </c>
      <c r="C96" s="7" t="s">
        <v>363</v>
      </c>
      <c r="D96" s="7" t="s">
        <v>364</v>
      </c>
      <c r="E96" s="7" t="s">
        <v>360</v>
      </c>
      <c r="F96" s="7" t="s">
        <v>361</v>
      </c>
      <c r="G96" s="7" t="s">
        <v>362</v>
      </c>
      <c r="H96" s="8" t="s">
        <v>365</v>
      </c>
      <c r="I96" s="8" t="s">
        <v>357</v>
      </c>
      <c r="J96" s="7">
        <v>1</v>
      </c>
    </row>
    <row r="97" spans="1:10" x14ac:dyDescent="0.25">
      <c r="A97" s="7" t="s">
        <v>224</v>
      </c>
      <c r="B97" s="7" t="s">
        <v>61</v>
      </c>
      <c r="C97" s="7" t="s">
        <v>228</v>
      </c>
      <c r="D97" s="7" t="s">
        <v>229</v>
      </c>
      <c r="E97" s="7" t="s">
        <v>225</v>
      </c>
      <c r="F97" s="7" t="s">
        <v>226</v>
      </c>
      <c r="G97" s="7" t="s">
        <v>227</v>
      </c>
      <c r="H97" s="8" t="s">
        <v>230</v>
      </c>
      <c r="I97" s="8" t="s">
        <v>223</v>
      </c>
      <c r="J97" s="7">
        <v>1</v>
      </c>
    </row>
    <row r="98" spans="1:10" ht="45" customHeight="1" x14ac:dyDescent="0.25">
      <c r="A98" s="9" t="s">
        <v>295</v>
      </c>
      <c r="B98" s="9" t="s">
        <v>61</v>
      </c>
      <c r="C98" s="9" t="s">
        <v>299</v>
      </c>
      <c r="D98" s="9" t="s">
        <v>1776</v>
      </c>
      <c r="E98" s="9" t="s">
        <v>1777</v>
      </c>
      <c r="F98" s="9" t="s">
        <v>1778</v>
      </c>
      <c r="G98" s="9" t="s">
        <v>1779</v>
      </c>
      <c r="H98" s="10" t="s">
        <v>301</v>
      </c>
      <c r="I98" s="10" t="s">
        <v>294</v>
      </c>
      <c r="J98" s="9">
        <v>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23,3.G1</vt:lpstr>
      <vt:lpstr>30.3.G1</vt:lpstr>
      <vt:lpstr>7.4. G1</vt:lpstr>
      <vt:lpstr>13.4 G1</vt:lpstr>
      <vt:lpstr>Isporuka G1</vt:lpstr>
      <vt:lpstr>G1_ planiranje</vt:lpstr>
      <vt:lpstr>23.3.G2</vt:lpstr>
      <vt:lpstr>30.3.G2</vt:lpstr>
      <vt:lpstr>7.4. G2</vt:lpstr>
      <vt:lpstr>13.4 G2 </vt:lpstr>
      <vt:lpstr>Isporuka G2</vt:lpstr>
      <vt:lpstr>G2_ planiranje</vt:lpstr>
      <vt:lpstr>Kontakti_i_adrese_po_ustanovi</vt:lpstr>
      <vt:lpstr>Pregled_po_ustanovi</vt:lpstr>
      <vt:lpstr>'G1_ planiranje'!Print_Area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Tina Borojević</dc:creator>
  <cp:lastModifiedBy>Tina Borojević</cp:lastModifiedBy>
  <cp:lastPrinted>2026-03-23T10:17:39Z</cp:lastPrinted>
  <dcterms:created xsi:type="dcterms:W3CDTF">2026-02-11T09:38:26Z</dcterms:created>
  <dcterms:modified xsi:type="dcterms:W3CDTF">2026-04-12T18:56:42Z</dcterms:modified>
</cp:coreProperties>
</file>