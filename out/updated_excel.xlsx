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xl/_rels/workbook.xml.rels" ContentType="application/vnd.openxmlformats-package.relationships+xml"/>
  <Override PartName="/xl/styles.xml" ContentType="application/vnd.openxmlformats-officedocument.spreadsheetml.styles+xml"/>
  <Override PartName="/xl/pivotTables/_rels/pivotTable2.xml.rels" ContentType="application/vnd.openxmlformats-package.relationships+xml"/>
  <Override PartName="/xl/pivotTables/_rels/pivotTable1.xml.rels" ContentType="application/vnd.openxmlformats-package.relationships+xml"/>
  <Override PartName="/xl/pivotTables/pivotTable2.xml" ContentType="application/vnd.openxmlformats-officedocument.spreadsheetml.pivotTable+xml"/>
  <Override PartName="/xl/pivotTables/pivotTable1.xml" ContentType="application/vnd.openxmlformats-officedocument.spreadsheetml.pivotTable+xml"/>
  <Override PartName="/xl/workbook.xml" ContentType="application/vnd.openxmlformats-officedocument.spreadsheetml.sheet.main+xml"/>
  <Override PartName="/xl/pivotCache/_rels/pivotCacheDefinition1.xml.rels" ContentType="application/vnd.openxmlformats-package.relationships+xml"/>
  <Override PartName="/xl/pivotCache/_rels/pivotCacheDefinition2.xml.rels" ContentType="application/vnd.openxmlformats-package.relationships+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1.xml" ContentType="application/vnd.openxmlformats-officedocument.spreadsheetml.pivotCacheDefinition+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14.xml" ContentType="application/vnd.openxmlformats-officedocument.spreadsheetml.worksheet+xml"/>
  <Override PartName="/xl/worksheets/sheet3.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_rels/sheet12.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2.xml.rels" ContentType="application/vnd.openxmlformats-package.relationships+xml"/>
  <Override PartName="/xl/worksheets/_rels/sheet10.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_rels/sheet9.xml.rels" ContentType="application/vnd.openxmlformats-package.relationships+xml"/>
  <Override PartName="/xl/worksheets/_rels/sheet1.xml.rels" ContentType="application/vnd.openxmlformats-package.relationships+xml"/>
  <Override PartName="/xl/worksheets/sheet7.xml" ContentType="application/vnd.openxmlformats-officedocument.spreadsheetml.worksheet+xml"/>
  <Override PartName="/xl/worksheets/sheet2.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Override PartName="/xl/tables/table6.xml" ContentType="application/vnd.openxmlformats-officedocument.spreadsheetml.table+xml"/>
  <Override PartName="/xl/tables/table5.xml" ContentType="application/vnd.openxmlformats-officedocument.spreadsheetml.table+xml"/>
  <Override PartName="/xl/tables/table8.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7.xml" ContentType="application/vnd.openxmlformats-officedocument.spreadsheetml.table+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23,3.G1" sheetId="1" state="visible" r:id="rId2"/>
    <sheet name="30.3.G1" sheetId="2" state="visible" r:id="rId3"/>
    <sheet name="7.4. G1" sheetId="3" state="visible" r:id="rId4"/>
    <sheet name="13.4 G1" sheetId="4" state="visible" r:id="rId5"/>
    <sheet name="Isporuka G1" sheetId="5" state="visible" r:id="rId6"/>
    <sheet name="G1_ planiranje" sheetId="6" state="visible" r:id="rId7"/>
    <sheet name="23.3.G2" sheetId="7" state="visible" r:id="rId8"/>
    <sheet name="30.3.G2" sheetId="8" state="visible" r:id="rId9"/>
    <sheet name="7.4. G2" sheetId="9" state="visible" r:id="rId10"/>
    <sheet name="13.4 G2 " sheetId="10" state="visible" r:id="rId11"/>
    <sheet name="Isporuka G2" sheetId="11" state="visible" r:id="rId12"/>
    <sheet name="G2_ planiranje" sheetId="12" state="visible" r:id="rId13"/>
    <sheet name="Kontakti_i_adrese_po_ustanovi" sheetId="13" state="visible" r:id="rId14"/>
    <sheet name="Pregled_po_ustanovi" sheetId="14" state="visible" r:id="rId15"/>
  </sheets>
  <definedNames>
    <definedName function="false" hidden="false" localSheetId="5" name="_xlnm.Print_Area" vbProcedure="false">'G1_ planiranje'!$A$1:$S$817</definedName>
  </definedNames>
  <calcPr iterateCount="100" refMode="A1" iterate="false" iterateDelta="0.0001"/>
  <pivotCaches>
    <pivotCache cacheId="1" r:id="rId17"/>
    <pivotCache cacheId="2" r:id="rId18"/>
  </pivotCaches>
  <extLst>
    <ext xmlns:loext="http://schemas.libreoffice.org/" uri="{7626C862-2A13-11E5-B345-FEFF819CDC9F}">
      <loext:extCalcPr stringRefSyntax="ExcelA1"/>
    </ext>
  </extLst>
</workbook>
</file>

<file path=xl/sharedStrings.xml><?xml version="1.0" encoding="utf-8"?>
<sst xmlns="http://schemas.openxmlformats.org/spreadsheetml/2006/main" count="25950" uniqueCount="1784">
  <si>
    <t xml:space="preserve">Details for Sum of Kom. - Isporuka na lokaciju : 3/23/2026, Tip opreme : Multimedijska oprema - Bežični mikrofonski sustav  (+)</t>
  </si>
  <si>
    <t xml:space="preserve">PPZ</t>
  </si>
  <si>
    <t xml:space="preserve">Evid. liste</t>
  </si>
  <si>
    <t xml:space="preserve">Otpremnica</t>
  </si>
  <si>
    <t xml:space="preserve">ID</t>
  </si>
  <si>
    <t xml:space="preserve">Ustanove</t>
  </si>
  <si>
    <t xml:space="preserve">Tip opreme </t>
  </si>
  <si>
    <t xml:space="preserve">Kom.</t>
  </si>
  <si>
    <t xml:space="preserve">Lokacija</t>
  </si>
  <si>
    <t xml:space="preserve">Ime i prezime</t>
  </si>
  <si>
    <t xml:space="preserve">Kontakt broj</t>
  </si>
  <si>
    <t xml:space="preserve">e-mail</t>
  </si>
  <si>
    <t xml:space="preserve">Matična adresa</t>
  </si>
  <si>
    <t xml:space="preserve">Adresa/e isporuke</t>
  </si>
  <si>
    <t xml:space="preserve">OIB</t>
  </si>
  <si>
    <t xml:space="preserve">Isporuka status</t>
  </si>
  <si>
    <t xml:space="preserve">Isporuka na lokaciju </t>
  </si>
  <si>
    <t xml:space="preserve">Montaža
start</t>
  </si>
  <si>
    <t xml:space="preserve">Montaža
finish</t>
  </si>
  <si>
    <t xml:space="preserve">Instalacija </t>
  </si>
  <si>
    <t xml:space="preserve">Održavanje </t>
  </si>
  <si>
    <t xml:space="preserve">133</t>
  </si>
  <si>
    <t xml:space="preserve">Fakultet elektrotehnike, strojarstva i brodogradnje u Splitu</t>
  </si>
  <si>
    <t xml:space="preserve">Multimedijska oprema - Stolno računalo za postprodukciju</t>
  </si>
  <si>
    <t xml:space="preserve">Split</t>
  </si>
  <si>
    <t xml:space="preserve">Zvonimir Torba</t>
  </si>
  <si>
    <t xml:space="preserve">+385 91 4305 724</t>
  </si>
  <si>
    <t xml:space="preserve">torba@fesb.hr</t>
  </si>
  <si>
    <t xml:space="preserve">R. Boškovića 32</t>
  </si>
  <si>
    <t xml:space="preserve">R. Boškovića 32, 21000 Split</t>
  </si>
  <si>
    <t xml:space="preserve">857144221</t>
  </si>
  <si>
    <t xml:space="preserve">King</t>
  </si>
  <si>
    <t xml:space="preserve">2a
2b</t>
  </si>
  <si>
    <t xml:space="preserve">80086775 (2a)
 80086776 (2b)</t>
  </si>
  <si>
    <t xml:space="preserve">131</t>
  </si>
  <si>
    <t xml:space="preserve">Fakultet organizacije i informatike</t>
  </si>
  <si>
    <t xml:space="preserve">Varaždin</t>
  </si>
  <si>
    <t xml:space="preserve">Mario Harjač</t>
  </si>
  <si>
    <t xml:space="preserve">097 610 1011</t>
  </si>
  <si>
    <t xml:space="preserve">maharjac@foi.unizg.hr</t>
  </si>
  <si>
    <t xml:space="preserve">Pavlinska Ulica 2</t>
  </si>
  <si>
    <t xml:space="preserve">Pavlinska ulica 2, Varaždin
Ulica Petra Preradovića 15, Varaždin</t>
  </si>
  <si>
    <t xml:space="preserve">2024882310</t>
  </si>
  <si>
    <t xml:space="preserve">149</t>
  </si>
  <si>
    <t xml:space="preserve">Medicinski fakultet u Splitu</t>
  </si>
  <si>
    <t xml:space="preserve">Dalibor Gabela</t>
  </si>
  <si>
    <t xml:space="preserve">091-1557942</t>
  </si>
  <si>
    <t xml:space="preserve">helpdesk@mefst.hr</t>
  </si>
  <si>
    <t xml:space="preserve">Šoltanska 2</t>
  </si>
  <si>
    <t xml:space="preserve">Šoltanska 2A, Split</t>
  </si>
  <si>
    <t xml:space="preserve">2879747067</t>
  </si>
  <si>
    <t xml:space="preserve">132</t>
  </si>
  <si>
    <t xml:space="preserve">Pravni fakultet u Splitu</t>
  </si>
  <si>
    <t xml:space="preserve">Juraj Saratlija</t>
  </si>
  <si>
    <t xml:space="preserve">0996935026</t>
  </si>
  <si>
    <t xml:space="preserve">juraj.saratlija@pravst.hr</t>
  </si>
  <si>
    <t xml:space="preserve">Ulica Domovinskog Rata 8</t>
  </si>
  <si>
    <t xml:space="preserve">Domovinskog rata 8, Split</t>
  </si>
  <si>
    <t xml:space="preserve">3541568700</t>
  </si>
  <si>
    <t xml:space="preserve">3689</t>
  </si>
  <si>
    <t xml:space="preserve">Hrvatsko katoličko sveučilište</t>
  </si>
  <si>
    <t xml:space="preserve">Zagreb</t>
  </si>
  <si>
    <t xml:space="preserve">Nikola Barba</t>
  </si>
  <si>
    <t xml:space="preserve">099 6081 436</t>
  </si>
  <si>
    <t xml:space="preserve">nikola.barba@unicath.hr</t>
  </si>
  <si>
    <t xml:space="preserve">Ilica 244B</t>
  </si>
  <si>
    <t xml:space="preserve">Ilica 244, 10000 Zagreb</t>
  </si>
  <si>
    <t xml:space="preserve">7730927366</t>
  </si>
  <si>
    <t xml:space="preserve">1918</t>
  </si>
  <si>
    <t xml:space="preserve">Tehničko veleučilište u Zagrebu</t>
  </si>
  <si>
    <t xml:space="preserve">Ivan Rajković</t>
  </si>
  <si>
    <t xml:space="preserve">+385998153651</t>
  </si>
  <si>
    <t xml:space="preserve">ivan.rajkovic@tvz.hr</t>
  </si>
  <si>
    <t xml:space="preserve">Vrbik 8</t>
  </si>
  <si>
    <t xml:space="preserve">8814003451</t>
  </si>
  <si>
    <t xml:space="preserve">368</t>
  </si>
  <si>
    <t xml:space="preserve">Sveučilište u Zadru</t>
  </si>
  <si>
    <t xml:space="preserve">Zadar</t>
  </si>
  <si>
    <t xml:space="preserve">Ivan Nimac</t>
  </si>
  <si>
    <t xml:space="preserve">095/826-5888</t>
  </si>
  <si>
    <t xml:space="preserve">inimac@unizd.hr</t>
  </si>
  <si>
    <t xml:space="preserve">Ulica Mihovila Pavlinovića 1</t>
  </si>
  <si>
    <t xml:space="preserve">Obala kralja Petra Krešimira IV. Br. 2, 23000 Zadar</t>
  </si>
  <si>
    <t xml:space="preserve">10839679016</t>
  </si>
  <si>
    <t xml:space="preserve">Senso</t>
  </si>
  <si>
    <t xml:space="preserve">3409</t>
  </si>
  <si>
    <t xml:space="preserve">Fakultet turizma i ruralnog razvoja u Požegi</t>
  </si>
  <si>
    <t xml:space="preserve">Požega</t>
  </si>
  <si>
    <t xml:space="preserve">Ivan Reponj</t>
  </si>
  <si>
    <t xml:space="preserve">0989389348</t>
  </si>
  <si>
    <t xml:space="preserve">ireponj@ftrr.hr</t>
  </si>
  <si>
    <t xml:space="preserve">Vukovarska 17</t>
  </si>
  <si>
    <t xml:space="preserve">Vukovarska 17, Požega</t>
  </si>
  <si>
    <t xml:space="preserve">11614501047</t>
  </si>
  <si>
    <t xml:space="preserve">198</t>
  </si>
  <si>
    <t xml:space="preserve">Geotehnički fakultet</t>
  </si>
  <si>
    <t xml:space="preserve">Darko Šprem</t>
  </si>
  <si>
    <t xml:space="preserve">091 408 9012</t>
  </si>
  <si>
    <t xml:space="preserve">darko.sprem@gfv.hr</t>
  </si>
  <si>
    <t xml:space="preserve">Hallerova Aleja 7</t>
  </si>
  <si>
    <t xml:space="preserve">Hallerova aleja 7, Varaždin</t>
  </si>
  <si>
    <t xml:space="preserve">16146181375</t>
  </si>
  <si>
    <t xml:space="preserve">3986</t>
  </si>
  <si>
    <t xml:space="preserve">Muzička akademija</t>
  </si>
  <si>
    <t xml:space="preserve">Petra Mitrović</t>
  </si>
  <si>
    <t xml:space="preserve">0914810222</t>
  </si>
  <si>
    <t xml:space="preserve">pmitrovic@muza.hr</t>
  </si>
  <si>
    <t xml:space="preserve">Trg Republike Hrvatske 12</t>
  </si>
  <si>
    <t xml:space="preserve">18422925218</t>
  </si>
  <si>
    <t xml:space="preserve">4660</t>
  </si>
  <si>
    <t xml:space="preserve">Fakultet zdravstvenih studija</t>
  </si>
  <si>
    <t xml:space="preserve">Rijeka</t>
  </si>
  <si>
    <t xml:space="preserve">Vedran Ćurković</t>
  </si>
  <si>
    <t xml:space="preserve">091 / 9536547</t>
  </si>
  <si>
    <t xml:space="preserve">vedran.curkovic@uniri.hr</t>
  </si>
  <si>
    <t xml:space="preserve">Viktora Cara Emina 5</t>
  </si>
  <si>
    <t xml:space="preserve">19213484918</t>
  </si>
  <si>
    <t xml:space="preserve">4919</t>
  </si>
  <si>
    <t xml:space="preserve">Prirodoslovno-matematički fakultet u Splitu</t>
  </si>
  <si>
    <t xml:space="preserve">Doris Knego</t>
  </si>
  <si>
    <t xml:space="preserve">098 9394211,</t>
  </si>
  <si>
    <t xml:space="preserve">doris.knego@pmfst.hr</t>
  </si>
  <si>
    <t xml:space="preserve">R. Boškovića 33</t>
  </si>
  <si>
    <t xml:space="preserve">Ruđera Boškovića 33</t>
  </si>
  <si>
    <t xml:space="preserve">20858497843</t>
  </si>
  <si>
    <t xml:space="preserve">536</t>
  </si>
  <si>
    <t xml:space="preserve">Veleučilište "Lavoslav Ružička" u Vukovaru</t>
  </si>
  <si>
    <t xml:space="preserve">Vukovar</t>
  </si>
  <si>
    <t xml:space="preserve">IGOR BILANDŽIĆ</t>
  </si>
  <si>
    <t xml:space="preserve">091-444-6885</t>
  </si>
  <si>
    <t xml:space="preserve">Igor.bilandzic@vevu.hr</t>
  </si>
  <si>
    <t xml:space="preserve">Županijska 50</t>
  </si>
  <si>
    <t xml:space="preserve">BLAGE ZADRE 2, VUKOVAR</t>
  </si>
  <si>
    <t xml:space="preserve">21720825730</t>
  </si>
  <si>
    <t xml:space="preserve">4914</t>
  </si>
  <si>
    <t xml:space="preserve">Pomorski fakultet u Splitu</t>
  </si>
  <si>
    <t xml:space="preserve">Romaldo Singolo</t>
  </si>
  <si>
    <t xml:space="preserve">091 155 9622</t>
  </si>
  <si>
    <t xml:space="preserve">romi@pfst.hr</t>
  </si>
  <si>
    <t xml:space="preserve">R. Boškovića 37</t>
  </si>
  <si>
    <t xml:space="preserve">Ruđera Boškovića 37, Split</t>
  </si>
  <si>
    <t xml:space="preserve">24624257529</t>
  </si>
  <si>
    <t xml:space="preserve">185</t>
  </si>
  <si>
    <t xml:space="preserve">Grafički fakultet, Zagreb</t>
  </si>
  <si>
    <t xml:space="preserve">Marko Maričević</t>
  </si>
  <si>
    <t xml:space="preserve">0915193488</t>
  </si>
  <si>
    <t xml:space="preserve">marko.maricevic@grf.hr</t>
  </si>
  <si>
    <t xml:space="preserve">Getaldićeva Ulica 2</t>
  </si>
  <si>
    <t xml:space="preserve">Getaldićeva 2, Zagreb</t>
  </si>
  <si>
    <t xml:space="preserve">25564990903</t>
  </si>
  <si>
    <t xml:space="preserve">168</t>
  </si>
  <si>
    <t xml:space="preserve">Pravni fakultet Osijek</t>
  </si>
  <si>
    <t xml:space="preserve">Osijek</t>
  </si>
  <si>
    <t xml:space="preserve">Bruno Bakarić</t>
  </si>
  <si>
    <t xml:space="preserve">031/224-508</t>
  </si>
  <si>
    <t xml:space="preserve">bbakaric@pravos.hr</t>
  </si>
  <si>
    <t xml:space="preserve">Ulica Stjepana Radića 13</t>
  </si>
  <si>
    <t xml:space="preserve">Stjepana Radića 17</t>
  </si>
  <si>
    <t xml:space="preserve">26416570803</t>
  </si>
  <si>
    <t xml:space="preserve">205</t>
  </si>
  <si>
    <t xml:space="preserve">Fakultet filozofije i religijskih znanosti</t>
  </si>
  <si>
    <t xml:space="preserve">Mikolaj Martinjak</t>
  </si>
  <si>
    <t xml:space="preserve">0989478881</t>
  </si>
  <si>
    <t xml:space="preserve">mika@ffrz.hr</t>
  </si>
  <si>
    <t xml:space="preserve">Jordanovac 110</t>
  </si>
  <si>
    <t xml:space="preserve">26975482530</t>
  </si>
  <si>
    <t xml:space="preserve">130</t>
  </si>
  <si>
    <t xml:space="preserve">Fakultet političkih znanosti</t>
  </si>
  <si>
    <t xml:space="preserve">Kristian Došen</t>
  </si>
  <si>
    <t xml:space="preserve">091 7888 474</t>
  </si>
  <si>
    <t xml:space="preserve">kristian.dosen@fpzg.hr</t>
  </si>
  <si>
    <t xml:space="preserve">Ulica Ivana Lepušića 6</t>
  </si>
  <si>
    <t xml:space="preserve">Lepušićeva 6, 10000 Zagreb</t>
  </si>
  <si>
    <t xml:space="preserve">28011548575</t>
  </si>
  <si>
    <t xml:space="preserve">3637</t>
  </si>
  <si>
    <t xml:space="preserve">Fakultet za odgojne i obrazovne znanosti</t>
  </si>
  <si>
    <t xml:space="preserve">Krunoslav Kurilj</t>
  </si>
  <si>
    <t xml:space="preserve">0991616166</t>
  </si>
  <si>
    <t xml:space="preserve">kkurilj@foozos.hr</t>
  </si>
  <si>
    <t xml:space="preserve">Ulica Cara Hadrijana 10</t>
  </si>
  <si>
    <t xml:space="preserve">Cara Hadrijana 10, 31 000 Osijek – NASTAVNA ZGRADA</t>
  </si>
  <si>
    <t xml:space="preserve">28082679513</t>
  </si>
  <si>
    <t xml:space="preserve">250</t>
  </si>
  <si>
    <t xml:space="preserve">Veleučilište u Rijeci</t>
  </si>
  <si>
    <t xml:space="preserve">Davorin Tadić</t>
  </si>
  <si>
    <t xml:space="preserve">091 332 1308</t>
  </si>
  <si>
    <t xml:space="preserve">dtadic@veleri.hr</t>
  </si>
  <si>
    <t xml:space="preserve">Trpimirova 2</t>
  </si>
  <si>
    <t xml:space="preserve">Vukovarska 58, Rijeka</t>
  </si>
  <si>
    <t xml:space="preserve">29573709870</t>
  </si>
  <si>
    <t xml:space="preserve">5713</t>
  </si>
  <si>
    <t xml:space="preserve">Sveučilište u Splitu</t>
  </si>
  <si>
    <t xml:space="preserve">Petra Musap</t>
  </si>
  <si>
    <t xml:space="preserve">0991639750</t>
  </si>
  <si>
    <t xml:space="preserve">petra.musap@unist.hr</t>
  </si>
  <si>
    <t xml:space="preserve">R. Boškovića 31</t>
  </si>
  <si>
    <t xml:space="preserve">Poljana kraljice Jelene 1, Split</t>
  </si>
  <si>
    <t xml:space="preserve">29845096215</t>
  </si>
  <si>
    <t xml:space="preserve">1972</t>
  </si>
  <si>
    <t xml:space="preserve">Sveučilište u Slavonskom Brodu</t>
  </si>
  <si>
    <t xml:space="preserve">Slavonski Brod</t>
  </si>
  <si>
    <t xml:space="preserve">Damir Lulić</t>
  </si>
  <si>
    <t xml:space="preserve">0981771615</t>
  </si>
  <si>
    <t xml:space="preserve">dlulic@unisb.hr</t>
  </si>
  <si>
    <t xml:space="preserve">Trg "Ivana Brlić Mažuranić" 2</t>
  </si>
  <si>
    <t xml:space="preserve">Ulica 108. brigade ZNG 36</t>
  </si>
  <si>
    <t xml:space="preserve">33027834374</t>
  </si>
  <si>
    <t xml:space="preserve">3340</t>
  </si>
  <si>
    <t xml:space="preserve">Edukacijsko-rehabilitacijski fakultet</t>
  </si>
  <si>
    <t xml:space="preserve">Ivan Cerovec</t>
  </si>
  <si>
    <t xml:space="preserve">01/2457510</t>
  </si>
  <si>
    <t xml:space="preserve">ivan.cerovec@erf.unizg.hr</t>
  </si>
  <si>
    <t xml:space="preserve">Borongajska Cesta 83F</t>
  </si>
  <si>
    <t xml:space="preserve">Zagreb, Borongajska c.83f</t>
  </si>
  <si>
    <t xml:space="preserve">34967762426</t>
  </si>
  <si>
    <t xml:space="preserve">267</t>
  </si>
  <si>
    <t xml:space="preserve">Katolički bogoslovni fakultet, Split</t>
  </si>
  <si>
    <t xml:space="preserve">Željko Matas</t>
  </si>
  <si>
    <t xml:space="preserve">097 7094175</t>
  </si>
  <si>
    <t xml:space="preserve">zmatas@kbf-st.hr</t>
  </si>
  <si>
    <t xml:space="preserve">Zrinjsko-Frankopanska 19</t>
  </si>
  <si>
    <t xml:space="preserve">Zrinjsko-Frankopanska 19, Split</t>
  </si>
  <si>
    <t xml:space="preserve">36149548625</t>
  </si>
  <si>
    <t xml:space="preserve">140</t>
  </si>
  <si>
    <t xml:space="preserve">Veterinarski fakultet, Zagreb</t>
  </si>
  <si>
    <t xml:space="preserve">Marko Poletto</t>
  </si>
  <si>
    <t xml:space="preserve">099/4928854</t>
  </si>
  <si>
    <t xml:space="preserve">pmarko@vef.unizg.hr</t>
  </si>
  <si>
    <t xml:space="preserve">Ulica Vjekoslava Heinzela 55</t>
  </si>
  <si>
    <t xml:space="preserve">Ulica Vjekoslava Heinzela 55, 10000 Zagreb</t>
  </si>
  <si>
    <t xml:space="preserve">36389528408</t>
  </si>
  <si>
    <t xml:space="preserve">219</t>
  </si>
  <si>
    <t xml:space="preserve">Sveučilište u Zagrebu</t>
  </si>
  <si>
    <t xml:space="preserve">Siniša Vlahović
</t>
  </si>
  <si>
    <t xml:space="preserve">098 268 472
</t>
  </si>
  <si>
    <t xml:space="preserve">svlahovic@unizg.hr
</t>
  </si>
  <si>
    <t xml:space="preserve">Trg Republike Hrvatske 14</t>
  </si>
  <si>
    <t xml:space="preserve">Ulica Radoslava Cimermana 88, 10000 Zagreb
</t>
  </si>
  <si>
    <t xml:space="preserve">36612267447</t>
  </si>
  <si>
    <t xml:space="preserve">3545</t>
  </si>
  <si>
    <t xml:space="preserve">Umjetnička akademija u Splitu</t>
  </si>
  <si>
    <t xml:space="preserve">Branimir Džaja</t>
  </si>
  <si>
    <t xml:space="preserve">091-2600324</t>
  </si>
  <si>
    <t xml:space="preserve">branimir.dzaja@umas.hr</t>
  </si>
  <si>
    <t xml:space="preserve">Zagrebačka 3</t>
  </si>
  <si>
    <t xml:space="preserve">Fausta Vrančića 19</t>
  </si>
  <si>
    <t xml:space="preserve">38960125358</t>
  </si>
  <si>
    <t xml:space="preserve">141</t>
  </si>
  <si>
    <t xml:space="preserve">Arhitektonski fakultet</t>
  </si>
  <si>
    <t xml:space="preserve">
Emil Flatz</t>
  </si>
  <si>
    <t xml:space="preserve">
38598302567</t>
  </si>
  <si>
    <t xml:space="preserve">
eflatz@arhitekt.hr</t>
  </si>
  <si>
    <t xml:space="preserve">Kačićeva Ulica 26</t>
  </si>
  <si>
    <t xml:space="preserve">
Frankopanska 12</t>
  </si>
  <si>
    <t xml:space="preserve">42061107444</t>
  </si>
  <si>
    <t xml:space="preserve">177</t>
  </si>
  <si>
    <t xml:space="preserve">Tekstilno-tehnološki fakultet</t>
  </si>
  <si>
    <t xml:space="preserve">Srđan Cvetanović</t>
  </si>
  <si>
    <t xml:space="preserve">095 8000 204
</t>
  </si>
  <si>
    <t xml:space="preserve">djani@ttf.hr
</t>
  </si>
  <si>
    <t xml:space="preserve">Prilaz Baruna Filipovića 28A</t>
  </si>
  <si>
    <t xml:space="preserve">Prilaz baruna Filipovića 28a
</t>
  </si>
  <si>
    <t xml:space="preserve">43097527965</t>
  </si>
  <si>
    <t xml:space="preserve">122</t>
  </si>
  <si>
    <t xml:space="preserve">Geodetski fakultet</t>
  </si>
  <si>
    <t xml:space="preserve">Marijo Seničić</t>
  </si>
  <si>
    <t xml:space="preserve">099 533 7842</t>
  </si>
  <si>
    <t xml:space="preserve">marijo.senicic@geof.unizg.hr</t>
  </si>
  <si>
    <t xml:space="preserve">Kačićeva 26, 10000 Zagreb</t>
  </si>
  <si>
    <t xml:space="preserve">43594593297</t>
  </si>
  <si>
    <t xml:space="preserve">165</t>
  </si>
  <si>
    <t xml:space="preserve">Medicinski fakultet u Zagrebu</t>
  </si>
  <si>
    <t xml:space="preserve">Mirza Žižak</t>
  </si>
  <si>
    <t xml:space="preserve">091-595-2783</t>
  </si>
  <si>
    <t xml:space="preserve">mirza.zizak@mef.hr</t>
  </si>
  <si>
    <t xml:space="preserve">Šalata 3</t>
  </si>
  <si>
    <t xml:space="preserve">
Šalata 2</t>
  </si>
  <si>
    <t xml:space="preserve">45001686598</t>
  </si>
  <si>
    <t xml:space="preserve">146</t>
  </si>
  <si>
    <t xml:space="preserve">Prehrambeno-biotehnološki fakultet</t>
  </si>
  <si>
    <t xml:space="preserve">Ana Vukelić</t>
  </si>
  <si>
    <t xml:space="preserve">0915677600</t>
  </si>
  <si>
    <t xml:space="preserve">avukelic@pbf.hr</t>
  </si>
  <si>
    <t xml:space="preserve">Pierottijeva Ulica 6</t>
  </si>
  <si>
    <t xml:space="preserve">Pierottijeva 6</t>
  </si>
  <si>
    <t xml:space="preserve">47824453867</t>
  </si>
  <si>
    <t xml:space="preserve">210</t>
  </si>
  <si>
    <t xml:space="preserve">Katolički bogoslovni fakultet, Zagreb</t>
  </si>
  <si>
    <t xml:space="preserve">Taras Barščevski</t>
  </si>
  <si>
    <t xml:space="preserve">+385(91)5335.699</t>
  </si>
  <si>
    <t xml:space="preserve">taras.barscevski@kbf.unizg.hr</t>
  </si>
  <si>
    <t xml:space="preserve">Vlaška Ulica 38</t>
  </si>
  <si>
    <t xml:space="preserve">Vlaška 38</t>
  </si>
  <si>
    <t xml:space="preserve">48987767944</t>
  </si>
  <si>
    <t xml:space="preserve">245</t>
  </si>
  <si>
    <t xml:space="preserve">Zdravstveno veleučilište</t>
  </si>
  <si>
    <t xml:space="preserve">Ozren Digula
Kristijan Zbiljski</t>
  </si>
  <si>
    <t xml:space="preserve">0914595855
0914595858</t>
  </si>
  <si>
    <t xml:space="preserve">ozren.digula@zvu.hr
kristijan.zbiljski@zvu.hr</t>
  </si>
  <si>
    <t xml:space="preserve">Mlinarska Cesta 38</t>
  </si>
  <si>
    <t xml:space="preserve">Mlinarska cesta 38</t>
  </si>
  <si>
    <t xml:space="preserve">50952646228</t>
  </si>
  <si>
    <t xml:space="preserve">215</t>
  </si>
  <si>
    <t xml:space="preserve">Akademija dramske umjetnosti</t>
  </si>
  <si>
    <t xml:space="preserve">Ivan Šetin</t>
  </si>
  <si>
    <t xml:space="preserve">0981839338</t>
  </si>
  <si>
    <t xml:space="preserve">isetin@adu.hr</t>
  </si>
  <si>
    <t xml:space="preserve">Trg Republike Hrvatske 5</t>
  </si>
  <si>
    <t xml:space="preserve">Trg Republike Hrvatske 5
</t>
  </si>
  <si>
    <t xml:space="preserve">52097842295</t>
  </si>
  <si>
    <t xml:space="preserve">125</t>
  </si>
  <si>
    <t xml:space="preserve">Ekonomski fakultet u Osijeku</t>
  </si>
  <si>
    <t xml:space="preserve">Damir Kovačević</t>
  </si>
  <si>
    <t xml:space="preserve">385912244189</t>
  </si>
  <si>
    <t xml:space="preserve">damir.kovacevic@efos.hr</t>
  </si>
  <si>
    <t xml:space="preserve">Trg Ljudevita Gaja 7</t>
  </si>
  <si>
    <t xml:space="preserve">Trg Ljudevita Gaja 7, Osijek</t>
  </si>
  <si>
    <t xml:space="preserve">52778515544</t>
  </si>
  <si>
    <t xml:space="preserve">1939</t>
  </si>
  <si>
    <t xml:space="preserve">Akademija primijenjenih umjetnosti</t>
  </si>
  <si>
    <t xml:space="preserve">Aljoša Brajdić</t>
  </si>
  <si>
    <t xml:space="preserve">099/2217114</t>
  </si>
  <si>
    <t xml:space="preserve">aljosa.brajdic@apuri.uniri.hr</t>
  </si>
  <si>
    <t xml:space="preserve">Slavka Krautzeka 83</t>
  </si>
  <si>
    <t xml:space="preserve">Slavka Krautzeka 83, 51000 Rijeka</t>
  </si>
  <si>
    <t xml:space="preserve">55704161999</t>
  </si>
  <si>
    <t xml:space="preserve">275</t>
  </si>
  <si>
    <t xml:space="preserve">Fakultet primijenjene matematike i informatike</t>
  </si>
  <si>
    <t xml:space="preserve">Petar Taler</t>
  </si>
  <si>
    <t xml:space="preserve">091 224 1039</t>
  </si>
  <si>
    <t xml:space="preserve">petar@mathos.hr</t>
  </si>
  <si>
    <t xml:space="preserve">Trg Ljudevita Gaja 6</t>
  </si>
  <si>
    <t xml:space="preserve">Trg Lj. Gaja 6, Osijek</t>
  </si>
  <si>
    <t xml:space="preserve">56597320763</t>
  </si>
  <si>
    <t xml:space="preserve">138</t>
  </si>
  <si>
    <t xml:space="preserve">Fakultet elektrotehnike i računarstva</t>
  </si>
  <si>
    <t xml:space="preserve">Denis Hernaut</t>
  </si>
  <si>
    <t xml:space="preserve">+385 91 604 3920</t>
  </si>
  <si>
    <t xml:space="preserve">denis.hernaut@fer.hr</t>
  </si>
  <si>
    <t xml:space="preserve">Unska Ulica 3</t>
  </si>
  <si>
    <t xml:space="preserve">Vukovarska 39, Zagreb
</t>
  </si>
  <si>
    <t xml:space="preserve">57029260362</t>
  </si>
  <si>
    <t xml:space="preserve">3430</t>
  </si>
  <si>
    <t xml:space="preserve">Kineziološki fakultet u Splitu</t>
  </si>
  <si>
    <t xml:space="preserve">Ante Krolo</t>
  </si>
  <si>
    <t xml:space="preserve">+385 95 903 76 48</t>
  </si>
  <si>
    <t xml:space="preserve">ante@kifst.hr</t>
  </si>
  <si>
    <t xml:space="preserve">Teslina 6</t>
  </si>
  <si>
    <t xml:space="preserve">Teslina 10</t>
  </si>
  <si>
    <t xml:space="preserve">57848936921</t>
  </si>
  <si>
    <t xml:space="preserve">181</t>
  </si>
  <si>
    <t xml:space="preserve">Filozofski fakultet Osijek</t>
  </si>
  <si>
    <t xml:space="preserve">Zoltan Juhas</t>
  </si>
  <si>
    <t xml:space="preserve">091/ 2549 157</t>
  </si>
  <si>
    <t xml:space="preserve">zoli@ffos.hr</t>
  </si>
  <si>
    <t xml:space="preserve">Ulica Lorenza Jägera 9</t>
  </si>
  <si>
    <t xml:space="preserve">58868871646</t>
  </si>
  <si>
    <t xml:space="preserve">232</t>
  </si>
  <si>
    <t xml:space="preserve">Veleučilište u Šibeniku</t>
  </si>
  <si>
    <t xml:space="preserve">Šibenik</t>
  </si>
  <si>
    <t xml:space="preserve">Jakov Serajlić</t>
  </si>
  <si>
    <t xml:space="preserve">38598845215</t>
  </si>
  <si>
    <t xml:space="preserve">jserajlic@vus.hr</t>
  </si>
  <si>
    <t xml:space="preserve">Trg A. Hebranga 11</t>
  </si>
  <si>
    <t xml:space="preserve">Trg Andrije Hebrang 11, 22000 Šibenik</t>
  </si>
  <si>
    <t xml:space="preserve">61727512157</t>
  </si>
  <si>
    <t xml:space="preserve">3554</t>
  </si>
  <si>
    <t xml:space="preserve">Sveučilište Jurja Dobrile u Puli</t>
  </si>
  <si>
    <t xml:space="preserve">Pula</t>
  </si>
  <si>
    <t xml:space="preserve">Dario Kukuljan</t>
  </si>
  <si>
    <t xml:space="preserve">0993777446</t>
  </si>
  <si>
    <t xml:space="preserve">dkukuljan@unipu.hr</t>
  </si>
  <si>
    <t xml:space="preserve">Zagrebačka Ulica 30</t>
  </si>
  <si>
    <t xml:space="preserve">Alda Negrija 6</t>
  </si>
  <si>
    <t xml:space="preserve">61738073226</t>
  </si>
  <si>
    <t xml:space="preserve">221</t>
  </si>
  <si>
    <t xml:space="preserve">Sveučilište u Rijeci</t>
  </si>
  <si>
    <t xml:space="preserve">Marko Roža</t>
  </si>
  <si>
    <t xml:space="preserve">051/265-873</t>
  </si>
  <si>
    <t xml:space="preserve">marko.roza@uniri.hr</t>
  </si>
  <si>
    <t xml:space="preserve">Trg Braće Mažuranića 10</t>
  </si>
  <si>
    <t xml:space="preserve">Radmile Matejčić 2; 51000 Rijeka</t>
  </si>
  <si>
    <t xml:space="preserve">64218323816</t>
  </si>
  <si>
    <t xml:space="preserve">150</t>
  </si>
  <si>
    <t xml:space="preserve">Stomatološki fakultet</t>
  </si>
  <si>
    <t xml:space="preserve">Dario Đurasović</t>
  </si>
  <si>
    <t xml:space="preserve">091 4802 130</t>
  </si>
  <si>
    <t xml:space="preserve">dario@sfzg.hr</t>
  </si>
  <si>
    <t xml:space="preserve">Gundulićeva Ulica 5</t>
  </si>
  <si>
    <t xml:space="preserve">Gundulićeva 5, Zagreb</t>
  </si>
  <si>
    <t xml:space="preserve">70221464726</t>
  </si>
  <si>
    <t xml:space="preserve">1907</t>
  </si>
  <si>
    <t xml:space="preserve">Filozofski fakultet u Rijeci</t>
  </si>
  <si>
    <t xml:space="preserve">Boris Ružić</t>
  </si>
  <si>
    <t xml:space="preserve">0915765999</t>
  </si>
  <si>
    <t xml:space="preserve">bruzic@uniri.hr</t>
  </si>
  <si>
    <t xml:space="preserve">Sveučilišna Avenija 4</t>
  </si>
  <si>
    <t xml:space="preserve">Sveučilišna avenija 4, 51000 Rijeka</t>
  </si>
  <si>
    <t xml:space="preserve">70505505759</t>
  </si>
  <si>
    <t xml:space="preserve">6229</t>
  </si>
  <si>
    <t xml:space="preserve">Kineziološki fakultet Osijek</t>
  </si>
  <si>
    <t xml:space="preserve">Matija Karapetrić</t>
  </si>
  <si>
    <t xml:space="preserve">0915053478</t>
  </si>
  <si>
    <t xml:space="preserve">matija.karapetric@kifos.hr</t>
  </si>
  <si>
    <t xml:space="preserve">Drinska 16A</t>
  </si>
  <si>
    <t xml:space="preserve">Drinska 16a, 31000 Osijek
</t>
  </si>
  <si>
    <t xml:space="preserve">70788591483</t>
  </si>
  <si>
    <t xml:space="preserve">184</t>
  </si>
  <si>
    <t xml:space="preserve">Fakultet kemijskog inženjerstva i tehnologije</t>
  </si>
  <si>
    <t xml:space="preserve">Igor Horaček</t>
  </si>
  <si>
    <t xml:space="preserve">091/722-0837</t>
  </si>
  <si>
    <t xml:space="preserve">igor@fkit.hr</t>
  </si>
  <si>
    <t xml:space="preserve">Trg Marka Marulića 19</t>
  </si>
  <si>
    <t xml:space="preserve">
Savska cesta 41, zgrada Zagrepčanka, 2.kat</t>
  </si>
  <si>
    <t xml:space="preserve">71259740533</t>
  </si>
  <si>
    <t xml:space="preserve">113</t>
  </si>
  <si>
    <t xml:space="preserve">Veleučilište u Križevcima</t>
  </si>
  <si>
    <t xml:space="preserve">Križevci</t>
  </si>
  <si>
    <t xml:space="preserve">Andreas Mađerić</t>
  </si>
  <si>
    <t xml:space="preserve">048 279 196</t>
  </si>
  <si>
    <t xml:space="preserve">amaderic@vguk.hr</t>
  </si>
  <si>
    <t xml:space="preserve">Ulica Milislava Demerca 1</t>
  </si>
  <si>
    <t xml:space="preserve">Milislava Demerca 1, 48260 Križevci</t>
  </si>
  <si>
    <t xml:space="preserve">75480885018</t>
  </si>
  <si>
    <t xml:space="preserve">169</t>
  </si>
  <si>
    <t xml:space="preserve">Pomorski fakultet u Rijeci</t>
  </si>
  <si>
    <t xml:space="preserve">Izv. prof. dr. sc. Jasmin Ćelić</t>
  </si>
  <si>
    <t xml:space="preserve">0912546777</t>
  </si>
  <si>
    <t xml:space="preserve">jasmin.celic@uniri.hr</t>
  </si>
  <si>
    <t xml:space="preserve">Studentska 2</t>
  </si>
  <si>
    <t xml:space="preserve">76722145702</t>
  </si>
  <si>
    <t xml:space="preserve">222</t>
  </si>
  <si>
    <t xml:space="preserve">Sveučilište Josipa Jurja Strossmayera u Osijeku</t>
  </si>
  <si>
    <t xml:space="preserve">Tatjana Šajatović</t>
  </si>
  <si>
    <t xml:space="preserve"> +38598871499</t>
  </si>
  <si>
    <t xml:space="preserve">tsajatovic@kemija.unios.hr</t>
  </si>
  <si>
    <t xml:space="preserve">Trg Sv. Trojstva 3</t>
  </si>
  <si>
    <t xml:space="preserve">Cara Hadrijana 8/A</t>
  </si>
  <si>
    <t xml:space="preserve">78808975734</t>
  </si>
  <si>
    <t xml:space="preserve">5717</t>
  </si>
  <si>
    <t xml:space="preserve">Fakultet za dentalnu medicinu i zdravstvo Osijek</t>
  </si>
  <si>
    <t xml:space="preserve">Andrija Ljubičić
</t>
  </si>
  <si>
    <t xml:space="preserve">091 2241 423
</t>
  </si>
  <si>
    <t xml:space="preserve">andrija.ljubicic@fdmz.hr
</t>
  </si>
  <si>
    <t xml:space="preserve">Crkvena Ulica 21</t>
  </si>
  <si>
    <t xml:space="preserve">Crkvena 21
</t>
  </si>
  <si>
    <t xml:space="preserve">83830458507</t>
  </si>
  <si>
    <t xml:space="preserve">316</t>
  </si>
  <si>
    <t xml:space="preserve">Ekonomski fakultet u Splitu</t>
  </si>
  <si>
    <t xml:space="preserve">Ante Denić</t>
  </si>
  <si>
    <t xml:space="preserve">(+385)915683877</t>
  </si>
  <si>
    <t xml:space="preserve">dante@efst.hr</t>
  </si>
  <si>
    <t xml:space="preserve">Cvite Fiskovića 5</t>
  </si>
  <si>
    <t xml:space="preserve">Cvite Fiskovića 5, Split</t>
  </si>
  <si>
    <t xml:space="preserve">84477684422</t>
  </si>
  <si>
    <t xml:space="preserve">172</t>
  </si>
  <si>
    <t xml:space="preserve">Građevinski fakultet u Rijeci</t>
  </si>
  <si>
    <t xml:space="preserve">Elvis Žic</t>
  </si>
  <si>
    <t xml:space="preserve">0915038578</t>
  </si>
  <si>
    <t xml:space="preserve">elvis.zic@uniri.hr</t>
  </si>
  <si>
    <t xml:space="preserve">Ulica Radmile Matejčić 3</t>
  </si>
  <si>
    <t xml:space="preserve">Ulica Radmile Matejčić 3, 51000 Rijeka</t>
  </si>
  <si>
    <t xml:space="preserve">92037849504</t>
  </si>
  <si>
    <t xml:space="preserve">199</t>
  </si>
  <si>
    <t xml:space="preserve">Fakultet elektrotehnike, računarstva i informacijskih tehnologija Osijek</t>
  </si>
  <si>
    <t xml:space="preserve">Mario Miloloza</t>
  </si>
  <si>
    <t xml:space="preserve">0912246140</t>
  </si>
  <si>
    <t xml:space="preserve">mario.miloloza@ferit.hr</t>
  </si>
  <si>
    <t xml:space="preserve">Ulica Kneza Trpimira 2B</t>
  </si>
  <si>
    <t xml:space="preserve">Cara Hadrijana 10b, Osijek</t>
  </si>
  <si>
    <t xml:space="preserve">95494259952</t>
  </si>
  <si>
    <t xml:space="preserve">281</t>
  </si>
  <si>
    <t xml:space="preserve">Učiteljski fakultet u Rijeci</t>
  </si>
  <si>
    <t xml:space="preserve">Danka Jurjević</t>
  </si>
  <si>
    <t xml:space="preserve">265-877</t>
  </si>
  <si>
    <t xml:space="preserve">danka.jurjevic@uniri.hr</t>
  </si>
  <si>
    <t xml:space="preserve">Sveučilišna Avenija 6</t>
  </si>
  <si>
    <t xml:space="preserve">96996385705</t>
  </si>
  <si>
    <t xml:space="preserve">147</t>
  </si>
  <si>
    <t xml:space="preserve">Medicinski fakultet u Rijeci</t>
  </si>
  <si>
    <t xml:space="preserve">Teo Brusić
Zoran Vučinić</t>
  </si>
  <si>
    <t xml:space="preserve">098/338-182
091/1651-230</t>
  </si>
  <si>
    <t xml:space="preserve">teo.brusic@medri.uniri.hr
zoran.vucinic@medri.uniri.hr</t>
  </si>
  <si>
    <t xml:space="preserve">Braće Branchetta 20</t>
  </si>
  <si>
    <t xml:space="preserve">Rijeka, B. Branchetta 20
</t>
  </si>
  <si>
    <t xml:space="preserve">98164324541</t>
  </si>
  <si>
    <t xml:space="preserve">158</t>
  </si>
  <si>
    <t xml:space="preserve">Fakultet agrobiotehničkih znanosti Osijek</t>
  </si>
  <si>
    <t xml:space="preserve">Ivan Rebekić</t>
  </si>
  <si>
    <t xml:space="preserve">099 304 6109</t>
  </si>
  <si>
    <t xml:space="preserve">irebekic@fazos.hr</t>
  </si>
  <si>
    <t xml:space="preserve">Ulica Vladimira Preloga 1</t>
  </si>
  <si>
    <t xml:space="preserve">Vladimira Preloga 1, 31000 Osijek</t>
  </si>
  <si>
    <t xml:space="preserve">98816779821</t>
  </si>
  <si>
    <t xml:space="preserve">3324</t>
  </si>
  <si>
    <t xml:space="preserve">Fakultet hrvatskih studija</t>
  </si>
  <si>
    <t xml:space="preserve">Dario Knežić</t>
  </si>
  <si>
    <t xml:space="preserve">0917615616</t>
  </si>
  <si>
    <t xml:space="preserve">dknezic@fhs.unizg.hr</t>
  </si>
  <si>
    <t xml:space="preserve">Borongajska Cesta 83D</t>
  </si>
  <si>
    <t xml:space="preserve">Borongajska cesta 83d, Zagreb</t>
  </si>
  <si>
    <t xml:space="preserve">99454315441</t>
  </si>
  <si>
    <t xml:space="preserve">203</t>
  </si>
  <si>
    <t xml:space="preserve">Rudarsko-geološko-naftni fakultet</t>
  </si>
  <si>
    <t xml:space="preserve">Marijan Galjar</t>
  </si>
  <si>
    <t xml:space="preserve">098 855 676</t>
  </si>
  <si>
    <t xml:space="preserve">marijan.galjar@rgn.hr</t>
  </si>
  <si>
    <t xml:space="preserve">99534693762</t>
  </si>
  <si>
    <t xml:space="preserve">206</t>
  </si>
  <si>
    <t xml:space="preserve">MUP, Policijska akademija "Prvi hrvatski redarstvenik", Veleučilište kriminalistike i javne sigurnosti</t>
  </si>
  <si>
    <t xml:space="preserve">Davor Štrk</t>
  </si>
  <si>
    <t xml:space="preserve">099 3136 671</t>
  </si>
  <si>
    <t xml:space="preserve">dstrk@fkz.hr</t>
  </si>
  <si>
    <t xml:space="preserve">Avenija Gojka Šuška 1</t>
  </si>
  <si>
    <t xml:space="preserve">Av. Gojka Šuška 1, Zagreb</t>
  </si>
  <si>
    <t xml:space="preserve">36162371878</t>
  </si>
  <si>
    <t xml:space="preserve">4589</t>
  </si>
  <si>
    <t xml:space="preserve">Sveučilište obrane i sigurnosti "Dr. Franjo Tuđman"</t>
  </si>
  <si>
    <t xml:space="preserve">Predrag Šinko</t>
  </si>
  <si>
    <t xml:space="preserve">095/205-2570</t>
  </si>
  <si>
    <t xml:space="preserve">predrag.sinko@sois-ft.hr</t>
  </si>
  <si>
    <t xml:space="preserve">Ilica 256B</t>
  </si>
  <si>
    <t xml:space="preserve">Ilica 256B, obj. 58</t>
  </si>
  <si>
    <t xml:space="preserve">36752094474</t>
  </si>
  <si>
    <t xml:space="preserve">Details for Sum of Kom. - Isporuka na lokaciju : 3/30/2026, Tip opreme : Multimedijska oprema - Bežični mikrofonski sustav  (+)</t>
  </si>
  <si>
    <t xml:space="preserve">Multimedijska oprema - Zvučnik s objedinjenim mikrofonom(speakerphone) i kamerom </t>
  </si>
  <si>
    <t xml:space="preserve">Trg Republike Hrvatske 5, Zagreb</t>
  </si>
  <si>
    <t xml:space="preserve">Multimedijska oprema - Profesionalna web kamera</t>
  </si>
  <si>
    <t xml:space="preserve">Matija Prahin
</t>
  </si>
  <si>
    <t xml:space="preserve">385919845267
</t>
  </si>
  <si>
    <t xml:space="preserve">mprahin@arhitekt.hr
</t>
  </si>
  <si>
    <t xml:space="preserve">Kačićeva 26</t>
  </si>
  <si>
    <t xml:space="preserve">Emil Flatz</t>
  </si>
  <si>
    <t xml:space="preserve">38598302567</t>
  </si>
  <si>
    <t xml:space="preserve">eflatz@arhitekt.hr</t>
  </si>
  <si>
    <t xml:space="preserve">Frankopanska 12</t>
  </si>
  <si>
    <t xml:space="preserve">290</t>
  </si>
  <si>
    <t xml:space="preserve">Ekonomski fakultet, Rijeka</t>
  </si>
  <si>
    <t xml:space="preserve">TEDI KOLANOVIĆ</t>
  </si>
  <si>
    <t xml:space="preserve">091 604 47 89</t>
  </si>
  <si>
    <t xml:space="preserve">tedi.kolanovic@efri.uniri.hr</t>
  </si>
  <si>
    <t xml:space="preserve">Ivana Filipovića 4</t>
  </si>
  <si>
    <t xml:space="preserve">26093119930</t>
  </si>
  <si>
    <t xml:space="preserve">Vukovarska 39, Zagreb</t>
  </si>
  <si>
    <t xml:space="preserve">163</t>
  </si>
  <si>
    <t xml:space="preserve">Fakultet građevinarstva, arhitekture i geodezije u Splitu</t>
  </si>
  <si>
    <t xml:space="preserve">Alen Domazet</t>
  </si>
  <si>
    <t xml:space="preserve">091 568 5994</t>
  </si>
  <si>
    <t xml:space="preserve">adomazet@gradst.hr</t>
  </si>
  <si>
    <t xml:space="preserve">Matice Hrvatske 15</t>
  </si>
  <si>
    <t xml:space="preserve">Matice hrvatske 15, 21000 Split</t>
  </si>
  <si>
    <t xml:space="preserve">83615500218</t>
  </si>
  <si>
    <t xml:space="preserve">Trg Marka Marulića 20, Zagreb, podrum</t>
  </si>
  <si>
    <t xml:space="preserve">Pavlinska ulica 2, Varaždin</t>
  </si>
  <si>
    <t xml:space="preserve">191</t>
  </si>
  <si>
    <t xml:space="preserve">Fakultet prometnih znanosti</t>
  </si>
  <si>
    <t xml:space="preserve">Dario Kužić</t>
  </si>
  <si>
    <t xml:space="preserve">385994988065</t>
  </si>
  <si>
    <t xml:space="preserve"> dkuzic@fpz.unizg.hr</t>
  </si>
  <si>
    <t xml:space="preserve">Ulica Lavoslava Vukelića 4</t>
  </si>
  <si>
    <t xml:space="preserve">Borongajska cesta 83a</t>
  </si>
  <si>
    <t xml:space="preserve">25410051374</t>
  </si>
  <si>
    <t xml:space="preserve">153</t>
  </si>
  <si>
    <t xml:space="preserve">Fakultet šumarstva i drvne tehnologije</t>
  </si>
  <si>
    <t xml:space="preserve">Mihael Šutalo</t>
  </si>
  <si>
    <t xml:space="preserve">099/2717915</t>
  </si>
  <si>
    <t xml:space="preserve">msutalo@sumfak.hr</t>
  </si>
  <si>
    <t xml:space="preserve">Svetošimunska Cesta 23</t>
  </si>
  <si>
    <t xml:space="preserve">Svetošimunska cesta 23</t>
  </si>
  <si>
    <t xml:space="preserve">7699719217</t>
  </si>
  <si>
    <t xml:space="preserve">Crkvena 21</t>
  </si>
  <si>
    <t xml:space="preserve">174</t>
  </si>
  <si>
    <t xml:space="preserve">Fakultet za menadžment u turizmu i ugostiteljstvu</t>
  </si>
  <si>
    <t xml:space="preserve">Ika</t>
  </si>
  <si>
    <t xml:space="preserve">Davor Mijolović</t>
  </si>
  <si>
    <t xml:space="preserve">098-292-104</t>
  </si>
  <si>
    <t xml:space="preserve">davor.mijolovic@fthm.hr</t>
  </si>
  <si>
    <t xml:space="preserve">Primorska 46</t>
  </si>
  <si>
    <t xml:space="preserve">Primorska 46, 51410  Opatija</t>
  </si>
  <si>
    <t xml:space="preserve">85799845149</t>
  </si>
  <si>
    <t xml:space="preserve">121</t>
  </si>
  <si>
    <t xml:space="preserve">Farmaceutsko - biokemijski fakultet</t>
  </si>
  <si>
    <t xml:space="preserve">Mate Galić</t>
  </si>
  <si>
    <t xml:space="preserve">098806500</t>
  </si>
  <si>
    <t xml:space="preserve">mate.galic@pharma.unizg.hr</t>
  </si>
  <si>
    <t xml:space="preserve">Ulica Ante Kovačića 1</t>
  </si>
  <si>
    <t xml:space="preserve">Domagojeva 2</t>
  </si>
  <si>
    <t xml:space="preserve">14509285435</t>
  </si>
  <si>
    <t xml:space="preserve">5769</t>
  </si>
  <si>
    <t xml:space="preserve">Filozofski fakultet u Splitu</t>
  </si>
  <si>
    <t xml:space="preserve">Slaven Kušljić</t>
  </si>
  <si>
    <t xml:space="preserve">021 545545, 091 4443745</t>
  </si>
  <si>
    <t xml:space="preserve">slaven@ffst.hr</t>
  </si>
  <si>
    <t xml:space="preserve">Poljička Cesta 35</t>
  </si>
  <si>
    <t xml:space="preserve">Poljička cesta 35</t>
  </si>
  <si>
    <t xml:space="preserve">98004523293</t>
  </si>
  <si>
    <t xml:space="preserve">186</t>
  </si>
  <si>
    <t xml:space="preserve">Filozofski fakultet u Zagrebu</t>
  </si>
  <si>
    <t xml:space="preserve">Boris Beker</t>
  </si>
  <si>
    <t xml:space="preserve">098/211-765</t>
  </si>
  <si>
    <t xml:space="preserve">bbeker@ffzg.hr</t>
  </si>
  <si>
    <t xml:space="preserve">Ulica Ivana Lučića 3</t>
  </si>
  <si>
    <t xml:space="preserve">Ivana Lučića 3</t>
  </si>
  <si>
    <t xml:space="preserve">90633715804</t>
  </si>
  <si>
    <t xml:space="preserve">161</t>
  </si>
  <si>
    <t xml:space="preserve">Građevinski fakultet, Zagreb</t>
  </si>
  <si>
    <t xml:space="preserve">Sead Berberović</t>
  </si>
  <si>
    <t xml:space="preserve">0915226263</t>
  </si>
  <si>
    <t xml:space="preserve">sead.berberovic@grad.unizg.hr</t>
  </si>
  <si>
    <t xml:space="preserve">Kačićeva 26, Zagreb</t>
  </si>
  <si>
    <t xml:space="preserve">62924153420</t>
  </si>
  <si>
    <t xml:space="preserve">4917</t>
  </si>
  <si>
    <t xml:space="preserve">Kemijsko-tehnološki fakultet u Splitu</t>
  </si>
  <si>
    <t xml:space="preserve">Domagoj Vučica</t>
  </si>
  <si>
    <t xml:space="preserve">091/1265-486</t>
  </si>
  <si>
    <t xml:space="preserve">domagoj@ktf-split.hr</t>
  </si>
  <si>
    <t xml:space="preserve">R. Boškovića 35</t>
  </si>
  <si>
    <t xml:space="preserve">99401575594</t>
  </si>
  <si>
    <t xml:space="preserve">136</t>
  </si>
  <si>
    <t xml:space="preserve">Kineziološki fakultet u Zagrebu</t>
  </si>
  <si>
    <t xml:space="preserve">Stipe Gorenjak</t>
  </si>
  <si>
    <t xml:space="preserve">091 3658 600</t>
  </si>
  <si>
    <t xml:space="preserve">stipe.gorenjak@kif.unizg.hr</t>
  </si>
  <si>
    <t xml:space="preserve">Horvaćanski Zavoj 15</t>
  </si>
  <si>
    <t xml:space="preserve">Horvaćanski zavoj 15</t>
  </si>
  <si>
    <t xml:space="preserve">25329931628</t>
  </si>
  <si>
    <t xml:space="preserve">137</t>
  </si>
  <si>
    <t xml:space="preserve">Medicinski fakultet Osijek</t>
  </si>
  <si>
    <t xml:space="preserve">Bojan Tovjanin</t>
  </si>
  <si>
    <t xml:space="preserve">0912241440</t>
  </si>
  <si>
    <t xml:space="preserve">btovjanin@mefos.hr</t>
  </si>
  <si>
    <t xml:space="preserve">Ulica Josipa Huttlera 4</t>
  </si>
  <si>
    <t xml:space="preserve">Josipa Huttlera 4</t>
  </si>
  <si>
    <t xml:space="preserve">16214165873</t>
  </si>
  <si>
    <t xml:space="preserve">Rijeka, B. Branchetta 20</t>
  </si>
  <si>
    <t xml:space="preserve">3482</t>
  </si>
  <si>
    <t xml:space="preserve">Međimursko veleučilište u Čakovcu</t>
  </si>
  <si>
    <t xml:space="preserve">Čakovec</t>
  </si>
  <si>
    <t xml:space="preserve">Željko Hrebak</t>
  </si>
  <si>
    <t xml:space="preserve">098710398</t>
  </si>
  <si>
    <t xml:space="preserve">zhrebak@mev.hr</t>
  </si>
  <si>
    <t xml:space="preserve">Ulica Bana Josipa Jelačića 22A</t>
  </si>
  <si>
    <t xml:space="preserve">Ul. bana Josipa Jelačića 22a</t>
  </si>
  <si>
    <t xml:space="preserve">31444990605</t>
  </si>
  <si>
    <t xml:space="preserve">188</t>
  </si>
  <si>
    <t xml:space="preserve">Nacionalna i sveučilišna knjižnica</t>
  </si>
  <si>
    <t xml:space="preserve">Boris Rončević</t>
  </si>
  <si>
    <t xml:space="preserve">099 5327723</t>
  </si>
  <si>
    <t xml:space="preserve">broncevic@nsk.hr</t>
  </si>
  <si>
    <t xml:space="preserve">Ul. Hrvatske Bratske Zajednice 4</t>
  </si>
  <si>
    <t xml:space="preserve">NSK - Ul. Hrvatske Bratske Zajednice 4</t>
  </si>
  <si>
    <t xml:space="preserve">173</t>
  </si>
  <si>
    <t xml:space="preserve">Pravni fakultet u Rijeci</t>
  </si>
  <si>
    <t xml:space="preserve">Siniša Lončarić</t>
  </si>
  <si>
    <t xml:space="preserve">0913011188</t>
  </si>
  <si>
    <t xml:space="preserve">sloncaric@pravri.uniri.hr</t>
  </si>
  <si>
    <t xml:space="preserve">Hahlić 6</t>
  </si>
  <si>
    <t xml:space="preserve">Hahlić 6, Rijeka</t>
  </si>
  <si>
    <t xml:space="preserve">43767699965</t>
  </si>
  <si>
    <t xml:space="preserve">170</t>
  </si>
  <si>
    <t xml:space="preserve">Prehrambeno-tehnološki fakultet Osijek</t>
  </si>
  <si>
    <t xml:space="preserve">Dražen Marček</t>
  </si>
  <si>
    <t xml:space="preserve">098/9674947</t>
  </si>
  <si>
    <t xml:space="preserve">dmarcek@ptfos.hr</t>
  </si>
  <si>
    <t xml:space="preserve">Franje Kuhača 18</t>
  </si>
  <si>
    <t xml:space="preserve">F. Kuhača 18</t>
  </si>
  <si>
    <t xml:space="preserve">96371000697</t>
  </si>
  <si>
    <t xml:space="preserve">469</t>
  </si>
  <si>
    <t xml:space="preserve">Prirodoslovno-matematički fakultet, Zagreb</t>
  </si>
  <si>
    <t xml:space="preserve">Davor Pintar</t>
  </si>
  <si>
    <t xml:space="preserve">385998227236</t>
  </si>
  <si>
    <t xml:space="preserve">davor.pintar@dekanat.pmf.hr</t>
  </si>
  <si>
    <t xml:space="preserve">Horvatovac 102A</t>
  </si>
  <si>
    <t xml:space="preserve">28163265527</t>
  </si>
  <si>
    <t xml:space="preserve">Krunoslav Komugović</t>
  </si>
  <si>
    <t xml:space="preserve">385915058109</t>
  </si>
  <si>
    <t xml:space="preserve">krunoslav.komugovic@pmf.hr</t>
  </si>
  <si>
    <t xml:space="preserve">Bijenička cesta 30</t>
  </si>
  <si>
    <t xml:space="preserve">Tomica Bunjevac</t>
  </si>
  <si>
    <t xml:space="preserve"> +385913568984</t>
  </si>
  <si>
    <t xml:space="preserve">tbunjevac@fizika.unios.hr</t>
  </si>
  <si>
    <t xml:space="preserve"> Trg Ljudevita Gaja 6</t>
  </si>
  <si>
    <t xml:space="preserve">Alda Negrija 6, Pila</t>
  </si>
  <si>
    <t xml:space="preserve">632a
632b
632c</t>
  </si>
  <si>
    <t xml:space="preserve">Linda Petričić,  Nicole Tomišić 
Marko Roža</t>
  </si>
  <si>
    <t xml:space="preserve">091 165 1207, 0922875203
051/265-873</t>
  </si>
  <si>
    <t xml:space="preserve">ntomisic@fdmri.uniri.hr linda.petricic@fdmri.uniri.hr
marko.roza@uniri.hr</t>
  </si>
  <si>
    <t xml:space="preserve">Krešimirova 40/42, 51000 Rijeak 3 kom.
Radmile Matejčić 2; 51000 Rijeka 7 kom.</t>
  </si>
  <si>
    <t xml:space="preserve">716a
716b
716c
716d
716e
716f
716g
716h</t>
  </si>
  <si>
    <t xml:space="preserve">Marko Pilić / Josip Crnjac
Dalibor Bulić
Maja Krželj
Ivan Vuko
Marin Gudelj
Prosper Radonić
Ivan Tavra
Petra Musap</t>
  </si>
  <si>
    <t xml:space="preserve">0919840020 (Pilić), 0981980136 (Crnjac)
021 564815, 0915462104
0911556771
0914348101
0913344165
0995556003
097 6063920
0991639750</t>
  </si>
  <si>
    <t xml:space="preserve">mpilic@forenzika.unist.hr, jcrnjac@forenzika.unist.hr
dalibor.bulic@fzz.unist.hr
maja.krzelj@more.unist.hr
ivan.vuko@svkst.hr
marin@oss.unist.hr
pradonic@medils.unist.hr
itavra@unist.hr
petra.musap@unist.hr</t>
  </si>
  <si>
    <t xml:space="preserve">Ruđera Boškovića 33, Split  2 kom.
Ruđera Boškovića 35, Split 1 kom.
Ruđera Boškovića 37, Split  2 kom.
Ruđera Boškovića 31, Split, 1 kom.
Kopilica 21, Split  1 kom.
Meštrovićevo šetalište 45, Split  1 kom.
Zrinsko Frankopanska 38, Split  1 kom.
Poljana kraljice Jelene 1, Split  1 kom.</t>
  </si>
  <si>
    <t xml:space="preserve">Leida Rizvan
</t>
  </si>
  <si>
    <t xml:space="preserve">0914433905
</t>
  </si>
  <si>
    <t xml:space="preserve">leida.rizvan@unist.hr
</t>
  </si>
  <si>
    <t xml:space="preserve">Ruđera Boškovića 31, Split</t>
  </si>
  <si>
    <t xml:space="preserve">Marin Šperanda</t>
  </si>
  <si>
    <t xml:space="preserve">091 906 6882</t>
  </si>
  <si>
    <t xml:space="preserve">marin.speranda@caas.unizg.hr</t>
  </si>
  <si>
    <t xml:space="preserve">Don Frana Bulića 4, 20000 Dubrovnik (CAAS)</t>
  </si>
  <si>
    <t xml:space="preserve">615a
615b</t>
  </si>
  <si>
    <t xml:space="preserve">Siniša Vlahović
Marin Šperanda</t>
  </si>
  <si>
    <t xml:space="preserve">098 268 472
091 906 6882</t>
  </si>
  <si>
    <t xml:space="preserve">svlahovic@unizg.hr
marin.speranda@caas.unizg.hr</t>
  </si>
  <si>
    <t xml:space="preserve">Ulica Radoslava Cimermana 88, 10000 Zagreb 2 kom.
Don Frana Bulića 4, 20000 Dubrovnik (CAAS) 1 kom.</t>
  </si>
  <si>
    <t xml:space="preserve">154</t>
  </si>
  <si>
    <t xml:space="preserve">Tehnički fakultet, Rijeka</t>
  </si>
  <si>
    <t xml:space="preserve">Daniel Maratović</t>
  </si>
  <si>
    <t xml:space="preserve">095/9064710</t>
  </si>
  <si>
    <t xml:space="preserve">daniel.maratovic@riteh.uniri.hr</t>
  </si>
  <si>
    <t xml:space="preserve">Vukovarska 58</t>
  </si>
  <si>
    <t xml:space="preserve">Vukovarska 58, HR-51000 Rijeka</t>
  </si>
  <si>
    <t xml:space="preserve">46319717480</t>
  </si>
  <si>
    <t xml:space="preserve">Glagoljaška 18a, Gripe</t>
  </si>
  <si>
    <t xml:space="preserve">1944</t>
  </si>
  <si>
    <t xml:space="preserve">Veleučilište "Nikola Tesla" u Gospiću</t>
  </si>
  <si>
    <t xml:space="preserve">Gospić</t>
  </si>
  <si>
    <t xml:space="preserve">Mile Vičić</t>
  </si>
  <si>
    <t xml:space="preserve">098675984</t>
  </si>
  <si>
    <t xml:space="preserve">mvicic@velegs-nikolatesla.hr</t>
  </si>
  <si>
    <t xml:space="preserve">Ulica Bana Ivana Karlovića 16</t>
  </si>
  <si>
    <t xml:space="preserve">Ulica bana Ivana Karlovića 16</t>
  </si>
  <si>
    <t xml:space="preserve">42552392522</t>
  </si>
  <si>
    <t xml:space="preserve">601a
601b</t>
  </si>
  <si>
    <t xml:space="preserve">3385</t>
  </si>
  <si>
    <t xml:space="preserve">Veleučilište Hrvatsko zagorje Krapina</t>
  </si>
  <si>
    <t xml:space="preserve">Krapina</t>
  </si>
  <si>
    <t xml:space="preserve">Nikola Kanišk</t>
  </si>
  <si>
    <t xml:space="preserve">099/5246985</t>
  </si>
  <si>
    <t xml:space="preserve">nikola.kaniski@vhzk.hr</t>
  </si>
  <si>
    <t xml:space="preserve">Šetalište Hrvatskog Narodnog Preporoda 6</t>
  </si>
  <si>
    <t xml:space="preserve">Trg S. Radića 8</t>
  </si>
  <si>
    <t xml:space="preserve">16465214888</t>
  </si>
  <si>
    <t xml:space="preserve">1963</t>
  </si>
  <si>
    <t xml:space="preserve">Veleučilište u Karlovcu</t>
  </si>
  <si>
    <t xml:space="preserve">Karlovac</t>
  </si>
  <si>
    <t xml:space="preserve">Marko Štedul</t>
  </si>
  <si>
    <t xml:space="preserve">098-9919-742</t>
  </si>
  <si>
    <t xml:space="preserve">marko.stedul@vuka.hr</t>
  </si>
  <si>
    <t xml:space="preserve">Ivana Meštrovića 10</t>
  </si>
  <si>
    <t xml:space="preserve">J. J. Strossmayera 9</t>
  </si>
  <si>
    <t xml:space="preserve">62820859976</t>
  </si>
  <si>
    <t xml:space="preserve">3795</t>
  </si>
  <si>
    <t xml:space="preserve">Veleučilište u Virovitici</t>
  </si>
  <si>
    <t xml:space="preserve">Virovitica</t>
  </si>
  <si>
    <t xml:space="preserve">Enes Ciriković</t>
  </si>
  <si>
    <t xml:space="preserve">0989225600</t>
  </si>
  <si>
    <t xml:space="preserve">enes.cirikovic@vuv.hr</t>
  </si>
  <si>
    <t xml:space="preserve">Ulica Matije Gupca 78</t>
  </si>
  <si>
    <t xml:space="preserve">Matije Gupca 78, 33000 Virovitica</t>
  </si>
  <si>
    <t xml:space="preserve">46576407858</t>
  </si>
  <si>
    <t xml:space="preserve">Details for Sum of Kom. - Isporuka na lokaciju : 4/7/2026, Tip opreme : Multimedijska oprema - Bežični mikrofonski sustav  (+)</t>
  </si>
  <si>
    <t xml:space="preserve">ELO</t>
  </si>
  <si>
    <t xml:space="preserve">531a
531b</t>
  </si>
  <si>
    <t xml:space="preserve">Multimedijska oprema - Projektor s projekcijskim platnom Tip 3 </t>
  </si>
  <si>
    <t xml:space="preserve">Trg Republike Hrvatske 5
Frankopanska 22</t>
  </si>
  <si>
    <t xml:space="preserve">AVC/Senco</t>
  </si>
  <si>
    <t xml:space="preserve">Multimedijska oprema - Projektor s projekcijskim platnom Tip 2 </t>
  </si>
  <si>
    <t xml:space="preserve">Frankopanska 22, Zagreb</t>
  </si>
  <si>
    <t xml:space="preserve">214</t>
  </si>
  <si>
    <t xml:space="preserve">Akademija likovnih umjetnosti</t>
  </si>
  <si>
    <t xml:space="preserve">Goran Hoić</t>
  </si>
  <si>
    <t xml:space="preserve">099/2550-825</t>
  </si>
  <si>
    <t xml:space="preserve">goran.hoic@alu.unizg.hr</t>
  </si>
  <si>
    <t xml:space="preserve">Ilica 85</t>
  </si>
  <si>
    <t xml:space="preserve">95847257607</t>
  </si>
  <si>
    <t xml:space="preserve">Multimedijska oprema - Fotoaparat s opremom </t>
  </si>
  <si>
    <t xml:space="preserve">152</t>
  </si>
  <si>
    <t xml:space="preserve">Ekonomski fakultet - Zagreb</t>
  </si>
  <si>
    <t xml:space="preserve">Davorin Axmann</t>
  </si>
  <si>
    <t xml:space="preserve">098271569</t>
  </si>
  <si>
    <t xml:space="preserve">daxmann@efzg.hr</t>
  </si>
  <si>
    <t xml:space="preserve">Trg Johna Fitzgeralda Kennedyja 6</t>
  </si>
  <si>
    <t xml:space="preserve">Trg J.F. Kennedyja 6</t>
  </si>
  <si>
    <t xml:space="preserve">27208467122</t>
  </si>
  <si>
    <t xml:space="preserve">450a
</t>
  </si>
  <si>
    <t xml:space="preserve">Multimedijska oprema - Projektor s projekcijskim platnom Tip 1 </t>
  </si>
  <si>
    <t xml:space="preserve">463a
463b</t>
  </si>
  <si>
    <t xml:space="preserve">Kneza Trpimira 2b, Osijek 2 kom.
Cara Hadrijana 10b, Osijek 1 kom.</t>
  </si>
  <si>
    <t xml:space="preserve">Prijenosni set za online prijenos i snimanje</t>
  </si>
  <si>
    <t xml:space="preserve">Ivana Lučića 3, Zagreb</t>
  </si>
  <si>
    <t xml:space="preserve">208</t>
  </si>
  <si>
    <t xml:space="preserve">Katolički bogoslovni fakultet u Đakovu</t>
  </si>
  <si>
    <t xml:space="preserve">Đakovo</t>
  </si>
  <si>
    <t xml:space="preserve">Marin Ivanišić</t>
  </si>
  <si>
    <t xml:space="preserve">091 224 3413</t>
  </si>
  <si>
    <t xml:space="preserve">marin.ivanisic@djkbf.hr</t>
  </si>
  <si>
    <t xml:space="preserve">P. Preradovića 17</t>
  </si>
  <si>
    <t xml:space="preserve">Petra Preradovića 17, Đakovo</t>
  </si>
  <si>
    <t xml:space="preserve">5384220316</t>
  </si>
  <si>
    <t xml:space="preserve">Drinska 16a, 31000 Osijek</t>
  </si>
  <si>
    <t xml:space="preserve">Šalata 2</t>
  </si>
  <si>
    <t xml:space="preserve">?</t>
  </si>
  <si>
    <t xml:space="preserve">453
</t>
  </si>
  <si>
    <t xml:space="preserve">151</t>
  </si>
  <si>
    <t xml:space="preserve">Pravni fakultet u Zagrebu</t>
  </si>
  <si>
    <t xml:space="preserve">Krunoslav Fučkor
Lada Uzorinac</t>
  </si>
  <si>
    <t xml:space="preserve">091 522 0721 (Krunoslav Fučkor)
091 504 9730 (Lada Uzorinac)</t>
  </si>
  <si>
    <t xml:space="preserve">krunoslav.fuckor@pravo.hr
lada.uzorinac@pravo.hr</t>
  </si>
  <si>
    <t xml:space="preserve">Marulićev trg 19,  Zagreb</t>
  </si>
  <si>
    <t xml:space="preserve">38583303160</t>
  </si>
  <si>
    <t xml:space="preserve">4497</t>
  </si>
  <si>
    <t xml:space="preserve">Sveučilište Sjever</t>
  </si>
  <si>
    <t xml:space="preserve">Koprivnica</t>
  </si>
  <si>
    <t xml:space="preserve">Branimir Kolman</t>
  </si>
  <si>
    <t xml:space="preserve">091 244 0130</t>
  </si>
  <si>
    <t xml:space="preserve">bkolman@unin.hr</t>
  </si>
  <si>
    <t xml:space="preserve">Trg Dr. Žarka Dolinara 1</t>
  </si>
  <si>
    <t xml:space="preserve">Ulica 104 brigade 3, VŽ</t>
  </si>
  <si>
    <t xml:space="preserve">59624928052</t>
  </si>
  <si>
    <t xml:space="preserve">3990</t>
  </si>
  <si>
    <t xml:space="preserve">Sveučilište u Dubrovniku</t>
  </si>
  <si>
    <t xml:space="preserve">Dubrovnik</t>
  </si>
  <si>
    <t xml:space="preserve">Stjepo Hladilo</t>
  </si>
  <si>
    <t xml:space="preserve">0919322586</t>
  </si>
  <si>
    <t xml:space="preserve">stjepo.hladilo@unidu.hr</t>
  </si>
  <si>
    <t xml:space="preserve">Branitelja Dubrovnika 41</t>
  </si>
  <si>
    <t xml:space="preserve">Branitelja Dubrovnika 41, Dubrovnik</t>
  </si>
  <si>
    <t xml:space="preserve">1338491514</t>
  </si>
  <si>
    <t xml:space="preserve">513a
513b
513c</t>
  </si>
  <si>
    <t xml:space="preserve">Branitelja Dubrovnika 41, Dubrovnik 3 kom.
Ćira Carića 4, Dubrovnik 1 kom.
Lapadska obala Nojka Marinovića 7, Dubrovnik 2 kom.</t>
  </si>
  <si>
    <t xml:space="preserve">778a
778b</t>
  </si>
  <si>
    <t xml:space="preserve">Marko Roža
Jasenko Mandura</t>
  </si>
  <si>
    <t xml:space="preserve">051/265-873
+385959017650</t>
  </si>
  <si>
    <t xml:space="preserve">marko.roza@uniri.hr
jasenko.mandura@uniri.hr</t>
  </si>
  <si>
    <t xml:space="preserve">Radmile Matejčić 2; 51000 Rijeka
Trg braće Mažuranića 10; 51000 Rijeka</t>
  </si>
  <si>
    <t xml:space="preserve">761a
761b</t>
  </si>
  <si>
    <t xml:space="preserve">Antonija Žaja Čičak
Petra Musap</t>
  </si>
  <si>
    <t xml:space="preserve">0914433913
0991639750</t>
  </si>
  <si>
    <t xml:space="preserve">antonija.zaja@unist.hr
petra.musap@unist.hr</t>
  </si>
  <si>
    <t xml:space="preserve">R. Boškovića 31, Split
</t>
  </si>
  <si>
    <t xml:space="preserve">Ruđera Boškovića 31, Split
Poljana kraljice Jelene 1, Split</t>
  </si>
  <si>
    <t xml:space="preserve">Ivana Delistović Duić
</t>
  </si>
  <si>
    <t xml:space="preserve">098/654-710
</t>
  </si>
  <si>
    <t xml:space="preserve">idelistov@unizd.hr
</t>
  </si>
  <si>
    <t xml:space="preserve">Dr. Franje Tuđmana 24, 23000 Zadar </t>
  </si>
  <si>
    <t xml:space="preserve">765a
765b</t>
  </si>
  <si>
    <t xml:space="preserve">Ulica Radoslava Cimermana 88, 10000 Zagreb
Don Frana Bulića 4, 20000 Dubrovnik (CAAS)</t>
  </si>
  <si>
    <t xml:space="preserve">Filip Samoščanec
</t>
  </si>
  <si>
    <t xml:space="preserve">0993047438
</t>
  </si>
  <si>
    <t xml:space="preserve">filip.samoscanec@tvz.hr
</t>
  </si>
  <si>
    <t xml:space="preserve">Konavoska 2</t>
  </si>
  <si>
    <t xml:space="preserve">Igor Paljug</t>
  </si>
  <si>
    <t xml:space="preserve">+385 95 245 6555</t>
  </si>
  <si>
    <t xml:space="preserve">igor.paljug@tvz.hr
</t>
  </si>
  <si>
    <t xml:space="preserve">Holjevčeva 15</t>
  </si>
  <si>
    <t xml:space="preserve">Prilaz baruna Filipovića 28a</t>
  </si>
  <si>
    <t xml:space="preserve">Stjepan Šalković</t>
  </si>
  <si>
    <t xml:space="preserve">091/7895599</t>
  </si>
  <si>
    <t xml:space="preserve">stjepan.salkovic@vhzk.hr</t>
  </si>
  <si>
    <t xml:space="preserve">Šetalište hrv. nar. prep. 6 (SŠ  Krapina)</t>
  </si>
  <si>
    <t xml:space="preserve">Details for Sum of Kom. - Isporuka na lokaciju : 4/13/2026, Tip opreme : Multimedijska oprema - Bežični mikrofonski sustav  (+)</t>
  </si>
  <si>
    <t xml:space="preserve">Multimedijska oprema - Kamera</t>
  </si>
  <si>
    <t xml:space="preserve">Multimedijska oprema - Bežični mikrofonski sustav </t>
  </si>
  <si>
    <t xml:space="preserve">Multimedijska oprema - Rasvjeta </t>
  </si>
  <si>
    <t xml:space="preserve">Multimedijska oprema - Mali stalak za kameru</t>
  </si>
  <si>
    <t xml:space="preserve">L</t>
  </si>
  <si>
    <t xml:space="preserve">Ulica Petra Preradovića 15, Varaždin</t>
  </si>
  <si>
    <t xml:space="preserve">182</t>
  </si>
  <si>
    <t xml:space="preserve">Metalurški fakultet</t>
  </si>
  <si>
    <t xml:space="preserve">Sisak</t>
  </si>
  <si>
    <t xml:space="preserve">Goran Šljivić</t>
  </si>
  <si>
    <t xml:space="preserve">0981785148</t>
  </si>
  <si>
    <t xml:space="preserve">sljivic@simet.hr</t>
  </si>
  <si>
    <t xml:space="preserve">Aleja Narodnih Heroja 3</t>
  </si>
  <si>
    <t xml:space="preserve">Sisak, Aleja narodnih heroja 3</t>
  </si>
  <si>
    <t xml:space="preserve">48006703414</t>
  </si>
  <si>
    <t xml:space="preserve">Albert Oswald</t>
  </si>
  <si>
    <t xml:space="preserve"> +385912241400</t>
  </si>
  <si>
    <t xml:space="preserve">oswald@unios.hr</t>
  </si>
  <si>
    <t xml:space="preserve">Trg. Sv. Trojstva 3</t>
  </si>
  <si>
    <t xml:space="preserve">Unin 3 - Ulica Jurja Križanića 31 b, VŽ</t>
  </si>
  <si>
    <t xml:space="preserve">217a
217b</t>
  </si>
  <si>
    <t xml:space="preserve">Nikola Marijanović
Branimir Kolman</t>
  </si>
  <si>
    <t xml:space="preserve">0994028339
091 244 0130</t>
  </si>
  <si>
    <t xml:space="preserve">nmarijanovic@unin.hr
bkolman@unin.hr</t>
  </si>
  <si>
    <t xml:space="preserve">Trg dr. Žarka dolinara 1, Koprivnica  3 kom.
Ulica 104 brigade 3, VŽ  3 kom.</t>
  </si>
  <si>
    <t xml:space="preserve">051/265-884</t>
  </si>
  <si>
    <t xml:space="preserve">Radmile Matejčić 2; 51000 Rijeka  </t>
  </si>
  <si>
    <t xml:space="preserve">662a
662b
662c
662d
662e</t>
  </si>
  <si>
    <t xml:space="preserve">Leida Rizvan
Dalibor Bulić
Maja Krželj
Prosper Radonić
Ivan Vuko</t>
  </si>
  <si>
    <t xml:space="preserve">0914433905
021 564815, 0915462104
0913344165
0995556003
0914348101</t>
  </si>
  <si>
    <t xml:space="preserve">leida.rizvan@unist.hr
dalibor.bulic@fzz.unist.hr
maja.krzelj@more.unist.hr
pradonic@medils.unist.hr
ivan.vuko@svkst.hr</t>
  </si>
  <si>
    <t xml:space="preserve">Ruđera Boškovića 31, Split 2 kom.
Ruđera Boškovića 35, Split 1 kom.
Ruđera Boškovića 31, Split, 1 kom.
Meštrovićevo šetalište 45, Split 1 kom.
Ruđera Boškovića 31, Split, 1 kom.</t>
  </si>
  <si>
    <t xml:space="preserve">421a
421b
421c</t>
  </si>
  <si>
    <t xml:space="preserve">Petra Marić
Petra Musap
Mirko Šalinović</t>
  </si>
  <si>
    <t xml:space="preserve">0913210792
0991639750
O98 9895758</t>
  </si>
  <si>
    <t xml:space="preserve">pmaric@unist.hr
petra.musap@unist.hr
msalinovic@unist.hr</t>
  </si>
  <si>
    <t xml:space="preserve">Ruđera Boškovića 31, Split 1 kom.
Poljana kraljice Jelene 1, Split  2 kom.
Franjevački put 1, Makarska  1 kom.</t>
  </si>
  <si>
    <t xml:space="preserve">665a
665b</t>
  </si>
  <si>
    <t xml:space="preserve">Ulica Radoslava Cimermana 88, 10000 Zagreb</t>
  </si>
  <si>
    <t xml:space="preserve">187</t>
  </si>
  <si>
    <t xml:space="preserve">Učiteljski fakultet, Zagreb</t>
  </si>
  <si>
    <t xml:space="preserve">Sandi Homolak (Zagreb)</t>
  </si>
  <si>
    <t xml:space="preserve">091 619 5223</t>
  </si>
  <si>
    <t xml:space="preserve">informatika.zagreb@ufzg.hr</t>
  </si>
  <si>
    <t xml:space="preserve">Savska cesta 77, 10000 Zagreb</t>
  </si>
  <si>
    <t xml:space="preserve">72226488129</t>
  </si>
  <si>
    <t xml:space="preserve">530</t>
  </si>
  <si>
    <t xml:space="preserve">Veleučilište "Marko Marulić" u Kninu</t>
  </si>
  <si>
    <t xml:space="preserve">Knin</t>
  </si>
  <si>
    <t xml:space="preserve">Marko Meštrović</t>
  </si>
  <si>
    <t xml:space="preserve">022/664-451</t>
  </si>
  <si>
    <t xml:space="preserve">mmestrovic@veleknin.hr</t>
  </si>
  <si>
    <t xml:space="preserve">Krešimirova 30</t>
  </si>
  <si>
    <t xml:space="preserve">Krešimirova 30, Knin</t>
  </si>
  <si>
    <t xml:space="preserve">13664089430</t>
  </si>
  <si>
    <t xml:space="preserve">Ozren Digula, Kristijan Zbiljski</t>
  </si>
  <si>
    <t xml:space="preserve">0914595855, 0914595858</t>
  </si>
  <si>
    <t xml:space="preserve">ozren.digula@zvu.hr, kristijan.zbiljski@zvu.hr</t>
  </si>
  <si>
    <t xml:space="preserve">- all -</t>
  </si>
  <si>
    <t xml:space="preserve">Sum of Kom.</t>
  </si>
  <si>
    <t xml:space="preserve">(empty)</t>
  </si>
  <si>
    <t xml:space="preserve">Total Result</t>
  </si>
  <si>
    <t xml:space="preserve">Akademija za umjetnost i kulturu u Osijeku</t>
  </si>
  <si>
    <t xml:space="preserve">Građevinski i arhitektonski fakultet Osijek</t>
  </si>
  <si>
    <t xml:space="preserve">Agronomski fakultet</t>
  </si>
  <si>
    <t xml:space="preserve">Fakultet strojarstva i brodogradnje</t>
  </si>
  <si>
    <t xml:space="preserve">Komentar</t>
  </si>
  <si>
    <t xml:space="preserve">Studio za snimanje Tip-A</t>
  </si>
  <si>
    <t xml:space="preserve">Savska cesta 41, zgrada Zagrepčanka, 2.kat</t>
  </si>
  <si>
    <t xml:space="preserve">Studio za snimanje Tip-A s blesimetrom</t>
  </si>
  <si>
    <t xml:space="preserve">72a
72b</t>
  </si>
  <si>
    <t xml:space="preserve">Ivan Nimac
Ivana Delistović Duić</t>
  </si>
  <si>
    <t xml:space="preserve">095/826-5888
098/654-710</t>
  </si>
  <si>
    <t xml:space="preserve">inimac@unizd.hr
idelistov@unizd.hr</t>
  </si>
  <si>
    <t xml:space="preserve">Obala kralja Petra Krešimira IV. Br. 2, 23000 Zadar 1 kom.
Dr. Franje Tuđmana 24, 23000 Zadar 1 kom.</t>
  </si>
  <si>
    <t xml:space="preserve">Krešimirova 20, Knin</t>
  </si>
  <si>
    <t xml:space="preserve">75a
75b</t>
  </si>
  <si>
    <t xml:space="preserve">Trg dr. Žarka dolinara 1, Koprivnica   1 kom.
Ulica Jurja Križanića 31b, Varaždin  1 kom.</t>
  </si>
  <si>
    <t xml:space="preserve">Studio za snimanje Tip-B1</t>
  </si>
  <si>
    <t xml:space="preserve">AVC</t>
  </si>
  <si>
    <t xml:space="preserve">Zvonimir Adamović</t>
  </si>
  <si>
    <t xml:space="preserve">098/445-233</t>
  </si>
  <si>
    <t xml:space="preserve">zadamovic@unizd.hr</t>
  </si>
  <si>
    <t xml:space="preserve">Dr. A. Starčevića 12, 53000 Gospić</t>
  </si>
  <si>
    <t xml:space="preserve">Studio za snimanje Tip-B2</t>
  </si>
  <si>
    <t xml:space="preserve">Ivan Rajković
</t>
  </si>
  <si>
    <t xml:space="preserve">+385998153651
</t>
  </si>
  <si>
    <t xml:space="preserve">ivan.rajkovic@tvz.hr
</t>
  </si>
  <si>
    <t xml:space="preserve">Krešimir Pinjatela</t>
  </si>
  <si>
    <t xml:space="preserve">091/558-1986</t>
  </si>
  <si>
    <t xml:space="preserve">kpinjatel22@unizd.hr</t>
  </si>
  <si>
    <t xml:space="preserve">Trg kneza Višeslava 9, 23000 Zadar</t>
  </si>
  <si>
    <t xml:space="preserve">180</t>
  </si>
  <si>
    <t xml:space="preserve">Andrija Levanić</t>
  </si>
  <si>
    <t xml:space="preserve">091 6168 288</t>
  </si>
  <si>
    <t xml:space="preserve">andrija.levanic@fsb.unizg.hr</t>
  </si>
  <si>
    <t xml:space="preserve">Ulica Ivana Lučića 5</t>
  </si>
  <si>
    <t xml:space="preserve">Ivana Lučića 5 (istočna zgrada)</t>
  </si>
  <si>
    <t xml:space="preserve">22910368449</t>
  </si>
  <si>
    <t xml:space="preserve">Petra Musap
</t>
  </si>
  <si>
    <t xml:space="preserve">0991639750
</t>
  </si>
  <si>
    <t xml:space="preserve">petra.musap@unist.hr
</t>
  </si>
  <si>
    <t xml:space="preserve">Hrvojeva 2, samo isporuka nema montaže</t>
  </si>
  <si>
    <t xml:space="preserve">Teslina 12</t>
  </si>
  <si>
    <t xml:space="preserve">Nikola Marijanović</t>
  </si>
  <si>
    <t xml:space="preserve">0994028339
</t>
  </si>
  <si>
    <t xml:space="preserve">nmarijanovic@unin.hr</t>
  </si>
  <si>
    <t xml:space="preserve">Trg dr. Žarka dolinara 1, Koprivnica</t>
  </si>
  <si>
    <t xml:space="preserve">3927</t>
  </si>
  <si>
    <t xml:space="preserve">Luka Cvenić</t>
  </si>
  <si>
    <t xml:space="preserve">099 312 6187</t>
  </si>
  <si>
    <t xml:space="preserve">luka.cvenic@aukos.hr</t>
  </si>
  <si>
    <t xml:space="preserve">Ulica Kralja Petra Svačića 1F</t>
  </si>
  <si>
    <t xml:space="preserve">Trg Sv. Trojstva 3, Osijek</t>
  </si>
  <si>
    <t xml:space="preserve">60277424315</t>
  </si>
  <si>
    <t xml:space="preserve">Albert Oswald
</t>
  </si>
  <si>
    <t xml:space="preserve">+385912241400
</t>
  </si>
  <si>
    <t xml:space="preserve">oswald@unios.hr
</t>
  </si>
  <si>
    <t xml:space="preserve">113a
113b
113c
113d
113e</t>
  </si>
  <si>
    <t xml:space="preserve">Ivan Rajković
Nenad Habek
Filip Samoščanec
Igor Paljug
Barbara Idžan</t>
  </si>
  <si>
    <t xml:space="preserve">+385998153651
+385911316382
0993047438
+385 95 245 6555
+385 99 529 0050</t>
  </si>
  <si>
    <t xml:space="preserve">ivan.rajkovic@tvz.hr
nenad.habek@tvz.hr
filip.samoscanec@tvz.hr
igor.paljug@tvz.hr
barbara.idzan@tvz.hr</t>
  </si>
  <si>
    <t xml:space="preserve">Vrbik 8 2 kom.
Borongajska 83E 1 kom.
Konavoska 2 1 kom.
Holjevčeva 15 1 kom.
Brozova 6a 1 kom.</t>
  </si>
  <si>
    <t xml:space="preserve">Obala kralja Petra Krešimira IV. Br. 2, 23000 Zadar, ID-215</t>
  </si>
  <si>
    <t xml:space="preserve">123a
123b
123c
123d
123e</t>
  </si>
  <si>
    <t xml:space="preserve">Maja Krželj
Marin Gudelj
Ivan Tavra
Petra Musap
Mirko Šalinović</t>
  </si>
  <si>
    <t xml:space="preserve">0911556771
0913344165
097 6063920
0991639750
O98 9895758</t>
  </si>
  <si>
    <t xml:space="preserve">maja.krzelj@more.unist.hr
marin@oss.unist.hr
itavra@unist.hr
petra.musap@unist.hr
msalinovic@unist.hr</t>
  </si>
  <si>
    <t xml:space="preserve">Ruđera Boškovića 31, Split 1 kom.
Kopilica 21, Split  1 kom.
Zrinsko Frankopanska 38, Split 1 kom.
Poljana kraljice Jelene 1, Split  2 kom.
Franjevački put 1, Makarska  1 kom.</t>
  </si>
  <si>
    <t xml:space="preserve">Fausta Vrančića 17A</t>
  </si>
  <si>
    <t xml:space="preserve">J. Knifera 1 ( bivša K.P. Svačića 1/f, Osijek)</t>
  </si>
  <si>
    <t xml:space="preserve">Radmile Matejčić 2; 51000 Rijeka </t>
  </si>
  <si>
    <t xml:space="preserve">143a
143b</t>
  </si>
  <si>
    <t xml:space="preserve">Sandi Homolak (Zagreb)
Igor Šalamun (Čakovec)</t>
  </si>
  <si>
    <t xml:space="preserve">091 619 5223
091 5011 277</t>
  </si>
  <si>
    <t xml:space="preserve">informatika.zagreb@ufzg.hr
igor.salamun@ufzg.hr</t>
  </si>
  <si>
    <t xml:space="preserve">Savska Cesta 77</t>
  </si>
  <si>
    <t xml:space="preserve">Savska cesta 77, 10000 Zagreb
Ul. dr. Ante Starčevića 55, 40000, Čakovec</t>
  </si>
  <si>
    <t xml:space="preserve">145a
145b
145c</t>
  </si>
  <si>
    <t xml:space="preserve">Tatjana Šajatović
Tomica Bunjevac
Albert Oswald</t>
  </si>
  <si>
    <t xml:space="preserve"> +38598871499
+385913568984
+385912241400</t>
  </si>
  <si>
    <t xml:space="preserve">tsajatovic@kemija.unios.hr
tbunjevac@fizika.unios.hr
oswald@unios.hr</t>
  </si>
  <si>
    <t xml:space="preserve">Cara Hadrijana 8/A 1 kom.
 Trg Ljudevita Gaja 6. 1 kom.
Trg Sv. Trojstva 3. 1 kom.</t>
  </si>
  <si>
    <t xml:space="preserve">Prezentacijska dvorana Tip-A</t>
  </si>
  <si>
    <t xml:space="preserve">160a
160b</t>
  </si>
  <si>
    <t xml:space="preserve">Vrbik - Hrvoje Matešić
Konavoska - Filip Samoščnaec</t>
  </si>
  <si>
    <t xml:space="preserve">+385992692210 - Hrvoje
0993047438 Filip</t>
  </si>
  <si>
    <t xml:space="preserve">hrvoje.matesic@tvz.hr
filip.samoscanec@tvz.hr</t>
  </si>
  <si>
    <t xml:space="preserve">Vrbik 8 5 kom
Konavoska 2  5 kom. </t>
  </si>
  <si>
    <t xml:space="preserve">161a
161b
161c</t>
  </si>
  <si>
    <t xml:space="preserve">Ivan Nimac
Ivana Delistović Duić
Ivan Nimac</t>
  </si>
  <si>
    <t xml:space="preserve">095/826-5888
098/654-710
095/826-5888</t>
  </si>
  <si>
    <t xml:space="preserve">inimac@unizd.hr
idelistov@unizd.hr
inimac@unizd.hr</t>
  </si>
  <si>
    <t xml:space="preserve">Obala kralja Petra Krešimira IV. Br. 2, 23000 Zadar 2 kom.
Dr. Franje Tuđmana 24, 23000 Zadar 1 kom.
Mihovila Pavlinovića 1, 23000 Zadar 1 kom.</t>
  </si>
  <si>
    <t xml:space="preserve">Ante Kovačića 1</t>
  </si>
  <si>
    <t xml:space="preserve">167a
167b</t>
  </si>
  <si>
    <t xml:space="preserve">Marko Pilić / Josip Crnjac
Mirko Šalinović</t>
  </si>
  <si>
    <t xml:space="preserve">0919840020 (Pilić), 0981980136 (Crnjac)
O98 9895758</t>
  </si>
  <si>
    <t xml:space="preserve">mpilic@forenzika.unist.hr, jcrnjac@forenzika.unist.hr
msalinovic@unist.hr</t>
  </si>
  <si>
    <t xml:space="preserve">Franjevački put 1, Makarska
Ruđera Boškovića 33, Split</t>
  </si>
  <si>
    <t xml:space="preserve">Trg I.B.Mažuranić 2</t>
  </si>
  <si>
    <t xml:space="preserve">202</t>
  </si>
  <si>
    <t xml:space="preserve">Juaj Mihanović</t>
  </si>
  <si>
    <t xml:space="preserve">098 9684 080</t>
  </si>
  <si>
    <t xml:space="preserve">jmihanovic@agr.hr</t>
  </si>
  <si>
    <t xml:space="preserve">Svetošimunska Cesta 25</t>
  </si>
  <si>
    <t xml:space="preserve">Svetošimunska 25</t>
  </si>
  <si>
    <t xml:space="preserve">76023745044</t>
  </si>
  <si>
    <t xml:space="preserve">179a
179b</t>
  </si>
  <si>
    <t xml:space="preserve">Albert Oswald
Tomica Bunjevac</t>
  </si>
  <si>
    <t xml:space="preserve">+385912241400
+385913568984</t>
  </si>
  <si>
    <t xml:space="preserve">oswald@unios.hr
tbunjevac@fizika.unios.hr</t>
  </si>
  <si>
    <t xml:space="preserve">Trg. Sv. Trojstva 3  4 kom.
Trg Ljudevita Gaja 6  1 kom.</t>
  </si>
  <si>
    <t xml:space="preserve">Rade Lukić</t>
  </si>
  <si>
    <t xml:space="preserve">091 2241 511</t>
  </si>
  <si>
    <t xml:space="preserve">rade.lukic@fdmz.hr</t>
  </si>
  <si>
    <t xml:space="preserve">Bana J. Jelačića 19A, Orahovica</t>
  </si>
  <si>
    <t xml:space="preserve">Prezentacijska dvorana Tip-B</t>
  </si>
  <si>
    <t xml:space="preserve">186a
186b</t>
  </si>
  <si>
    <t xml:space="preserve">Branitelja Dubrovnika 41, Dubrovnik 7 kom.
Lapadska obala Nojka Marinovića 7, Dubrovnik 2 kom.</t>
  </si>
  <si>
    <t xml:space="preserve">Mario Dakić</t>
  </si>
  <si>
    <t xml:space="preserve">385912524419</t>
  </si>
  <si>
    <t xml:space="preserve">mdakic@geog.pmf.hr
</t>
  </si>
  <si>
    <t xml:space="preserve">Trg Marka Marulića 19/II</t>
  </si>
  <si>
    <t xml:space="preserve">Linda Petričić, Nicole Tomišić </t>
  </si>
  <si>
    <t xml:space="preserve">091 165 1207, 0922875203</t>
  </si>
  <si>
    <t xml:space="preserve">ntomisic@fdmri.uniri.hr linda.petricic@fdmri.uniri.hr</t>
  </si>
  <si>
    <t xml:space="preserve">Krešimirova 40/42, 51000 Rijeak</t>
  </si>
  <si>
    <t xml:space="preserve">198a
198b</t>
  </si>
  <si>
    <t xml:space="preserve">Drinska 16a, 31000 Osijek 2 kom.
Woodrova Wilsona 2, 31000 Osijek 1 kom.</t>
  </si>
  <si>
    <t xml:space="preserve">199a
199b
199c</t>
  </si>
  <si>
    <t xml:space="preserve">Albert Oswald
Tomica Bunjevac
Tatjana Šajatović</t>
  </si>
  <si>
    <t xml:space="preserve">+385912241400
+385913568984
+38598871499</t>
  </si>
  <si>
    <t xml:space="preserve">oswald@unios.hr
tbunjevac@fizika.unios.hr
tsajatovic@kemija.unios.hr</t>
  </si>
  <si>
    <t xml:space="preserve">Trg. Sv. Trojstva 3  3 kom.
Trg Ljudevita Gaja 6  4 kom.
Cara Hadrijana 8/A  3 kom. </t>
  </si>
  <si>
    <t xml:space="preserve">Multimedijska oprema - PTZ Kamera</t>
  </si>
  <si>
    <t xml:space="preserve">232a
232b
232c</t>
  </si>
  <si>
    <t xml:space="preserve">Leida Rizvan
Dalibor Bulić
Petra Musap</t>
  </si>
  <si>
    <t xml:space="preserve">0914433905
021 564815, 0915462104
0991639750</t>
  </si>
  <si>
    <t xml:space="preserve">leida.rizvan@unist.hr
dalibor.bulic@fzz.unist.hr
petra.musap@unist.hr</t>
  </si>
  <si>
    <t xml:space="preserve">Ruđera Boškovića 31, Split¸ 4 kom.
Ruđera Boškovića 35, Split¸ 1 kom.
Poljana kraljice Jelene 1, Split  1 kom.</t>
  </si>
  <si>
    <t xml:space="preserve">236a
236b</t>
  </si>
  <si>
    <t xml:space="preserve">242a
242b</t>
  </si>
  <si>
    <t xml:space="preserve">Trg Republike Hrvatske 5, Zagreb
Frankopanska 22, Zagreb</t>
  </si>
  <si>
    <t xml:space="preserve">250a
250b</t>
  </si>
  <si>
    <t xml:space="preserve">Jasenko Mandura
Aleksandar Živanović</t>
  </si>
  <si>
    <t xml:space="preserve">+385959017650
0989616845</t>
  </si>
  <si>
    <t xml:space="preserve">jasenko.mandura@uniri.hr
aleksandar.zivanovic@uniri.hr</t>
  </si>
  <si>
    <t xml:space="preserve">Trg braće Mažuranića 10; 51000 Rijeka 3 kom.
Palača Moise; Zagrad 6; 51557 Cres 2 kom.</t>
  </si>
  <si>
    <t xml:space="preserve">Rijeka, B. Branchetta 20
ima dva kontakta nije greška, jedna je adresa</t>
  </si>
  <si>
    <t xml:space="preserve">Multimedijska oprema - Usmjereni/shotgun mikrofon </t>
  </si>
  <si>
    <t xml:space="preserve">272a
272b</t>
  </si>
  <si>
    <t xml:space="preserve">Matija Prahin</t>
  </si>
  <si>
    <t xml:space="preserve">385919845267</t>
  </si>
  <si>
    <t xml:space="preserve">mprahin@arhitekt.hr</t>
  </si>
  <si>
    <t xml:space="preserve">286a
286b</t>
  </si>
  <si>
    <t xml:space="preserve">Drinska 16a, 31000 Osijek
Woodrova Wilsona 2, 31000 Osijek</t>
  </si>
  <si>
    <t xml:space="preserve">Multimedijska oprema - Telepromter </t>
  </si>
  <si>
    <t xml:space="preserve">Petra Marić</t>
  </si>
  <si>
    <t xml:space="preserve">0913210792</t>
  </si>
  <si>
    <t xml:space="preserve">pmaric@unist.hr</t>
  </si>
  <si>
    <t xml:space="preserve">306a
396b</t>
  </si>
  <si>
    <t xml:space="preserve">Trg dr. Žarka dolinara 1, Koprivnica  1 kom.
Ulica 104 brigade 3, VŽ  2 kom.</t>
  </si>
  <si>
    <t xml:space="preserve">Multimedijska oprema - Memorijski prijenosni set </t>
  </si>
  <si>
    <t xml:space="preserve">5499</t>
  </si>
  <si>
    <t xml:space="preserve">Krešimir Pavelić, univ. mag .ing. comp.</t>
  </si>
  <si>
    <t xml:space="preserve">385912240766</t>
  </si>
  <si>
    <t xml:space="preserve">kreso@gfos.hr</t>
  </si>
  <si>
    <t xml:space="preserve">Ulica Vladimira Preloga 3</t>
  </si>
  <si>
    <t xml:space="preserve">Ulica Vladimira Preloga 3, 31000, Osijek</t>
  </si>
  <si>
    <t xml:space="preserve">4150850819</t>
  </si>
  <si>
    <t xml:space="preserve">331a
331b
331c</t>
  </si>
  <si>
    <t xml:space="preserve">Ruđera Boškovića 31, Split 2 kom.
Poljana kraljice Jelene 1, Split  3 kom.
Franjevački put 1, Makarska  1 kom.</t>
  </si>
  <si>
    <t xml:space="preserve">337a
337b</t>
  </si>
  <si>
    <t xml:space="preserve">Glagoljaška 18a, Gripe
Fausta Vrančića 19</t>
  </si>
  <si>
    <t xml:space="preserve">Vukovarska 39, Zagrebž</t>
  </si>
  <si>
    <t xml:space="preserve">350a
350b</t>
  </si>
  <si>
    <t xml:space="preserve">Trg dr. Žarka dolinara 1, Koprivnica 8 kom.
Ulica 104 brigade 3, VŽ 5 kom.</t>
  </si>
  <si>
    <t xml:space="preserve">Barbara Šestan 
</t>
  </si>
  <si>
    <t xml:space="preserve">051584884 
</t>
  </si>
  <si>
    <t xml:space="preserve">barbara.sestan@uniri.hr
</t>
  </si>
  <si>
    <t xml:space="preserve">362a
362b</t>
  </si>
  <si>
    <t xml:space="preserve">Tomica Bunjevac
Albert Oswald</t>
  </si>
  <si>
    <t xml:space="preserve"> +385913568984
+385912241400</t>
  </si>
  <si>
    <t xml:space="preserve">tbunjevac@fizika.unios.hr
oswald@unios.hr</t>
  </si>
  <si>
    <t xml:space="preserve"> Trg Ljudevita Gaja 6 6 kom.
Trg. Sv. Trojstva 3 2 kom.</t>
  </si>
  <si>
    <t xml:space="preserve">Multimedijska oprema - Podcast mikrofon </t>
  </si>
  <si>
    <t xml:space="preserve">386a
386b</t>
  </si>
  <si>
    <t xml:space="preserve">Petra Marić
Petra Musap</t>
  </si>
  <si>
    <t xml:space="preserve">0913210792
0991639750</t>
  </si>
  <si>
    <t xml:space="preserve">pmaric@unist.hr
petra.musap@unist.hr</t>
  </si>
  <si>
    <t xml:space="preserve">Ruđera Boškovića 31, Split 1 kom.
Poljana kraljice Jelene 1, Split  3 kom.</t>
  </si>
  <si>
    <t xml:space="preserve">400a
400b</t>
  </si>
  <si>
    <t xml:space="preserve">Linda Petričić, Nicole Tomišić 
Danka Jurjević</t>
  </si>
  <si>
    <t xml:space="preserve">091 165 1207, 0922875203
0922875203</t>
  </si>
  <si>
    <t xml:space="preserve">ntomisic@fdmri.uniri.hr linda.petricic@fdmri.uniri.hr
danka.jurjevic@uniri.hr</t>
  </si>
  <si>
    <t xml:space="preserve">Krešimirova 40/42, 51000 Rijeak 7 kom.
Radmile Matejčić 2; 51000 Rijeka 3 kom.</t>
  </si>
  <si>
    <t xml:space="preserve">443a
443b</t>
  </si>
  <si>
    <t xml:space="preserve">Branitelja Dubrovnika 41, Dubrovnik 2 kom.
Ćira Carića 4, Dubrovnik 5 kom.</t>
  </si>
  <si>
    <t xml:space="preserve">1</t>
  </si>
  <si>
    <t xml:space="preserve">Stjepana Radića 13</t>
  </si>
  <si>
    <t xml:space="preserve">450b
</t>
  </si>
  <si>
    <t xml:space="preserve">Matije Gupca 24</t>
  </si>
  <si>
    <t xml:space="preserve">453a</t>
  </si>
  <si>
    <t xml:space="preserve">456a
456b</t>
  </si>
  <si>
    <t xml:space="preserve">Trg dr. Žarka dolinara 1, Koprivnica  4 kom.
Ulica 104 brigade 3, VŽ  4 kom.</t>
  </si>
  <si>
    <t xml:space="preserve">457a
457b</t>
  </si>
  <si>
    <t xml:space="preserve">Danka Jurjević
Aleksandar Živanović</t>
  </si>
  <si>
    <t xml:space="preserve">051/265-884
0989616845</t>
  </si>
  <si>
    <t xml:space="preserve">danka.jurjevic@uniri.hr
aleksandar.zivanovic@uniri.hr</t>
  </si>
  <si>
    <t xml:space="preserve">Radmile Matejčić 2; 51000 Rijeka 2 kom.
Palača Moise; Zagrad 6; 51557 Cres 1 kom.</t>
  </si>
  <si>
    <t xml:space="preserve">464a
464b</t>
  </si>
  <si>
    <t xml:space="preserve">Ilica 85  5 kom. 
Zamenhofova 14 1 kom.</t>
  </si>
  <si>
    <t xml:space="preserve">486a
486b
486c
486d</t>
  </si>
  <si>
    <t xml:space="preserve">Marko Pilić / Josip Crnjac
Maja Krželj
Marin Gudelj
Romaldo Singolo / Danijel Bartulović</t>
  </si>
  <si>
    <t xml:space="preserve">0919840020 (Pilić), 0981980136 (Crnjac)
0911556771
0913344165
0911559622(Singolo), 0992127517(Bartulović)</t>
  </si>
  <si>
    <t xml:space="preserve">mpilic@forenzika.unist.hr, jcrnjac@forenzika.unist.hr
maja.krzelj@more.unist.hr
marin@oss.unist.hr
romaldo.singolo@pfst.hr, dbartulovic@pfst.hr</t>
  </si>
  <si>
    <t xml:space="preserve">Ruđera Boškovića 33, Split 3 kom.
Ruđera Boškovića 37, Split 3 kom.
Kopilica 21, Split 4 kom.
Ruđera Boškovića 33, Split 2 kom.</t>
  </si>
  <si>
    <t xml:space="preserve">490a
490b</t>
  </si>
  <si>
    <t xml:space="preserve">Zagrebačka 3
Glagoljaška 18a, Gripe</t>
  </si>
  <si>
    <t xml:space="preserve">Kneza Trpimira 2b, Osijek</t>
  </si>
  <si>
    <t xml:space="preserve">511a
511b</t>
  </si>
  <si>
    <t xml:space="preserve">Teo Brusić, Zoran Vučinić
Sanjin Kučar</t>
  </si>
  <si>
    <t xml:space="preserve">098/338-182, 091/1651-230
091/447-8437</t>
  </si>
  <si>
    <t xml:space="preserve">teo.brusic@medri.uniri.hr, zoran.vucinic@medri.uniri.hr
Sanjin.kucar@kbc-rijeka.hr</t>
  </si>
  <si>
    <t xml:space="preserve">Rijeka, B. Branchetta 20 4 kom.
KBCRI lokacija Rijeka, 1 komad</t>
  </si>
  <si>
    <t xml:space="preserve">528a
528b</t>
  </si>
  <si>
    <t xml:space="preserve">Leida Rizvan
Marin Gudelj</t>
  </si>
  <si>
    <t xml:space="preserve">0914433905
0913344165</t>
  </si>
  <si>
    <t xml:space="preserve">leida.rizvan@unist.hr
marin@oss.unist.hr</t>
  </si>
  <si>
    <t xml:space="preserve">Ruđera Boškovića 31, Split  1 kom.
Kopilica 21, Split 1 kom.</t>
  </si>
  <si>
    <t xml:space="preserve">Ulica 108. brigade ZNG 32</t>
  </si>
  <si>
    <t xml:space="preserve">Preradovićeva 30, Pula</t>
  </si>
  <si>
    <t xml:space="preserve">Trg. Sv. Trojstva 3.</t>
  </si>
  <si>
    <t xml:space="preserve">542a</t>
  </si>
  <si>
    <t xml:space="preserve">Multimedijska oprema - Veliki stalak za kameru ili telepromter </t>
  </si>
  <si>
    <t xml:space="preserve">Ćira Carića 4, Dubrovnik</t>
  </si>
  <si>
    <t xml:space="preserve">570a
570b
570c</t>
  </si>
  <si>
    <t xml:space="preserve">Marin Gudelj
Dalibor Bulić
Petra Musap</t>
  </si>
  <si>
    <t xml:space="preserve">0913344165
021 564815, 0915462104
0991639750</t>
  </si>
  <si>
    <t xml:space="preserve">marin@oss.unist.hr
dalibor.bulic@fzz.unist.hr
petra.musap@unist.hr</t>
  </si>
  <si>
    <t xml:space="preserve">Kopilica 21, Split 1 kom.
Ruđera Boškovića 35, Split¸ 1 kom.
Poljana kraljice Jelene 1, Split  1 kom.</t>
  </si>
  <si>
    <t xml:space="preserve">Greška dvije 2a i 2b ELO, potpisane i predane, trebala je biti jedna</t>
  </si>
  <si>
    <t xml:space="preserve">63a
63b</t>
  </si>
  <si>
    <t xml:space="preserve">Nikola Kaniški
Stjepan Šalković</t>
  </si>
  <si>
    <t xml:space="preserve">099/5246985
091/7895599</t>
  </si>
  <si>
    <t xml:space="preserve">nikola.kaniski@vhzk.hr
stjepan.salkovic@vhzk.hr</t>
  </si>
  <si>
    <t xml:space="preserve">Trg S. Radića 8
Šetalište hrv. nar. prep. 6 (SŠ  Krapina)</t>
  </si>
  <si>
    <t xml:space="preserve">R. Boškovića 31, Split</t>
  </si>
  <si>
    <t xml:space="preserve">Zrinsko-Frankopanska 19</t>
  </si>
  <si>
    <t xml:space="preserve">Zrinsko-Frankopanska 19, Split</t>
  </si>
  <si>
    <t xml:space="preserve">64</t>
  </si>
  <si>
    <t xml:space="preserve">Details for Sum of Kom. - Isporuka na lokaciju : 3/23/2026, Tip opreme : Cjelovito rješenje za simultano prevođenje (+)</t>
  </si>
  <si>
    <t xml:space="preserve">384a
384b
</t>
  </si>
  <si>
    <t xml:space="preserve">Multimedijska oprema - Prezentacijski ekran (s uključenim stalkom) </t>
  </si>
  <si>
    <t xml:space="preserve">Ilica 85  6 kom. 
Zamenhofova 14  1 kom.</t>
  </si>
  <si>
    <t xml:space="preserve">Multimedijska oprema - Motorizirani stalak za zaslone </t>
  </si>
  <si>
    <t xml:space="preserve">351a
351b</t>
  </si>
  <si>
    <t xml:space="preserve">Cara Hadrijana 10E</t>
  </si>
  <si>
    <t xml:space="preserve">Schrottova 39</t>
  </si>
  <si>
    <t xml:space="preserve">Trg Svetog Trojstva 3</t>
  </si>
  <si>
    <t xml:space="preserve">Krunoslav Fučkor</t>
  </si>
  <si>
    <t xml:space="preserve">091 522 0721</t>
  </si>
  <si>
    <t xml:space="preserve">krunoslav.fuckor@pravo.hr</t>
  </si>
  <si>
    <t xml:space="preserve">PMF, Odjel za geografiju, Marulićev trg 19 Zagreb</t>
  </si>
  <si>
    <t xml:space="preserve">380a
380b
</t>
  </si>
  <si>
    <t xml:space="preserve">Tatjana Šajatović
Tomica Bunjevac</t>
  </si>
  <si>
    <t xml:space="preserve"> +38598871499
+385913568984</t>
  </si>
  <si>
    <t xml:space="preserve">tsajatovic@kemija.unios.hr
tbunjevac@fizika.unios.hr</t>
  </si>
  <si>
    <t xml:space="preserve">Cara Hadrijana 8/A 1x kom KEMIJA Kampus
 Trg Ljudevita Gaja 6. 2x kom FIZIKA</t>
  </si>
  <si>
    <t xml:space="preserve">336a
336b
336c
</t>
  </si>
  <si>
    <t xml:space="preserve">Tatjana Šajatović
Mario Dunić
Albert Oswald</t>
  </si>
  <si>
    <t xml:space="preserve"> +38598871499
+385989345208
+385912241400</t>
  </si>
  <si>
    <t xml:space="preserve">tsajatovic@kemija.unios.hr
mdunic@biologija.unios.hr
oswald@unios.hr</t>
  </si>
  <si>
    <t xml:space="preserve">Cara Hadrijana 8/A 2x kom KEMIJA Kampus
Cara Hadrijana 8/A 2x kom BIOLOGIJA Kampus
Trg Sv. Trojstva 3. 5x kom Rektorat</t>
  </si>
  <si>
    <t xml:space="preserve">376a
376b
376c</t>
  </si>
  <si>
    <t xml:space="preserve">Alda Negrija 6    4 om.
Preradovićeva 30  1 kom.
Zagrebačka 30  1 kom.</t>
  </si>
  <si>
    <t xml:space="preserve">331a
331b
331c
331d</t>
  </si>
  <si>
    <t xml:space="preserve">Alda Negrija 6   10 kom.
Preradovićeva 30  2 kom.
Zagrebačka 30  2  kom.
Rovinjska 14  1 kom.</t>
  </si>
  <si>
    <t xml:space="preserve">Radmile Matejčić 2; 51000 Rijeka 1 kom.</t>
  </si>
  <si>
    <t xml:space="preserve">333a
333b
333c</t>
  </si>
  <si>
    <t xml:space="preserve">Aleksandar Živanović
Marko Roža
Jasenko Mandura</t>
  </si>
  <si>
    <t xml:space="preserve">0989616845
051/265-873
+385959017650</t>
  </si>
  <si>
    <t xml:space="preserve">aleksandar.zivanovic@uniri.hr
marko.roza@uniri.hr
jasenko.mandura@uniri.hr</t>
  </si>
  <si>
    <t xml:space="preserve">Palača Moise; Zagrad 6; 51557 Cres 1 kom.
Radmile Matejčić 10;  51000 Rijeka 13 kom.
Trg braće Mažuranića 10; 51000 Rijeka 1 kom.</t>
  </si>
  <si>
    <t xml:space="preserve"> Ivana Gundulića 20A</t>
  </si>
  <si>
    <t xml:space="preserve">362a
362b
362c
362d</t>
  </si>
  <si>
    <t xml:space="preserve">Marin Gudelj
Dalibor Bulić
Petra Musap
Ivan Vuko</t>
  </si>
  <si>
    <t xml:space="preserve">0913344165
021 564815, 0915462104
0991639750
0914348101</t>
  </si>
  <si>
    <t xml:space="preserve">marin@oss.unist.hr
dalibor.bulic@fzz.unist.hr
petra.musap@unist.hr
ivan.vuko@svkst.hr</t>
  </si>
  <si>
    <t xml:space="preserve">Kopilica 21, Split 1 kom.
Ruđera Boškovića 35, Split   2 kom.
Poljana kraljice Jelene 1, Split
Ruđera Boškovića 31, Split  5 kom.</t>
  </si>
  <si>
    <t xml:space="preserve">315a
315b
315c
315d</t>
  </si>
  <si>
    <t xml:space="preserve">Petra Marić
Dalibor Bulić
Maja Krželj
Ivan Tavra
</t>
  </si>
  <si>
    <t xml:space="preserve">0913210792
021 564815, 0915462104
0911556771
097 6063920</t>
  </si>
  <si>
    <t xml:space="preserve">pmaric@unist.hr
dalibor.bulic@fzz.unist.hr
maja.krzelj@more.unist.hr
itavra@unist.hr</t>
  </si>
  <si>
    <t xml:space="preserve">Ruđera Boškovića 31, Split   1 kom.
Ruđera Boškovića 35, Split  1 kom.
Ruđera Boškovića 37, Split  3 kom.
Zrinsko Frankopanska 38, Split  1 kom.</t>
  </si>
  <si>
    <t xml:space="preserve">308a
308b
308c
308d</t>
  </si>
  <si>
    <t xml:space="preserve">Ivan Nimac
Ivana Delistović Duić
Krešimir Pinjatela
Zvonimir Adamović</t>
  </si>
  <si>
    <t xml:space="preserve">095/826-5888
098/654-710
091/558-1986
098/445-233</t>
  </si>
  <si>
    <t xml:space="preserve">inimac@unizd.hr
idelistov@unizd.hr
kpinjatel22@unizd.hr
zadamovic@unizd.hr</t>
  </si>
  <si>
    <t xml:space="preserve">Obala kralja Petra Krešimira IV. Br. 2, 23000 Zadar -4  kom.
Dr. Franje Tuđmana 24, 23000 Zadar - 2 kom.
Splitska 1, 23000 Zadar 1 kom.
Dr. A. Starčevića 12, 53000 Gospić 1 kom.</t>
  </si>
  <si>
    <t xml:space="preserve">318a
318b
</t>
  </si>
  <si>
    <t xml:space="preserve">Ulica Radoslava Cimermana 88, 10000 Zagreb 2 kom.
Don Frana Bulića 4, 20000 Dubrovnik (CAAS) 3 kom.</t>
  </si>
  <si>
    <t xml:space="preserve">351
</t>
  </si>
  <si>
    <t xml:space="preserve">319a
319b</t>
  </si>
  <si>
    <t xml:space="preserve">Marulićev trg 19 Zagreb  13 kom..
Trg Republike Hrvatske 3, Zagreb  3 kom.</t>
  </si>
  <si>
    <t xml:space="preserve">374a
374b</t>
  </si>
  <si>
    <t xml:space="preserve">Trg dr. Žarka dolinara 1, Koprivnica 5kom.
Ulica 104 brigade 3, VŽ 5 kom. 5 kom.</t>
  </si>
  <si>
    <t xml:space="preserve">363a
363b
363c
363d
363e
363f
363g
363h</t>
  </si>
  <si>
    <t xml:space="preserve">Trg I.B.Mažuranić 2, 4 kom.
Ivana Gundulića 20A, 3 kom.
Ivana Gundulića 20, 2 kom.
Zgrada 4, Matije Gupca 24, 2 kom.
Zgrada 7, Ulica 108. brigade ZNG 20, 1kom.
Zgrada 7, Ulica 108. brigade ZNG 28, 1 kom.
Zgrada 7, Ulica 108. brigade ZNG 32, 3 kom.
Zgrada 7, Ulica 108. brigade ZNG 36, 2 kom.</t>
  </si>
  <si>
    <t xml:space="preserve">Details for Sum of Kom. - Isporuka na lokaciju : 4/7/2026, Tip opreme : Cjelovito rješenje za simultano prevođenje (+)</t>
  </si>
  <si>
    <t xml:space="preserve">569
</t>
  </si>
  <si>
    <t xml:space="preserve">Multimedijska oprema - Video mikser </t>
  </si>
  <si>
    <t xml:space="preserve">446a
446b</t>
  </si>
  <si>
    <t xml:space="preserve">Multimedijska oprema - Zvučnici </t>
  </si>
  <si>
    <t xml:space="preserve">Ilica 85   7 kom. 
Zamenhofova 14  1 kom.</t>
  </si>
  <si>
    <t xml:space="preserve">Multimedijska oprema - Zvučnici</t>
  </si>
  <si>
    <t xml:space="preserve">440a
440b</t>
  </si>
  <si>
    <t xml:space="preserve"> Trg Ljudevita Gaja 6  1 kom.
Trg. Sv. Trojstva 3   6 kom.</t>
  </si>
  <si>
    <t xml:space="preserve">573a
573b</t>
  </si>
  <si>
    <t xml:space="preserve">Trg dr. Žarka dolinara 1, Koprivnica 2 kom.
Ulica 104 brigade 3, VŽ 1 kom.</t>
  </si>
  <si>
    <t xml:space="preserve">430a
430b</t>
  </si>
  <si>
    <t xml:space="preserve">Trg dr. Žarka dolinara 1, Koprivnica 5 kom.
Ulica 104 brigade 3, VŽ 10 kom.</t>
  </si>
  <si>
    <t xml:space="preserve">Jasenko Mandura</t>
  </si>
  <si>
    <t xml:space="preserve">+385959017650</t>
  </si>
  <si>
    <t xml:space="preserve">jasenko.mandura@uniri.hr</t>
  </si>
  <si>
    <t xml:space="preserve">Trg braće Mažuranića 10; 51000 Rijeka</t>
  </si>
  <si>
    <t xml:space="preserve">434a
434b</t>
  </si>
  <si>
    <t xml:space="preserve">Danka Jurjević
Aleksandar Živanović
</t>
  </si>
  <si>
    <t xml:space="preserve">051/265-884
0989616845
</t>
  </si>
  <si>
    <t xml:space="preserve">danka.jurjevic@uniri.hr
aleksandar.zivanovic@uniri.hr
</t>
  </si>
  <si>
    <t xml:space="preserve">Radmile Matejčić 2; 51000 Rijeka 4 kom.
Palača Moise; Zagrad 6; 51557 Cres 1 kom.
</t>
  </si>
  <si>
    <t xml:space="preserve">412a
412b</t>
  </si>
  <si>
    <t xml:space="preserve">Ivan Vuko
Maja Krželj</t>
  </si>
  <si>
    <t xml:space="preserve">0914348101
0911556771</t>
  </si>
  <si>
    <t xml:space="preserve">ivan.vuko@svkst.hr
maja.krzelj@more.unist.hr</t>
  </si>
  <si>
    <t xml:space="preserve">Ruđera Boškovića 31, Split  1 kom.
Ruđera Boškovića 37, Split  3 kom.</t>
  </si>
  <si>
    <t xml:space="preserve">416a
416b</t>
  </si>
  <si>
    <t xml:space="preserve">437a
437b
437c</t>
  </si>
  <si>
    <t xml:space="preserve">Sandi Homolak (Zagreb)
Igor Šalamun (Čakovec)
Tomislav Stanković (Petrinja)</t>
  </si>
  <si>
    <t xml:space="preserve">091 619 5223
091 5011 277
099 2174 465</t>
  </si>
  <si>
    <t xml:space="preserve">informatika.zagreb@ufzg.hr
igor.salamun@ufzg.hr
tomislav.stankovic@ufzg.hr</t>
  </si>
  <si>
    <t xml:space="preserve">Savska cesta 77, 10000 Zagreb 1 kom.
Ul. dr. Ante Starčevića 55, 40000, Čakovec 1 kom.
44250 Petrinja, Trg Matice hrvatske 12 1 kom. </t>
  </si>
  <si>
    <t xml:space="preserve">Details for Sum of Kom. - Isporuka na lokaciju : 4/13/2026, Tip opreme : Cjelovito rješenje za simultano prevođenje (+)</t>
  </si>
  <si>
    <t xml:space="preserve">Multimedijska oprema - Interaktivni prezentacijski zaslon Tip-1</t>
  </si>
  <si>
    <t xml:space="preserve">Svetošimunska 25, Zagreb</t>
  </si>
  <si>
    <t xml:space="preserve">Multimedijska oprema - Eksterna kartica za prihvat i obradu video/audio signala </t>
  </si>
  <si>
    <t xml:space="preserve">Multimedijska oprema - Interaktivni prezentacijski zaslon Tip-2</t>
  </si>
  <si>
    <t xml:space="preserve">190a
190b</t>
  </si>
  <si>
    <t xml:space="preserve">Miroslav Puljiz
Dario Kužić</t>
  </si>
  <si>
    <t xml:space="preserve">385992529898
385994988065</t>
  </si>
  <si>
    <t xml:space="preserve">mpuljiz@fpz.unizg.hr
 dkuzic@fpz.unizg.hr</t>
  </si>
  <si>
    <t xml:space="preserve">Vukelićeva 4   1 kom. 
Borongajska cesta 83a  9 kom.</t>
  </si>
  <si>
    <t xml:space="preserve">152a
152b</t>
  </si>
  <si>
    <t xml:space="preserve">Borongajska cesta 83a 1 kom.
Borongajska cesta 83f 1 kom.</t>
  </si>
  <si>
    <t xml:space="preserve">230a
230b</t>
  </si>
  <si>
    <t xml:space="preserve">Ivana Lučića 3  29 kom.
Ivana Lučića 6  1 kom.</t>
  </si>
  <si>
    <t xml:space="preserve">163a
163b</t>
  </si>
  <si>
    <t xml:space="preserve">Trg dr. Žarka dolinara 1, Koprivnica 10 kom.
Ulica 104 brigade 3, VŽ 5 kom.</t>
  </si>
  <si>
    <t xml:space="preserve">Mirko Šalinović</t>
  </si>
  <si>
    <t xml:space="preserve">O98 9895758</t>
  </si>
  <si>
    <t xml:space="preserve">msalinovic@unist.hr</t>
  </si>
  <si>
    <t xml:space="preserve">Franjevački put 1, Makarska</t>
  </si>
  <si>
    <t xml:space="preserve">197a
197b
197c
197d
197e
197f</t>
  </si>
  <si>
    <t xml:space="preserve">Marko Pilić / Josip Crnjac
Dalibor Bulić
Maja Krželj
Ivan Tavra
Ivan Vuko
Mirko Šalinović</t>
  </si>
  <si>
    <t xml:space="preserve">0919840020 (Pilić), 0981980136 (Crnjac)
021 564815, 0915462104
0911556771
097 6063920
0914348101
O98 9895758</t>
  </si>
  <si>
    <t xml:space="preserve">mpilic@forenzika.unist.hr, jcrnjac@forenzika.unist.hr
dalibor.bulic@fzz.unist.hr
maja.krzelj@more.unist.hr
itavra@unist.hr
ivan.vuko@svkst.hr
msalinovic@unist.hr</t>
  </si>
  <si>
    <t xml:space="preserve">Ruđera Boškovića 33, Split   2 kom.
Ruđera Boškovića 35, Split   11 kom.
Ruđera Boškovića 31, Split  1 kom.
Zrinsko Frankopanska 38, Split  1 kom.
Ruđera Boškovića 31, Split  2 kom.
Franjevački put 1, Makarska 1 kom.</t>
  </si>
  <si>
    <t xml:space="preserve">154a
154b</t>
  </si>
  <si>
    <t xml:space="preserve">Petra Marić
Dalibor Bulić</t>
  </si>
  <si>
    <t xml:space="preserve">0913210792
021 564815, 0915462104</t>
  </si>
  <si>
    <t xml:space="preserve">pmaric@unist.hr
dalibor.bulic@fzz.unist.hr</t>
  </si>
  <si>
    <t xml:space="preserve">Ruđera Boškovića 31, Split
Ruđera Boškovića 35, Split</t>
  </si>
  <si>
    <t xml:space="preserve">205a
205b</t>
  </si>
  <si>
    <t xml:space="preserve">Agata Vinčić
Srđan Cvetanović</t>
  </si>
  <si>
    <t xml:space="preserve">091 531 2624
095 8000 204</t>
  </si>
  <si>
    <t xml:space="preserve">avincic@ttf.hr
djani@ttf.hr</t>
  </si>
  <si>
    <t xml:space="preserve">Hallerova aleja 6c, Varaždin 1 kom.
Prilaz baruna Filipovića 28a  2 kom.</t>
  </si>
  <si>
    <t xml:space="preserve">Sandra Flinčec Grgac</t>
  </si>
  <si>
    <t xml:space="preserve">091 644 4200</t>
  </si>
  <si>
    <t xml:space="preserve">sflincec@ttf.hr
</t>
  </si>
  <si>
    <t xml:space="preserve">Savska 16/9</t>
  </si>
  <si>
    <t xml:space="preserve">164 a
164 b</t>
  </si>
  <si>
    <t xml:space="preserve">Ivana Meštrovića 10  4 kom.
J. J. Strossmayera 9  2 kom.</t>
  </si>
  <si>
    <t xml:space="preserve">Hibridna multimedijska dvorana Tip-A</t>
  </si>
  <si>
    <t xml:space="preserve">3a
3b
3c</t>
  </si>
  <si>
    <t xml:space="preserve">Holjevčeva Igor Paljug
Borongaj Nenad Habek
Konavoska Filip Samoščanec</t>
  </si>
  <si>
    <t xml:space="preserve">+385911316382 - Nenad
0993047438 Filip
+385 95 245 6555 Igor</t>
  </si>
  <si>
    <t xml:space="preserve">filip.samoscanec@tvz.hr
igor.paljug@tvz.hr
nenad.habek@tvz.hr</t>
  </si>
  <si>
    <t xml:space="preserve">Borongajska 83E  2 kom.
Konavoska 2 1 kom.
Holjevčeva 15 1 kom.</t>
  </si>
  <si>
    <t xml:space="preserve">4a
4b
4c
4d</t>
  </si>
  <si>
    <t xml:space="preserve">Ivan Nimac
Ivana Delistović Duić
Ivana Delistović Duić
Ivan Nimac</t>
  </si>
  <si>
    <t xml:space="preserve">095/826-5888
098/654-710
</t>
  </si>
  <si>
    <t xml:space="preserve">inimac@unizd.hr
idelistov@unizd.hr
</t>
  </si>
  <si>
    <t xml:space="preserve">Obala kralja Petra Krešimira IV. Br. 2, 23000 Zadar - 1 kom.
Dr. Franje Tuđmana 24, 23000 Zadar - 1 kom.
Splitska 1, 23000 Zadar 1 kom.
Ruđera Boškovića 5, 23000 Zadar 1 kom.</t>
  </si>
  <si>
    <t xml:space="preserve">1xHoljevčeva 15</t>
  </si>
  <si>
    <t xml:space="preserve">Miroslav Puljiz</t>
  </si>
  <si>
    <t xml:space="preserve">385992529898</t>
  </si>
  <si>
    <t xml:space="preserve">mpuljiz@fpz.unizg.hr</t>
  </si>
  <si>
    <t xml:space="preserve">Vukelićeva 4</t>
  </si>
  <si>
    <t xml:space="preserve">10a
10b</t>
  </si>
  <si>
    <t xml:space="preserve">Marin Gudelj
Petra Musap</t>
  </si>
  <si>
    <t xml:space="preserve">0913344165
0991639750</t>
  </si>
  <si>
    <t xml:space="preserve">marin@oss.unist.hr
petra.musap@unist.hr</t>
  </si>
  <si>
    <t xml:space="preserve">Kopilica 21, Split 1 kom.
Hrvojeva 2, Split 1 kom.  samo isporuka nema montaže</t>
  </si>
  <si>
    <t xml:space="preserve">20a
20b</t>
  </si>
  <si>
    <t xml:space="preserve">Trg dr. Žarka dolinara 1, Koprivnica 2 kom.
Ulica 104 brigade 3, VŽ 2 kom.</t>
  </si>
  <si>
    <t xml:space="preserve">21a
21b</t>
  </si>
  <si>
    <t xml:space="preserve">Alda Negrija 6, Pula 
Preradovićeva 1, Pula</t>
  </si>
  <si>
    <t xml:space="preserve">24a
24b
24c</t>
  </si>
  <si>
    <t xml:space="preserve">Savska cesta 77, 10000 Zagreb  1kom.
Ul. dr. Ante Starčevića 55, 40000, Čakovec 1 kom
44250 Petrinja, Trg Matice hrvatske 12 1 kom.</t>
  </si>
  <si>
    <t xml:space="preserve">Hibridna multimedijska dvorana Tip-B</t>
  </si>
  <si>
    <t xml:space="preserve">28a
28b
28c
28d</t>
  </si>
  <si>
    <t xml:space="preserve">Branitelja Dubrovnika 41, Dubrovnik 2 kom.
Ćira Carića 4, Dubrovnik 1 kom.
Lapadska obala Nojka Marinovića 7, Dubrovnik 2 kom.
Bistrina 3, Stupa 1 kom.</t>
  </si>
  <si>
    <t xml:space="preserve">31a
31b</t>
  </si>
  <si>
    <t xml:space="preserve">Ivan Nimac
Ivana Delistović Duić
</t>
  </si>
  <si>
    <t xml:space="preserve">Obala kralja Petra Krešimira IV. Br. 2, 23000 Zadar - 1 kom.
Dr. Franje Tuđmana 24, 23000 Zadar - 2 kom.</t>
  </si>
  <si>
    <t xml:space="preserve">34a
34b</t>
  </si>
  <si>
    <t xml:space="preserve">Ivana Lučića 5 (istočna zgrada) 1 kom.
Ivana Lučića 1 (sjeverna zgrada) 1 kom.</t>
  </si>
  <si>
    <t xml:space="preserve">39a
39b
39c</t>
  </si>
  <si>
    <t xml:space="preserve">Marin Gudelj
Prosper Radonić
Leida Rizvan</t>
  </si>
  <si>
    <t xml:space="preserve">0913344165
0995556003
0914433905</t>
  </si>
  <si>
    <t xml:space="preserve">marin@oss.unist.hr
pradonic@medils.unist.hr
leida.rizvan@unist.hr</t>
  </si>
  <si>
    <t xml:space="preserve">Kopilica 21, Split 1 kom.
Meštrovićevo šetalište 45, Split 1 kom.
Ruđera Boškovića 31, Split   1 kom.</t>
  </si>
  <si>
    <t xml:space="preserve">Ul. bana Josipa Jelačića 22f</t>
  </si>
  <si>
    <t xml:space="preserve">54a
54b
54c</t>
  </si>
  <si>
    <t xml:space="preserve">Danka Jurjević
Aleksandar Živanović
Jasenko Mandura</t>
  </si>
  <si>
    <t xml:space="preserve">051/265-884
0989616845
+385959017650</t>
  </si>
  <si>
    <t xml:space="preserve">danka.jurjevic@uniri.hr
aleksandar.zivanovic@uniri.hr
jasenko.mandura@uniri.hr</t>
  </si>
  <si>
    <t xml:space="preserve">Radmile Matejčić 2; 51000 Rijeka 6 kom.
Palača Moise; Zagrad 6; 51557 Cres 1 kom.
Trg braće Mažuranića 10; 51000 Rijeka 1 kom.</t>
  </si>
  <si>
    <t xml:space="preserve">58a
58b</t>
  </si>
  <si>
    <t xml:space="preserve">Tatjana Šajatović, Mario Dunić
Tomica Bunjevac</t>
  </si>
  <si>
    <t xml:space="preserve"> +38598871499, +385989345208
+385913568984</t>
  </si>
  <si>
    <t xml:space="preserve">tsajatovic@kemija.unios.hr, mdunic@biologija.unios.hr
tbunjevac@fizika.unios.hr</t>
  </si>
  <si>
    <t xml:space="preserve">Cara Hadrijana 8/A 3 kom.
Trg Ljudevita Gaja 6. 1 kom.</t>
  </si>
  <si>
    <t xml:space="preserve"> Trg Ljudevita Gaja 6.</t>
  </si>
  <si>
    <t xml:space="preserve">Hibridna multimedijska dvorana Tip-C</t>
  </si>
  <si>
    <t xml:space="preserve">68a
68b
68c</t>
  </si>
  <si>
    <t xml:space="preserve">Branitelja Dubrovnika 41, Dubrovnik 1 kom.
Ćira Carića 4, Dubrovnik 1 kom.
Lapadska obala Nojka Marinovića 7, Dubrovnik 1 kom.</t>
  </si>
  <si>
    <t xml:space="preserve">Nikola Kaniški</t>
  </si>
  <si>
    <t xml:space="preserve">099/5246985
</t>
  </si>
  <si>
    <t xml:space="preserve">nikola.kaniski@vhzk.hr
</t>
  </si>
  <si>
    <t xml:space="preserve">Borongajska cesta 83f</t>
  </si>
  <si>
    <t xml:space="preserve">Igor Surla
</t>
  </si>
  <si>
    <t xml:space="preserve">385924385009
</t>
  </si>
  <si>
    <t xml:space="preserve">igor.surla@pmf.hr</t>
  </si>
  <si>
    <t xml:space="preserve">Rooseveltov trg 6</t>
  </si>
  <si>
    <t xml:space="preserve">79a
79b
79c</t>
  </si>
  <si>
    <t xml:space="preserve">Ivan Vuko
Maja Krželj
Jadranka Vrsalović</t>
  </si>
  <si>
    <t xml:space="preserve">0914348101
0911556771
0915462104</t>
  </si>
  <si>
    <t xml:space="preserve">ivan.vuko@svkst.hr
maja.krzelj@more.unist.hr
jadranka.vrsalovic@fzz.unist.hr</t>
  </si>
  <si>
    <t xml:space="preserve">Ruđera Boškovića 31, Split 1 kom.
Ruđera Boškovića 37, Split  1 kom.
Ruđera Boškovića 35, Split 1 kom.</t>
  </si>
  <si>
    <t xml:space="preserve">83
</t>
  </si>
  <si>
    <t xml:space="preserve">Marulićev trg 19 Zagreb</t>
  </si>
  <si>
    <t xml:space="preserve">Šalata 3b</t>
  </si>
  <si>
    <t xml:space="preserve">88a
88b
88c</t>
  </si>
  <si>
    <t xml:space="preserve">Mlinarska cesta 38 1 kom..
Ksaver 201 1 kom.
Ksaver 209  1 kom.</t>
  </si>
  <si>
    <t xml:space="preserve">92a
92b
92c</t>
  </si>
  <si>
    <t xml:space="preserve">Alda Negrija 6   4 kom.
Preradovićeva 30  1 kom.
Zagrebačka 30  1 kom.</t>
  </si>
  <si>
    <t xml:space="preserve">93a
93b</t>
  </si>
  <si>
    <t xml:space="preserve">Linda Petričić, Nicole Tomišić 
Marko Roža</t>
  </si>
  <si>
    <t xml:space="preserve">Krešimirova 40/42, 51000 Rijeak 3 kom.
Radmile Matejčić 2; 51000 Rijeka 3 kom.</t>
  </si>
  <si>
    <t xml:space="preserve">95a
95b</t>
  </si>
  <si>
    <t xml:space="preserve">Tatjana Šajatović
Albert Oswald</t>
  </si>
  <si>
    <t xml:space="preserve"> +38598871499
+385912241400</t>
  </si>
  <si>
    <t xml:space="preserve">tsajatovic@kemija.unios.hr
mdunic@biologija.unios.hr</t>
  </si>
  <si>
    <t xml:space="preserve">Cara Hadrijana 8/A 1 kom.
Trg Ljudevita Gaja 6  3 kom.</t>
  </si>
  <si>
    <t xml:space="preserve">99a
99b</t>
  </si>
  <si>
    <t xml:space="preserve">Ivana Lučića 3
Ivana Lučića 6</t>
  </si>
  <si>
    <t xml:space="preserve">Multifunkcionalni sustav za udaljeno spajanje</t>
  </si>
  <si>
    <t xml:space="preserve">104a
104b</t>
  </si>
  <si>
    <t xml:space="preserve">Ćira Carića 4, Dubrovnik  3 kom. 
Bistrina 3, Stupa 1 kom. </t>
  </si>
  <si>
    <t xml:space="preserve">106a
106b
106c
106d
106e</t>
  </si>
  <si>
    <t xml:space="preserve">Filip Samoščanec Konavoska
Igor Paljug - Holjevčeva
Nenad Habek Borongaj
Barbara Idžan Brozova
Hrvoje Matešić</t>
  </si>
  <si>
    <t xml:space="preserve">+385992692210 - Hrvoje
+385911316382 - Nenad
0993047438 Filip
+385 95 245 6555 Igor
+385 99 529 0050 - Barbara</t>
  </si>
  <si>
    <t xml:space="preserve">filip.samoscanec@tvz.hr
igor.paljug@tvz.hr
nenad.habek@tvz.hr
barabara.idzan@tvz.hr
hrvoje.matesic@tvz.hr</t>
  </si>
  <si>
    <t xml:space="preserve">Konavoska 2   1 kom.
Holjevčeva 15 1 kom. 
Vrbik 8 1 kom. 
Borongajska 83E kampus  1 kom.
Brozova 6a 1 kom.</t>
  </si>
  <si>
    <t xml:space="preserve">107a
107b</t>
  </si>
  <si>
    <t xml:space="preserve">Ivan Nimac
Tomislav Sruk
</t>
  </si>
  <si>
    <t xml:space="preserve">095/826-5888
099/544-2586
</t>
  </si>
  <si>
    <t xml:space="preserve">inimac@unizd.hr
tsruk@unizd.hr
</t>
  </si>
  <si>
    <t xml:space="preserve">Obala kralja Petra Krešimira IV. Br. 2, 23000 Zadar - 1 kom.
Šime Vitasovića 1, 23000 Zada - 1 kom.</t>
  </si>
  <si>
    <t xml:space="preserve">116a
116b
116c
116d</t>
  </si>
  <si>
    <t xml:space="preserve">Marin Gudelj
Ivan Tavra
Prosper Radonić
Marko Pilić / Josip Crnjac</t>
  </si>
  <si>
    <t xml:space="preserve">0913344165
097 6063920
0995556003
0919840020 (Pilić), 0981980136 (Crnjac)</t>
  </si>
  <si>
    <t xml:space="preserve">marin@oss.unist.hr
itavra@unist.hr
pradonic@medils.unist.hr
mpilic@forenzika.unist.hr, jcrnjac@forenzika.unist.hr</t>
  </si>
  <si>
    <t xml:space="preserve">Kopilica 21, Split 1 kom.
Zrinsko Frankopanska 38, Split 1 kom.
Meštrovićevo šetalište 45, Split 1 kom.
Ruđera Boškovića 33, Split   2 kom. 1 kom.</t>
  </si>
  <si>
    <t xml:space="preserve">117a
117b</t>
  </si>
  <si>
    <t xml:space="preserve">Ul. bana Josipa Jelačića 22a
Ul. bana Josipa Jelačića 22f</t>
  </si>
  <si>
    <t xml:space="preserve">Ivana Gundulića 20A</t>
  </si>
  <si>
    <t xml:space="preserve">125a
125b</t>
  </si>
  <si>
    <t xml:space="preserve">Mlinarska cesta 38
Ksaver 209</t>
  </si>
  <si>
    <t xml:space="preserve">Miramarska cesta 20 - dvorana Martinovka</t>
  </si>
  <si>
    <t xml:space="preserve">129a
129b</t>
  </si>
  <si>
    <t xml:space="preserve">Teslina 6
Teslina 10</t>
  </si>
  <si>
    <t xml:space="preserve">131a
131b
131c</t>
  </si>
  <si>
    <t xml:space="preserve">133a
133b
133c
133d</t>
  </si>
  <si>
    <t xml:space="preserve">Linda Petričić, Nicole Tomišić 
Marko Roža
Jasenko Mandura
Aleksandar Živanović</t>
  </si>
  <si>
    <t xml:space="preserve">091 165 1207, 0922875203
051/265-873
+385959017650
0989616845</t>
  </si>
  <si>
    <t xml:space="preserve">ntomisic@fdmri.uniri.hr linda.petricic@fdmri.uniri.hr
marko.roza@uniri.hr
jasenko.mandura@uniri.hr
aleksandar.zivanovic@uniri.hr</t>
  </si>
  <si>
    <t xml:space="preserve">Krešimirova 40/42, 51000 Rijeak 1 kom.
Radmile Matejčić 2; 51000 Rijeka 3 kom.
Trg braće Mažuranića 10; 51000 Rijeka 2 kom.
Palača Moise; Zagrad 6; 51557 Cres 1 kom.</t>
  </si>
  <si>
    <t xml:space="preserve">Woodrova Wilsona 2, 31000 Osijek
</t>
  </si>
  <si>
    <t xml:space="preserve">Trg Marka Marulića 20, Zagreb, podrum
</t>
  </si>
  <si>
    <t xml:space="preserve">138a
138b</t>
  </si>
  <si>
    <t xml:space="preserve">Mario Dunić
Albert Oswald</t>
  </si>
  <si>
    <t xml:space="preserve"> +385989345208
+385912241400</t>
  </si>
  <si>
    <t xml:space="preserve">mdunic@biologija.unios.hr
oswald@unios.hr</t>
  </si>
  <si>
    <t xml:space="preserve">Cara Hadrijana 8/A 1 kom.
Trg Sv. Trojstva 3. 4x kom.</t>
  </si>
  <si>
    <t xml:space="preserve">Cjelovito rješenje za simultano prevođenje</t>
  </si>
  <si>
    <t xml:space="preserve">Alda Negrija 6, Pula</t>
  </si>
  <si>
    <t xml:space="preserve">166a
166b</t>
  </si>
  <si>
    <t xml:space="preserve">Krešimirova 40/42, 51000 Rijeak 1 kom.
Radmile Matejčić 2; 51000 Rijeka 5 kom.</t>
  </si>
  <si>
    <t xml:space="preserve">Drinska 16a, 31000 Osijek
Woodrova Wilsona 2, 31000 Osijek
</t>
  </si>
  <si>
    <t xml:space="preserve">Tatjana Šajatović, Mario Dunić</t>
  </si>
  <si>
    <t xml:space="preserve">  +38598871499, +38598871499</t>
  </si>
  <si>
    <t xml:space="preserve">tsajatovic@kemija.unios.hr, mdunic@biologija.unios.hr</t>
  </si>
  <si>
    <t xml:space="preserve">Cara Hadrijana 8/A 4x kom.</t>
  </si>
  <si>
    <t xml:space="preserve">182a
182b
182c
182d</t>
  </si>
  <si>
    <t xml:space="preserve">Obala kralja Petra Krešimira IV. Br. 2, 23000 Zadar - 4 kom.
Dr. Franje Tuđmana 24, 23000 Zadar - 2 kom.
Splitska 1, 23000 Zadar 1 kom.
Dr. A. Starčevića 12, 53000 Gospić 1 kom.</t>
  </si>
  <si>
    <t xml:space="preserve">186
</t>
  </si>
  <si>
    <t xml:space="preserve">201a
201b</t>
  </si>
  <si>
    <t xml:space="preserve">202a
202b</t>
  </si>
  <si>
    <t xml:space="preserve">212a
212b</t>
  </si>
  <si>
    <t xml:space="preserve">Mlinarska cesta 38 4 kom.
Ksaver 209 5 kom.</t>
  </si>
  <si>
    <t xml:space="preserve">216a
216b</t>
  </si>
  <si>
    <t xml:space="preserve">Teslina 10   2 kom.
Teslina 6   2 kom.</t>
  </si>
  <si>
    <t xml:space="preserve">Trg dr. Žarka dolinara 1, Koprivnica 10 kom.
Ulica 104 brigade 3, VŽ 10 kom.</t>
  </si>
  <si>
    <t xml:space="preserve">219a
219b
219c
219d</t>
  </si>
  <si>
    <t xml:space="preserve">226a
226b</t>
  </si>
  <si>
    <t xml:space="preserve">Cara Hadrijana 8/A 3 kom.
Trg Sv. Trojstva 3. 2 kom.</t>
  </si>
  <si>
    <t xml:space="preserve">Multimedijska oprema - OPS računalo </t>
  </si>
  <si>
    <t xml:space="preserve">249a
249b
249c
249d</t>
  </si>
  <si>
    <t xml:space="preserve">258a
258b
258c
258d
258e
258f</t>
  </si>
  <si>
    <t xml:space="preserve">Petra Marić
Marko Pilić / Josip Crnjac
Dalibor Bulić
Maja Krželj
Ivan Tavra
Ivan Vuko</t>
  </si>
  <si>
    <t xml:space="preserve">0913210792
0919840020 (Pilić), 0981980136 (Crnjac)
021 564815, 0915462104
0911556771
097 6063920
0914348101</t>
  </si>
  <si>
    <t xml:space="preserve">pmaric@unist.hr
mpilic@forenzika.unist.hr, jcrnjac@forenzika.unist.hr
dalibor.bulic@fzz.unist.hr
maja.krzelj@more.unist.hr
itavra@unist.hr
ivan.vuko@svkst.hr</t>
  </si>
  <si>
    <t xml:space="preserve">Ruđera Boškovića 31, Split   1 kom.
Ruđera Boškovića 33, Split  2 kom.
Ruđera Boškovića 35, Split  12 kom.
Ruđera Boškovića 37, Split  1 kom.
Zrinsko Frankopanska 38, Split  1 kom.
Ruđera Boškovića 31, Split  2 kom.</t>
  </si>
  <si>
    <t xml:space="preserve">262a
262b</t>
  </si>
  <si>
    <t xml:space="preserve">Ulica Radoslava Cimermana 88, 10000 Zagreb 8 kom.
Don Frana Bulića 4, 20000 Dubrovnik (CAAS) 3 kom.</t>
  </si>
  <si>
    <t xml:space="preserve">263a
263b</t>
  </si>
  <si>
    <t xml:space="preserve">266a
266b
266c</t>
  </si>
  <si>
    <t xml:space="preserve">Sandra Flinčec Grgac
Srđan Cvetanović
Agata Vinčić</t>
  </si>
  <si>
    <t xml:space="preserve">091 644 4200
095 8000 204
091 531 2624</t>
  </si>
  <si>
    <t xml:space="preserve">sflincec@ttf.hr
djani@ttf.hr
avincic@ttf.hr
</t>
  </si>
  <si>
    <t xml:space="preserve">Savska 16/9  1 Kom.
Prilaz baruna Filipovića 28a  2 kom.
Hallerova aleja 6c  1 kom.</t>
  </si>
  <si>
    <t xml:space="preserve">274a
274b</t>
  </si>
  <si>
    <t xml:space="preserve">Tatjana Šajatović, Mario Dunić
Albert Oswald</t>
  </si>
  <si>
    <t xml:space="preserve"> +38598871499 , +385989345208
+385912241400</t>
  </si>
  <si>
    <t xml:space="preserve">tsajatovic@kemija.unios.hr, mdunic@biologija.unios.hr
oswald@unios.hr</t>
  </si>
  <si>
    <t xml:space="preserve">Cara Hadrijana 8/A  4 kom. 
Trg Sv. Trojstva 3. 1 kom.</t>
  </si>
  <si>
    <t xml:space="preserve">Ruđera Boškovića 31, Split   1 kom.
Ruđera Boškovića 35, Split  1 kom.
Ruđera Boškovića 31, Split  3 kom.
Zrinsko Frankopanska 38, Split  1 kom.</t>
  </si>
  <si>
    <t xml:space="preserve">Tu je bilo kriva adresa isporuke R. Boškovića 37 a treba biti 31, kontakt osoba i broj komada 3 je dobra</t>
  </si>
  <si>
    <t xml:space="preserve">Samo 318a 1</t>
  </si>
  <si>
    <t xml:space="preserve">Tu je greškom ptišlo 16 kom. na jednu adresu Trg Republike Hrvatske 3</t>
  </si>
  <si>
    <t xml:space="preserve">Samo 333a 1</t>
  </si>
  <si>
    <t xml:space="preserve">Radmile Matejčić 2;  51000 Rijeka 14 kom.
Palača Moise; Zagrad 6; 51557 Cres 1 kom.
Trg braće Mažuranića 10; 51000 Rijeka 1 kom.</t>
  </si>
  <si>
    <t xml:space="preserve">Ovdje 1 nije otišao na TRg Mažuranića 10, trebalo bi prebaciti </t>
  </si>
  <si>
    <t xml:space="preserve">Samo 362a, 362b 1</t>
  </si>
  <si>
    <t xml:space="preserve">Krivo, treba na više lokacija, poslano Margiću točno</t>
  </si>
  <si>
    <t xml:space="preserve">Krivo, treba na dvije lokacije, poslano Margiću točno</t>
  </si>
  <si>
    <t xml:space="preserve">Samo 380b 1</t>
  </si>
  <si>
    <t xml:space="preserve">Multimedijska oprema - Audio mikser </t>
  </si>
  <si>
    <t xml:space="preserve">Maja Krželj</t>
  </si>
  <si>
    <t xml:space="preserve">0911556771</t>
  </si>
  <si>
    <t xml:space="preserve">maja.krzelj@more.unist.hr</t>
  </si>
  <si>
    <t xml:space="preserve">475a
475b</t>
  </si>
  <si>
    <t xml:space="preserve">Ulica Radoslava Cimermana 88, 10000 Zagreb 2 kom.
Don Frana Bulića 4, 20000 Dubrovnik (CAAS) 2 kom.</t>
  </si>
  <si>
    <t xml:space="preserve">484
</t>
  </si>
  <si>
    <t xml:space="preserve">488
</t>
  </si>
  <si>
    <t xml:space="preserve">501a
501b</t>
  </si>
  <si>
    <t xml:space="preserve">Ilica 85 5 kom. 
Zamenhofova 14 1 kom.</t>
  </si>
  <si>
    <t xml:space="preserve">569</t>
  </si>
  <si>
    <t xml:space="preserve">Multimedijska oprema - USB preklopnik </t>
  </si>
  <si>
    <t xml:space="preserve">Edukacijski set za obuku upravljanja dronom i zračnog snimanja</t>
  </si>
  <si>
    <t xml:space="preserve">Matija Prahin
Emil Flatz</t>
  </si>
  <si>
    <t xml:space="preserve">Mario Dunić</t>
  </si>
  <si>
    <t xml:space="preserve"> +385989345208</t>
  </si>
  <si>
    <t xml:space="preserve">mdunic@biologija.unios.hr</t>
  </si>
  <si>
    <t xml:space="preserve">NAZIV</t>
  </si>
  <si>
    <t xml:space="preserve">MATIČNA ADRESA</t>
  </si>
  <si>
    <t xml:space="preserve">MJESTO</t>
  </si>
  <si>
    <t xml:space="preserve">Adresa isporuke</t>
  </si>
  <si>
    <t xml:space="preserve">Kontakt osoba za isporuku i implementaciju opreme</t>
  </si>
  <si>
    <t xml:space="preserve">Unnamed: 7</t>
  </si>
  <si>
    <t xml:space="preserve">Unnamed: 8</t>
  </si>
  <si>
    <t xml:space="preserve">Unnamed: 9</t>
  </si>
  <si>
    <t xml:space="preserve">Komentari
</t>
  </si>
  <si>
    <t xml:space="preserve">kontakt broj</t>
  </si>
  <si>
    <t xml:space="preserve">Link na mapu s detaljima</t>
  </si>
  <si>
    <t xml:space="preserve">Frankopanska 22</t>
  </si>
  <si>
    <t xml:space="preserve">dio opreme se neće moći odmah montirati zbog obnove; nisu sigurni hoće li obnova biti gotova do kraja 6.mj, ali će nas obavijestiti</t>
  </si>
  <si>
    <t xml:space="preserve">Zamenhofova 14</t>
  </si>
  <si>
    <t xml:space="preserve">u tablici naveli da će se možda dio opreme morati skladištiti</t>
  </si>
  <si>
    <t xml:space="preserve">dio će skladištiti, detaljnije u tablici</t>
  </si>
  <si>
    <t xml:space="preserve">Ivana Lučića 1 (sjeverna zgrada)</t>
  </si>
  <si>
    <t xml:space="preserve">Andrija Ljubičić</t>
  </si>
  <si>
    <t xml:space="preserve">091 2241 423</t>
  </si>
  <si>
    <t xml:space="preserve">andrija.ljubicic@fdmz.hr</t>
  </si>
  <si>
    <t xml:space="preserve">Ivana Lučića 6</t>
  </si>
  <si>
    <t xml:space="preserve">nove projektore bi montirali oni naknadno jer im stari još rade, detaljnije u tablici</t>
  </si>
  <si>
    <t xml:space="preserve">Ulica Vladimira Preloga 3, 31000, Osijek </t>
  </si>
  <si>
    <t xml:space="preserve">Woodrova Wilsona 2, 31000 Osijek, Drinska 16a, 31000 Osijek</t>
  </si>
  <si>
    <t xml:space="preserve">Teo Brusić</t>
  </si>
  <si>
    <t xml:space="preserve">098/338-182</t>
  </si>
  <si>
    <t xml:space="preserve">teo.brusic@medri.uniri.hr</t>
  </si>
  <si>
    <t xml:space="preserve">KBCRI lokacija Rijeka</t>
  </si>
  <si>
    <t xml:space="preserve">MUP-VELEUČILIŠTE KRIMINALISTIKE I JAVNE SIGURNOSTI</t>
  </si>
  <si>
    <t xml:space="preserve">Trg Republike Hrvatske 3</t>
  </si>
  <si>
    <t xml:space="preserve">mdakic@geog.pmf.hr</t>
  </si>
  <si>
    <t xml:space="preserve">Igor Surla</t>
  </si>
  <si>
    <t xml:space="preserve">385924385009</t>
  </si>
  <si>
    <t xml:space="preserve">mole da se jedan dio za kemiju montira naknadno, kada se pravni iseli iz njihovih prostorija</t>
  </si>
  <si>
    <t xml:space="preserve">Preradovićeva 1</t>
  </si>
  <si>
    <t xml:space="preserve">Preradovićeva 30</t>
  </si>
  <si>
    <t xml:space="preserve">Zagrebačka 30</t>
  </si>
  <si>
    <t xml:space="preserve">Rovinjska 14</t>
  </si>
  <si>
    <t xml:space="preserve">Sveučilište obrane i sigurnosti "Dr. Franjo Tuđman" ili Hrvatsko vojno učilište dr. Franjo Tuđman Ministarstva obrane RH</t>
  </si>
  <si>
    <t xml:space="preserve">Sveučilište obrane i sigurnosti Dr. Franjo Tuđman</t>
  </si>
  <si>
    <t xml:space="preserve">Zrinsko-frankopanska 207a</t>
  </si>
  <si>
    <t xml:space="preserve">Luka Mihanović</t>
  </si>
  <si>
    <t xml:space="preserve">098 581565</t>
  </si>
  <si>
    <t xml:space="preserve">luka.mihanovic@sois-ft.hr</t>
  </si>
  <si>
    <t xml:space="preserve">Trg dr. Žarka dolinara 1</t>
  </si>
  <si>
    <t xml:space="preserve">Nikola Marijanović </t>
  </si>
  <si>
    <t xml:space="preserve">0994028339</t>
  </si>
  <si>
    <t xml:space="preserve">Ulica Jurja Križanića 31b, VŽ</t>
  </si>
  <si>
    <t xml:space="preserve">ulica 104 brigade 3, VŽ</t>
  </si>
  <si>
    <t xml:space="preserve">Lapadska obala Nojka Marinovića 7, Dubrovnik</t>
  </si>
  <si>
    <t xml:space="preserve">Bistrina 3, Stupa</t>
  </si>
  <si>
    <t xml:space="preserve">jedan interaktivni ne bi sad montirali na zid i jedan projektor ne, detaljnije u tablici</t>
  </si>
  <si>
    <t xml:space="preserve">Radmile Matejčić 2; 51000 Rijeka (Rektorat -kampus , Matematika, Botehnologija, Inovlab)</t>
  </si>
  <si>
    <t xml:space="preserve">Radmile Matejčić 2; 51000 Rijeka(Informatika i Fizika)</t>
  </si>
  <si>
    <t xml:space="preserve">051/265-883</t>
  </si>
  <si>
    <t xml:space="preserve">Radmile Matejčić 2; 51000 Rijeka (logopedija)</t>
  </si>
  <si>
    <t xml:space="preserve">Barbara Šestan </t>
  </si>
  <si>
    <t xml:space="preserve">051584884 </t>
  </si>
  <si>
    <t xml:space="preserve">barbara.sestan@uniri.hr</t>
  </si>
  <si>
    <t xml:space="preserve">Krešimirova 40/42, 51000 Rijeka</t>
  </si>
  <si>
    <t xml:space="preserve">Linda Petričić</t>
  </si>
  <si>
    <t xml:space="preserve">091 165 1207</t>
  </si>
  <si>
    <t xml:space="preserve">linda.petricic@fdmri.uniri.hr</t>
  </si>
  <si>
    <t xml:space="preserve">Zagrad 6; 51557 Cres (Palača Moise)</t>
  </si>
  <si>
    <t xml:space="preserve">Aleksandar Živanović</t>
  </si>
  <si>
    <t xml:space="preserve">0989616845</t>
  </si>
  <si>
    <t xml:space="preserve"> aleksandar.zivanovic@uniri.hr</t>
  </si>
  <si>
    <t xml:space="preserve">Zgrada 1, Trg I.B.Mažuranić 2</t>
  </si>
  <si>
    <t xml:space="preserve">Zgrada 2, Ivana Gundulića 20A</t>
  </si>
  <si>
    <t xml:space="preserve">Zgrada 3, Ivana Gundulića 20</t>
  </si>
  <si>
    <t xml:space="preserve">Zgrada 4, Matije Gupca 24</t>
  </si>
  <si>
    <t xml:space="preserve">Zgrada 6, Ulica 108. brigade ZNG 20</t>
  </si>
  <si>
    <t xml:space="preserve">Zgrada 7, Ulica 108. brigade ZNG 20</t>
  </si>
  <si>
    <t xml:space="preserve">Zgrada 8, Ulica 108. brigade ZNG 28</t>
  </si>
  <si>
    <t xml:space="preserve">Zgrada 9, Ulica 108. brigade ZNG 32</t>
  </si>
  <si>
    <t xml:space="preserve">Zgrada 10, Ulica 108. brigade ZNG 36</t>
  </si>
  <si>
    <t xml:space="preserve">Leida Rizvan</t>
  </si>
  <si>
    <t xml:space="preserve">0914433905</t>
  </si>
  <si>
    <t xml:space="preserve">leida.rizvan@unist.hr</t>
  </si>
  <si>
    <t xml:space="preserve">Ruđera Boškovića 33, Split</t>
  </si>
  <si>
    <t xml:space="preserve">Marko Pilić / Josip Crnjac</t>
  </si>
  <si>
    <t xml:space="preserve">0919840020 (Pilić), 0981980136 (Crnjac)</t>
  </si>
  <si>
    <t xml:space="preserve">mpilic@forenzika.unist.hr, jcrnjac@forenzika.unist.hr</t>
  </si>
  <si>
    <t xml:space="preserve">Ruđera Boškovića 35, Split</t>
  </si>
  <si>
    <t xml:space="preserve">Dalibor Bulić</t>
  </si>
  <si>
    <t xml:space="preserve">021 564815</t>
  </si>
  <si>
    <t xml:space="preserve">dalibor.bulic@fzz.unist.hr</t>
  </si>
  <si>
    <t xml:space="preserve">Hrvojeva 2</t>
  </si>
  <si>
    <t xml:space="preserve">čeka se obnova</t>
  </si>
  <si>
    <t xml:space="preserve">tražili odgodu montaže dva seta, detalji u tablici</t>
  </si>
  <si>
    <t xml:space="preserve">Kopilica 21, Split</t>
  </si>
  <si>
    <t xml:space="preserve">Marin Gudelj</t>
  </si>
  <si>
    <t xml:space="preserve">0913344165</t>
  </si>
  <si>
    <t xml:space="preserve">marin@oss.unist.hr</t>
  </si>
  <si>
    <t xml:space="preserve">Meštrovićevo šetalište 45, Split</t>
  </si>
  <si>
    <t xml:space="preserve">Prosper Radonić</t>
  </si>
  <si>
    <t xml:space="preserve">0995556003</t>
  </si>
  <si>
    <t xml:space="preserve">pradonic@medils.unist.hr</t>
  </si>
  <si>
    <t xml:space="preserve">Zrinsko Frankopanska 38, Split</t>
  </si>
  <si>
    <t xml:space="preserve">Ivan Tavra</t>
  </si>
  <si>
    <t xml:space="preserve">097 6063920</t>
  </si>
  <si>
    <t xml:space="preserve">itavra@unist.hr</t>
  </si>
  <si>
    <t xml:space="preserve">Dr. Franje Tuđmana 24, 23000 Zadar</t>
  </si>
  <si>
    <t xml:space="preserve">Ivana Delistović Duić</t>
  </si>
  <si>
    <t xml:space="preserve">098/654-710</t>
  </si>
  <si>
    <t xml:space="preserve">idelistov@unizd.hr</t>
  </si>
  <si>
    <t xml:space="preserve">Ruđera Boškovića 5, 23000 Zadar</t>
  </si>
  <si>
    <t xml:space="preserve">Splitska 1, 23000 Zadar</t>
  </si>
  <si>
    <t xml:space="preserve">Mihovila Pavlinovića 1, 23000 Zadar</t>
  </si>
  <si>
    <t xml:space="preserve">Šime Vitasovića 1, 23000 Zadar</t>
  </si>
  <si>
    <t xml:space="preserve">Tomislav Sruk</t>
  </si>
  <si>
    <t xml:space="preserve">099/544-2586</t>
  </si>
  <si>
    <t xml:space="preserve">tsruk@unizd.hr</t>
  </si>
  <si>
    <t xml:space="preserve">Siniša Vlahović </t>
  </si>
  <si>
    <t xml:space="preserve">098 268 472</t>
  </si>
  <si>
    <t xml:space="preserve">svlahovic@unizg.hr</t>
  </si>
  <si>
    <t xml:space="preserve">Marin Šperanda 
</t>
  </si>
  <si>
    <t xml:space="preserve">Borongajska 83E</t>
  </si>
  <si>
    <t xml:space="preserve">Nenad Habek</t>
  </si>
  <si>
    <t xml:space="preserve">+385911316382</t>
  </si>
  <si>
    <t xml:space="preserve">nenad.habek@tvz.hr</t>
  </si>
  <si>
    <t xml:space="preserve">Filip Samoščanec</t>
  </si>
  <si>
    <t xml:space="preserve">0993047438</t>
  </si>
  <si>
    <t xml:space="preserve">filip.samoscanec@tvz.hr</t>
  </si>
  <si>
    <t xml:space="preserve">igor.paljug@tvz.hr</t>
  </si>
  <si>
    <t xml:space="preserve">Brozova 6a</t>
  </si>
  <si>
    <t xml:space="preserve">Hrvoje Matešić</t>
  </si>
  <si>
    <t xml:space="preserve">+385992692210</t>
  </si>
  <si>
    <t xml:space="preserve">hrvoje.matesic@tvz.hr</t>
  </si>
  <si>
    <t xml:space="preserve">095 8000 204</t>
  </si>
  <si>
    <t xml:space="preserve">djani@ttf.hr</t>
  </si>
  <si>
    <t xml:space="preserve">navode da se oprema  staroj zgradi može montirati privremeno, dok im ne krene obnova - detaljnije na ShP</t>
  </si>
  <si>
    <t xml:space="preserve">sflincec@ttf.hr</t>
  </si>
  <si>
    <t xml:space="preserve">Hallerova aleja 6c, VAraždin</t>
  </si>
  <si>
    <t xml:space="preserve">Agata Vinčić</t>
  </si>
  <si>
    <t xml:space="preserve">091 531 2624</t>
  </si>
  <si>
    <t xml:space="preserve">avincic@ttf.hr</t>
  </si>
  <si>
    <t xml:space="preserve">Ul. dr. Ante Starčevića 55, 40000, Čakovec</t>
  </si>
  <si>
    <t xml:space="preserve">Igor Šalamun (Čakovec)</t>
  </si>
  <si>
    <t xml:space="preserve">091 5011 277</t>
  </si>
  <si>
    <t xml:space="preserve">igor.salamun@ufzg.hr</t>
  </si>
  <si>
    <t xml:space="preserve">44250 Petrinja, Trg Matice hrvatske 12</t>
  </si>
  <si>
    <t xml:space="preserve">Tomislav Stanković (Petrinja)</t>
  </si>
  <si>
    <t xml:space="preserve">099 2174 465</t>
  </si>
  <si>
    <t xml:space="preserve">tomislav.stankovic@ufzg.hr</t>
  </si>
  <si>
    <t xml:space="preserve">Fausta Vrančića 17A </t>
  </si>
  <si>
    <t xml:space="preserve">Veleučilište Lavoslav Ružička u Vukovaru</t>
  </si>
  <si>
    <t xml:space="preserve">Veleučilište Marko Marulić u Kninu</t>
  </si>
  <si>
    <t xml:space="preserve">Veleučilište Nikola Tesla u Gospiću</t>
  </si>
  <si>
    <t xml:space="preserve">Ozren Digula</t>
  </si>
  <si>
    <t xml:space="preserve">0914595855</t>
  </si>
  <si>
    <t xml:space="preserve">ozren.digula@zvu.hr</t>
  </si>
  <si>
    <t xml:space="preserve">Ksaver 201</t>
  </si>
  <si>
    <t xml:space="preserve">Ksaver 209</t>
  </si>
  <si>
    <t xml:space="preserve">Naziv ustanove</t>
  </si>
  <si>
    <t xml:space="preserve">Mjesto</t>
  </si>
  <si>
    <t xml:space="preserve">Broj adresa</t>
  </si>
  <si>
    <t xml:space="preserve">Ivan Šetin
Ivan Šetin</t>
  </si>
  <si>
    <t xml:space="preserve">0981839338
0981839338</t>
  </si>
  <si>
    <t xml:space="preserve">isetin@adu.hr
isetin@adu.hr</t>
  </si>
  <si>
    <t xml:space="preserve">Ilica 85
Zamenhofova 14</t>
  </si>
  <si>
    <t xml:space="preserve">Goran Hoić
Goran Hoić</t>
  </si>
  <si>
    <t xml:space="preserve">099/2550-825
099/2550-825</t>
  </si>
  <si>
    <t xml:space="preserve">goran.hoic@alu.unizg.hr
goran.hoic@alu.unizg.hr</t>
  </si>
  <si>
    <t xml:space="preserve">J. Knifera 1 ( bivša K.P. Svačića 1/f, Osijek)
Trg Sv. Trojstva 3, Osijek</t>
  </si>
  <si>
    <t xml:space="preserve">Luka Cvenić
Luka Cvenić</t>
  </si>
  <si>
    <t xml:space="preserve">099 312 6187
099 312 6187</t>
  </si>
  <si>
    <t xml:space="preserve">luka.cvenic@aukos.hr
luka.cvenic@aukos.hr</t>
  </si>
  <si>
    <t xml:space="preserve">Kačićeva 26
Frankopanska 12</t>
  </si>
  <si>
    <t xml:space="preserve">385919845267
38598302567</t>
  </si>
  <si>
    <t xml:space="preserve">mprahin@arhitekt.hr
eflatz@arhitekt.hr</t>
  </si>
  <si>
    <t xml:space="preserve">Vukovarska 39, Zagreb
Miramarska cesta 20 - dvorana Martinovka</t>
  </si>
  <si>
    <t xml:space="preserve">Denis Hernaut
Denis Hernaut</t>
  </si>
  <si>
    <t xml:space="preserve">+385 91 604 3920
+385 91 604 3920</t>
  </si>
  <si>
    <t xml:space="preserve">denis.hernaut@fer.hr
denis.hernaut@fer.hr</t>
  </si>
  <si>
    <t xml:space="preserve">Kneza Trpimira 2b, Osijek
Cara Hadrijana 10b, Osijek</t>
  </si>
  <si>
    <t xml:space="preserve">Mario Miloloza
Mario Miloloza</t>
  </si>
  <si>
    <t xml:space="preserve">0912246140
0912246140</t>
  </si>
  <si>
    <t xml:space="preserve">mario.miloloza@ferit.hr
mario.miloloza@ferit.hr</t>
  </si>
  <si>
    <t xml:space="preserve">Trg Marka Marulića 20, Zagreb, podrum
Savska cesta 41, zgrada Zagrepčanka, 2.kat</t>
  </si>
  <si>
    <t xml:space="preserve">Igor Horaček
Igor Horaček</t>
  </si>
  <si>
    <t xml:space="preserve">091/722-0837
091/722-0837</t>
  </si>
  <si>
    <t xml:space="preserve">igor@fkit.hr
igor@fkit.hr</t>
  </si>
  <si>
    <t xml:space="preserve">Mario Harjač
Mario Harjač</t>
  </si>
  <si>
    <t xml:space="preserve">097 610 1011
097 610 1011</t>
  </si>
  <si>
    <t xml:space="preserve">maharjac@foi.unizg.hr
maharjac@foi.unizg.hr</t>
  </si>
  <si>
    <t xml:space="preserve">Vukelićeva 4
Borongajska cesta 83a
Borongajska cesta 83f</t>
  </si>
  <si>
    <t xml:space="preserve">Miroslav Puljiz
Miroslav Puljiz
Miroslav Puljiz</t>
  </si>
  <si>
    <t xml:space="preserve">385992529898
385992529898
385992529898</t>
  </si>
  <si>
    <t xml:space="preserve">mpuljiz@fpz.unizg.hr
mpuljiz@fpz.unizg.hr
mpuljiz@fpz.unizg.hr</t>
  </si>
  <si>
    <t xml:space="preserve">Ivana Lučića 5 (istočna zgrada)
Ivana Lučića 1 (sjeverna zgrada)</t>
  </si>
  <si>
    <t xml:space="preserve">Andrija Levanić
Andrija Levanić</t>
  </si>
  <si>
    <t xml:space="preserve">091 6168 288
091 6168 288</t>
  </si>
  <si>
    <t xml:space="preserve">andrija.levanic@fsb.unizg.hr
andrija.levanic@fsb.unizg.hr</t>
  </si>
  <si>
    <t xml:space="preserve">Crkvena 21
Bana J. Jelačića 19A, Orahovica
Cara Hadrijana 10E</t>
  </si>
  <si>
    <t xml:space="preserve">Andrija Ljubičić
Rade Lukić
Andrija Ljubičić</t>
  </si>
  <si>
    <t xml:space="preserve">091 2241 423
091 2241 511
091 2241 423</t>
  </si>
  <si>
    <t xml:space="preserve">andrija.ljubicic@fdmz.hr
rade.lukic@fdmz.hr
andrija.ljubicic@fdmz.hr</t>
  </si>
  <si>
    <t xml:space="preserve">Ante Kovačića 1
Domagojeva 2
Schrottova 39</t>
  </si>
  <si>
    <t xml:space="preserve">Mate Galić
Mate Galić
Mate Galić</t>
  </si>
  <si>
    <t xml:space="preserve">098806500
098806500
098806500</t>
  </si>
  <si>
    <t xml:space="preserve">mate.galic@pharma.unizg.hr
mate.galic@pharma.unizg.hr
mate.galic@pharma.unizg.hr</t>
  </si>
  <si>
    <t xml:space="preserve">Boris Beker
Boris Beker</t>
  </si>
  <si>
    <t xml:space="preserve">098/211-765
098/211-765</t>
  </si>
  <si>
    <t xml:space="preserve">bbeker@ffzg.hr
bbeker@ffzg.hr</t>
  </si>
  <si>
    <t xml:space="preserve">Drinska 16a, 31000 Osijek
Woodrova Wilsona 2, 31000 Osijek, Drinska 16a, 31000 Osijek</t>
  </si>
  <si>
    <t xml:space="preserve">Matija Karapetrić
Matija Karapetrić</t>
  </si>
  <si>
    <t xml:space="preserve">0915053478
0915053478</t>
  </si>
  <si>
    <t xml:space="preserve">matija.karapetric@kifos.hr
matija.karapetric@kifos.hr</t>
  </si>
  <si>
    <t xml:space="preserve">Ante Krolo
Ante Krolo</t>
  </si>
  <si>
    <t xml:space="preserve">+385 95 903 76 48
+385 95 903 76 48</t>
  </si>
  <si>
    <t xml:space="preserve">ante@kifst.hr
ante@kifst.hr</t>
  </si>
  <si>
    <t xml:space="preserve">Rijeka, B. Branchetta 20
KBCRI lokacija Rijeka</t>
  </si>
  <si>
    <t xml:space="preserve">Teo Brusić
Teo Brusić</t>
  </si>
  <si>
    <t xml:space="preserve">098/338-182
098/338-182</t>
  </si>
  <si>
    <t xml:space="preserve">teo.brusic@medri.uniri.hr
teo.brusic@medri.uniri.hr</t>
  </si>
  <si>
    <t xml:space="preserve">Šalata 3
Šalata 2</t>
  </si>
  <si>
    <t xml:space="preserve">Mirza Žižak
Mirza Žižak</t>
  </si>
  <si>
    <t xml:space="preserve">091-595-2783
091-595-2783</t>
  </si>
  <si>
    <t xml:space="preserve">mirza.zizak@mef.hr
mirza.zizak@mef.hr</t>
  </si>
  <si>
    <t xml:space="preserve">Željko Hrebak
Željko Hrebak</t>
  </si>
  <si>
    <t xml:space="preserve">098710398
098710398</t>
  </si>
  <si>
    <t xml:space="preserve">zhrebak@mev.hr
zhrebak@mev.hr</t>
  </si>
  <si>
    <t xml:space="preserve">Stjepana Radića 13
Stjepana Radića 17
Trg Svetog Trojstva 3</t>
  </si>
  <si>
    <t xml:space="preserve">Bruno Bakarić
Bruno Bakarić
Bruno Bakarić</t>
  </si>
  <si>
    <t xml:space="preserve">031/224-508
031/224-508
031/224-508</t>
  </si>
  <si>
    <t xml:space="preserve">bbakaric@pravos.hr
bbakaric@pravos.hr
bbakaric@pravos.hr</t>
  </si>
  <si>
    <t xml:space="preserve">Trg Republike Hrvatske 3
PMF, Odjel za geografiju, Marulićev trg 19 Zagreb</t>
  </si>
  <si>
    <t xml:space="preserve">Krunoslav Fučkor
Krunoslav Fučkor</t>
  </si>
  <si>
    <t xml:space="preserve">091 522 0721
091 522 0721</t>
  </si>
  <si>
    <t xml:space="preserve">krunoslav.fuckor@pravo.hr
krunoslav.fuckor@pravo.hr</t>
  </si>
  <si>
    <t xml:space="preserve">Horvatovac 102A
Trg Marka Marulića 19/II
Rooseveltov trg 6
Bijenička cesta 30</t>
  </si>
  <si>
    <t xml:space="preserve">Davor Pintar
Mario Dakić
Igor Surla
Krunoslav Komugović</t>
  </si>
  <si>
    <t xml:space="preserve">385998227236
385912524419
385924385009
385915058109</t>
  </si>
  <si>
    <t xml:space="preserve">davor.pintar@dekanat.pmf.hr
mdakic@geog.pmf.hr
igor.surla@pmf.hr
krunoslav.komugovic@pmf.hr</t>
  </si>
  <si>
    <t xml:space="preserve">Trg. Sv. Trojstva 3
Trg Ljudevita Gaja 6
Cara Hadrijana 8/A</t>
  </si>
  <si>
    <t xml:space="preserve">Alda Negrija 6
Preradovićeva 1
Preradovićeva 30
Zagrebačka 30
Rovinjska 14</t>
  </si>
  <si>
    <t xml:space="preserve">Dario Kukuljan
Dario Kukuljan
Dario Kukuljan
Dario Kukuljan
Dario Kukuljan</t>
  </si>
  <si>
    <t xml:space="preserve">0993777446
0993777446
0993777446
0993777446
0993777446</t>
  </si>
  <si>
    <t xml:space="preserve">dkukuljan@unipu.hr
dkukuljan@unipu.hr
dkukuljan@unipu.hr
dkukuljan@unipu.hr
dkukuljan@unipu.hr</t>
  </si>
  <si>
    <t xml:space="preserve">Ilica 256B, obj. 58
Zrinsko-frankopanska 207a</t>
  </si>
  <si>
    <t xml:space="preserve">Predrag Šinko
Luka Mihanović</t>
  </si>
  <si>
    <t xml:space="preserve">095/205-2570
098 581565</t>
  </si>
  <si>
    <t xml:space="preserve">predrag.sinko@sois-ft.hr
luka.mihanovic@sois-ft.hr</t>
  </si>
  <si>
    <t xml:space="preserve">Trg dr. Žarka dolinara 1
Ulica Jurja Križanića 31b, VŽ
ulica 104 brigade 3, VŽ</t>
  </si>
  <si>
    <t xml:space="preserve">Nikola Marijanović
Branimir Kolman
Nikola Marijanović</t>
  </si>
  <si>
    <t xml:space="preserve">0994028339
091 244 0130
0994028339</t>
  </si>
  <si>
    <t xml:space="preserve">nmarijanovic@unin.hr
bkolman@unin.hr
nmarijanovic@unin.hr</t>
  </si>
  <si>
    <t xml:space="preserve">Branitelja Dubrovnika 41, Dubrovnik
Ćira Carića 4, Dubrovnik
Lapadska obala Nojka Marinovića 7, Dubrovnik
Bistrina 3, Stupa</t>
  </si>
  <si>
    <t xml:space="preserve">Stjepo Hladilo
Stjepo Hladilo
Stjepo Hladilo
Stjepo Hladilo</t>
  </si>
  <si>
    <t xml:space="preserve">0919322586
0919322586
0919322586
0919322586</t>
  </si>
  <si>
    <t xml:space="preserve">stjepo.hladilo@unidu.hr
stjepo.hladilo@unidu.hr
stjepo.hladilo@unidu.hr
stjepo.hladilo@unidu.hr</t>
  </si>
  <si>
    <t xml:space="preserve">Trg braće Mažuranića 10; 51000 Rijeka
Radmile Matejčić 2; 51000 Rijeka (Rektorat -kampus , Matematika, Botehnologija, Inovlab)
Radmile Matejčić 2; 51000 Rijeka(Informatika i Fizika)
Radmile Matejčić 2; 51000 Rijeka (logopedija)
Krešimirova 40/42, 51000 Rijeka
Zagrad 6; 51557 Cres (Palača Moise)</t>
  </si>
  <si>
    <t xml:space="preserve">Jasenko Mandura
Marko Roža
Danka Jurjević
Barbara Šestan
Linda Petričić
Aleksandar Živanović</t>
  </si>
  <si>
    <t xml:space="preserve">
051/265-873
051/265-883
051584884
091 165 1207
0989616845</t>
  </si>
  <si>
    <t xml:space="preserve">jasenko.mandura@uniri.hr
marko.roza@uniri.hr
danka.jurjevic@uniri.hr
barbara.sestan@uniri.hr
linda.petricic@fdmri.uniri.hr
aleksandar.zivanovic@uniri.hr</t>
  </si>
  <si>
    <t xml:space="preserve">Zgrada 1, Trg I.B.Mažuranić 2
Zgrada 2, Ivana Gundulića 20A
Zgrada 3, Ivana Gundulića 20
Zgrada 4, Matije Gupca 24
Zgrada 6, Ulica 108. brigade ZNG 20
Zgrada 7, Ulica 108. brigade ZNG 20
Zgrada 8, Ulica 108. brigade ZNG 28
Zgrada 9, Ulica 108. brigade ZNG 32
Zgrada 10, Ulica 108. brigade ZNG 36</t>
  </si>
  <si>
    <t xml:space="preserve">Damir Lulić
Damir Lulić
Damir Lulić
Damir Lulić
Damir Lulić
Damir Lulić
Damir Lulić
Damir Lulić
Damir Lulić</t>
  </si>
  <si>
    <t xml:space="preserve">0981771615
0981771615
0981771615
0981771615
0981771615
0981771615
0981771615
0981771615
0981771615</t>
  </si>
  <si>
    <t xml:space="preserve">dlulic@unisb.hr
dlulic@unisb.hr
dlulic@unisb.hr
dlulic@unisb.hr
dlulic@unisb.hr
dlulic@unisb.hr
dlulic@unisb.hr
dlulic@unisb.hr
dlulic@unisb.hr</t>
  </si>
  <si>
    <t xml:space="preserve">Ruđera Boškovića 31, Split
Ruđera Boškovića 33, Split
Ruđera Boškovića 35, Split
Ruđera Boškovića 37, Split
Hrvojeva 2
Kopilica 21, Split
Meštrovićevo šetalište 45, Split
Zrinsko Frankopanska 38, Split
Poljana kraljice Jelene 1, Split
Franjevački put 1, Makarska</t>
  </si>
  <si>
    <t xml:space="preserve">Leida Rizvan
Marko Pilić / Josip Crnjac
Dalibor Bulić
Maja Krželj
čeka se obnova
Marin Gudelj
Prosper Radonić
Ivan Tavra
Petra Musap
Mirko Šalinović</t>
  </si>
  <si>
    <t xml:space="preserve">0914433905
0919840020 (Pilić), 0981980136 (Crnjac)
021 564815
0911556771
čeka se obnova
0913344165
0995556003
097 6063920
0991639750
O98 9895758</t>
  </si>
  <si>
    <t xml:space="preserve">leida.rizvan@unist.hr
mpilic@forenzika.unist.hr, jcrnjac@forenzika.unist.hr
dalibor.bulic@fzz.unist.hr
maja.krzelj@more.unist.hr
čeka se obnova
marin@oss.unist.hr
pradonic@medils.unist.hr
itavra@unist.hr
petra.musap@unist.hr
msalinovic@unist.hr</t>
  </si>
  <si>
    <t xml:space="preserve">Obala kralja Petra Krešimira IV. Br. 2, 23000 Zadar
Dr. Franje Tuđmana 24, 23000 Zadar
Dr. A. Starčevića 12, 53000 Gospić
Trg kneza Višeslava 9, 23000 Zadar
Ruđera Boškovića 5, 23000 Zadar
Splitska 1, 23000 Zadar
Mihovila Pavlinovića 1, 23000 Zadar
Šime Vitasovića 1, 23000 Zadar</t>
  </si>
  <si>
    <t xml:space="preserve">Ivan Nimac
Ivana Delistović Duić
Zvonimir Adamović
Krešimir Pinjatela
Ivan Nimac
Ivana Delistović Duić
Ivan Nimac
Tomislav Sruk</t>
  </si>
  <si>
    <t xml:space="preserve">095/826-5888
098/654-710
098/445-233
091/558-1986
095/826-5888
098/654-710
095/826-5888
099/544-2586</t>
  </si>
  <si>
    <t xml:space="preserve">inimac@unizd.hr
idelistov@unizd.hr
zadamovic@unizd.hr
kpinjatel22@unizd.hr
zadamovic@unizd.hr
idelistov@unizd.hr
inimac@unizd.hr
tsruk@unizd.hr</t>
  </si>
  <si>
    <t xml:space="preserve">Vrbik 8
Borongajska 83E
Konavoska 2
Holjevčeva 15
Brozova 6a</t>
  </si>
  <si>
    <t xml:space="preserve">Ivan Rajković
Nenad Habek
Filip Samoščanec
Igor Paljug
Hrvoje Matešić</t>
  </si>
  <si>
    <t xml:space="preserve">+385998153651
+385911316382
0993047438
+385 95 245 6555
+385992692210</t>
  </si>
  <si>
    <t xml:space="preserve">ivan.rajkovic@tvz.hr
nenad.habek@tvz.hr
filip.samoscanec@tvz.hr
igor.paljug@tvz.hr
hrvoje.matesic@tvz.hr</t>
  </si>
  <si>
    <t xml:space="preserve">Prilaz baruna Filipovića 28a
Savska 16/9
Hallerova aleja 6c</t>
  </si>
  <si>
    <t xml:space="preserve">Srđan Cvetanović
Sandra Flinčec Grgac
Agata Vinčić</t>
  </si>
  <si>
    <t xml:space="preserve">095 8000 204
091 644 4200
091 531 2624</t>
  </si>
  <si>
    <t xml:space="preserve">djani@ttf.hr
sflincec@ttf.hr
avincic@ttf.hr</t>
  </si>
  <si>
    <t xml:space="preserve">Zagrebačka 3
Glagoljaška 18a, Gripe
Fausta Vrančića 19
Fausta Vrančića 17A</t>
  </si>
  <si>
    <t xml:space="preserve">Branimir Džaja
Branimir Džaja
Branimir Džaja
Branimir Džaja</t>
  </si>
  <si>
    <t xml:space="preserve">091-2600324
091-2600324
091-2600324
091-2600324</t>
  </si>
  <si>
    <t xml:space="preserve">branimir.dzaja@umas.hr
branimir.dzaja@umas.hr
branimir.dzaja@umas.hr
branimir.dzaja@umas.hr</t>
  </si>
  <si>
    <t xml:space="preserve">Savska cesta 77, 10000 Zagreb
Ul. dr. Ante Starčevića 55, 40000, Čakovec
44250 Petrinja, Trg Matice hrvatske 12</t>
  </si>
  <si>
    <t xml:space="preserve">Krešimirova 20, Knin
Krešimirova 30, Knin</t>
  </si>
  <si>
    <t xml:space="preserve">Marko Meštrović
Marko Meštrović</t>
  </si>
  <si>
    <t xml:space="preserve">022/664-451
022/664-451</t>
  </si>
  <si>
    <t xml:space="preserve">mmestrovic@veleknin.hr
mmestrovic@veleknin.hr</t>
  </si>
  <si>
    <t xml:space="preserve">Ivana Meštrovića 10
J. J. Strossmayera 9</t>
  </si>
  <si>
    <t xml:space="preserve">Marko Štedul
Marko Štedul</t>
  </si>
  <si>
    <t xml:space="preserve">098-9919-742
098-9919-742</t>
  </si>
  <si>
    <t xml:space="preserve">marko.stedul@vuka.hr
marko.stedul@vuka.hr</t>
  </si>
  <si>
    <t xml:space="preserve">Mlinarska cesta 38
Ksaver 201
Ksaver 209</t>
  </si>
  <si>
    <t xml:space="preserve">Ozren Digula
Ozren Digula
Ozren Digula</t>
  </si>
  <si>
    <t xml:space="preserve">0914595855
0914595855
0914595855</t>
  </si>
  <si>
    <t xml:space="preserve">ozren.digula@zvu.hr
ozren.digula@zvu.hr
ozren.digula@zvu.hr</t>
  </si>
</sst>
</file>

<file path=xl/styles.xml><?xml version="1.0" encoding="utf-8"?>
<styleSheet xmlns="http://schemas.openxmlformats.org/spreadsheetml/2006/main">
  <numFmts count="8">
    <numFmt numFmtId="164" formatCode="General"/>
    <numFmt numFmtId="165" formatCode="m/d/yyyy"/>
    <numFmt numFmtId="166" formatCode="dd/mm/yy/;@"/>
    <numFmt numFmtId="167" formatCode="0"/>
    <numFmt numFmtId="168" formatCode="d\-mmm"/>
    <numFmt numFmtId="169" formatCode="0.00%"/>
    <numFmt numFmtId="170" formatCode="@"/>
    <numFmt numFmtId="171" formatCode="General"/>
  </numFmts>
  <fonts count="23">
    <font>
      <sz val="11"/>
      <color rgb="FF000000"/>
      <name val="Aptos Narrow"/>
      <family val="2"/>
      <charset val="238"/>
    </font>
    <font>
      <sz val="10"/>
      <name val="Arial"/>
      <family val="0"/>
    </font>
    <font>
      <sz val="10"/>
      <name val="Arial"/>
      <family val="0"/>
    </font>
    <font>
      <sz val="10"/>
      <name val="Arial"/>
      <family val="0"/>
    </font>
    <font>
      <u val="single"/>
      <sz val="11"/>
      <color rgb="FF467886"/>
      <name val="Aptos Narrow"/>
      <family val="2"/>
      <charset val="1"/>
    </font>
    <font>
      <sz val="11"/>
      <color rgb="FF000000"/>
      <name val="Aptos Narrow"/>
      <family val="2"/>
      <charset val="1"/>
    </font>
    <font>
      <b val="true"/>
      <sz val="11"/>
      <color rgb="FF000000"/>
      <name val="Aptos Narrow"/>
      <family val="2"/>
      <charset val="238"/>
    </font>
    <font>
      <b val="true"/>
      <sz val="11"/>
      <color rgb="FF000000"/>
      <name val="Aptos Narrow"/>
      <family val="2"/>
      <charset val="1"/>
    </font>
    <font>
      <sz val="11"/>
      <name val="Aptos Narrow"/>
      <family val="2"/>
      <charset val="238"/>
    </font>
    <font>
      <b val="true"/>
      <sz val="14"/>
      <color rgb="FFFFFFFF"/>
      <name val="Aptos Narrow"/>
      <family val="2"/>
      <charset val="238"/>
    </font>
    <font>
      <b val="true"/>
      <sz val="14"/>
      <color rgb="FFFFFFFF"/>
      <name val="Arial"/>
      <family val="2"/>
      <charset val="238"/>
    </font>
    <font>
      <b val="true"/>
      <i val="true"/>
      <sz val="14"/>
      <color rgb="FFFFFFFF"/>
      <name val="Arial"/>
      <family val="2"/>
      <charset val="238"/>
    </font>
    <font>
      <b val="true"/>
      <sz val="11"/>
      <color rgb="FFFA7D00"/>
      <name val="Aptos Narrow"/>
      <family val="2"/>
      <charset val="238"/>
    </font>
    <font>
      <b val="true"/>
      <sz val="11"/>
      <color rgb="FF000000"/>
      <name val="Arial"/>
      <family val="2"/>
      <charset val="238"/>
    </font>
    <font>
      <sz val="11"/>
      <color rgb="FF000000"/>
      <name val="Arial"/>
      <family val="2"/>
      <charset val="238"/>
    </font>
    <font>
      <sz val="11"/>
      <name val="Aptos Narrow"/>
      <family val="2"/>
      <charset val="1"/>
    </font>
    <font>
      <sz val="10"/>
      <color rgb="FF000000"/>
      <name val="Arial"/>
      <family val="2"/>
      <charset val="238"/>
    </font>
    <font>
      <sz val="10"/>
      <color rgb="FF000000"/>
      <name val="Aptos Narrow"/>
      <family val="2"/>
      <charset val="1"/>
    </font>
    <font>
      <sz val="11"/>
      <color rgb="FF0000FF"/>
      <name val="Aptos Narrow"/>
      <family val="2"/>
      <charset val="1"/>
    </font>
    <font>
      <u val="single"/>
      <sz val="11"/>
      <color rgb="FF467886"/>
      <name val="Aptos Narrow"/>
      <family val="2"/>
      <charset val="238"/>
    </font>
    <font>
      <b val="true"/>
      <sz val="11"/>
      <name val="Aptos Narrow"/>
      <family val="2"/>
      <charset val="238"/>
    </font>
    <font>
      <b val="true"/>
      <sz val="11"/>
      <name val="Aptos Narrow"/>
      <family val="2"/>
      <charset val="1"/>
    </font>
    <font>
      <b val="true"/>
      <sz val="11"/>
      <color rgb="FFFFFFFF"/>
      <name val="Aptos Narrow"/>
      <family val="2"/>
      <charset val="1"/>
    </font>
  </fonts>
  <fills count="10">
    <fill>
      <patternFill patternType="none"/>
    </fill>
    <fill>
      <patternFill patternType="gray125"/>
    </fill>
    <fill>
      <patternFill patternType="solid">
        <fgColor rgb="FFF2F2F2"/>
        <bgColor rgb="FFFFFFFF"/>
      </patternFill>
    </fill>
    <fill>
      <patternFill patternType="solid">
        <fgColor rgb="FFFFC000"/>
        <bgColor rgb="FFFF9900"/>
      </patternFill>
    </fill>
    <fill>
      <patternFill patternType="solid">
        <fgColor rgb="FF156082"/>
        <bgColor rgb="FF1F4E78"/>
      </patternFill>
    </fill>
    <fill>
      <patternFill patternType="solid">
        <fgColor rgb="FFCAEEFB"/>
        <bgColor rgb="FFD9EAF7"/>
      </patternFill>
    </fill>
    <fill>
      <patternFill patternType="solid">
        <fgColor rgb="FFFFE8B9"/>
        <bgColor rgb="FFFFF2CC"/>
      </patternFill>
    </fill>
    <fill>
      <patternFill patternType="solid">
        <fgColor rgb="FFD9EAF7"/>
        <bgColor rgb="FFCAEEFB"/>
      </patternFill>
    </fill>
    <fill>
      <patternFill patternType="solid">
        <fgColor rgb="FF1F4E78"/>
        <bgColor rgb="FF156082"/>
      </patternFill>
    </fill>
    <fill>
      <patternFill patternType="solid">
        <fgColor rgb="FFFFF2CC"/>
        <bgColor rgb="FFFFE8B9"/>
      </patternFill>
    </fill>
  </fills>
  <borders count="34">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style="thin"/>
      <top style="medium"/>
      <bottom/>
      <diagonal/>
    </border>
    <border diagonalUp="false" diagonalDown="false">
      <left style="thin"/>
      <right style="thin"/>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thin"/>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style="thin"/>
      <right style="medium"/>
      <top style="thin"/>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medium"/>
      <top style="thin"/>
      <botto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style="thin"/>
      <right style="medium"/>
      <top/>
      <bottom style="thin"/>
      <diagonal/>
    </border>
    <border diagonalUp="false" diagonalDown="false">
      <left style="medium"/>
      <right style="thin"/>
      <top/>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style="medium"/>
      <top/>
      <bottom/>
      <diagonal/>
    </border>
    <border diagonalUp="false" diagonalDown="false">
      <left style="medium"/>
      <right/>
      <top style="thin"/>
      <bottom style="medium"/>
      <diagonal/>
    </border>
    <border diagonalUp="false" diagonalDown="false">
      <left/>
      <right style="thin"/>
      <top style="thin"/>
      <bottom style="medium"/>
      <diagonal/>
    </border>
    <border diagonalUp="false" diagonalDown="false">
      <left style="thin"/>
      <right/>
      <top style="thin"/>
      <bottom style="medium"/>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right style="thin"/>
      <top style="thin"/>
      <bottom style="thin"/>
      <diagonal/>
    </border>
    <border diagonalUp="false" diagonalDown="false">
      <left/>
      <right/>
      <top/>
      <bottom style="thin">
        <color rgb="FFD9D9D9"/>
      </bottom>
      <diagonal/>
    </border>
  </borders>
  <cellStyleXfs count="3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9"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6" fillId="0" borderId="0" applyFont="true" applyBorder="false" applyAlignment="true" applyProtection="false">
      <alignment horizontal="left"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12" fillId="2" borderId="1" applyFont="true" applyBorder="true" applyAlignment="true" applyProtection="true">
      <alignment horizontal="general" vertical="bottom" textRotation="0" wrapText="false" indent="0" shrinkToFit="false"/>
      <protection locked="true" hidden="false"/>
    </xf>
  </cellStyleXfs>
  <cellXfs count="133">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true" indent="0" shrinkToFit="false"/>
      <protection locked="true" hidden="false"/>
    </xf>
    <xf numFmtId="164" fontId="0" fillId="3" borderId="0" xfId="0" applyFont="false" applyBorder="false" applyAlignment="true" applyProtection="false">
      <alignment horizontal="general" vertical="bottom" textRotation="0" wrapText="tru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0" fillId="0" borderId="0" xfId="24" applyFont="true" applyBorder="fals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3" xfId="25" applyFont="true" applyBorder="true" applyAlignment="false" applyProtection="false">
      <alignment horizontal="general" vertical="bottom" textRotation="0" wrapText="false" indent="0" shrinkToFit="false"/>
      <protection locked="true" hidden="false"/>
    </xf>
    <xf numFmtId="164" fontId="0" fillId="0" borderId="4" xfId="25" applyFont="false" applyBorder="true" applyAlignment="false" applyProtection="false">
      <alignment horizontal="general" vertical="bottom" textRotation="0" wrapText="false" indent="0" shrinkToFit="false"/>
      <protection locked="true" hidden="false"/>
    </xf>
    <xf numFmtId="164" fontId="0" fillId="0" borderId="5" xfId="24" applyFont="true" applyBorder="true" applyAlignment="false" applyProtection="false">
      <alignment horizontal="general" vertical="bottom" textRotation="0" wrapText="false" indent="0" shrinkToFit="false"/>
      <protection locked="true" hidden="false"/>
    </xf>
    <xf numFmtId="164" fontId="0" fillId="0" borderId="6" xfId="25" applyFont="false" applyBorder="true" applyAlignment="false" applyProtection="false">
      <alignment horizontal="general" vertical="bottom" textRotation="0" wrapText="false" indent="0" shrinkToFit="false"/>
      <protection locked="true" hidden="false"/>
    </xf>
    <xf numFmtId="164" fontId="0" fillId="0" borderId="7" xfId="25" applyFont="false" applyBorder="true" applyAlignment="false" applyProtection="false">
      <alignment horizontal="general" vertical="bottom" textRotation="0" wrapText="false" indent="0" shrinkToFit="false"/>
      <protection locked="true" hidden="false"/>
    </xf>
    <xf numFmtId="164" fontId="0" fillId="0" borderId="8" xfId="24" applyFont="true" applyBorder="true" applyAlignment="false" applyProtection="false">
      <alignment horizontal="general" vertical="bottom" textRotation="0" wrapText="false" indent="0" shrinkToFit="false"/>
      <protection locked="true" hidden="false"/>
    </xf>
    <xf numFmtId="164" fontId="0" fillId="0" borderId="2" xfId="24" applyFont="true" applyBorder="true" applyAlignment="false" applyProtection="false">
      <alignment horizontal="general" vertical="bottom" textRotation="0" wrapText="false" indent="0" shrinkToFit="false"/>
      <protection locked="true" hidden="false"/>
    </xf>
    <xf numFmtId="166" fontId="0" fillId="0" borderId="9" xfId="27" applyFont="false" applyBorder="true" applyAlignment="false" applyProtection="false">
      <alignment horizontal="left" vertical="bottom" textRotation="0" wrapText="false" indent="0" shrinkToFit="false"/>
      <protection locked="true" hidden="false"/>
    </xf>
    <xf numFmtId="166" fontId="0" fillId="0" borderId="10" xfId="27" applyFont="false" applyBorder="true" applyAlignment="false" applyProtection="false">
      <alignment horizontal="left" vertical="bottom" textRotation="0" wrapText="false" indent="0" shrinkToFit="false"/>
      <protection locked="true" hidden="false"/>
    </xf>
    <xf numFmtId="166" fontId="6" fillId="0" borderId="11" xfId="28" applyFont="true" applyBorder="true" applyAlignment="false" applyProtection="false">
      <alignment horizontal="left" vertical="bottom" textRotation="0" wrapText="false" indent="0" shrinkToFit="false"/>
      <protection locked="true" hidden="false"/>
    </xf>
    <xf numFmtId="164" fontId="0" fillId="0" borderId="12" xfId="27" applyFont="true" applyBorder="true" applyAlignment="false" applyProtection="false">
      <alignment horizontal="left" vertical="bottom" textRotation="0" wrapText="false" indent="0" shrinkToFit="false"/>
      <protection locked="true" hidden="false"/>
    </xf>
    <xf numFmtId="164" fontId="0" fillId="0" borderId="13" xfId="27" applyFont="false" applyBorder="true" applyAlignment="false" applyProtection="false">
      <alignment horizontal="left" vertical="bottom" textRotation="0" wrapText="false" indent="0" shrinkToFit="false"/>
      <protection locked="true" hidden="false"/>
    </xf>
    <xf numFmtId="164" fontId="0" fillId="0" borderId="14" xfId="26" applyFont="false" applyBorder="true" applyAlignment="false" applyProtection="false">
      <alignment horizontal="general" vertical="bottom" textRotation="0" wrapText="false" indent="0" shrinkToFit="false"/>
      <protection locked="true" hidden="false"/>
    </xf>
    <xf numFmtId="167" fontId="0" fillId="0" borderId="15" xfId="26" applyFont="false" applyBorder="true" applyAlignment="false" applyProtection="false">
      <alignment horizontal="general" vertical="bottom" textRotation="0" wrapText="false" indent="0" shrinkToFit="false"/>
      <protection locked="true" hidden="false"/>
    </xf>
    <xf numFmtId="164" fontId="0" fillId="0" borderId="15" xfId="26" applyFont="false" applyBorder="true" applyAlignment="false" applyProtection="false">
      <alignment horizontal="general" vertical="bottom" textRotation="0" wrapText="false" indent="0" shrinkToFit="false"/>
      <protection locked="true" hidden="false"/>
    </xf>
    <xf numFmtId="164" fontId="0" fillId="0" borderId="16" xfId="26" applyFont="false" applyBorder="true" applyAlignment="false" applyProtection="false">
      <alignment horizontal="general" vertical="bottom" textRotation="0" wrapText="false" indent="0" shrinkToFit="false"/>
      <protection locked="true" hidden="false"/>
    </xf>
    <xf numFmtId="167" fontId="6" fillId="0" borderId="17" xfId="29" applyFont="false" applyBorder="true" applyAlignment="false" applyProtection="false">
      <alignment horizontal="general" vertical="bottom" textRotation="0" wrapText="false" indent="0" shrinkToFit="false"/>
      <protection locked="true" hidden="false"/>
    </xf>
    <xf numFmtId="164" fontId="0" fillId="0" borderId="18" xfId="27" applyFont="false" applyBorder="true" applyAlignment="false" applyProtection="false">
      <alignment horizontal="left" vertical="bottom" textRotation="0" wrapText="false" indent="0" shrinkToFit="false"/>
      <protection locked="true" hidden="false"/>
    </xf>
    <xf numFmtId="164" fontId="0" fillId="0" borderId="19" xfId="27" applyFont="true" applyBorder="true" applyAlignment="false" applyProtection="false">
      <alignment horizontal="left" vertical="bottom" textRotation="0" wrapText="false" indent="0" shrinkToFit="false"/>
      <protection locked="true" hidden="false"/>
    </xf>
    <xf numFmtId="164" fontId="0" fillId="0" borderId="9" xfId="26" applyFont="false" applyBorder="true" applyAlignment="false" applyProtection="false">
      <alignment horizontal="general" vertical="bottom" textRotation="0" wrapText="false" indent="0" shrinkToFit="false"/>
      <protection locked="true" hidden="false"/>
    </xf>
    <xf numFmtId="167" fontId="0" fillId="0" borderId="10" xfId="26" applyFont="false" applyBorder="true" applyAlignment="false" applyProtection="false">
      <alignment horizontal="general" vertical="bottom" textRotation="0" wrapText="false" indent="0" shrinkToFit="false"/>
      <protection locked="true" hidden="false"/>
    </xf>
    <xf numFmtId="164" fontId="0" fillId="0" borderId="10" xfId="26" applyFont="false" applyBorder="true" applyAlignment="false" applyProtection="false">
      <alignment horizontal="general" vertical="bottom" textRotation="0" wrapText="false" indent="0" shrinkToFit="false"/>
      <protection locked="true" hidden="false"/>
    </xf>
    <xf numFmtId="164" fontId="0" fillId="0" borderId="20" xfId="26" applyFont="false" applyBorder="true" applyAlignment="false" applyProtection="false">
      <alignment horizontal="general" vertical="bottom" textRotation="0" wrapText="false" indent="0" shrinkToFit="false"/>
      <protection locked="true" hidden="false"/>
    </xf>
    <xf numFmtId="167" fontId="6" fillId="0" borderId="21" xfId="29" applyFont="false" applyBorder="true" applyAlignment="false" applyProtection="false">
      <alignment horizontal="general" vertical="bottom" textRotation="0" wrapText="false" indent="0" shrinkToFit="false"/>
      <protection locked="true" hidden="false"/>
    </xf>
    <xf numFmtId="167" fontId="0" fillId="0" borderId="14" xfId="26" applyFont="false" applyBorder="true" applyAlignment="false" applyProtection="false">
      <alignment horizontal="general" vertical="bottom" textRotation="0" wrapText="false" indent="0" shrinkToFit="false"/>
      <protection locked="true" hidden="false"/>
    </xf>
    <xf numFmtId="167" fontId="0" fillId="0" borderId="16" xfId="26" applyFont="false" applyBorder="true" applyAlignment="false" applyProtection="false">
      <alignment horizontal="general" vertical="bottom" textRotation="0" wrapText="false" indent="0" shrinkToFit="false"/>
      <protection locked="true" hidden="false"/>
    </xf>
    <xf numFmtId="164" fontId="0" fillId="0" borderId="22" xfId="27" applyFont="false" applyBorder="true" applyAlignment="false" applyProtection="false">
      <alignment horizontal="left" vertical="bottom" textRotation="0" wrapText="false" indent="0" shrinkToFit="false"/>
      <protection locked="true" hidden="false"/>
    </xf>
    <xf numFmtId="164" fontId="0" fillId="0" borderId="23" xfId="27" applyFont="true" applyBorder="true" applyAlignment="false" applyProtection="false">
      <alignment horizontal="left" vertical="bottom" textRotation="0" wrapText="false" indent="0" shrinkToFit="false"/>
      <protection locked="true" hidden="false"/>
    </xf>
    <xf numFmtId="164" fontId="0" fillId="0" borderId="24" xfId="26" applyFont="false" applyBorder="true" applyAlignment="false" applyProtection="false">
      <alignment horizontal="general" vertical="bottom" textRotation="0" wrapText="false" indent="0" shrinkToFit="false"/>
      <protection locked="true" hidden="false"/>
    </xf>
    <xf numFmtId="164" fontId="0" fillId="0" borderId="0" xfId="26" applyFont="false" applyBorder="false" applyAlignment="false" applyProtection="false">
      <alignment horizontal="general" vertical="bottom" textRotation="0" wrapText="false" indent="0" shrinkToFit="false"/>
      <protection locked="true" hidden="false"/>
    </xf>
    <xf numFmtId="167" fontId="0" fillId="0" borderId="0" xfId="26" applyFont="false" applyBorder="false" applyAlignment="false" applyProtection="false">
      <alignment horizontal="general" vertical="bottom" textRotation="0" wrapText="false" indent="0" shrinkToFit="false"/>
      <protection locked="true" hidden="false"/>
    </xf>
    <xf numFmtId="164" fontId="0" fillId="0" borderId="25" xfId="26" applyFont="false" applyBorder="true" applyAlignment="false" applyProtection="false">
      <alignment horizontal="general" vertical="bottom" textRotation="0" wrapText="false" indent="0" shrinkToFit="false"/>
      <protection locked="true" hidden="false"/>
    </xf>
    <xf numFmtId="167" fontId="6" fillId="0" borderId="26" xfId="29" applyFont="false" applyBorder="true" applyAlignment="false" applyProtection="false">
      <alignment horizontal="general" vertical="bottom" textRotation="0" wrapText="false" indent="0" shrinkToFit="false"/>
      <protection locked="true" hidden="false"/>
    </xf>
    <xf numFmtId="167" fontId="0" fillId="0" borderId="24" xfId="26" applyFont="false" applyBorder="true" applyAlignment="false" applyProtection="false">
      <alignment horizontal="general" vertical="bottom" textRotation="0" wrapText="false" indent="0" shrinkToFit="false"/>
      <protection locked="true" hidden="false"/>
    </xf>
    <xf numFmtId="167" fontId="0" fillId="0" borderId="25" xfId="26" applyFont="false" applyBorder="true" applyAlignment="false" applyProtection="false">
      <alignment horizontal="general" vertical="bottom" textRotation="0" wrapText="false" indent="0" shrinkToFit="false"/>
      <protection locked="true" hidden="false"/>
    </xf>
    <xf numFmtId="167" fontId="0" fillId="0" borderId="9" xfId="26" applyFont="false" applyBorder="true" applyAlignment="false" applyProtection="false">
      <alignment horizontal="general" vertical="bottom" textRotation="0" wrapText="false" indent="0" shrinkToFit="false"/>
      <protection locked="true" hidden="false"/>
    </xf>
    <xf numFmtId="167" fontId="0" fillId="0" borderId="20" xfId="26" applyFont="false" applyBorder="true" applyAlignment="false" applyProtection="false">
      <alignment horizontal="general" vertical="bottom" textRotation="0" wrapText="false" indent="0" shrinkToFit="false"/>
      <protection locked="true" hidden="false"/>
    </xf>
    <xf numFmtId="164" fontId="6" fillId="0" borderId="27" xfId="28" applyFont="true" applyBorder="true" applyAlignment="false" applyProtection="false">
      <alignment horizontal="left" vertical="bottom" textRotation="0" wrapText="false" indent="0" shrinkToFit="false"/>
      <protection locked="true" hidden="false"/>
    </xf>
    <xf numFmtId="164" fontId="6" fillId="0" borderId="28" xfId="28" applyFont="false" applyBorder="true" applyAlignment="false" applyProtection="false">
      <alignment horizontal="left" vertical="bottom" textRotation="0" wrapText="false" indent="0" shrinkToFit="false"/>
      <protection locked="true" hidden="false"/>
    </xf>
    <xf numFmtId="167" fontId="6" fillId="0" borderId="29" xfId="29" applyFont="false" applyBorder="true" applyAlignment="false" applyProtection="false">
      <alignment horizontal="general" vertical="bottom" textRotation="0" wrapText="false" indent="0" shrinkToFit="false"/>
      <protection locked="true" hidden="false"/>
    </xf>
    <xf numFmtId="167" fontId="6" fillId="0" borderId="30" xfId="29" applyFont="false" applyBorder="true" applyAlignment="false" applyProtection="false">
      <alignment horizontal="general" vertical="bottom" textRotation="0" wrapText="false" indent="0" shrinkToFit="false"/>
      <protection locked="true" hidden="false"/>
    </xf>
    <xf numFmtId="167" fontId="6" fillId="0" borderId="28" xfId="29" applyFont="false" applyBorder="true" applyAlignment="false" applyProtection="false">
      <alignment horizontal="general" vertical="bottom" textRotation="0" wrapText="false" indent="0" shrinkToFit="false"/>
      <protection locked="true" hidden="false"/>
    </xf>
    <xf numFmtId="167" fontId="6" fillId="0" borderId="31" xfId="29" applyFont="fals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6" fontId="8" fillId="0" borderId="0" xfId="0" applyFont="true" applyBorder="false" applyAlignment="true" applyProtection="false">
      <alignment horizontal="right" vertical="top" textRotation="0" wrapText="false" indent="0" shrinkToFit="false"/>
      <protection locked="true" hidden="false"/>
    </xf>
    <xf numFmtId="164" fontId="0" fillId="0" borderId="0" xfId="0" applyFont="false" applyBorder="false" applyAlignment="true" applyProtection="false">
      <alignment horizontal="right" vertical="top" textRotation="0" wrapText="false" indent="0" shrinkToFit="false"/>
      <protection locked="true" hidden="false"/>
    </xf>
    <xf numFmtId="164" fontId="9" fillId="4" borderId="0" xfId="0" applyFont="true" applyBorder="false" applyAlignment="true" applyProtection="false">
      <alignment horizontal="center" vertical="center" textRotation="0" wrapText="false" indent="0" shrinkToFit="false"/>
      <protection locked="true" hidden="false"/>
    </xf>
    <xf numFmtId="164" fontId="10" fillId="4" borderId="0" xfId="0" applyFont="true" applyBorder="false" applyAlignment="true" applyProtection="false">
      <alignment horizontal="center" vertical="center" textRotation="0" wrapText="true" indent="0" shrinkToFit="false"/>
      <protection locked="true" hidden="false"/>
    </xf>
    <xf numFmtId="164" fontId="10" fillId="4" borderId="0" xfId="0" applyFont="true" applyBorder="false" applyAlignment="true" applyProtection="false">
      <alignment horizontal="left" vertical="center" textRotation="0" wrapText="true" indent="0" shrinkToFit="false"/>
      <protection locked="true" hidden="false"/>
    </xf>
    <xf numFmtId="166" fontId="10" fillId="4" borderId="0" xfId="0" applyFont="true" applyBorder="false" applyAlignment="true" applyProtection="false">
      <alignment horizontal="center" vertical="center" textRotation="0" wrapText="true" indent="0" shrinkToFit="false"/>
      <protection locked="true" hidden="false"/>
    </xf>
    <xf numFmtId="164" fontId="11" fillId="4" borderId="0" xfId="0" applyFont="true" applyBorder="false" applyAlignment="true" applyProtection="false">
      <alignment horizontal="center" vertical="center" textRotation="0" wrapText="true" indent="0" shrinkToFit="false"/>
      <protection locked="true" hidden="false"/>
    </xf>
    <xf numFmtId="164" fontId="0" fillId="5" borderId="0" xfId="0" applyFont="false" applyBorder="false" applyAlignment="true" applyProtection="false">
      <alignment horizontal="general" vertical="top" textRotation="0" wrapText="false" indent="0" shrinkToFit="false"/>
      <protection locked="true" hidden="false"/>
    </xf>
    <xf numFmtId="164" fontId="0" fillId="5" borderId="2" xfId="0" applyFont="false" applyBorder="true" applyAlignment="true" applyProtection="false">
      <alignment horizontal="general" vertical="top" textRotation="0" wrapText="false" indent="0" shrinkToFit="false"/>
      <protection locked="true" hidden="false"/>
    </xf>
    <xf numFmtId="164" fontId="12" fillId="5" borderId="2" xfId="30" applyFont="false" applyBorder="true" applyAlignment="true" applyProtection="false">
      <alignment horizontal="left" vertical="top" textRotation="0" wrapText="true" indent="0" shrinkToFit="false"/>
      <protection locked="true" hidden="false"/>
    </xf>
    <xf numFmtId="164" fontId="12" fillId="5" borderId="2" xfId="30" applyFont="false" applyBorder="true" applyAlignment="true" applyProtection="false">
      <alignment horizontal="general" vertical="top" textRotation="0" wrapText="true" indent="0" shrinkToFit="false"/>
      <protection locked="true" hidden="false"/>
    </xf>
    <xf numFmtId="164" fontId="13" fillId="5" borderId="2" xfId="0" applyFont="true" applyBorder="true" applyAlignment="true" applyProtection="false">
      <alignment horizontal="general" vertical="top" textRotation="0" wrapText="true" indent="0" shrinkToFit="false"/>
      <protection locked="true" hidden="false"/>
    </xf>
    <xf numFmtId="164" fontId="13" fillId="5" borderId="2" xfId="0" applyFont="true" applyBorder="true" applyAlignment="true" applyProtection="false">
      <alignment horizontal="left" vertical="top" textRotation="0" wrapText="true" indent="0" shrinkToFit="false"/>
      <protection locked="true" hidden="false"/>
    </xf>
    <xf numFmtId="167" fontId="13" fillId="5" borderId="2" xfId="0" applyFont="true" applyBorder="true" applyAlignment="true" applyProtection="false">
      <alignment horizontal="center" vertical="top" textRotation="0" wrapText="true" indent="0" shrinkToFit="false"/>
      <protection locked="true" hidden="false"/>
    </xf>
    <xf numFmtId="166" fontId="14" fillId="5" borderId="2" xfId="0" applyFont="true" applyBorder="true" applyAlignment="true" applyProtection="false">
      <alignment horizontal="right" vertical="top" textRotation="0" wrapText="true" indent="0" shrinkToFit="false"/>
      <protection locked="true" hidden="false"/>
    </xf>
    <xf numFmtId="164" fontId="14" fillId="5" borderId="2" xfId="0" applyFont="true" applyBorder="true" applyAlignment="true" applyProtection="false">
      <alignment horizontal="general" vertical="top" textRotation="0" wrapText="true" indent="0" shrinkToFit="false"/>
      <protection locked="true" hidden="false"/>
    </xf>
    <xf numFmtId="164" fontId="0" fillId="6" borderId="0" xfId="0" applyFont="false" applyBorder="false" applyAlignment="true" applyProtection="false">
      <alignment horizontal="general" vertical="top" textRotation="0" wrapText="false" indent="0" shrinkToFit="false"/>
      <protection locked="true" hidden="false"/>
    </xf>
    <xf numFmtId="164" fontId="0" fillId="6" borderId="2" xfId="0" applyFont="false" applyBorder="true" applyAlignment="true" applyProtection="false">
      <alignment horizontal="general" vertical="top" textRotation="0" wrapText="false" indent="0" shrinkToFit="false"/>
      <protection locked="true" hidden="false"/>
    </xf>
    <xf numFmtId="170" fontId="15" fillId="6" borderId="2" xfId="0" applyFont="true" applyBorder="true" applyAlignment="true" applyProtection="false">
      <alignment horizontal="left" vertical="top" textRotation="0" wrapText="true" indent="0" shrinkToFit="false"/>
      <protection locked="true" hidden="false"/>
    </xf>
    <xf numFmtId="170" fontId="15" fillId="6" borderId="2" xfId="0" applyFont="true" applyBorder="true" applyAlignment="true" applyProtection="false">
      <alignment horizontal="general" vertical="top" textRotation="0" wrapText="true" indent="0" shrinkToFit="false"/>
      <protection locked="true" hidden="false"/>
    </xf>
    <xf numFmtId="164" fontId="16" fillId="6" borderId="2" xfId="0" applyFont="true" applyBorder="true" applyAlignment="true" applyProtection="false">
      <alignment horizontal="general" vertical="top" textRotation="0" wrapText="true" indent="0" shrinkToFit="false"/>
      <protection locked="true" hidden="false"/>
    </xf>
    <xf numFmtId="164" fontId="0" fillId="6" borderId="2" xfId="0" applyFont="true" applyBorder="true" applyAlignment="true" applyProtection="false">
      <alignment horizontal="left" vertical="top" textRotation="0" wrapText="false" indent="0" shrinkToFit="false"/>
      <protection locked="true" hidden="false"/>
    </xf>
    <xf numFmtId="167" fontId="0" fillId="6" borderId="2" xfId="0" applyFont="false" applyBorder="true" applyAlignment="true" applyProtection="false">
      <alignment horizontal="center" vertical="top" textRotation="0" wrapText="true" indent="0" shrinkToFit="false"/>
      <protection locked="true" hidden="false"/>
    </xf>
    <xf numFmtId="164" fontId="15" fillId="6" borderId="2" xfId="0" applyFont="true" applyBorder="true" applyAlignment="true" applyProtection="false">
      <alignment horizontal="general" vertical="top" textRotation="0" wrapText="false" indent="0" shrinkToFit="false"/>
      <protection locked="true" hidden="false"/>
    </xf>
    <xf numFmtId="166" fontId="15" fillId="6" borderId="2" xfId="0" applyFont="true" applyBorder="true" applyAlignment="true" applyProtection="false">
      <alignment horizontal="right" vertical="top" textRotation="0" wrapText="false" indent="0" shrinkToFit="false"/>
      <protection locked="true" hidden="false"/>
    </xf>
    <xf numFmtId="164" fontId="14" fillId="6" borderId="2" xfId="0" applyFont="true" applyBorder="true" applyAlignment="true" applyProtection="false">
      <alignment horizontal="general" vertical="top" textRotation="0" wrapText="true" indent="0" shrinkToFit="false"/>
      <protection locked="true" hidden="false"/>
    </xf>
    <xf numFmtId="164" fontId="0" fillId="6" borderId="2" xfId="0" applyFont="true" applyBorder="true" applyAlignment="true" applyProtection="false">
      <alignment horizontal="right" vertical="top" textRotation="0" wrapText="false" indent="0" shrinkToFit="false"/>
      <protection locked="true" hidden="false"/>
    </xf>
    <xf numFmtId="164" fontId="17" fillId="6" borderId="2" xfId="0" applyFont="true" applyBorder="true" applyAlignment="true" applyProtection="false">
      <alignment horizontal="center" vertical="top" textRotation="0" wrapText="false" indent="0" shrinkToFit="false"/>
      <protection locked="true" hidden="false"/>
    </xf>
    <xf numFmtId="167" fontId="14" fillId="5" borderId="2" xfId="0" applyFont="true" applyBorder="true" applyAlignment="true" applyProtection="false">
      <alignment horizontal="left" vertical="top" textRotation="0" wrapText="true" indent="0" shrinkToFit="false"/>
      <protection locked="true" hidden="false"/>
    </xf>
    <xf numFmtId="164" fontId="0" fillId="5" borderId="2" xfId="0" applyFont="false" applyBorder="true" applyAlignment="true" applyProtection="false">
      <alignment horizontal="right" vertical="top" textRotation="0" wrapText="false" indent="0" shrinkToFit="false"/>
      <protection locked="true" hidden="false"/>
    </xf>
    <xf numFmtId="167" fontId="0" fillId="6" borderId="2" xfId="0" applyFont="false" applyBorder="true" applyAlignment="true" applyProtection="false">
      <alignment horizontal="center" vertical="top" textRotation="0" wrapText="false" indent="0" shrinkToFit="false"/>
      <protection locked="true" hidden="false"/>
    </xf>
    <xf numFmtId="164" fontId="5" fillId="6" borderId="2" xfId="0" applyFont="true" applyBorder="true" applyAlignment="true" applyProtection="false">
      <alignment horizontal="left" vertical="top" textRotation="0" wrapText="true" indent="0" shrinkToFit="false"/>
      <protection locked="true" hidden="false"/>
    </xf>
    <xf numFmtId="164" fontId="0" fillId="6" borderId="2" xfId="0" applyFont="true" applyBorder="true" applyAlignment="false" applyProtection="false">
      <alignment horizontal="general" vertical="bottom" textRotation="0" wrapText="false" indent="0" shrinkToFit="false"/>
      <protection locked="true" hidden="false"/>
    </xf>
    <xf numFmtId="164" fontId="5" fillId="6" borderId="2" xfId="23" applyFont="true" applyBorder="true" applyAlignment="true" applyProtection="false">
      <alignment horizontal="left" vertical="top" textRotation="0" wrapText="true" indent="0" shrinkToFit="false"/>
      <protection locked="true" hidden="false"/>
    </xf>
    <xf numFmtId="166" fontId="14" fillId="5" borderId="2" xfId="0" applyFont="true" applyBorder="true" applyAlignment="true" applyProtection="false">
      <alignment horizontal="left" vertical="top" textRotation="0" wrapText="true" indent="0" shrinkToFit="false"/>
      <protection locked="true" hidden="false"/>
    </xf>
    <xf numFmtId="164" fontId="0" fillId="6" borderId="2" xfId="0" applyFont="true" applyBorder="true" applyAlignment="true" applyProtection="false">
      <alignment horizontal="general" vertical="top" textRotation="0" wrapText="true" indent="0" shrinkToFit="false"/>
      <protection locked="true" hidden="false"/>
    </xf>
    <xf numFmtId="170" fontId="18" fillId="6" borderId="2" xfId="0" applyFont="true" applyBorder="true" applyAlignment="true" applyProtection="false">
      <alignment horizontal="general" vertical="top" textRotation="0" wrapText="true" indent="0" shrinkToFit="false"/>
      <protection locked="true" hidden="false"/>
    </xf>
    <xf numFmtId="164" fontId="14" fillId="5" borderId="2" xfId="0" applyFont="true" applyBorder="true" applyAlignment="true" applyProtection="false">
      <alignment horizontal="left" vertical="top" textRotation="0" wrapText="tru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6" borderId="2" xfId="0" applyFont="true" applyBorder="true" applyAlignment="true" applyProtection="false">
      <alignment horizontal="left" vertical="top" textRotation="0" wrapText="true" indent="0" shrinkToFit="false"/>
      <protection locked="true" hidden="false"/>
    </xf>
    <xf numFmtId="166" fontId="15" fillId="6" borderId="2" xfId="0" applyFont="true" applyBorder="true" applyAlignment="true" applyProtection="false">
      <alignment horizontal="general" vertical="top" textRotation="0" wrapText="false" indent="0" shrinkToFit="false"/>
      <protection locked="true" hidden="false"/>
    </xf>
    <xf numFmtId="164" fontId="0" fillId="5" borderId="2" xfId="0" applyFont="false" applyBorder="true" applyAlignment="true" applyProtection="false">
      <alignment horizontal="left" vertical="top" textRotation="0" wrapText="false" indent="0" shrinkToFit="false"/>
      <protection locked="true" hidden="false"/>
    </xf>
    <xf numFmtId="167" fontId="13" fillId="5" borderId="2" xfId="0" applyFont="true" applyBorder="true" applyAlignment="true" applyProtection="false">
      <alignment horizontal="left" vertical="top" textRotation="0" wrapText="true" indent="0" shrinkToFit="false"/>
      <protection locked="true" hidden="false"/>
    </xf>
    <xf numFmtId="170" fontId="19" fillId="6" borderId="2" xfId="20" applyFont="true" applyBorder="true" applyAlignment="true" applyProtection="false">
      <alignment horizontal="general" vertical="top" textRotation="0" wrapText="true" indent="0" shrinkToFit="false"/>
      <protection locked="true" hidden="false"/>
    </xf>
    <xf numFmtId="166" fontId="15" fillId="6" borderId="0" xfId="0" applyFont="true" applyBorder="false" applyAlignment="true" applyProtection="false">
      <alignment horizontal="right" vertical="top" textRotation="0" wrapText="false" indent="0" shrinkToFit="false"/>
      <protection locked="true" hidden="false"/>
    </xf>
    <xf numFmtId="170" fontId="0" fillId="6" borderId="2" xfId="0" applyFont="true" applyBorder="true" applyAlignment="true" applyProtection="false">
      <alignment horizontal="general" vertical="top" textRotation="0" wrapText="true" indent="0" shrinkToFit="false"/>
      <protection locked="true" hidden="false"/>
    </xf>
    <xf numFmtId="168" fontId="15" fillId="6" borderId="2" xfId="0" applyFont="true" applyBorder="true" applyAlignment="true" applyProtection="false">
      <alignment horizontal="general" vertical="top" textRotation="0" wrapText="false" indent="0" shrinkToFit="false"/>
      <protection locked="true" hidden="false"/>
    </xf>
    <xf numFmtId="164" fontId="17" fillId="6" borderId="2" xfId="0" applyFont="true" applyBorder="true" applyAlignment="true" applyProtection="false">
      <alignment horizontal="center" vertical="top" textRotation="0" wrapText="true" indent="0" shrinkToFit="false"/>
      <protection locked="true" hidden="false"/>
    </xf>
    <xf numFmtId="164" fontId="14" fillId="6" borderId="2" xfId="0" applyFont="true" applyBorder="true" applyAlignment="true" applyProtection="false">
      <alignment horizontal="center" vertical="top" textRotation="0" wrapText="true" indent="0" shrinkToFit="false"/>
      <protection locked="true" hidden="false"/>
    </xf>
    <xf numFmtId="164" fontId="19" fillId="0" borderId="0" xfId="2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top" textRotation="0" wrapText="false" indent="0" shrinkToFit="false"/>
      <protection locked="true" hidden="false"/>
    </xf>
    <xf numFmtId="164" fontId="10" fillId="4" borderId="2"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left" vertical="center" textRotation="0" wrapText="true" indent="0" shrinkToFit="false"/>
      <protection locked="true" hidden="false"/>
    </xf>
    <xf numFmtId="164" fontId="10" fillId="4" borderId="32" xfId="0" applyFont="true" applyBorder="true" applyAlignment="true" applyProtection="false">
      <alignment horizontal="center" vertical="center" textRotation="0" wrapText="true" indent="0" shrinkToFit="false"/>
      <protection locked="true" hidden="false"/>
    </xf>
    <xf numFmtId="166" fontId="10" fillId="4"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6" fillId="5" borderId="0" xfId="0" applyFont="true" applyBorder="false" applyAlignment="true" applyProtection="false">
      <alignment horizontal="general" vertical="top" textRotation="0" wrapText="false" indent="0" shrinkToFit="false"/>
      <protection locked="true" hidden="false"/>
    </xf>
    <xf numFmtId="164" fontId="6" fillId="5" borderId="2" xfId="0" applyFont="true" applyBorder="true" applyAlignment="true" applyProtection="false">
      <alignment horizontal="general" vertical="top" textRotation="0" wrapText="false" indent="0" shrinkToFit="false"/>
      <protection locked="true" hidden="false"/>
    </xf>
    <xf numFmtId="171" fontId="13" fillId="5" borderId="2" xfId="0" applyFont="true" applyBorder="true" applyAlignment="true" applyProtection="false">
      <alignment horizontal="center" vertical="top" textRotation="0" wrapText="true" indent="0" shrinkToFit="false"/>
      <protection locked="true" hidden="false"/>
    </xf>
    <xf numFmtId="164" fontId="20" fillId="5" borderId="2" xfId="0" applyFont="true" applyBorder="true" applyAlignment="true" applyProtection="false">
      <alignment horizontal="general" vertical="top" textRotation="0" wrapText="false" indent="0" shrinkToFit="false"/>
      <protection locked="true" hidden="false"/>
    </xf>
    <xf numFmtId="164" fontId="20" fillId="5" borderId="2" xfId="0" applyFont="true" applyBorder="true" applyAlignment="true" applyProtection="false">
      <alignment horizontal="right" vertical="top" textRotation="0" wrapText="false" indent="0" shrinkToFit="false"/>
      <protection locked="true" hidden="false"/>
    </xf>
    <xf numFmtId="164" fontId="6" fillId="5" borderId="2" xfId="0" applyFont="true" applyBorder="true" applyAlignment="true" applyProtection="false">
      <alignment horizontal="right" vertical="top" textRotation="0" wrapText="false" indent="0" shrinkToFit="false"/>
      <protection locked="true" hidden="false"/>
    </xf>
    <xf numFmtId="164" fontId="8" fillId="5" borderId="2" xfId="0" applyFont="true" applyBorder="true" applyAlignment="true" applyProtection="false">
      <alignment horizontal="general" vertical="top" textRotation="0" wrapText="false" indent="0" shrinkToFit="false"/>
      <protection locked="true" hidden="false"/>
    </xf>
    <xf numFmtId="164" fontId="8" fillId="5" borderId="2" xfId="0" applyFont="true" applyBorder="true" applyAlignment="true" applyProtection="false">
      <alignment horizontal="right" vertical="top" textRotation="0" wrapText="false" indent="0" shrinkToFit="false"/>
      <protection locked="true" hidden="false"/>
    </xf>
    <xf numFmtId="170" fontId="15" fillId="5" borderId="2" xfId="0" applyFont="true" applyBorder="true" applyAlignment="true" applyProtection="false">
      <alignment horizontal="general" vertical="top" textRotation="0" wrapText="true" indent="0" shrinkToFit="false"/>
      <protection locked="true" hidden="false"/>
    </xf>
    <xf numFmtId="164" fontId="0" fillId="6" borderId="2" xfId="0" applyFont="true" applyBorder="true" applyAlignment="true" applyProtection="false">
      <alignment horizontal="general" vertical="bottom" textRotation="0" wrapText="true" indent="0" shrinkToFit="false"/>
      <protection locked="true" hidden="false"/>
    </xf>
    <xf numFmtId="164" fontId="21" fillId="7" borderId="0" xfId="0" applyFont="true" applyBorder="false" applyAlignment="true" applyProtection="false">
      <alignment horizontal="general" vertical="center" textRotation="0" wrapText="true" indent="0" shrinkToFit="false"/>
      <protection locked="true" hidden="false"/>
    </xf>
    <xf numFmtId="164" fontId="22" fillId="8" borderId="33"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70" fontId="0" fillId="0" borderId="0" xfId="0" applyFont="true" applyBorder="false" applyAlignment="true" applyProtection="false">
      <alignment horizontal="general" vertical="top" textRotation="0" wrapText="true" indent="0" shrinkToFit="false"/>
      <protection locked="true" hidden="false"/>
    </xf>
    <xf numFmtId="164" fontId="0" fillId="9" borderId="0" xfId="0" applyFont="true" applyBorder="false" applyAlignment="true" applyProtection="false">
      <alignment horizontal="general" vertical="top" textRotation="0" wrapText="true" indent="0" shrinkToFit="false"/>
      <protection locked="true" hidden="false"/>
    </xf>
    <xf numFmtId="170" fontId="0" fillId="9" borderId="0" xfId="0" applyFont="true" applyBorder="false" applyAlignment="true" applyProtection="false">
      <alignment horizontal="general" vertical="top" textRotation="0" wrapText="true" indent="0" shrinkToFit="false"/>
      <protection locked="true" hidden="false"/>
    </xf>
  </cellXfs>
  <cellStyles count="17">
    <cellStyle name="Normal" xfId="0" builtinId="0"/>
    <cellStyle name="Comma" xfId="15" builtinId="3"/>
    <cellStyle name="Comma [0]" xfId="16" builtinId="6"/>
    <cellStyle name="Currency" xfId="17" builtinId="4"/>
    <cellStyle name="Currency [0]" xfId="18" builtinId="7"/>
    <cellStyle name="Percent" xfId="19" builtinId="5"/>
    <cellStyle name="Hyperlink 2" xfId="21"/>
    <cellStyle name="Normal 2" xfId="22"/>
    <cellStyle name="Normalno 2" xfId="23"/>
    <cellStyle name="Pivot Table Field" xfId="24"/>
    <cellStyle name="Pivot Table Corner" xfId="25"/>
    <cellStyle name="Pivot Table Value" xfId="26"/>
    <cellStyle name="Pivot Table Category" xfId="27"/>
    <cellStyle name="Pivot Table Title" xfId="28"/>
    <cellStyle name="Pivot Table Result" xfId="29"/>
    <cellStyle name="Excel Built-in Calculation" xfId="30"/>
    <cellStyle name="*unknown*" xfId="20" builtinId="8"/>
  </cellStyles>
  <dxfs count="1">
    <dxf>
      <fill>
        <patternFill>
          <bgColor rgb="FFFFC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0C0C0"/>
      <rgbColor rgb="FF7F7F7F"/>
      <rgbColor rgb="FF9999FF"/>
      <rgbColor rgb="FF993366"/>
      <rgbColor rgb="FFFFF2CC"/>
      <rgbColor rgb="FFCAEE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AF7"/>
      <rgbColor rgb="FFF2F2F2"/>
      <rgbColor rgb="FFFFE8B9"/>
      <rgbColor rgb="FF99CCFF"/>
      <rgbColor rgb="FFFF99CC"/>
      <rgbColor rgb="FFCC99FF"/>
      <rgbColor rgb="FFFFCC99"/>
      <rgbColor rgb="FF3366FF"/>
      <rgbColor rgb="FF33CCCC"/>
      <rgbColor rgb="FF99CC00"/>
      <rgbColor rgb="FFFFC000"/>
      <rgbColor rgb="FFFF9900"/>
      <rgbColor rgb="FFFA7D00"/>
      <rgbColor rgb="FF46788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Relationship Id="rId17" Type="http://schemas.openxmlformats.org/officeDocument/2006/relationships/pivotCacheDefinition" Target="pivotCache/pivotCacheDefinition1.xml"/><Relationship Id="rId18" Type="http://schemas.openxmlformats.org/officeDocument/2006/relationships/pivotCacheDefinition" Target="pivotCache/pivotCacheDefinition2.xml"/>
</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
</Relationships>
</file>

<file path=xl/pivotCache/pivotCacheDefinition1.xml><?xml version="1.0" encoding="utf-8"?>
<pivotCacheDefinition xmlns="http://schemas.openxmlformats.org/spreadsheetml/2006/main" xmlns:r="http://schemas.openxmlformats.org/officeDocument/2006/relationships" r:id="rId1" recordCount="815" createdVersion="3">
  <cacheSource type="worksheet">
    <worksheetSource ref="B2:S817" sheet="G1_ planiranje"/>
  </cacheSource>
  <cacheFields count="18">
    <cacheField name="PPZ" numFmtId="0">
      <sharedItems containsBlank="1" count="2">
        <s v="1"/>
        <m/>
      </sharedItems>
    </cacheField>
    <cacheField name="ELO" numFmtId="0">
      <sharedItems containsBlank="1" containsMixedTypes="1" containsNumber="1" containsInteger="1" minValue="1" maxValue="790" count="792">
        <n v="1"/>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5"/>
        <n v="66"/>
        <n v="67"/>
        <n v="68"/>
        <n v="69"/>
        <n v="70"/>
        <n v="71"/>
        <n v="73"/>
        <n v="74"/>
        <n v="76"/>
        <n v="77"/>
        <n v="78"/>
        <n v="79"/>
        <n v="80"/>
        <n v="81"/>
        <n v="82"/>
        <n v="83"/>
        <n v="84"/>
        <n v="85"/>
        <n v="86"/>
        <n v="87"/>
        <n v="88"/>
        <n v="89"/>
        <n v="90"/>
        <n v="91"/>
        <n v="92"/>
        <n v="93"/>
        <n v="94"/>
        <n v="95"/>
        <n v="96"/>
        <n v="97"/>
        <n v="98"/>
        <n v="99"/>
        <n v="100"/>
        <n v="101"/>
        <n v="102"/>
        <n v="103"/>
        <n v="104"/>
        <n v="105"/>
        <n v="106"/>
        <n v="107"/>
        <n v="108"/>
        <n v="109"/>
        <n v="110"/>
        <n v="111"/>
        <n v="112"/>
        <n v="114"/>
        <n v="115"/>
        <n v="116"/>
        <n v="117"/>
        <n v="118"/>
        <n v="119"/>
        <n v="120"/>
        <n v="121"/>
        <n v="122"/>
        <n v="124"/>
        <n v="125"/>
        <n v="126"/>
        <n v="127"/>
        <n v="128"/>
        <n v="129"/>
        <n v="130"/>
        <n v="131"/>
        <n v="132"/>
        <n v="133"/>
        <n v="134"/>
        <n v="135"/>
        <n v="136"/>
        <n v="137"/>
        <n v="138"/>
        <n v="139"/>
        <n v="140"/>
        <n v="141"/>
        <n v="142"/>
        <n v="144"/>
        <n v="146"/>
        <n v="147"/>
        <n v="148"/>
        <n v="149"/>
        <n v="150"/>
        <n v="151"/>
        <n v="152"/>
        <n v="153"/>
        <n v="154"/>
        <n v="155"/>
        <n v="156"/>
        <n v="157"/>
        <n v="158"/>
        <n v="159"/>
        <n v="162"/>
        <n v="163"/>
        <n v="164"/>
        <n v="165"/>
        <n v="166"/>
        <n v="168"/>
        <n v="169"/>
        <n v="170"/>
        <n v="171"/>
        <n v="172"/>
        <n v="173"/>
        <n v="174"/>
        <n v="175"/>
        <n v="176"/>
        <n v="177"/>
        <n v="178"/>
        <n v="180"/>
        <n v="181"/>
        <n v="182"/>
        <n v="183"/>
        <n v="184"/>
        <n v="185"/>
        <n v="187"/>
        <n v="188"/>
        <n v="189"/>
        <n v="190"/>
        <n v="191"/>
        <n v="192"/>
        <n v="193"/>
        <n v="194"/>
        <n v="195"/>
        <n v="196"/>
        <n v="197"/>
        <n v="200"/>
        <n v="201"/>
        <n v="202"/>
        <n v="203"/>
        <n v="204"/>
        <n v="205"/>
        <n v="206"/>
        <n v="207"/>
        <n v="208"/>
        <n v="209"/>
        <n v="210"/>
        <n v="211"/>
        <n v="212"/>
        <n v="213"/>
        <n v="214"/>
        <n v="215"/>
        <n v="216"/>
        <n v="218"/>
        <n v="219"/>
        <n v="220"/>
        <n v="221"/>
        <n v="222"/>
        <n v="223"/>
        <n v="224"/>
        <n v="225"/>
        <n v="226"/>
        <n v="227"/>
        <n v="228"/>
        <n v="229"/>
        <n v="230"/>
        <n v="231"/>
        <n v="233"/>
        <n v="234"/>
        <n v="235"/>
        <n v="237"/>
        <n v="238"/>
        <n v="239"/>
        <n v="240"/>
        <n v="241"/>
        <n v="243"/>
        <n v="244"/>
        <n v="245"/>
        <n v="246"/>
        <n v="247"/>
        <n v="248"/>
        <n v="249"/>
        <n v="251"/>
        <n v="252"/>
        <n v="253"/>
        <n v="254"/>
        <n v="255"/>
        <n v="256"/>
        <n v="257"/>
        <n v="258"/>
        <n v="259"/>
        <n v="260"/>
        <n v="261"/>
        <n v="262"/>
        <n v="263"/>
        <n v="264"/>
        <n v="265"/>
        <n v="266"/>
        <n v="267"/>
        <n v="268"/>
        <n v="269"/>
        <n v="270"/>
        <n v="271"/>
        <n v="273"/>
        <n v="274"/>
        <n v="275"/>
        <n v="276"/>
        <n v="277"/>
        <n v="278"/>
        <n v="279"/>
        <n v="280"/>
        <n v="281"/>
        <n v="282"/>
        <n v="283"/>
        <n v="284"/>
        <n v="285"/>
        <n v="287"/>
        <n v="288"/>
        <n v="289"/>
        <n v="290"/>
        <n v="291"/>
        <n v="292"/>
        <n v="293"/>
        <n v="294"/>
        <n v="295"/>
        <n v="296"/>
        <n v="297"/>
        <n v="298"/>
        <n v="299"/>
        <n v="300"/>
        <n v="301"/>
        <n v="302"/>
        <n v="303"/>
        <n v="304"/>
        <n v="305"/>
        <n v="307"/>
        <n v="308"/>
        <n v="309"/>
        <n v="310"/>
        <n v="311"/>
        <n v="312"/>
        <n v="313"/>
        <n v="314"/>
        <n v="315"/>
        <n v="316"/>
        <n v="317"/>
        <n v="318"/>
        <n v="319"/>
        <n v="320"/>
        <n v="321"/>
        <n v="322"/>
        <n v="323"/>
        <n v="324"/>
        <n v="325"/>
        <n v="326"/>
        <n v="327"/>
        <n v="328"/>
        <n v="329"/>
        <n v="330"/>
        <n v="332"/>
        <n v="333"/>
        <n v="334"/>
        <n v="335"/>
        <n v="336"/>
        <n v="338"/>
        <n v="339"/>
        <n v="340"/>
        <n v="341"/>
        <n v="342"/>
        <n v="343"/>
        <n v="344"/>
        <n v="345"/>
        <n v="346"/>
        <n v="347"/>
        <n v="348"/>
        <n v="349"/>
        <n v="351"/>
        <n v="352"/>
        <n v="353"/>
        <n v="354"/>
        <n v="355"/>
        <n v="356"/>
        <n v="357"/>
        <n v="358"/>
        <n v="359"/>
        <n v="360"/>
        <n v="361"/>
        <n v="363"/>
        <n v="364"/>
        <n v="365"/>
        <n v="366"/>
        <n v="367"/>
        <n v="368"/>
        <n v="369"/>
        <n v="370"/>
        <n v="371"/>
        <n v="372"/>
        <n v="373"/>
        <n v="374"/>
        <n v="375"/>
        <n v="376"/>
        <n v="377"/>
        <n v="378"/>
        <n v="379"/>
        <n v="380"/>
        <n v="381"/>
        <n v="382"/>
        <n v="383"/>
        <n v="384"/>
        <n v="385"/>
        <n v="387"/>
        <n v="388"/>
        <n v="389"/>
        <n v="390"/>
        <n v="391"/>
        <n v="392"/>
        <n v="393"/>
        <n v="394"/>
        <n v="395"/>
        <n v="396"/>
        <n v="397"/>
        <n v="398"/>
        <n v="399"/>
        <n v="401"/>
        <n v="402"/>
        <n v="403"/>
        <n v="404"/>
        <n v="405"/>
        <n v="406"/>
        <n v="407"/>
        <n v="408"/>
        <n v="409"/>
        <n v="410"/>
        <n v="411"/>
        <n v="412"/>
        <n v="413"/>
        <n v="414"/>
        <n v="415"/>
        <n v="416"/>
        <n v="417"/>
        <n v="418"/>
        <n v="419"/>
        <n v="420"/>
        <n v="422"/>
        <n v="423"/>
        <n v="424"/>
        <n v="425"/>
        <n v="426"/>
        <n v="427"/>
        <n v="428"/>
        <n v="429"/>
        <n v="430"/>
        <n v="431"/>
        <n v="432"/>
        <n v="433"/>
        <n v="434"/>
        <n v="435"/>
        <n v="436"/>
        <n v="437"/>
        <n v="438"/>
        <n v="439"/>
        <n v="440"/>
        <n v="441"/>
        <n v="442"/>
        <n v="444"/>
        <n v="445"/>
        <n v="446"/>
        <n v="447"/>
        <n v="448"/>
        <n v="449"/>
        <n v="451"/>
        <n v="452"/>
        <n v="454"/>
        <n v="455"/>
        <n v="458"/>
        <n v="459"/>
        <n v="460"/>
        <n v="461"/>
        <n v="462"/>
        <n v="465"/>
        <n v="466"/>
        <n v="467"/>
        <n v="468"/>
        <n v="469"/>
        <n v="470"/>
        <n v="471"/>
        <n v="472"/>
        <n v="473"/>
        <n v="474"/>
        <n v="475"/>
        <n v="476"/>
        <n v="477"/>
        <n v="478"/>
        <n v="479"/>
        <n v="480"/>
        <n v="481"/>
        <n v="482"/>
        <n v="483"/>
        <n v="484"/>
        <n v="485"/>
        <n v="487"/>
        <n v="488"/>
        <n v="489"/>
        <n v="491"/>
        <n v="492"/>
        <n v="493"/>
        <n v="494"/>
        <n v="495"/>
        <n v="496"/>
        <n v="497"/>
        <n v="498"/>
        <n v="499"/>
        <n v="500"/>
        <n v="501"/>
        <n v="502"/>
        <n v="503"/>
        <n v="504"/>
        <n v="505"/>
        <n v="506"/>
        <n v="507"/>
        <n v="508"/>
        <n v="509"/>
        <n v="510"/>
        <n v="512"/>
        <n v="514"/>
        <n v="515"/>
        <n v="516"/>
        <n v="517"/>
        <n v="518"/>
        <n v="519"/>
        <n v="520"/>
        <n v="521"/>
        <n v="522"/>
        <n v="523"/>
        <n v="524"/>
        <n v="525"/>
        <n v="526"/>
        <n v="527"/>
        <n v="529"/>
        <n v="530"/>
        <n v="532"/>
        <n v="533"/>
        <n v="534"/>
        <n v="535"/>
        <n v="536"/>
        <n v="537"/>
        <n v="538"/>
        <n v="539"/>
        <n v="540"/>
        <n v="541"/>
        <n v="542"/>
        <n v="543"/>
        <n v="544"/>
        <n v="545"/>
        <n v="546"/>
        <n v="547"/>
        <n v="548"/>
        <n v="549"/>
        <n v="550"/>
        <n v="551"/>
        <n v="552"/>
        <n v="553"/>
        <n v="554"/>
        <n v="555"/>
        <n v="556"/>
        <n v="557"/>
        <n v="558"/>
        <n v="559"/>
        <n v="560"/>
        <n v="561"/>
        <n v="562"/>
        <n v="563"/>
        <n v="564"/>
        <n v="565"/>
        <n v="566"/>
        <n v="567"/>
        <n v="568"/>
        <n v="569"/>
        <n v="571"/>
        <n v="572"/>
        <n v="573"/>
        <n v="574"/>
        <n v="575"/>
        <n v="576"/>
        <n v="577"/>
        <n v="578"/>
        <n v="579"/>
        <n v="580"/>
        <n v="581"/>
        <n v="582"/>
        <n v="583"/>
        <n v="584"/>
        <n v="585"/>
        <n v="586"/>
        <n v="587"/>
        <n v="588"/>
        <n v="589"/>
        <n v="590"/>
        <n v="591"/>
        <n v="592"/>
        <n v="593"/>
        <n v="594"/>
        <n v="595"/>
        <n v="596"/>
        <n v="597"/>
        <n v="598"/>
        <n v="599"/>
        <n v="600"/>
        <n v="602"/>
        <n v="603"/>
        <n v="604"/>
        <n v="605"/>
        <n v="606"/>
        <n v="607"/>
        <n v="608"/>
        <n v="609"/>
        <n v="610"/>
        <n v="611"/>
        <n v="612"/>
        <n v="613"/>
        <n v="614"/>
        <n v="616"/>
        <n v="617"/>
        <n v="618"/>
        <n v="619"/>
        <n v="620"/>
        <n v="621"/>
        <n v="622"/>
        <n v="623"/>
        <n v="624"/>
        <n v="625"/>
        <n v="626"/>
        <n v="627"/>
        <n v="628"/>
        <n v="629"/>
        <n v="630"/>
        <n v="631"/>
        <n v="633"/>
        <n v="634"/>
        <n v="635"/>
        <n v="636"/>
        <n v="637"/>
        <n v="638"/>
        <n v="639"/>
        <n v="640"/>
        <n v="641"/>
        <n v="642"/>
        <n v="643"/>
        <n v="644"/>
        <n v="645"/>
        <n v="646"/>
        <n v="647"/>
        <n v="648"/>
        <n v="649"/>
        <n v="650"/>
        <n v="651"/>
        <n v="652"/>
        <n v="653"/>
        <n v="654"/>
        <n v="655"/>
        <n v="656"/>
        <n v="657"/>
        <n v="658"/>
        <n v="659"/>
        <n v="660"/>
        <n v="661"/>
        <n v="662"/>
        <n v="663"/>
        <n v="664"/>
        <n v="666"/>
        <n v="667"/>
        <n v="668"/>
        <n v="669"/>
        <n v="670"/>
        <n v="671"/>
        <n v="672"/>
        <n v="673"/>
        <n v="674"/>
        <n v="675"/>
        <n v="676"/>
        <n v="677"/>
        <n v="678"/>
        <n v="679"/>
        <n v="680"/>
        <n v="681"/>
        <n v="683"/>
        <n v="684"/>
        <n v="685"/>
        <n v="686"/>
        <n v="687"/>
        <n v="688"/>
        <n v="689"/>
        <n v="690"/>
        <n v="691"/>
        <n v="692"/>
        <n v="693"/>
        <n v="694"/>
        <n v="695"/>
        <n v="696"/>
        <n v="697"/>
        <n v="698"/>
        <n v="699"/>
        <n v="700"/>
        <n v="701"/>
        <n v="702"/>
        <n v="703"/>
        <n v="704"/>
        <n v="705"/>
        <n v="706"/>
        <n v="707"/>
        <n v="708"/>
        <n v="709"/>
        <n v="710"/>
        <n v="711"/>
        <n v="712"/>
        <n v="713"/>
        <n v="714"/>
        <n v="715"/>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2"/>
        <n v="763"/>
        <n v="764"/>
        <n v="766"/>
        <n v="767"/>
        <n v="768"/>
        <n v="769"/>
        <n v="770"/>
        <n v="771"/>
        <n v="772"/>
        <n v="773"/>
        <n v="774"/>
        <n v="775"/>
        <n v="776"/>
        <n v="777"/>
        <n v="779"/>
        <n v="780"/>
        <n v="781"/>
        <n v="782"/>
        <n v="783"/>
        <n v="784"/>
        <n v="785"/>
        <n v="786"/>
        <n v="787"/>
        <n v="788"/>
        <n v="789"/>
        <n v="790"/>
        <s v="113a&#10;113b&#10;113c&#10;113d&#10;113e"/>
        <s v="123a&#10;123b&#10;123c&#10;123d&#10;123e"/>
        <s v="143a&#10;143b"/>
        <s v="145a&#10;145b&#10;145c"/>
        <s v="160a&#10;160b"/>
        <s v="161a&#10;161b&#10;161c"/>
        <s v="167a&#10;167b"/>
        <s v="179a&#10;179b"/>
        <s v="186a&#10;186b"/>
        <s v="198a&#10;198b"/>
        <s v="199a&#10;199b&#10;199c"/>
        <s v="217a&#10;217b"/>
        <s v="232a&#10;232b&#10;232c"/>
        <s v="236a&#10;236b"/>
        <s v="242a&#10;242b"/>
        <s v="250a&#10;250b"/>
        <s v="272a&#10;272b"/>
        <s v="286a&#10;286b"/>
        <s v="2a&#10;2b"/>
        <s v="306a&#10;396b"/>
        <s v="331a&#10;331b&#10;331c"/>
        <s v="337a&#10;337b"/>
        <s v="350a&#10;350b"/>
        <s v="362a&#10;362b"/>
        <s v="386a&#10;386b"/>
        <s v="400a&#10;400b"/>
        <s v="421a&#10;421b&#10;421c"/>
        <s v="443a&#10;443b"/>
        <s v="450a&#10;"/>
        <s v="450b&#10;"/>
        <s v="453&#10;"/>
        <s v="456a&#10;456b"/>
        <s v="457a&#10;457b"/>
        <s v="463a&#10;463b"/>
        <s v="464a&#10;464b"/>
        <s v="486a&#10;486b&#10;486c&#10;486d"/>
        <s v="490a&#10;490b"/>
        <s v="511a&#10;511b"/>
        <s v="513a&#10;513b&#10;513c"/>
        <s v="528a&#10;528b"/>
        <s v="531a&#10;531b"/>
        <s v="570a&#10;570b&#10;570c"/>
        <s v="601a&#10;601b"/>
        <s v="615a&#10;615b"/>
        <s v="632a&#10;632b&#10;632c"/>
        <s v="63a&#10;63b"/>
        <s v="64"/>
        <s v="662a&#10;662b&#10;662c&#10;662d&#10;662e"/>
        <s v="665a&#10;665b"/>
        <s v="716a&#10;716b&#10;716c&#10;716d&#10;716e&#10;716f&#10;716g&#10;716h"/>
        <s v="72a&#10;72b"/>
        <s v="75a&#10;75b"/>
        <s v="761a&#10;761b"/>
        <s v="765a&#10;765b"/>
        <s v="778a&#10;778b"/>
        <m/>
      </sharedItems>
    </cacheField>
    <cacheField name="ID" numFmtId="0">
      <sharedItems containsBlank="1" count="99">
        <s v="113"/>
        <s v="121"/>
        <s v="122"/>
        <s v="125"/>
        <s v="130"/>
        <s v="131"/>
        <s v="132"/>
        <s v="133"/>
        <s v="136"/>
        <s v="137"/>
        <s v="138"/>
        <s v="140"/>
        <s v="141"/>
        <s v="146"/>
        <s v="147"/>
        <s v="149"/>
        <s v="150"/>
        <s v="151"/>
        <s v="152"/>
        <s v="153"/>
        <s v="154"/>
        <s v="158"/>
        <s v="161"/>
        <s v="163"/>
        <s v="165"/>
        <s v="168"/>
        <s v="169"/>
        <s v="170"/>
        <s v="172"/>
        <s v="173"/>
        <s v="174"/>
        <s v="177"/>
        <s v="180"/>
        <s v="181"/>
        <s v="182"/>
        <s v="184"/>
        <s v="185"/>
        <s v="186"/>
        <s v="187"/>
        <s v="188"/>
        <s v="1907"/>
        <s v="191"/>
        <s v="1918"/>
        <s v="1939"/>
        <s v="1944"/>
        <s v="1963"/>
        <s v="1972"/>
        <s v="198"/>
        <s v="199"/>
        <s v="202"/>
        <s v="203"/>
        <s v="205"/>
        <s v="206"/>
        <s v="208"/>
        <s v="210"/>
        <s v="214"/>
        <s v="215"/>
        <s v="219"/>
        <s v="221"/>
        <s v="222"/>
        <s v="232"/>
        <s v="245"/>
        <s v="250"/>
        <s v="267"/>
        <s v="275"/>
        <s v="281"/>
        <s v="290"/>
        <s v="316"/>
        <s v="3324"/>
        <s v="3340"/>
        <s v="3385"/>
        <s v="3409"/>
        <s v="3430"/>
        <s v="3482"/>
        <s v="3545"/>
        <s v="3554"/>
        <s v="3637"/>
        <s v="368"/>
        <s v="3689"/>
        <s v="3795"/>
        <s v="3927"/>
        <s v="3986"/>
        <s v="3990"/>
        <s v="4497"/>
        <s v="4589"/>
        <s v="4660"/>
        <s v="469"/>
        <s v="4914"/>
        <s v="4917"/>
        <s v="4919"/>
        <s v="530"/>
        <s v="536"/>
        <s v="5499"/>
        <s v="5713"/>
        <s v="5717"/>
        <s v="5769"/>
        <s v="6229"/>
        <s v="L"/>
        <m/>
      </sharedItems>
    </cacheField>
    <cacheField name="Tip opreme " numFmtId="0">
      <sharedItems count="24">
        <s v="Multimedijska oprema - Bežični mikrofonski sustav "/>
        <s v="Multimedijska oprema - Fotoaparat s opremom "/>
        <s v="Multimedijska oprema - Kamera"/>
        <s v="Multimedijska oprema - Mali stalak za kameru"/>
        <s v="Multimedijska oprema - Memorijski prijenosni set "/>
        <s v="Multimedijska oprema - Podcast mikrofon "/>
        <s v="Multimedijska oprema - Profesionalna web kamera"/>
        <s v="Multimedijska oprema - Projektor s projekcijskim platnom Tip 1 "/>
        <s v="Multimedijska oprema - Projektor s projekcijskim platnom Tip 2 "/>
        <s v="Multimedijska oprema - Projektor s projekcijskim platnom Tip 3 "/>
        <s v="Multimedijska oprema - PTZ Kamera"/>
        <s v="Multimedijska oprema - Rasvjeta "/>
        <s v="Multimedijska oprema - Stolno računalo za postprodukciju"/>
        <s v="Multimedijska oprema - Telepromter "/>
        <s v="Multimedijska oprema - Usmjereni/shotgun mikrofon "/>
        <s v="Multimedijska oprema - Veliki stalak za kameru ili telepromter "/>
        <s v="Multimedijska oprema - Zvučnik s objedinjenim mikrofonom(speakerphone) i kamerom "/>
        <s v="Prezentacijska dvorana Tip-A"/>
        <s v="Prezentacijska dvorana Tip-B"/>
        <s v="Prijenosni set za online prijenos i snimanje"/>
        <s v="Studio za snimanje Tip-A"/>
        <s v="Studio za snimanje Tip-A s blesimetrom"/>
        <s v="Studio za snimanje Tip-B1"/>
        <s v="Studio za snimanje Tip-B2"/>
      </sharedItems>
    </cacheField>
    <cacheField name="Ustanove" numFmtId="0">
      <sharedItems containsBlank="1" count="98">
        <s v="Agronomski fakultet"/>
        <s v="Akademija dramske umjetnosti"/>
        <s v="Akademija likovnih umjetnosti"/>
        <s v="Akademija primijenjenih umjetnosti"/>
        <s v="Akademija za umjetnost i kulturu u Osijeku"/>
        <s v="Arhitektonski fakultet"/>
        <s v="Edukacijsko-rehabilitacijski fakultet"/>
        <s v="Ekonomski fakultet - Zagreb"/>
        <s v="Ekonomski fakultet u Osijeku"/>
        <s v="Ekonomski fakultet u Splitu"/>
        <s v="Ekonomski fakultet, Rijeka"/>
        <s v="Fakultet agrobiotehničkih znanosti Osijek"/>
        <s v="Fakultet elektrotehnike i računarstva"/>
        <s v="Fakultet elektrotehnike, računarstva i informacijskih tehnologija Osijek"/>
        <s v="Fakultet elektrotehnike, strojarstva i brodogradnje u Splitu"/>
        <s v="Fakultet filozofije i religijskih znanosti"/>
        <s v="Fakultet građevinarstva, arhitekture i geodezije u Splitu"/>
        <s v="Fakultet hrvatskih studija"/>
        <s v="Fakultet kemijskog inženjerstva i tehnologije"/>
        <s v="Fakultet organizacije i informatike"/>
        <s v="Fakultet političkih znanosti"/>
        <s v="Fakultet primijenjene matematike i informatike"/>
        <s v="Fakultet prometnih znanosti"/>
        <s v="Fakultet strojarstva i brodogradnje"/>
        <s v="Fakultet šumarstva i drvne tehnologije"/>
        <s v="Fakultet turizma i ruralnog razvoja u Požegi"/>
        <s v="Fakultet za dentalnu medicinu i zdravstvo Osijek"/>
        <s v="Fakultet za menadžment u turizmu i ugostiteljstvu"/>
        <s v="Fakultet za odgojne i obrazovne znanosti"/>
        <s v="Fakultet zdravstvenih studija"/>
        <s v="Farmaceutsko - biokemijski fakultet"/>
        <s v="Filozofski fakultet Osijek"/>
        <s v="Filozofski fakultet u Rijeci"/>
        <s v="Filozofski fakultet u Splitu"/>
        <s v="Filozofski fakultet u Zagrebu"/>
        <s v="Geodetski fakultet"/>
        <s v="Geotehnički fakultet"/>
        <s v="Građevinski fakultet u Rijeci"/>
        <s v="Građevinski fakultet, Zagreb"/>
        <s v="Građevinski i arhitektonski fakultet Osijek"/>
        <s v="Grafički fakultet, Zagreb"/>
        <s v="Hrvatsko katoličko sveučilište"/>
        <s v="Katolički bogoslovni fakultet u Đakovu"/>
        <s v="Katolički bogoslovni fakultet, Split"/>
        <s v="Katolički bogoslovni fakultet, Zagreb"/>
        <s v="Kemijsko-tehnološki fakultet u Splitu"/>
        <s v="Kineziološki fakultet Osijek"/>
        <s v="Kineziološki fakultet u Splitu"/>
        <s v="Kineziološki fakultet u Zagrebu"/>
        <s v="Medicinski fakultet Osijek"/>
        <s v="Medicinski fakultet u Rijeci"/>
        <s v="Medicinski fakultet u Splitu"/>
        <s v="Medicinski fakultet u Zagrebu"/>
        <s v="Međimursko veleučilište u Čakovcu"/>
        <s v="Metalurški fakultet"/>
        <s v="MUP, Policijska akademija &quot;Prvi hrvatski redarstvenik&quot;, Veleučilište kriminalistike i javne sigurnosti"/>
        <s v="Muzička akademija"/>
        <s v="Nacionalna i sveučilišna knjižnica"/>
        <s v="Pomorski fakultet u Rijeci"/>
        <s v="Pomorski fakultet u Splitu"/>
        <s v="Pravni fakultet Osijek"/>
        <s v="Pravni fakultet u Rijeci"/>
        <s v="Pravni fakultet u Splitu"/>
        <s v="Pravni fakultet u Zagrebu"/>
        <s v="Prehrambeno-biotehnološki fakultet"/>
        <s v="Prehrambeno-tehnološki fakultet Osijek"/>
        <s v="Prirodoslovno-matematički fakultet u Splitu"/>
        <s v="Prirodoslovno-matematički fakultet, Zagreb"/>
        <s v="Rudarsko-geološko-naftni fakultet"/>
        <s v="Stomatološki fakultet"/>
        <s v="Sveučilište Josipa Jurja Strossmayera u Osijeku"/>
        <s v="Sveučilište Jurja Dobrile u Puli"/>
        <s v="Sveučilište obrane i sigurnosti &quot;Dr. Franjo Tuđman&quot;"/>
        <s v="Sveučilište Sjever"/>
        <s v="Sveučilište u Dubrovniku"/>
        <s v="Sveučilište u Rijeci"/>
        <s v="Sveučilište u Slavonskom Brodu"/>
        <s v="Sveučilište u Splitu"/>
        <s v="Sveučilište u Zadru"/>
        <s v="Sveučilište u Zagrebu"/>
        <s v="Tehnički fakultet, Rijeka"/>
        <s v="Tehničko veleučilište u Zagrebu"/>
        <s v="Tekstilno-tehnološki fakultet"/>
        <s v="Učiteljski fakultet u Rijeci"/>
        <s v="Učiteljski fakultet, Zagreb"/>
        <s v="Umjetnička akademija u Splitu"/>
        <s v="Veleučilište &quot;Lavoslav Ružička&quot; u Vukovaru"/>
        <s v="Veleučilište &quot;Marko Marulić&quot; u Kninu"/>
        <s v="Veleučilište &quot;Nikola Tesla&quot; u Gospiću"/>
        <s v="Veleučilište Hrvatsko zagorje Krapina"/>
        <s v="Veleučilište u Karlovcu"/>
        <s v="Veleučilište u Križevcima"/>
        <s v="Veleučilište u Rijeci"/>
        <s v="Veleučilište u Šibeniku"/>
        <s v="Veleučilište u Virovitici"/>
        <s v="Veterinarski fakultet, Zagreb"/>
        <s v="Zdravstveno veleučilište"/>
        <m/>
      </sharedItems>
    </cacheField>
    <cacheField name="Kom." numFmtId="0">
      <sharedItems containsSemiMixedTypes="0" containsString="0" containsNumber="1" containsInteger="1" minValue="1" maxValue="249" count="36">
        <n v="1"/>
        <n v="2"/>
        <n v="3"/>
        <n v="4"/>
        <n v="5"/>
        <n v="6"/>
        <n v="7"/>
        <n v="8"/>
        <n v="9"/>
        <n v="10"/>
        <n v="11"/>
        <n v="12"/>
        <n v="13"/>
        <n v="15"/>
        <n v="18"/>
        <n v="20"/>
        <n v="23"/>
        <n v="32"/>
        <n v="34"/>
        <n v="47"/>
        <n v="48"/>
        <n v="49"/>
        <n v="59"/>
        <n v="65"/>
        <n v="70"/>
        <n v="74"/>
        <n v="75"/>
        <n v="77"/>
        <n v="78"/>
        <n v="88"/>
        <n v="92"/>
        <n v="94"/>
        <n v="101"/>
        <n v="116"/>
        <n v="131"/>
        <n v="249"/>
      </sharedItems>
    </cacheField>
    <cacheField name="Lokacija" numFmtId="0">
      <sharedItems containsBlank="1" count="24">
        <s v="Čakovec"/>
        <s v="Đakovo"/>
        <s v="Dubrovnik"/>
        <s v="Gospić"/>
        <s v="Ika"/>
        <s v="Karlovac"/>
        <s v="Knin"/>
        <s v="Koprivnica"/>
        <s v="Krapina"/>
        <s v="Križevci"/>
        <s v="Osijek"/>
        <s v="Požega"/>
        <s v="Pula"/>
        <s v="Rijeka"/>
        <s v="Šibenik"/>
        <s v="Sisak"/>
        <s v="Slavonski Brod"/>
        <s v="Split"/>
        <s v="Varaždin"/>
        <s v="Virovitica"/>
        <s v="Vukovar"/>
        <s v="Zadar"/>
        <s v="Zagreb"/>
        <m/>
      </sharedItems>
    </cacheField>
    <cacheField name="Ime i prezime" numFmtId="0">
      <sharedItems containsBlank="1" count="149">
        <s v="Albert Oswald"/>
        <s v="Albert Oswald&#10;"/>
        <s v="Albert Oswald&#10;Tomica Bunjevac"/>
        <s v="Albert Oswald&#10;Tomica Bunjevac&#10;Tatjana Šajatović"/>
        <s v="Alen Domazet"/>
        <s v="Aljoša Brajdić"/>
        <s v="Ana Vukelić"/>
        <s v="Andreas Mađerić"/>
        <s v="Andrija Levanić"/>
        <s v="Andrija Ljubičić&#10;"/>
        <s v="Ante Denić"/>
        <s v="Ante Krolo"/>
        <s v="Antonija Žaja Čičak&#10;Petra Musap"/>
        <s v="Barbara Šestan &#10;"/>
        <s v="Bojan Tovjanin"/>
        <s v="Boris Beker"/>
        <s v="Boris Rončević"/>
        <s v="Boris Ružić"/>
        <s v="Branimir Džaja"/>
        <s v="Branimir Kolman"/>
        <s v="Bruno Bakarić"/>
        <s v="Dalibor Gabela"/>
        <s v="Damir Kovačević"/>
        <s v="Damir Lulić"/>
        <s v="Daniel Maratović"/>
        <s v="Danka Jurjević"/>
        <s v="Danka Jurjević&#10;Aleksandar Živanović"/>
        <s v="Dario Đurasović"/>
        <s v="Dario Knežić"/>
        <s v="Dario Kukuljan"/>
        <s v="Dario Kužić"/>
        <s v="Darko Šprem"/>
        <s v="Davor Mijolović"/>
        <s v="Davor Pintar"/>
        <s v="Davor Štrk"/>
        <s v="Davorin Axmann"/>
        <s v="Davorin Tadić"/>
        <s v="Denis Hernaut"/>
        <s v="Domagoj Vučica"/>
        <s v="Doris Knego"/>
        <s v="Dražen Marček"/>
        <s v="Elvis Žic"/>
        <s v="Emil Flatz"/>
        <s v="Enes Ciriković"/>
        <s v="Filip Samoščanec&#10;"/>
        <s v="Goran Hoić"/>
        <s v="Goran Šljivić"/>
        <s v="IGOR BILANDŽIĆ"/>
        <s v="Igor Horaček"/>
        <s v="Igor Paljug"/>
        <s v="Ivan Cerovec"/>
        <s v="Ivan Nimac"/>
        <s v="Ivan Nimac&#10;Ivana Delistović Duić"/>
        <s v="Ivan Nimac&#10;Ivana Delistović Duić&#10;Ivan Nimac"/>
        <s v="Ivan Rajković"/>
        <s v="Ivan Rajković&#10;"/>
        <s v="Ivan Rajković&#10;Nenad Habek&#10;Filip Samoščanec&#10;Igor Paljug&#10;Barbara Idžan"/>
        <s v="Ivan Rebekić"/>
        <s v="Ivan Reponj"/>
        <s v="Ivan Šetin"/>
        <s v="Ivana Delistović Duić&#10;"/>
        <s v="Izv. prof. dr. sc. Jasmin Ćelić"/>
        <s v="Jakov Serajlić"/>
        <s v="Jasenko Mandura&#10;Aleksandar Živanović"/>
        <s v="Juaj Mihanović"/>
        <s v="Juraj Saratlija"/>
        <s v="Krešimir Pavelić, univ. mag .ing. comp."/>
        <s v="Krešimir Pinjatela"/>
        <s v="Kristian Došen"/>
        <s v="Krunoslav Fučkor&#10;Lada Uzorinac"/>
        <s v="Krunoslav Komugović"/>
        <s v="Krunoslav Kurilj"/>
        <s v="Leida Rizvan&#10;"/>
        <s v="Leida Rizvan&#10;Dalibor Bulić&#10;Maja Krželj&#10;Prosper Radonić&#10;Ivan Vuko"/>
        <s v="Leida Rizvan&#10;Dalibor Bulić&#10;Petra Musap"/>
        <s v="Leida Rizvan&#10;Marin Gudelj"/>
        <s v="Linda Petričić,  Nicole Tomišić &#10;Marko Roža"/>
        <s v="Linda Petričić, Nicole Tomišić "/>
        <s v="Linda Petričić, Nicole Tomišić &#10;Danka Jurjević"/>
        <s v="Luka Cvenić"/>
        <s v="Maja Krželj&#10;Marin Gudelj&#10;Ivan Tavra&#10;Petra Musap&#10;Mirko Šalinović"/>
        <s v="Marijan Galjar"/>
        <s v="Marijo Seničić"/>
        <s v="Marin Gudelj&#10;Dalibor Bulić&#10;Petra Musap"/>
        <s v="Marin Ivanišić"/>
        <s v="Marin Šperanda"/>
        <s v="Mario Dakić"/>
        <s v="Mario Harjač"/>
        <s v="Mario Miloloza"/>
        <s v="Marko Maričević"/>
        <s v="Marko Meštrović"/>
        <s v="Marko Pilić / Josip Crnjac&#10;Dalibor Bulić&#10;Maja Krželj&#10;Ivan Vuko&#10;Marin Gudelj&#10;Prosper Radonić&#10;Ivan Tavra&#10;Petra Musap"/>
        <s v="Marko Pilić / Josip Crnjac&#10;Maja Krželj&#10;Marin Gudelj&#10;Romaldo Singolo / Danijel Bartulović"/>
        <s v="Marko Pilić / Josip Crnjac&#10;Mirko Šalinović"/>
        <s v="Marko Poletto"/>
        <s v="Marko Roža"/>
        <s v="Marko Roža&#10;Jasenko Mandura"/>
        <s v="Marko Štedul"/>
        <s v="Mate Galić"/>
        <s v="Matija Karapetrić"/>
        <s v="Matija Prahin"/>
        <s v="Matija Prahin&#10;"/>
        <s v="Mihael Šutalo"/>
        <s v="Mikolaj Martinjak"/>
        <s v="Mile Vičić"/>
        <s v="Mirza Žižak"/>
        <s v="Nikola Barba"/>
        <s v="Nikola Kanišk"/>
        <s v="Nikola Kaniški&#10;Stjepan Šalković"/>
        <s v="Nikola Marijanović"/>
        <s v="Nikola Marijanović&#10;Branimir Kolman"/>
        <s v="Ozren Digula, Kristijan Zbiljski"/>
        <s v="Petar Taler"/>
        <s v="Petra Marić"/>
        <s v="Petra Marić&#10;Petra Musap"/>
        <s v="Petra Marić&#10;Petra Musap&#10;Mirko Šalinović"/>
        <s v="Petra Mitrović"/>
        <s v="Petra Musap"/>
        <s v="Petra Musap&#10;"/>
        <s v="Predrag Šinko"/>
        <s v="Rade Lukić"/>
        <s v="Romaldo Singolo"/>
        <s v="Sandi Homolak (Zagreb)"/>
        <s v="Sandi Homolak (Zagreb)&#10;Igor Šalamun (Čakovec)"/>
        <s v="Sead Berberović"/>
        <s v="Siniša Lončarić"/>
        <s v="Siniša Vlahović&#10;"/>
        <s v="Siniša Vlahović&#10;Marin Šperanda"/>
        <s v="Slaven Kušljić"/>
        <s v="Srđan Cvetanović"/>
        <s v="Stipe Gorenjak"/>
        <s v="Stjepan Šalković"/>
        <s v="Stjepo Hladilo"/>
        <s v="Taras Barščevski"/>
        <s v="Tatjana Šajatović"/>
        <s v="Tatjana Šajatović&#10;Tomica Bunjevac&#10;Albert Oswald"/>
        <s v="TEDI KOLANOVIĆ"/>
        <s v="Teo Brusić&#10;Zoran Vučinić"/>
        <s v="Teo Brusić, Zoran Vučinić&#10;Sanjin Kučar"/>
        <s v="Tomica Bunjevac"/>
        <s v="Tomica Bunjevac&#10;Albert Oswald"/>
        <s v="Vedran Ćurković"/>
        <s v="Vrbik - Hrvoje Matešić&#10;Konavoska - Filip Samoščnaec"/>
        <s v="Željko Hrebak"/>
        <s v="Željko Matas"/>
        <s v="Zoltan Juhas"/>
        <s v="Zvonimir Adamović"/>
        <s v="Zvonimir Torba"/>
        <m/>
      </sharedItems>
    </cacheField>
    <cacheField name="Kontakt broj" numFmtId="0">
      <sharedItems containsBlank="1" count="150">
        <s v=" +385912241400"/>
        <s v=" +385913568984"/>
        <s v=" +385913568984&#10;+385912241400"/>
        <s v=" +38598871499"/>
        <s v=" +38598871499&#10;+385913568984&#10;+385912241400"/>
        <s v="(+385)915683877"/>
        <s v="+385 91 4305 724"/>
        <s v="+385 91 604 3920"/>
        <s v="+385 95 245 6555"/>
        <s v="+385 95 903 76 48"/>
        <s v="+385(91)5335.699"/>
        <s v="+385912241400&#10;"/>
        <s v="+385912241400&#10;+385913568984"/>
        <s v="+385912241400&#10;+385913568984&#10;+38598871499"/>
        <s v="+385959017650&#10;0989616845"/>
        <s v="+385992692210 - Hrvoje&#10;0993047438 Filip"/>
        <s v="+385998153651"/>
        <s v="+385998153651&#10;"/>
        <s v="+385998153651&#10;+385911316382&#10;0993047438&#10;+385 95 245 6555&#10;+385 99 529 0050"/>
        <s v="01/2457510"/>
        <s v="021 545545, 091 4443745"/>
        <s v="022/664-451"/>
        <s v="031/224-508"/>
        <s v="048 279 196"/>
        <s v="051/265-873"/>
        <s v="051/265-873&#10;+385959017650"/>
        <s v="051/265-884"/>
        <s v="051/265-884&#10;0989616845"/>
        <s v="051584884 &#10;"/>
        <s v="091 / 9536547"/>
        <s v="091 155 9622"/>
        <s v="091 165 1207, 0922875203"/>
        <s v="091 165 1207, 0922875203&#10;051/265-873"/>
        <s v="091 165 1207, 0922875203&#10;0922875203"/>
        <s v="091 224 1039"/>
        <s v="091 224 3413"/>
        <s v="091 2241 423&#10;"/>
        <s v="091 2241 511"/>
        <s v="091 244 0130"/>
        <s v="091 332 1308"/>
        <s v="091 3658 600"/>
        <s v="091 408 9012"/>
        <s v="091 4802 130"/>
        <s v="091 522 0721 (Krunoslav Fučkor)&#10;091 504 9730 (Lada Uzorinac)"/>
        <s v="091 568 5994"/>
        <s v="091 604 47 89"/>
        <s v="091 6168 288"/>
        <s v="091 619 5223"/>
        <s v="091 619 5223&#10;091 5011 277"/>
        <s v="091 7888 474"/>
        <s v="091 906 6882"/>
        <s v="091-1557942"/>
        <s v="091-2600324"/>
        <s v="091-444-6885"/>
        <s v="091-595-2783"/>
        <s v="091/ 2549 157"/>
        <s v="091/1265-486"/>
        <s v="091/558-1986"/>
        <s v="091/722-0837"/>
        <s v="091/7895599"/>
        <s v="0911556771&#10;0913344165&#10;097 6063920&#10;0991639750&#10;O98 9895758"/>
        <s v="0912241440"/>
        <s v="0912246140"/>
        <s v="0912546777"/>
        <s v="0913011188"/>
        <s v="0913210792"/>
        <s v="0913210792&#10;0991639750"/>
        <s v="0913210792&#10;0991639750&#10;O98 9895758"/>
        <s v="0913344165&#10;021 564815, 0915462104&#10;0991639750"/>
        <s v="0914433905&#10;"/>
        <s v="0914433905&#10;021 564815, 0915462104&#10;0913344165&#10;0995556003&#10;0914348101"/>
        <s v="0914433905&#10;021 564815, 0915462104&#10;0991639750"/>
        <s v="0914433905&#10;0913344165"/>
        <s v="0914433913&#10;0991639750"/>
        <s v="0914595855, 0914595858"/>
        <s v="0914810222"/>
        <s v="0915038578"/>
        <s v="0915053478"/>
        <s v="0915193488"/>
        <s v="0915226263"/>
        <s v="0915677600"/>
        <s v="0915765999"/>
        <s v="0917615616"/>
        <s v="0919322586"/>
        <s v="0919840020 (Pilić), 0981980136 (Crnjac)&#10;021 564815, 0915462104&#10;0911556771&#10;0914348101&#10;0913344165&#10;0995556003&#10;097 6063920&#10;0991639750"/>
        <s v="0919840020 (Pilić), 0981980136 (Crnjac)&#10;0911556771&#10;0913344165&#10;0911559622(Singolo), 0992127517(Bartulović)"/>
        <s v="0919840020 (Pilić), 0981980136 (Crnjac)&#10;O98 9895758"/>
        <s v="095 8000 204&#10;"/>
        <s v="095/205-2570"/>
        <s v="095/826-5888"/>
        <s v="095/826-5888&#10;098/654-710"/>
        <s v="095/826-5888&#10;098/654-710&#10;095/826-5888"/>
        <s v="095/9064710"/>
        <s v="097 610 1011"/>
        <s v="097 7094175"/>
        <s v="098 268 472&#10;"/>
        <s v="098 268 472&#10;091 906 6882"/>
        <s v="098 855 676"/>
        <s v="098 9394211,"/>
        <s v="098 9684 080"/>
        <s v="098-292-104"/>
        <s v="098-9919-742"/>
        <s v="098/211-765"/>
        <s v="098/338-182&#10;091/1651-230"/>
        <s v="098/338-182, 091/1651-230&#10;091/447-8437"/>
        <s v="098/445-233"/>
        <s v="098/654-710&#10;"/>
        <s v="098/9674947"/>
        <s v="0981771615"/>
        <s v="0981785148"/>
        <s v="0981839338"/>
        <s v="098271569"/>
        <s v="098675984"/>
        <s v="098710398"/>
        <s v="098806500"/>
        <s v="0989225600"/>
        <s v="0989389348"/>
        <s v="0989478881"/>
        <s v="099 304 6109"/>
        <s v="099 312 6187"/>
        <s v="099 3136 671"/>
        <s v="099 5327723"/>
        <s v="099 533 7842"/>
        <s v="099 6081 436"/>
        <s v="099/2217114"/>
        <s v="099/2550-825"/>
        <s v="099/2717915"/>
        <s v="099/4928854"/>
        <s v="099/5246985"/>
        <s v="099/5246985&#10;091/7895599"/>
        <s v="0991616166"/>
        <s v="0991639750"/>
        <s v="0991639750&#10;"/>
        <s v="0993047438&#10;"/>
        <s v="0993777446"/>
        <s v="0994028339&#10;"/>
        <s v="0994028339&#10;091 244 0130"/>
        <s v="0996935026"/>
        <s v="265-877"/>
        <s v="385912240766"/>
        <s v="385912244189"/>
        <s v="385912524419"/>
        <s v="385915058109"/>
        <s v="385919845267"/>
        <s v="385919845267&#10;"/>
        <s v="38598302567"/>
        <s v="38598845215"/>
        <s v="385994988065"/>
        <s v="385998227236"/>
        <m/>
      </sharedItems>
    </cacheField>
    <cacheField name="e-mail" numFmtId="0">
      <sharedItems containsBlank="1" count="149">
        <s v=" dkuzic@fpz.unizg.hr"/>
        <s v="adomazet@gradst.hr"/>
        <s v="aljosa.brajdic@apuri.uniri.hr"/>
        <s v="amaderic@vguk.hr"/>
        <s v="andrija.levanic@fsb.unizg.hr"/>
        <s v="andrija.ljubicic@fdmz.hr&#10;"/>
        <s v="ante@kifst.hr"/>
        <s v="antonija.zaja@unist.hr&#10;petra.musap@unist.hr"/>
        <s v="avukelic@pbf.hr"/>
        <s v="barbara.sestan@uniri.hr&#10;"/>
        <s v="bbakaric@pravos.hr"/>
        <s v="bbeker@ffzg.hr"/>
        <s v="bkolman@unin.hr"/>
        <s v="branimir.dzaja@umas.hr"/>
        <s v="broncevic@nsk.hr"/>
        <s v="bruzic@uniri.hr"/>
        <s v="btovjanin@mefos.hr"/>
        <s v="damir.kovacevic@efos.hr"/>
        <s v="daniel.maratovic@riteh.uniri.hr"/>
        <s v="danka.jurjevic@uniri.hr"/>
        <s v="danka.jurjevic@uniri.hr&#10;aleksandar.zivanovic@uniri.hr"/>
        <s v="dante@efst.hr"/>
        <s v="dario@sfzg.hr"/>
        <s v="darko.sprem@gfv.hr"/>
        <s v="davor.mijolovic@fthm.hr"/>
        <s v="davor.pintar@dekanat.pmf.hr"/>
        <s v="daxmann@efzg.hr"/>
        <s v="denis.hernaut@fer.hr"/>
        <s v="djani@ttf.hr&#10;"/>
        <s v="dknezic@fhs.unizg.hr"/>
        <s v="dkukuljan@unipu.hr"/>
        <s v="dlulic@unisb.hr"/>
        <s v="dmarcek@ptfos.hr"/>
        <s v="domagoj@ktf-split.hr"/>
        <s v="doris.knego@pmfst.hr"/>
        <s v="dstrk@fkz.hr"/>
        <s v="dtadic@veleri.hr"/>
        <s v="eflatz@arhitekt.hr"/>
        <s v="elvis.zic@uniri.hr"/>
        <s v="enes.cirikovic@vuv.hr"/>
        <s v="filip.samoscanec@tvz.hr&#10;"/>
        <s v="goran.hoic@alu.unizg.hr"/>
        <s v="helpdesk@mefst.hr"/>
        <s v="hrvoje.matesic@tvz.hr&#10;filip.samoscanec@tvz.hr"/>
        <s v="idelistov@unizd.hr&#10;"/>
        <s v="Igor.bilandzic@vevu.hr"/>
        <s v="igor.paljug@tvz.hr&#10;"/>
        <s v="igor@fkit.hr"/>
        <s v="informatika.zagreb@ufzg.hr"/>
        <s v="informatika.zagreb@ufzg.hr&#10;igor.salamun@ufzg.hr"/>
        <s v="inimac@unizd.hr"/>
        <s v="inimac@unizd.hr&#10;idelistov@unizd.hr"/>
        <s v="inimac@unizd.hr&#10;idelistov@unizd.hr&#10;inimac@unizd.hr"/>
        <s v="irebekic@fazos.hr"/>
        <s v="ireponj@ftrr.hr"/>
        <s v="isetin@adu.hr"/>
        <s v="ivan.cerovec@erf.unizg.hr"/>
        <s v="ivan.rajkovic@tvz.hr"/>
        <s v="ivan.rajkovic@tvz.hr&#10;"/>
        <s v="ivan.rajkovic@tvz.hr&#10;nenad.habek@tvz.hr&#10;filip.samoscanec@tvz.hr&#10;igor.paljug@tvz.hr&#10;barbara.idzan@tvz.hr"/>
        <s v="jasenko.mandura@uniri.hr&#10;aleksandar.zivanovic@uniri.hr"/>
        <s v="jasmin.celic@uniri.hr"/>
        <s v="jmihanovic@agr.hr"/>
        <s v="jserajlic@vus.hr"/>
        <s v="juraj.saratlija@pravst.hr"/>
        <s v="kkurilj@foozos.hr"/>
        <s v="kpinjatel22@unizd.hr"/>
        <s v="kreso@gfos.hr"/>
        <s v="kristian.dosen@fpzg.hr"/>
        <s v="krunoslav.fuckor@pravo.hr&#10;lada.uzorinac@pravo.hr"/>
        <s v="krunoslav.komugovic@pmf.hr"/>
        <s v="leida.rizvan@unist.hr&#10;"/>
        <s v="leida.rizvan@unist.hr&#10;dalibor.bulic@fzz.unist.hr&#10;maja.krzelj@more.unist.hr&#10;pradonic@medils.unist.hr&#10;ivan.vuko@svkst.hr"/>
        <s v="leida.rizvan@unist.hr&#10;dalibor.bulic@fzz.unist.hr&#10;petra.musap@unist.hr"/>
        <s v="leida.rizvan@unist.hr&#10;marin@oss.unist.hr"/>
        <s v="luka.cvenic@aukos.hr"/>
        <s v="maharjac@foi.unizg.hr"/>
        <s v="maja.krzelj@more.unist.hr&#10;marin@oss.unist.hr&#10;itavra@unist.hr&#10;petra.musap@unist.hr&#10;msalinovic@unist.hr"/>
        <s v="marijan.galjar@rgn.hr"/>
        <s v="marijo.senicic@geof.unizg.hr"/>
        <s v="marin.ivanisic@djkbf.hr"/>
        <s v="marin.speranda@caas.unizg.hr"/>
        <s v="marin@oss.unist.hr&#10;dalibor.bulic@fzz.unist.hr&#10;petra.musap@unist.hr"/>
        <s v="mario.miloloza@ferit.hr"/>
        <s v="marko.maricevic@grf.hr"/>
        <s v="marko.roza@uniri.hr"/>
        <s v="marko.roza@uniri.hr&#10;jasenko.mandura@uniri.hr"/>
        <s v="marko.stedul@vuka.hr"/>
        <s v="mate.galic@pharma.unizg.hr"/>
        <s v="matija.karapetric@kifos.hr"/>
        <s v="mdakic@geog.pmf.hr&#10;"/>
        <s v="mika@ffrz.hr"/>
        <s v="mirza.zizak@mef.hr"/>
        <s v="mmestrovic@veleknin.hr"/>
        <s v="mpilic@forenzika.unist.hr, jcrnjac@forenzika.unist.hr&#10;dalibor.bulic@fzz.unist.hr&#10;maja.krzelj@more.unist.hr&#10;ivan.vuko@svkst.hr&#10;marin@oss.unist.hr&#10;pradonic@medils.unist.hr&#10;itavra@unist.hr&#10;petra.musap@unist.hr"/>
        <s v="mpilic@forenzika.unist.hr, jcrnjac@forenzika.unist.hr&#10;maja.krzelj@more.unist.hr&#10;marin@oss.unist.hr&#10;romaldo.singolo@pfst.hr, dbartulovic@pfst.hr"/>
        <s v="mpilic@forenzika.unist.hr, jcrnjac@forenzika.unist.hr&#10;msalinovic@unist.hr"/>
        <s v="mprahin@arhitekt.hr"/>
        <s v="mprahin@arhitekt.hr&#10;"/>
        <s v="msutalo@sumfak.hr"/>
        <s v="mvicic@velegs-nikolatesla.hr"/>
        <s v="nikola.barba@unicath.hr"/>
        <s v="nikola.kaniski@vhzk.hr"/>
        <s v="nikola.kaniski@vhzk.hr&#10;stjepan.salkovic@vhzk.hr"/>
        <s v="nmarijanovic@unin.hr"/>
        <s v="nmarijanovic@unin.hr&#10;bkolman@unin.hr"/>
        <s v="ntomisic@fdmri.uniri.hr linda.petricic@fdmri.uniri.hr"/>
        <s v="ntomisic@fdmri.uniri.hr linda.petricic@fdmri.uniri.hr&#10;danka.jurjevic@uniri.hr"/>
        <s v="ntomisic@fdmri.uniri.hr linda.petricic@fdmri.uniri.hr&#10;marko.roza@uniri.hr"/>
        <s v="oswald@unios.hr"/>
        <s v="oswald@unios.hr&#10;"/>
        <s v="oswald@unios.hr&#10;tbunjevac@fizika.unios.hr"/>
        <s v="oswald@unios.hr&#10;tbunjevac@fizika.unios.hr&#10;tsajatovic@kemija.unios.hr"/>
        <s v="ozren.digula@zvu.hr, kristijan.zbiljski@zvu.hr"/>
        <s v="petar@mathos.hr"/>
        <s v="petra.musap@unist.hr"/>
        <s v="petra.musap@unist.hr&#10;"/>
        <s v="pmaric@unist.hr"/>
        <s v="pmaric@unist.hr&#10;petra.musap@unist.hr"/>
        <s v="pmaric@unist.hr&#10;petra.musap@unist.hr&#10;msalinovic@unist.hr"/>
        <s v="pmarko@vef.unizg.hr"/>
        <s v="pmitrovic@muza.hr"/>
        <s v="predrag.sinko@sois-ft.hr"/>
        <s v="rade.lukic@fdmz.hr"/>
        <s v="romi@pfst.hr"/>
        <s v="sead.berberovic@grad.unizg.hr"/>
        <s v="slaven@ffst.hr"/>
        <s v="sljivic@simet.hr"/>
        <s v="sloncaric@pravri.uniri.hr"/>
        <s v="stipe.gorenjak@kif.unizg.hr"/>
        <s v="stjepan.salkovic@vhzk.hr"/>
        <s v="stjepo.hladilo@unidu.hr"/>
        <s v="svlahovic@unizg.hr&#10;"/>
        <s v="svlahovic@unizg.hr&#10;marin.speranda@caas.unizg.hr"/>
        <s v="taras.barscevski@kbf.unizg.hr"/>
        <s v="tbunjevac@fizika.unios.hr"/>
        <s v="tbunjevac@fizika.unios.hr&#10;oswald@unios.hr"/>
        <s v="tedi.kolanovic@efri.uniri.hr"/>
        <s v="teo.brusic@medri.uniri.hr&#10;zoran.vucinic@medri.uniri.hr"/>
        <s v="teo.brusic@medri.uniri.hr, zoran.vucinic@medri.uniri.hr&#10;Sanjin.kucar@kbc-rijeka.hr"/>
        <s v="torba@fesb.hr"/>
        <s v="tsajatovic@kemija.unios.hr"/>
        <s v="tsajatovic@kemija.unios.hr&#10;tbunjevac@fizika.unios.hr&#10;oswald@unios.hr"/>
        <s v="vedran.curkovic@uniri.hr"/>
        <s v="zadamovic@unizd.hr"/>
        <s v="zhrebak@mev.hr"/>
        <s v="zmatas@kbf-st.hr"/>
        <s v="zoli@ffos.hr"/>
        <m/>
      </sharedItems>
    </cacheField>
    <cacheField name="Matična adresa" numFmtId="0">
      <sharedItems containsBlank="1" count="98">
        <s v="Aleja Narodnih Heroja 3"/>
        <s v="Avenija Gojka Šuška 1"/>
        <s v="Borongajska Cesta 83D"/>
        <s v="Borongajska Cesta 83F"/>
        <s v="Braće Branchetta 20"/>
        <s v="Branitelja Dubrovnika 41"/>
        <s v="Crkvena Ulica 21"/>
        <s v="Cvite Fiskovića 5"/>
        <s v="Drinska 16A"/>
        <s v="Franje Kuhača 18"/>
        <s v="Getaldićeva Ulica 2"/>
        <s v="Gundulićeva Ulica 5"/>
        <s v="Hahlić 6"/>
        <s v="Hallerova Aleja 7"/>
        <s v="Horvaćanski Zavoj 15"/>
        <s v="Horvatovac 102A"/>
        <s v="Ilica 244B"/>
        <s v="Ilica 256B"/>
        <s v="Ilica 85"/>
        <s v="Ivana Filipovića 4"/>
        <s v="Ivana Meštrovića 10"/>
        <s v="Jordanovac 110"/>
        <s v="Kačićeva Ulica 26"/>
        <s v="Krešimirova 30"/>
        <s v="Matice Hrvatske 15"/>
        <s v="Mlinarska Cesta 38"/>
        <s v="P. Preradovića 17"/>
        <s v="Pavlinska Ulica 2"/>
        <s v="Pierottijeva Ulica 6"/>
        <s v="Poljička Cesta 35"/>
        <s v="Prilaz Baruna Filipovića 28A"/>
        <s v="Primorska 46"/>
        <s v="R. Boškovića 31"/>
        <s v="R. Boškovića 31, Split"/>
        <s v="R. Boškovića 31, Split&#10;"/>
        <s v="R. Boškovića 32"/>
        <s v="R. Boškovića 33"/>
        <s v="R. Boškovića 35"/>
        <s v="R. Boškovića 37"/>
        <s v="Šalata 3"/>
        <s v="Savska Cesta 77"/>
        <s v="Savska cesta 77, 10000 Zagreb"/>
        <s v="Šetalište Hrvatskog Narodnog Preporoda 6"/>
        <s v="Slavka Krautzeka 83"/>
        <s v="Šoltanska 2"/>
        <s v="Studentska 2"/>
        <s v="Svetošimunska Cesta 23"/>
        <s v="Svetošimunska Cesta 25"/>
        <s v="Sveučilišna Avenija 4"/>
        <s v="Sveučilišna Avenija 6"/>
        <s v="Teslina 6"/>
        <s v="Trg &quot;Ivana Brlić Mažuranić&quot; 2"/>
        <s v="Trg A. Hebranga 11"/>
        <s v="Trg Braće Mažuranića 10"/>
        <s v="Trg Dr. Žarka Dolinara 1"/>
        <s v="Trg Johna Fitzgeralda Kennedyja 6"/>
        <s v="Trg Ljudevita Gaja 6"/>
        <s v="Trg Ljudevita Gaja 7"/>
        <s v="Trg Marka Marulića 19"/>
        <s v="Trg Republike Hrvatske 12"/>
        <s v="Trg Republike Hrvatske 14"/>
        <s v="Trg Republike Hrvatske 5"/>
        <s v="Trg Sv. Trojstva 3"/>
        <s v="Trpimirova 2"/>
        <s v="Ul. Hrvatske Bratske Zajednice 4"/>
        <s v="Ulica Ante Kovačića 1"/>
        <s v="Ulica Bana Ivana Karlovića 16"/>
        <s v="Ulica Bana Josipa Jelačića 22A"/>
        <s v="Ulica Cara Hadrijana 10"/>
        <s v="Ulica Domovinskog Rata 8"/>
        <s v="Ulica Ivana Lepušića 6"/>
        <s v="Ulica Ivana Lučića 3"/>
        <s v="Ulica Ivana Lučića 5"/>
        <s v="Ulica Josipa Huttlera 4"/>
        <s v="Ulica Kneza Trpimira 2B"/>
        <s v="Ulica Kralja Petra Svačića 1F"/>
        <s v="Ulica Lavoslava Vukelića 4"/>
        <s v="Ulica Lorenza Jägera 9"/>
        <s v="Ulica Matije Gupca 78"/>
        <s v="Ulica Mihovila Pavlinovića 1"/>
        <s v="Ulica Milislava Demerca 1"/>
        <s v="Ulica Radmile Matejčić 3"/>
        <s v="Ulica Stjepana Radića 13"/>
        <s v="Ulica Vjekoslava Heinzela 55"/>
        <s v="Ulica Vladimira Preloga 1"/>
        <s v="Ulica Vladimira Preloga 3"/>
        <s v="Unska Ulica 3"/>
        <s v="Viktora Cara Emina 5"/>
        <s v="Vlaška Ulica 38"/>
        <s v="Vrbik 8"/>
        <s v="Vukovarska 17"/>
        <s v="Vukovarska 58"/>
        <s v="Zagrebačka 3"/>
        <s v="Zagrebačka Ulica 30"/>
        <s v="Zrinjsko-Frankopanska 19"/>
        <s v="Zrinsko-Frankopanska 19"/>
        <s v="Županijska 50"/>
        <m/>
      </sharedItems>
    </cacheField>
    <cacheField name="Adresa/e isporuke" numFmtId="0">
      <sharedItems containsBlank="1" count="186" longText="1">
        <s v=" Trg Ljudevita Gaja 6"/>
        <s v=" Trg Ljudevita Gaja 6 6 kom.&#10;Trg. Sv. Trojstva 3 2 kom."/>
        <s v="Alda Negrija 6, Pila"/>
        <s v="Ante Kovačića 1"/>
        <s v="Av. Gojka Šuška 1, Zagreb"/>
        <s v="Bana J. Jelačića 19A, Orahovica"/>
        <s v="Bijenička cesta 30"/>
        <s v="BLAGE ZADRE 2, VUKOVAR"/>
        <s v="Borongajska cesta 83a"/>
        <s v="Borongajska cesta 83d, Zagreb"/>
        <s v="Branitelja Dubrovnika 41, Dubrovnik"/>
        <s v="Branitelja Dubrovnika 41, Dubrovnik 2 kom.&#10;Ćira Carića 4, Dubrovnik 5 kom."/>
        <s v="Branitelja Dubrovnika 41, Dubrovnik 3 kom.&#10;Ćira Carića 4, Dubrovnik 1 kom.&#10;Lapadska obala Nojka Marinovića 7, Dubrovnik 2 kom."/>
        <s v="Branitelja Dubrovnika 41, Dubrovnik 7 kom.&#10;Lapadska obala Nojka Marinovića 7, Dubrovnik 2 kom."/>
        <s v="Cara Hadrijana 10, 31 000 Osijek – NASTAVNA ZGRADA"/>
        <s v="Cara Hadrijana 10b, Osijek"/>
        <s v="Cara Hadrijana 8/A"/>
        <s v="Cara Hadrijana 8/A 1 kom.&#10; Trg Ljudevita Gaja 6. 1 kom.&#10;Trg Sv. Trojstva 3. 1 kom."/>
        <s v="Ćira Carića 4, Dubrovnik"/>
        <s v="Crkvena 21"/>
        <s v="Cvite Fiskovića 5, Split"/>
        <s v="Domagojeva 2"/>
        <s v="Domovinskog rata 8, Split"/>
        <s v="Don Frana Bulića 4, 20000 Dubrovnik (CAAS)"/>
        <s v="Dr. A. Starčevića 12, 53000 Gospić"/>
        <s v="Dr. Franje Tuđmana 24, 23000 Zadar "/>
        <s v="Drinska 16a, 31000 Osijek"/>
        <s v="Drinska 16a, 31000 Osijek&#10;Woodrova Wilsona 2, 31000 Osijek"/>
        <s v="Drinska 16a, 31000 Osijek 2 kom.&#10;Woodrova Wilsona 2, 31000 Osijek 1 kom."/>
        <s v="F. Kuhača 18"/>
        <s v="Fausta Vrančića 17A"/>
        <s v="Fausta Vrančića 19"/>
        <s v="Franjevački put 1, Makarska&#10;Ruđera Boškovića 33, Split"/>
        <s v="Frankopanska 12"/>
        <s v="Frankopanska 22, Zagreb"/>
        <s v="Getaldićeva 2, Zagreb"/>
        <s v="Glagoljaška 18a, Gripe"/>
        <s v="Glagoljaška 18a, Gripe&#10;Fausta Vrančića 19"/>
        <s v="Gundulićeva 5, Zagreb"/>
        <s v="Hahlić 6, Rijeka"/>
        <s v="Hallerova aleja 7, Varaždin"/>
        <s v="Holjevčeva 15"/>
        <s v="Horvaćanski zavoj 15"/>
        <s v="Horvatovac 102A"/>
        <s v="Hrvojeva 2, samo isporuka nema montaže"/>
        <s v="Ilica 244, 10000 Zagreb"/>
        <s v="Ilica 256B, obj. 58"/>
        <s v="Ilica 85"/>
        <s v="Ilica 85  5 kom. &#10;Zamenhofova 14 1 kom."/>
        <s v="Ivana Filipovića 4"/>
        <s v="Ivana Lučića 3"/>
        <s v="Ivana Lučića 3, Zagreb"/>
        <s v="Ivana Lučića 5 (istočna zgrada)"/>
        <s v="J. J. Strossmayera 9"/>
        <s v="J. Knifera 1 ( bivša K.P. Svačića 1/f, Osijek)"/>
        <s v="Jordanovac 110"/>
        <s v="Josipa Huttlera 4"/>
        <s v="Kačićeva 26"/>
        <s v="Kačićeva 26, 10000 Zagreb"/>
        <s v="Kačićeva 26, Zagreb"/>
        <s v="Kneza Trpimira 2b, Osijek"/>
        <s v="Kneza Trpimira 2b, Osijek 2 kom.&#10;Cara Hadrijana 10b, Osijek 1 kom."/>
        <s v="Konavoska 2"/>
        <s v="Kopilica 21, Split 1 kom.&#10;Ruđera Boškovića 35, Split¸ 1 kom.&#10;Poljana kraljice Jelene 1, Split  1 kom."/>
        <s v="Krešimirova 20, Knin"/>
        <s v="Krešimirova 30, Knin"/>
        <s v="Krešimirova 40/42, 51000 Rijeak"/>
        <s v="Krešimirova 40/42, 51000 Rijeak 3 kom.&#10;Radmile Matejčić 2; 51000 Rijeka 7 kom."/>
        <s v="Krešimirova 40/42, 51000 Rijeak 7 kom.&#10;Radmile Matejčić 2; 51000 Rijeka 3 kom."/>
        <s v="Lepušićeva 6, 10000 Zagreb"/>
        <s v="Marulićev trg 19,  Zagreb"/>
        <s v="Matice hrvatske 15, 21000 Split"/>
        <s v="Matije Gupca 24"/>
        <s v="Matije Gupca 78, 33000 Virovitica"/>
        <s v="Milislava Demerca 1, 48260 Križevci"/>
        <s v="Mlinarska cesta 38"/>
        <s v="NSK - Ul. Hrvatske Bratske Zajednice 4"/>
        <s v="Obala kralja Petra Krešimira IV. Br. 2, 23000 Zadar"/>
        <s v="Obala kralja Petra Krešimira IV. Br. 2, 23000 Zadar 1 kom.&#10;Dr. Franje Tuđmana 24, 23000 Zadar 1 kom."/>
        <s v="Obala kralja Petra Krešimira IV. Br. 2, 23000 Zadar 2 kom.&#10;Dr. Franje Tuđmana 24, 23000 Zadar 1 kom.&#10;Mihovila Pavlinovića 1, 23000 Zadar 1 kom."/>
        <s v="Obala kralja Petra Krešimira IV. Br. 2, 23000 Zadar, ID-215"/>
        <s v="Pavlinska ulica 2, Varaždin"/>
        <s v="Petra Preradovića 17, Đakovo"/>
        <s v="Pierottijeva 6"/>
        <s v="Poljana kraljice Jelene 1, Split"/>
        <s v="Poljička cesta 35"/>
        <s v="Preradovićeva 30, Pula"/>
        <s v="Prilaz baruna Filipovića 28a"/>
        <s v="Primorska 46, 51410  Opatija"/>
        <s v="R. Boškovića 32, 21000 Split"/>
        <s v="R. Boškovića 35"/>
        <s v="Radmile Matejčić 2; 51000 Rijeka"/>
        <s v="Radmile Matejčić 2; 51000 Rijeka&#10;Trg braće Mažuranića 10; 51000 Rijeka"/>
        <s v="Radmile Matejčić 2; 51000 Rijeka "/>
        <s v="Radmile Matejčić 2; 51000 Rijeka  "/>
        <s v="Radmile Matejčić 2; 51000 Rijeka 2 kom.&#10;Palača Moise; Zagrad 6; 51557 Cres 1 kom."/>
        <s v="Rijeka, B. Branchetta 20"/>
        <s v="Rijeka, B. Branchetta 20&#10;ima dva kontakta nije greška, jedna je adresa"/>
        <s v="Rijeka, B. Branchetta 20 4 kom.&#10;KBCRI lokacija Rijeka, 1 komad"/>
        <s v="Ruđera Boškovića 31, Split"/>
        <s v="Ruđera Boškovića 31, Split&#10;Poljana kraljice Jelene 1, Split"/>
        <s v="Ruđera Boškovića 31, Split  1 kom.&#10;Kopilica 21, Split 1 kom."/>
        <s v="Ruđera Boškovića 31, Split 1 kom.&#10;Kopilica 21, Split  1 kom.&#10;Zrinsko Frankopanska 38, Split 1 kom.&#10;Poljana kraljice Jelene 1, Split  2 kom.&#10;Franjevački put 1, Makarska  1 kom."/>
        <s v="Ruđera Boškovića 31, Split 1 kom.&#10;Poljana kraljice Jelene 1, Split  2 kom.&#10;Franjevački put 1, Makarska  1 kom."/>
        <s v="Ruđera Boškovića 31, Split 1 kom.&#10;Poljana kraljice Jelene 1, Split  3 kom."/>
        <s v="Ruđera Boškovića 31, Split 2 kom.&#10;Poljana kraljice Jelene 1, Split  3 kom.&#10;Franjevački put 1, Makarska  1 kom."/>
        <s v="Ruđera Boškovića 31, Split 2 kom.&#10;Ruđera Boškovića 35, Split 1 kom.&#10;Ruđera Boškovića 31, Split, 1 kom.&#10;Meštrovićevo šetalište 45, Split 1 kom.&#10;Ruđera Boškovića 31, Split, 1 kom."/>
        <s v="Ruđera Boškovića 31, Split¸ 4 kom.&#10;Ruđera Boškovića 35, Split¸ 1 kom.&#10;Poljana kraljice Jelene 1, Split  1 kom."/>
        <s v="Ruđera Boškovića 33"/>
        <s v="Ruđera Boškovića 33, Split  2 kom.&#10;Ruđera Boškovića 35, Split 1 kom.&#10;Ruđera Boškovića 37, Split  2 kom.&#10;Ruđera Boškovića 31, Split, 1 kom.&#10;Kopilica 21, Split  1 kom.&#10;Meštrovićevo šetalište 45, Split  1 kom.&#10;Zrinsko Frankopanska 38, Split  1 kom.&#10;Poljana kraljice Jelene 1, Split  1 kom."/>
        <s v="Ruđera Boškovića 33, Split 3 kom.&#10;Ruđera Boškovića 37, Split 3 kom.&#10;Kopilica 21, Split 4 kom.&#10;Ruđera Boškovića 33, Split 2 kom."/>
        <s v="Ruđera Boškovića 37, Split"/>
        <s v="Šalata 2"/>
        <s v="Savska cesta 41, zgrada Zagrepčanka, 2.kat"/>
        <s v="Savska cesta 77, 10000 Zagreb"/>
        <s v="Savska cesta 77, 10000 Zagreb&#10;Ul. dr. Ante Starčevića 55, 40000, Čakovec"/>
        <s v="Šetalište hrv. nar. prep. 6 (SŠ  Krapina)"/>
        <s v="Sisak, Aleja narodnih heroja 3"/>
        <s v="Slavka Krautzeka 83, 51000 Rijeka"/>
        <s v="Šoltanska 2A, Split"/>
        <s v="Stjepana Radića 13"/>
        <s v="Stjepana Radića 17"/>
        <s v="Studentska 2"/>
        <s v="Svetošimunska 25"/>
        <s v="Svetošimunska cesta 23"/>
        <s v="Sveučilišna avenija 4, 51000 Rijeka"/>
        <s v="Sveučilišna Avenija 6"/>
        <s v="Teslina 10"/>
        <s v="Teslina 12"/>
        <s v="Trg Andrije Hebrang 11, 22000 Šibenik"/>
        <s v="Trg braće Mažuranića 10; 51000 Rijeka 3 kom.&#10;Palača Moise; Zagrad 6; 51557 Cres 2 kom."/>
        <s v="Trg dr. Žarka dolinara 1, Koprivnica"/>
        <s v="Trg dr. Žarka dolinara 1, Koprivnica   1 kom.&#10;Ulica Jurja Križanića 31b, Varaždin  1 kom."/>
        <s v="Trg dr. Žarka dolinara 1, Koprivnica  1 kom.&#10;Ulica 104 brigade 3, VŽ  2 kom."/>
        <s v="Trg dr. Žarka dolinara 1, Koprivnica  3 kom.&#10;Ulica 104 brigade 3, VŽ  3 kom."/>
        <s v="Trg dr. Žarka dolinara 1, Koprivnica  4 kom.&#10;Ulica 104 brigade 3, VŽ  4 kom."/>
        <s v="Trg dr. Žarka dolinara 1, Koprivnica 8 kom.&#10;Ulica 104 brigade 3, VŽ 5 kom."/>
        <s v="Trg I.B.Mažuranić 2"/>
        <s v="Trg J.F. Kennedyja 6"/>
        <s v="Trg kneza Višeslava 9, 23000 Zadar"/>
        <s v="Trg Lj. Gaja 6, Osijek"/>
        <s v="Trg Ljudevita Gaja 7, Osijek"/>
        <s v="Trg Marka Marulića 19/II"/>
        <s v="Trg Marka Marulića 20, Zagreb, podrum"/>
        <s v="Trg Republike Hrvatske 12"/>
        <s v="Trg Republike Hrvatske 5&#10;Frankopanska 22"/>
        <s v="Trg Republike Hrvatske 5, Zagreb"/>
        <s v="Trg Republike Hrvatske 5, Zagreb&#10;Frankopanska 22, Zagreb"/>
        <s v="Trg S. Radića 8"/>
        <s v="Trg S. Radića 8&#10;Šetalište hrv. nar. prep. 6 (SŠ  Krapina)"/>
        <s v="Trg Sv. Trojstva 3, Osijek"/>
        <s v="Trg. Sv. Trojstva 3"/>
        <s v="Trg. Sv. Trojstva 3  3 kom.&#10;Trg Ljudevita Gaja 6  4 kom.&#10;Cara Hadrijana 8/A  3 kom. "/>
        <s v="Trg. Sv. Trojstva 3  4 kom.&#10;Trg Ljudevita Gaja 6  1 kom."/>
        <s v="Trg. Sv. Trojstva 3."/>
        <s v="Ul. bana Josipa Jelačića 22a"/>
        <s v="Ulica 104 brigade 3, VŽ"/>
        <s v="Ulica 108. brigade ZNG 32"/>
        <s v="Ulica 108. brigade ZNG 36"/>
        <s v="Ulica bana Ivana Karlovića 16"/>
        <s v="Ulica Lorenza Jägera 9"/>
        <s v="Ulica Petra Preradovića 15, Varaždin"/>
        <s v="Ulica Radmile Matejčić 3, 51000 Rijeka"/>
        <s v="Ulica Radoslava Cimermana 88, 10000 Zagreb"/>
        <s v="Ulica Radoslava Cimermana 88, 10000 Zagreb&#10;"/>
        <s v="Ulica Radoslava Cimermana 88, 10000 Zagreb&#10;Don Frana Bulića 4, 20000 Dubrovnik (CAAS)"/>
        <s v="Ulica Radoslava Cimermana 88, 10000 Zagreb 2 kom.&#10;Don Frana Bulića 4, 20000 Dubrovnik (CAAS) 1 kom."/>
        <s v="Ulica Vjekoslava Heinzela 55, 10000 Zagreb"/>
        <s v="Ulica Vladimira Preloga 3, 31000, Osijek"/>
        <s v="Unin 3 - Ulica Jurja Križanića 31 b, VŽ"/>
        <s v="Viktora Cara Emina 5"/>
        <s v="Vladimira Preloga 1, 31000 Osijek"/>
        <s v="Vlaška 38"/>
        <s v="Vrbik 8"/>
        <s v="Vrbik 8 2 kom.&#10;Borongajska 83E 1 kom.&#10;Konavoska 2 1 kom.&#10;Holjevčeva 15 1 kom.&#10;Brozova 6a 1 kom."/>
        <s v="Vrbik 8 5 kom&#10;Konavoska 2  5 kom. "/>
        <s v="Vukovarska 17, Požega"/>
        <s v="Vukovarska 39, Zagreb"/>
        <s v="Vukovarska 39, Zagrebž"/>
        <s v="Vukovarska 58, HR-51000 Rijeka"/>
        <s v="Vukovarska 58, Rijeka"/>
        <s v="Zagreb, Borongajska c.83f"/>
        <s v="Zagrebačka 3&#10;Glagoljaška 18a, Gripe"/>
        <s v="Zrinjsko-Frankopanska 19, Split"/>
        <s v="Zrinsko-Frankopanska 19, Split"/>
        <m/>
      </sharedItems>
    </cacheField>
    <cacheField name="OIB" numFmtId="0">
      <sharedItems containsBlank="1" count="97">
        <s v="10839679016"/>
        <s v="11614501047"/>
        <s v="1338491514"/>
        <s v="13664089430"/>
        <s v="14509285435"/>
        <s v="16146181375"/>
        <s v="16214165873"/>
        <s v="16465214888"/>
        <s v="18422925218"/>
        <s v="19213484918"/>
        <s v="2024882310"/>
        <s v="20858497843"/>
        <s v="21720825730"/>
        <s v="22910368449"/>
        <s v="24624257529"/>
        <s v="25329931628"/>
        <s v="25410051374"/>
        <s v="25564990903"/>
        <s v="26093119930"/>
        <s v="26416570803"/>
        <s v="26975482530"/>
        <s v="27208467122"/>
        <s v="28011548575"/>
        <s v="28082679513"/>
        <s v="28163265527"/>
        <s v="2879747067"/>
        <s v="29573709870"/>
        <s v="29845096215"/>
        <s v="31444990605"/>
        <s v="33027834374"/>
        <s v="34967762426"/>
        <s v="3541568700"/>
        <s v="36149548625"/>
        <s v="36162371878"/>
        <s v="36389528408"/>
        <s v="36612267447"/>
        <s v="36752094474"/>
        <s v="38583303160"/>
        <s v="38960125358"/>
        <s v="4150850819"/>
        <s v="42061107444"/>
        <s v="42552392522"/>
        <s v="43097527965"/>
        <s v="43594593297"/>
        <s v="43767699965"/>
        <s v="45001686598"/>
        <s v="46319717480"/>
        <s v="46576407858"/>
        <s v="47824453867"/>
        <s v="48006703414"/>
        <s v="48987767944"/>
        <s v="50952646228"/>
        <s v="52097842295"/>
        <s v="52778515544"/>
        <s v="5384220316"/>
        <s v="55704161999"/>
        <s v="56597320763"/>
        <s v="57029260362"/>
        <s v="57848936921"/>
        <s v="58868871646"/>
        <s v="59624928052"/>
        <s v="60277424315"/>
        <s v="61727512157"/>
        <s v="61738073226"/>
        <s v="62820859976"/>
        <s v="62924153420"/>
        <s v="64218323816"/>
        <s v="70221464726"/>
        <s v="70505505759"/>
        <s v="70788591483"/>
        <s v="71259740533"/>
        <s v="72226488129"/>
        <s v="75480885018"/>
        <s v="76023745044"/>
        <s v="76722145702"/>
        <s v="7699719217"/>
        <s v="7730927366"/>
        <s v="78808975734"/>
        <s v="83615500218"/>
        <s v="83830458507"/>
        <s v="84477684422"/>
        <s v="857144221"/>
        <s v="85799845149"/>
        <s v="8814003451"/>
        <s v="90633715804"/>
        <s v="92037849504"/>
        <s v="95494259952"/>
        <s v="95847257607"/>
        <s v="96371000697"/>
        <s v="96996385705"/>
        <s v="98004523293"/>
        <s v="98164324541"/>
        <s v="98816779821"/>
        <s v="99401575594"/>
        <s v="99454315441"/>
        <s v="99534693762"/>
        <m/>
      </sharedItems>
    </cacheField>
    <cacheField name="Isporuka na lokaciju " numFmtId="0">
      <sharedItems containsNonDate="0" containsDate="1" containsString="0" containsBlank="1" minDate="2026-03-23T00:00:00" maxDate="2026-05-25T00:00:00" count="10">
        <d v="2026-03-23T00:00:00"/>
        <d v="2026-03-30T00:00:00"/>
        <d v="2026-04-07T00:00:00"/>
        <d v="2026-04-13T00:00:00"/>
        <d v="2026-04-20T00:00:00"/>
        <d v="2026-04-27T00:00:00"/>
        <d v="2026-05-11T00:00:00"/>
        <d v="2026-05-18T00:00:00"/>
        <d v="2026-05-25T00:00:00"/>
        <m/>
      </sharedItems>
    </cacheField>
    <cacheField name="Montaža&#10;start" numFmtId="0">
      <sharedItems containsNonDate="0" containsDate="1" containsString="0" containsBlank="1" minDate="1900-01-06T00:00:00" maxDate="2026-05-04T00:00:00" count="4">
        <d v="1900-01-06T00:00:00"/>
        <d v="2026-04-14T00:00:00"/>
        <d v="2026-05-04T00:00:00"/>
        <m/>
      </sharedItems>
    </cacheField>
    <cacheField name="Montaža&#10;finish" numFmtId="0">
      <sharedItems containsString="0" containsBlank="1" count="1">
        <m/>
      </sharedItems>
    </cacheField>
    <cacheField name="Instalacija " numFmtId="0">
      <sharedItems containsBlank="1" count="5">
        <s v="AVC"/>
        <s v="AVC/Senco"/>
        <s v="King"/>
        <s v="Senso"/>
        <m/>
      </sharedItems>
    </cacheField>
    <cacheField name="Održavanje " numFmtId="0">
      <sharedItems containsBlank="1" count="4">
        <s v="?"/>
        <s v="King"/>
        <s v="Senso"/>
        <m/>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cordCount="647" createdVersion="3">
  <cacheSource type="worksheet">
    <worksheetSource ref="B2:S649" sheet="G2_ planiranje"/>
  </cacheSource>
  <cacheFields count="18">
    <cacheField name="PPZ" numFmtId="0">
      <sharedItems containsBlank="1" count="6">
        <s v="1"/>
        <s v="Samo 318a 1"/>
        <s v="Samo 333a 1"/>
        <s v="Samo 362a, 362b 1"/>
        <s v="Samo 380b 1"/>
        <m/>
      </sharedItems>
    </cacheField>
    <cacheField name="ELO" numFmtId="0">
      <sharedItems containsBlank="1" containsMixedTypes="1" containsNumber="1" containsInteger="1" minValue="1" maxValue="632" count="632">
        <n v="1"/>
        <n v="2"/>
        <n v="5"/>
        <n v="6"/>
        <n v="7"/>
        <n v="8"/>
        <n v="9"/>
        <n v="11"/>
        <n v="12"/>
        <n v="13"/>
        <n v="14"/>
        <n v="15"/>
        <n v="16"/>
        <n v="17"/>
        <n v="18"/>
        <n v="19"/>
        <n v="22"/>
        <n v="23"/>
        <n v="25"/>
        <n v="26"/>
        <n v="27"/>
        <n v="29"/>
        <n v="30"/>
        <n v="32"/>
        <n v="33"/>
        <n v="35"/>
        <n v="36"/>
        <n v="37"/>
        <n v="38"/>
        <n v="40"/>
        <n v="41"/>
        <n v="42"/>
        <n v="43"/>
        <n v="44"/>
        <n v="45"/>
        <n v="46"/>
        <n v="47"/>
        <n v="48"/>
        <n v="49"/>
        <n v="50"/>
        <n v="51"/>
        <n v="52"/>
        <n v="53"/>
        <n v="55"/>
        <n v="56"/>
        <n v="57"/>
        <n v="59"/>
        <n v="60"/>
        <n v="61"/>
        <n v="62"/>
        <n v="63"/>
        <n v="64"/>
        <n v="65"/>
        <n v="66"/>
        <n v="67"/>
        <n v="69"/>
        <n v="70"/>
        <n v="71"/>
        <n v="72"/>
        <n v="73"/>
        <n v="74"/>
        <n v="75"/>
        <n v="76"/>
        <n v="77"/>
        <n v="78"/>
        <n v="80"/>
        <n v="81"/>
        <n v="82"/>
        <n v="84"/>
        <n v="85"/>
        <n v="86"/>
        <n v="87"/>
        <n v="89"/>
        <n v="90"/>
        <n v="91"/>
        <n v="94"/>
        <n v="96"/>
        <n v="97"/>
        <n v="98"/>
        <n v="100"/>
        <n v="101"/>
        <n v="102"/>
        <n v="103"/>
        <n v="105"/>
        <n v="108"/>
        <n v="109"/>
        <n v="110"/>
        <n v="111"/>
        <n v="112"/>
        <n v="113"/>
        <n v="114"/>
        <n v="115"/>
        <n v="118"/>
        <n v="119"/>
        <n v="120"/>
        <n v="121"/>
        <n v="122"/>
        <n v="123"/>
        <n v="124"/>
        <n v="126"/>
        <n v="127"/>
        <n v="128"/>
        <n v="130"/>
        <n v="132"/>
        <n v="134"/>
        <n v="135"/>
        <n v="136"/>
        <n v="137"/>
        <n v="139"/>
        <n v="140"/>
        <n v="141"/>
        <n v="142"/>
        <n v="143"/>
        <n v="144"/>
        <n v="145"/>
        <n v="146"/>
        <n v="147"/>
        <n v="149"/>
        <n v="150"/>
        <n v="151"/>
        <n v="153"/>
        <n v="155"/>
        <n v="156"/>
        <n v="157"/>
        <n v="158"/>
        <n v="159"/>
        <n v="160"/>
        <n v="161"/>
        <n v="162"/>
        <n v="165"/>
        <n v="168"/>
        <n v="169"/>
        <n v="170"/>
        <n v="171"/>
        <n v="172"/>
        <n v="173"/>
        <n v="174"/>
        <n v="175"/>
        <n v="176"/>
        <n v="177"/>
        <n v="178"/>
        <n v="179"/>
        <n v="180"/>
        <n v="181"/>
        <n v="183"/>
        <n v="184"/>
        <n v="185"/>
        <n v="187"/>
        <n v="188"/>
        <n v="189"/>
        <n v="191"/>
        <n v="192"/>
        <n v="193"/>
        <n v="194"/>
        <n v="195"/>
        <n v="196"/>
        <n v="198"/>
        <n v="199"/>
        <n v="200"/>
        <n v="203"/>
        <n v="204"/>
        <n v="206"/>
        <n v="207"/>
        <n v="208"/>
        <n v="209"/>
        <n v="210"/>
        <n v="211"/>
        <n v="213"/>
        <n v="214"/>
        <n v="215"/>
        <n v="218"/>
        <n v="220"/>
        <n v="221"/>
        <n v="222"/>
        <n v="223"/>
        <n v="224"/>
        <n v="225"/>
        <n v="227"/>
        <n v="228"/>
        <n v="229"/>
        <n v="231"/>
        <n v="232"/>
        <n v="233"/>
        <n v="234"/>
        <n v="235"/>
        <n v="236"/>
        <n v="237"/>
        <n v="238"/>
        <n v="239"/>
        <n v="240"/>
        <n v="241"/>
        <n v="242"/>
        <n v="243"/>
        <n v="244"/>
        <n v="245"/>
        <n v="246"/>
        <n v="247"/>
        <n v="248"/>
        <n v="250"/>
        <n v="251"/>
        <n v="252"/>
        <n v="253"/>
        <n v="254"/>
        <n v="255"/>
        <n v="256"/>
        <n v="257"/>
        <n v="259"/>
        <n v="260"/>
        <n v="261"/>
        <n v="264"/>
        <n v="265"/>
        <n v="267"/>
        <n v="268"/>
        <n v="269"/>
        <n v="270"/>
        <n v="271"/>
        <n v="272"/>
        <n v="273"/>
        <n v="275"/>
        <n v="276"/>
        <n v="277"/>
        <n v="278"/>
        <n v="279"/>
        <n v="280"/>
        <n v="281"/>
        <n v="282"/>
        <n v="283"/>
        <n v="284"/>
        <n v="285"/>
        <n v="287"/>
        <n v="288"/>
        <n v="289"/>
        <n v="290"/>
        <n v="291"/>
        <n v="292"/>
        <n v="293"/>
        <n v="294"/>
        <n v="295"/>
        <n v="296"/>
        <n v="297"/>
        <n v="298"/>
        <n v="299"/>
        <n v="300"/>
        <n v="301"/>
        <n v="302"/>
        <n v="303"/>
        <n v="304"/>
        <n v="305"/>
        <n v="306"/>
        <n v="307"/>
        <n v="309"/>
        <n v="310"/>
        <n v="311"/>
        <n v="312"/>
        <n v="313"/>
        <n v="314"/>
        <n v="316"/>
        <n v="317"/>
        <n v="320"/>
        <n v="321"/>
        <n v="322"/>
        <n v="323"/>
        <n v="324"/>
        <n v="325"/>
        <n v="326"/>
        <n v="327"/>
        <n v="328"/>
        <n v="329"/>
        <n v="330"/>
        <n v="332"/>
        <n v="334"/>
        <n v="335"/>
        <n v="337"/>
        <n v="338"/>
        <n v="339"/>
        <n v="340"/>
        <n v="341"/>
        <n v="342"/>
        <n v="343"/>
        <n v="344"/>
        <n v="345"/>
        <n v="346"/>
        <n v="347"/>
        <n v="348"/>
        <n v="349"/>
        <n v="350"/>
        <n v="352"/>
        <n v="353"/>
        <n v="354"/>
        <n v="355"/>
        <n v="356"/>
        <n v="357"/>
        <n v="358"/>
        <n v="359"/>
        <n v="360"/>
        <n v="361"/>
        <n v="364"/>
        <n v="365"/>
        <n v="366"/>
        <n v="367"/>
        <n v="368"/>
        <n v="369"/>
        <n v="370"/>
        <n v="371"/>
        <n v="372"/>
        <n v="373"/>
        <n v="375"/>
        <n v="377"/>
        <n v="378"/>
        <n v="379"/>
        <n v="381"/>
        <n v="382"/>
        <n v="383"/>
        <n v="385"/>
        <n v="386"/>
        <n v="387"/>
        <n v="388"/>
        <n v="389"/>
        <n v="390"/>
        <n v="391"/>
        <n v="392"/>
        <n v="393"/>
        <n v="394"/>
        <n v="395"/>
        <n v="396"/>
        <n v="397"/>
        <n v="398"/>
        <n v="399"/>
        <n v="400"/>
        <n v="401"/>
        <n v="402"/>
        <n v="403"/>
        <n v="404"/>
        <n v="405"/>
        <n v="406"/>
        <n v="407"/>
        <n v="408"/>
        <n v="409"/>
        <n v="410"/>
        <n v="411"/>
        <n v="413"/>
        <n v="414"/>
        <n v="415"/>
        <n v="417"/>
        <n v="418"/>
        <n v="419"/>
        <n v="420"/>
        <n v="421"/>
        <n v="422"/>
        <n v="423"/>
        <n v="424"/>
        <n v="425"/>
        <n v="426"/>
        <n v="427"/>
        <n v="428"/>
        <n v="429"/>
        <n v="431"/>
        <n v="432"/>
        <n v="433"/>
        <n v="435"/>
        <n v="436"/>
        <n v="438"/>
        <n v="439"/>
        <n v="441"/>
        <n v="442"/>
        <n v="443"/>
        <n v="444"/>
        <n v="445"/>
        <n v="447"/>
        <n v="448"/>
        <n v="449"/>
        <n v="450"/>
        <n v="451"/>
        <n v="452"/>
        <n v="453"/>
        <n v="454"/>
        <n v="455"/>
        <n v="456"/>
        <n v="457"/>
        <n v="458"/>
        <n v="459"/>
        <n v="460"/>
        <n v="461"/>
        <n v="462"/>
        <n v="463"/>
        <n v="464"/>
        <n v="465"/>
        <n v="466"/>
        <n v="467"/>
        <n v="468"/>
        <n v="469"/>
        <n v="470"/>
        <n v="471"/>
        <n v="472"/>
        <n v="473"/>
        <n v="474"/>
        <n v="476"/>
        <n v="477"/>
        <n v="478"/>
        <n v="479"/>
        <n v="480"/>
        <n v="481"/>
        <n v="482"/>
        <n v="483"/>
        <n v="485"/>
        <n v="486"/>
        <n v="487"/>
        <n v="489"/>
        <n v="491"/>
        <n v="492"/>
        <n v="493"/>
        <n v="494"/>
        <n v="495"/>
        <n v="496"/>
        <n v="497"/>
        <n v="498"/>
        <n v="499"/>
        <n v="500"/>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70"/>
        <n v="571"/>
        <n v="572"/>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s v="104a&#10;104b"/>
        <s v="106a&#10;106b&#10;106c&#10;106d&#10;106e"/>
        <s v="107a&#10;107b"/>
        <s v="10a&#10;10b"/>
        <s v="116a&#10;116b&#10;116c&#10;116d"/>
        <s v="117a&#10;117b"/>
        <s v="125a&#10;125b"/>
        <s v="129a&#10;129b"/>
        <s v="131a&#10;131b&#10;131c"/>
        <s v="133a&#10;133b&#10;133c&#10;133d"/>
        <s v="138a&#10;138b"/>
        <s v="152a&#10;152b"/>
        <s v="154a&#10;154b"/>
        <s v="163a&#10;163b"/>
        <s v="164 a&#10;164 b"/>
        <s v="166a&#10;166b"/>
        <s v="167a&#10;167b"/>
        <s v="182a&#10;182b&#10;182c&#10;182d"/>
        <s v="186&#10;"/>
        <s v="190a&#10;190b"/>
        <s v="197a&#10;197b&#10;197c&#10;197d&#10;197e&#10;197f"/>
        <s v="201a&#10;201b"/>
        <s v="202a&#10;202b"/>
        <s v="205a&#10;205b"/>
        <s v="20a&#10;20b"/>
        <s v="212a&#10;212b"/>
        <s v="216a&#10;216b"/>
        <s v="217a&#10;217b"/>
        <s v="219a&#10;219b&#10;219c&#10;219d"/>
        <s v="21a&#10;21b"/>
        <s v="226a&#10;226b"/>
        <s v="230a&#10;230b"/>
        <s v="249a&#10;249b&#10;249c&#10;249d"/>
        <s v="24a&#10;24b&#10;24c"/>
        <s v="258a&#10;258b&#10;258c&#10;258d&#10;258e&#10;258f"/>
        <s v="262a&#10;262b"/>
        <s v="263a&#10;263b"/>
        <s v="266a&#10;266b&#10;266c"/>
        <s v="274a&#10;274b"/>
        <s v="286a&#10;286b"/>
        <s v="28a&#10;28b&#10;28c&#10;28d"/>
        <s v="308a&#10;308b&#10;308c&#10;308d"/>
        <s v="315a&#10;315b&#10;315c&#10;315d"/>
        <s v="318a&#10;318b&#10;&#10;"/>
        <s v="319a&#10;319b"/>
        <s v="31a&#10;31b"/>
        <s v="331a&#10;331b&#10;331c&#10;331d"/>
        <s v="333a&#10;333b&#10;333c"/>
        <s v="336a&#10;336b&#10;336c&#10;"/>
        <s v="34a&#10;34b"/>
        <s v="351&#10;"/>
        <s v="362a&#10;362b&#10;362c&#10;362d"/>
        <s v="363a&#10;363b&#10;363c&#10;363d&#10;363e&#10;363f&#10;363g&#10;363h"/>
        <s v="374a&#10;374b"/>
        <s v="376a&#10;376b&#10;376c"/>
        <s v="380a&#10;380b&#10;"/>
        <s v="384a&#10;384b&#10;"/>
        <s v="39a&#10;39b&#10;39c"/>
        <s v="3a&#10;3b&#10;3c"/>
        <s v="412a&#10;412b"/>
        <s v="416a&#10;416b"/>
        <s v="430a&#10;430b"/>
        <s v="434a&#10;434b"/>
        <s v="437a&#10;437b&#10;437c"/>
        <s v="440a&#10;440b"/>
        <s v="446a&#10;446b"/>
        <s v="475a&#10;475b"/>
        <s v="484&#10;"/>
        <s v="488&#10;"/>
        <s v="490a&#10;490b"/>
        <s v="4a&#10;4b&#10;4c&#10;4d"/>
        <s v="501a&#10;501b"/>
        <s v="54a&#10;54b&#10;54c"/>
        <s v="569"/>
        <s v="573a&#10;573b"/>
        <s v="58a&#10;58b"/>
        <s v="68a&#10;68b&#10;68c"/>
        <s v="79a&#10;79b&#10;79c"/>
        <s v="83&#10;"/>
        <s v="88a&#10;88b&#10;88c"/>
        <s v="92a&#10;92b&#10;92c"/>
        <s v="93a&#10;93b"/>
        <s v="95a&#10;95b"/>
        <s v="99a&#10;99b"/>
        <m/>
      </sharedItems>
    </cacheField>
    <cacheField name="ID" numFmtId="0">
      <sharedItems containsBlank="1" count="98">
        <s v="113"/>
        <s v="121"/>
        <s v="122"/>
        <s v="125"/>
        <s v="130"/>
        <s v="131"/>
        <s v="132"/>
        <s v="133"/>
        <s v="136"/>
        <s v="137"/>
        <s v="138"/>
        <s v="140"/>
        <s v="141"/>
        <s v="146"/>
        <s v="147"/>
        <s v="149"/>
        <s v="150"/>
        <s v="151"/>
        <s v="152"/>
        <s v="153"/>
        <s v="154"/>
        <s v="158"/>
        <s v="161"/>
        <s v="163"/>
        <s v="165"/>
        <s v="168"/>
        <s v="169"/>
        <s v="170"/>
        <s v="172"/>
        <s v="173"/>
        <s v="174"/>
        <s v="177"/>
        <s v="180"/>
        <s v="181"/>
        <s v="182"/>
        <s v="184"/>
        <s v="185"/>
        <s v="186"/>
        <s v="187"/>
        <s v="188"/>
        <s v="1907"/>
        <s v="191"/>
        <s v="1918"/>
        <s v="1939"/>
        <s v="1944"/>
        <s v="1963"/>
        <s v="1972"/>
        <s v="198"/>
        <s v="199"/>
        <s v="202"/>
        <s v="203"/>
        <s v="205"/>
        <s v="206"/>
        <s v="208"/>
        <s v="210"/>
        <s v="214"/>
        <s v="215"/>
        <s v="219"/>
        <s v="221"/>
        <s v="222"/>
        <s v="232"/>
        <s v="245"/>
        <s v="250"/>
        <s v="267"/>
        <s v="275"/>
        <s v="281"/>
        <s v="290"/>
        <s v="316"/>
        <s v="3324"/>
        <s v="3340"/>
        <s v="3385"/>
        <s v="3409"/>
        <s v="3430"/>
        <s v="3482"/>
        <s v="3545"/>
        <s v="3554"/>
        <s v="3637"/>
        <s v="368"/>
        <s v="3689"/>
        <s v="3795"/>
        <s v="3927"/>
        <s v="3986"/>
        <s v="3990"/>
        <s v="4497"/>
        <s v="4589"/>
        <s v="4660"/>
        <s v="469"/>
        <s v="4914"/>
        <s v="4917"/>
        <s v="4919"/>
        <s v="530"/>
        <s v="536"/>
        <s v="5499"/>
        <s v="5713"/>
        <s v="5717"/>
        <s v="5769"/>
        <s v="6229"/>
        <m/>
      </sharedItems>
    </cacheField>
    <cacheField name="Tip opreme " numFmtId="0">
      <sharedItems count="17">
        <s v="Cjelovito rješenje za simultano prevođenje"/>
        <s v="Edukacijski set za obuku upravljanja dronom i zračnog snimanja"/>
        <s v="Hibridna multimedijska dvorana Tip-A"/>
        <s v="Hibridna multimedijska dvorana Tip-B"/>
        <s v="Hibridna multimedijska dvorana Tip-C"/>
        <s v="Multifunkcionalni sustav za udaljeno spajanje"/>
        <s v="Multimedijska oprema - Audio mikser "/>
        <s v="Multimedijska oprema - Eksterna kartica za prihvat i obradu video/audio signala "/>
        <s v="Multimedijska oprema - Interaktivni prezentacijski zaslon Tip-1"/>
        <s v="Multimedijska oprema - Interaktivni prezentacijski zaslon Tip-2"/>
        <s v="Multimedijska oprema - Motorizirani stalak za zaslone "/>
        <s v="Multimedijska oprema - OPS računalo "/>
        <s v="Multimedijska oprema - Prezentacijski ekran (s uključenim stalkom) "/>
        <s v="Multimedijska oprema - USB preklopnik "/>
        <s v="Multimedijska oprema - Video mikser "/>
        <s v="Multimedijska oprema - Zvučnici"/>
        <s v="Multimedijska oprema - Zvučnici "/>
      </sharedItems>
    </cacheField>
    <cacheField name="Ustanove" numFmtId="0">
      <sharedItems containsBlank="1" count="98">
        <s v="Agronomski fakultet"/>
        <s v="Akademija dramske umjetnosti"/>
        <s v="Akademija likovnih umjetnosti"/>
        <s v="Akademija primijenjenih umjetnosti"/>
        <s v="Akademija za umjetnost i kulturu u Osijeku"/>
        <s v="Arhitektonski fakultet"/>
        <s v="Edukacijsko-rehabilitacijski fakultet"/>
        <s v="Ekonomski fakultet - Zagreb"/>
        <s v="Ekonomski fakultet u Osijeku"/>
        <s v="Ekonomski fakultet u Splitu"/>
        <s v="Ekonomski fakultet, Rijeka"/>
        <s v="Fakultet agrobiotehničkih znanosti Osijek"/>
        <s v="Fakultet elektrotehnike i računarstva"/>
        <s v="Fakultet elektrotehnike, računarstva i informacijskih tehnologija Osijek"/>
        <s v="Fakultet elektrotehnike, strojarstva i brodogradnje u Splitu"/>
        <s v="Fakultet filozofije i religijskih znanosti"/>
        <s v="Fakultet građevinarstva, arhitekture i geodezije u Splitu"/>
        <s v="Fakultet hrvatskih studija"/>
        <s v="Fakultet kemijskog inženjerstva i tehnologije"/>
        <s v="Fakultet organizacije i informatike"/>
        <s v="Fakultet političkih znanosti"/>
        <s v="Fakultet primijenjene matematike i informatike"/>
        <s v="Fakultet prometnih znanosti"/>
        <s v="Fakultet strojarstva i brodogradnje"/>
        <s v="Fakultet šumarstva i drvne tehnologije"/>
        <s v="Fakultet turizma i ruralnog razvoja u Požegi"/>
        <s v="Fakultet za dentalnu medicinu i zdravstvo Osijek"/>
        <s v="Fakultet za menadžment u turizmu i ugostiteljstvu"/>
        <s v="Fakultet za odgojne i obrazovne znanosti"/>
        <s v="Fakultet zdravstvenih studija"/>
        <s v="Farmaceutsko - biokemijski fakultet"/>
        <s v="Filozofski fakultet Osijek"/>
        <s v="Filozofski fakultet u Rijeci"/>
        <s v="Filozofski fakultet u Splitu"/>
        <s v="Filozofski fakultet u Zagrebu"/>
        <s v="Geodetski fakultet"/>
        <s v="Geotehnički fakultet"/>
        <s v="Građevinski fakultet u Rijeci"/>
        <s v="Građevinski fakultet, Zagreb"/>
        <s v="Građevinski i arhitektonski fakultet Osijek"/>
        <s v="Grafički fakultet, Zagreb"/>
        <s v="Hrvatsko katoličko sveučilište"/>
        <s v="Katolički bogoslovni fakultet u Đakovu"/>
        <s v="Katolički bogoslovni fakultet, Split"/>
        <s v="Katolički bogoslovni fakultet, Zagreb"/>
        <s v="Kemijsko-tehnološki fakultet u Splitu"/>
        <s v="Kineziološki fakultet Osijek"/>
        <s v="Kineziološki fakultet u Splitu"/>
        <s v="Kineziološki fakultet u Zagrebu"/>
        <s v="Medicinski fakultet Osijek"/>
        <s v="Medicinski fakultet u Rijeci"/>
        <s v="Medicinski fakultet u Splitu"/>
        <s v="Medicinski fakultet u Zagrebu"/>
        <s v="Međimursko veleučilište u Čakovcu"/>
        <s v="Metalurški fakultet"/>
        <s v="MUP, Policijska akademija &quot;Prvi hrvatski redarstvenik&quot;, Veleučilište kriminalistike i javne sigurnosti"/>
        <s v="Muzička akademija"/>
        <s v="Nacionalna i sveučilišna knjižnica"/>
        <s v="Pomorski fakultet u Rijeci"/>
        <s v="Pomorski fakultet u Splitu"/>
        <s v="Pravni fakultet Osijek"/>
        <s v="Pravni fakultet u Rijeci"/>
        <s v="Pravni fakultet u Splitu"/>
        <s v="Pravni fakultet u Zagrebu"/>
        <s v="Prehrambeno-biotehnološki fakultet"/>
        <s v="Prehrambeno-tehnološki fakultet Osijek"/>
        <s v="Prirodoslovno-matematički fakultet u Splitu"/>
        <s v="Prirodoslovno-matematički fakultet, Zagreb"/>
        <s v="Rudarsko-geološko-naftni fakultet"/>
        <s v="Stomatološki fakultet"/>
        <s v="Sveučilište Josipa Jurja Strossmayera u Osijeku"/>
        <s v="Sveučilište Jurja Dobrile u Puli"/>
        <s v="Sveučilište obrane i sigurnosti &quot;Dr. Franjo Tuđman&quot;"/>
        <s v="Sveučilište Sjever"/>
        <s v="Sveučilište u Dubrovniku"/>
        <s v="Sveučilište u Rijeci"/>
        <s v="Sveučilište u Slavonskom Brodu"/>
        <s v="Sveučilište u Splitu"/>
        <s v="Sveučilište u Zadru"/>
        <s v="Sveučilište u Zagrebu"/>
        <s v="Tehnički fakultet, Rijeka"/>
        <s v="Tehničko veleučilište u Zagrebu"/>
        <s v="Tekstilno-tehnološki fakultet"/>
        <s v="Učiteljski fakultet u Rijeci"/>
        <s v="Učiteljski fakultet, Zagreb"/>
        <s v="Umjetnička akademija u Splitu"/>
        <s v="Veleučilište &quot;Lavoslav Ružička&quot; u Vukovaru"/>
        <s v="Veleučilište &quot;Marko Marulić&quot; u Kninu"/>
        <s v="Veleučilište &quot;Nikola Tesla&quot; u Gospiću"/>
        <s v="Veleučilište Hrvatsko zagorje Krapina"/>
        <s v="Veleučilište u Karlovcu"/>
        <s v="Veleučilište u Križevcima"/>
        <s v="Veleučilište u Rijeci"/>
        <s v="Veleučilište u Šibeniku"/>
        <s v="Veleučilište u Virovitici"/>
        <s v="Veterinarski fakultet, Zagreb"/>
        <s v="Zdravstveno veleučilište"/>
        <m/>
      </sharedItems>
    </cacheField>
    <cacheField name="Kom." numFmtId="0">
      <sharedItems containsSemiMixedTypes="0" containsString="0" containsNumber="1" containsInteger="1" minValue="1" maxValue="325" count="35">
        <n v="1"/>
        <n v="2"/>
        <n v="3"/>
        <n v="4"/>
        <n v="5"/>
        <n v="6"/>
        <n v="7"/>
        <n v="8"/>
        <n v="9"/>
        <n v="10"/>
        <n v="11"/>
        <n v="12"/>
        <n v="13"/>
        <n v="15"/>
        <n v="16"/>
        <n v="18"/>
        <n v="19"/>
        <n v="20"/>
        <n v="30"/>
        <n v="34"/>
        <n v="37"/>
        <n v="41"/>
        <n v="44"/>
        <n v="54"/>
        <n v="57"/>
        <n v="68"/>
        <n v="79"/>
        <n v="85"/>
        <n v="86"/>
        <n v="88"/>
        <n v="160"/>
        <n v="230"/>
        <n v="238"/>
        <n v="278"/>
        <n v="325"/>
      </sharedItems>
    </cacheField>
    <cacheField name="Lokacija" numFmtId="0">
      <sharedItems containsBlank="1" count="24">
        <s v="Čakovec"/>
        <s v="Đakovo"/>
        <s v="Dubrovnik"/>
        <s v="Gospić"/>
        <s v="Ika"/>
        <s v="Karlovac"/>
        <s v="Knin"/>
        <s v="Koprivnica"/>
        <s v="Krapina"/>
        <s v="Križevci"/>
        <s v="Osijek"/>
        <s v="Požega"/>
        <s v="Pula"/>
        <s v="Rijeka"/>
        <s v="Šibenik"/>
        <s v="Sisak"/>
        <s v="Slavonski Brod"/>
        <s v="Split"/>
        <s v="Varaždin"/>
        <s v="Virovitica"/>
        <s v="Vukovar"/>
        <s v="Zadar"/>
        <s v="Zagreb"/>
        <m/>
      </sharedItems>
    </cacheField>
    <cacheField name="Ime i prezime" numFmtId="0">
      <sharedItems containsBlank="1" count="146">
        <s v="&#10;Emil Flatz"/>
        <s v="Agata Vinčić&#10;Srđan Cvetanović"/>
        <s v="Albert Oswald"/>
        <s v="Aleksandar Živanović&#10;Marko Roža&#10;Jasenko Mandura"/>
        <s v="Alen Domazet"/>
        <s v="Aljoša Brajdić"/>
        <s v="Ana Vukelić"/>
        <s v="Andreas Mađerić"/>
        <s v="Andrija Levanić"/>
        <s v="Andrija Ljubičić&#10;"/>
        <s v="Ante Denić"/>
        <s v="Ante Krolo"/>
        <s v="Bojan Tovjanin"/>
        <s v="Boris Beker"/>
        <s v="Boris Rončević"/>
        <s v="Boris Ružić"/>
        <s v="Branimir Džaja"/>
        <s v="Branimir Kolman"/>
        <s v="Bruno Bakarić"/>
        <s v="Dalibor Gabela"/>
        <s v="Damir Kovačević"/>
        <s v="Damir Lulić"/>
        <s v="Daniel Maratović"/>
        <s v="Danka Jurjević"/>
        <s v="Danka Jurjević&#10;Aleksandar Živanović&#10;"/>
        <s v="Danka Jurjević&#10;Aleksandar Živanović&#10;Jasenko Mandura"/>
        <s v="Dario Đurasović"/>
        <s v="Dario Knežić"/>
        <s v="Dario Kukuljan"/>
        <s v="Dario Kužić"/>
        <s v="Darko Šprem"/>
        <s v="Davor Mijolović"/>
        <s v="Davor Pintar"/>
        <s v="Davor Štrk"/>
        <s v="Davorin Axmann"/>
        <s v="Davorin Tadić"/>
        <s v="Denis Hernaut"/>
        <s v="Domagoj Vučica"/>
        <s v="Doris Knego"/>
        <s v="Dražen Marček"/>
        <s v="Elvis Žic"/>
        <s v="Enes Ciriković"/>
        <s v="Filip Samoščanec Konavoska&#10;Igor Paljug - Holjevčeva&#10;Nenad Habek Borongaj&#10;Barbara Idžan Brozova&#10;Hrvoje Matešić"/>
        <s v="Goran Hoić"/>
        <s v="Goran Šljivić"/>
        <s v="Holjevčeva Igor Paljug&#10;Borongaj Nenad Habek&#10;Konavoska Filip Samoščanec"/>
        <s v="IGOR BILANDŽIĆ"/>
        <s v="Igor Horaček"/>
        <s v="Igor Surla&#10;"/>
        <s v="Ivan Cerovec"/>
        <s v="Ivan Nimac"/>
        <s v="Ivan Nimac&#10;Ivana Delistović Duić&#10;"/>
        <s v="Ivan Nimac&#10;Ivana Delistović Duić&#10;Ivana Delistović Duić&#10;Ivan Nimac"/>
        <s v="Ivan Nimac&#10;Ivana Delistović Duić&#10;Krešimir Pinjatela&#10;Zvonimir Adamović"/>
        <s v="Ivan Nimac&#10;Tomislav Sruk&#10;"/>
        <s v="Ivan Rebekić"/>
        <s v="Ivan Reponj"/>
        <s v="Ivan Šetin"/>
        <s v="Ivan Vuko&#10;Maja Krželj"/>
        <s v="Ivan Vuko&#10;Maja Krželj&#10;Jadranka Vrsalović"/>
        <s v="Izv. prof. dr. sc. Jasmin Ćelić"/>
        <s v="Jakov Serajlić"/>
        <s v="Jasenko Mandura"/>
        <s v="Juaj Mihanović"/>
        <s v="Juraj Saratlija"/>
        <s v="Krešimir Pavelić, univ. mag .ing. comp."/>
        <s v="Kristian Došen"/>
        <s v="Krunoslav Fučkor&#10;Lada Uzorinac"/>
        <s v="Krunoslav Komugović"/>
        <s v="Krunoslav Kurilj"/>
        <s v="Linda Petričić, Nicole Tomišić &#10;Marko Roža"/>
        <s v="Linda Petričić, Nicole Tomišić &#10;Marko Roža&#10;Jasenko Mandura&#10;Aleksandar Živanović"/>
        <s v="Luka Cvenić"/>
        <s v="Maja Krželj"/>
        <s v="Marijan Galjar"/>
        <s v="Marijo Seničić"/>
        <s v="Marin Gudelj&#10;Dalibor Bulić&#10;Petra Musap&#10;Ivan Vuko"/>
        <s v="Marin Gudelj&#10;Ivan Tavra&#10;Prosper Radonić&#10;Marko Pilić / Josip Crnjac"/>
        <s v="Marin Gudelj&#10;Petra Musap"/>
        <s v="Marin Gudelj&#10;Prosper Radonić&#10;Leida Rizvan"/>
        <s v="Marin Ivanišić"/>
        <s v="Marin Šperanda"/>
        <s v="Mario Dunić"/>
        <s v="Mario Dunić&#10;Albert Oswald"/>
        <s v="Mario Harjač"/>
        <s v="Mario Miloloza"/>
        <s v="Marko Maričević"/>
        <s v="Marko Meštrović"/>
        <s v="Marko Pilić / Josip Crnjac&#10;Dalibor Bulić&#10;Maja Krželj&#10;Ivan Tavra&#10;Ivan Vuko&#10;Mirko Šalinović"/>
        <s v="Marko Poletto"/>
        <s v="Marko Roža"/>
        <s v="Marko Štedul"/>
        <s v="Mate Galić"/>
        <s v="Matija Karapetrić"/>
        <s v="Matija Prahin&#10;"/>
        <s v="Matija Prahin&#10;Emil Flatz"/>
        <s v="Mihael Šutalo"/>
        <s v="Mikolaj Martinjak"/>
        <s v="Mile Vičić"/>
        <s v="Mirko Šalinović"/>
        <s v="Miroslav Puljiz"/>
        <s v="Miroslav Puljiz&#10;Dario Kužić"/>
        <s v="Mirza Žižak"/>
        <s v="Nikola Barba"/>
        <s v="Nikola Kanišk"/>
        <s v="Nikola Kaniški"/>
        <s v="Nikola Marijanović&#10;Branimir Kolman"/>
        <s v="Ozren Digula, Kristijan Zbiljski"/>
        <s v="Petar Taler"/>
        <s v="Petra Marić&#10;Dalibor Bulić"/>
        <s v="Petra Marić&#10;Dalibor Bulić&#10;Maja Krželj&#10;Ivan Tavra&#10;"/>
        <s v="Petra Marić&#10;Marko Pilić / Josip Crnjac&#10;Dalibor Bulić&#10;Maja Krželj&#10;Ivan Tavra&#10;Ivan Vuko"/>
        <s v="Petra Mitrović"/>
        <s v="Predrag Šinko"/>
        <s v="Rade Lukić"/>
        <s v="Romaldo Singolo"/>
        <s v="Sandi Homolak (Zagreb)"/>
        <s v="Sandi Homolak (Zagreb)&#10;Igor Šalamun (Čakovec)&#10;Tomislav Stanković (Petrinja)"/>
        <s v="Sandra Flinčec Grgac"/>
        <s v="Sandra Flinčec Grgac&#10;Srđan Cvetanović&#10;Agata Vinčić"/>
        <s v="Sead Berberović"/>
        <s v="Siniša Lončarić"/>
        <s v="Siniša Vlahović&#10;"/>
        <s v="Siniša Vlahović&#10;Marin Šperanda"/>
        <s v="Slaven Kušljić"/>
        <s v="Srđan Cvetanović"/>
        <s v="Stipe Gorenjak"/>
        <s v="Stjepo Hladilo"/>
        <s v="Taras Barščevski"/>
        <s v="Tatjana Šajatović"/>
        <s v="Tatjana Šajatović&#10;Albert Oswald"/>
        <s v="Tatjana Šajatović&#10;Mario Dunić&#10;Albert Oswald"/>
        <s v="Tatjana Šajatović&#10;Tomica Bunjevac"/>
        <s v="Tatjana Šajatović, Mario Dunić"/>
        <s v="Tatjana Šajatović, Mario Dunić&#10;Albert Oswald"/>
        <s v="Tatjana Šajatović, Mario Dunić&#10;Tomica Bunjevac"/>
        <s v="TEDI KOLANOVIĆ"/>
        <s v="Teo Brusić&#10;Zoran Vučinić"/>
        <s v="Tomica Bunjevac"/>
        <s v="Tomica Bunjevac&#10;Albert Oswald"/>
        <s v="Vedran Ćurković"/>
        <s v="Željko Hrebak"/>
        <s v="Željko Matas"/>
        <s v="Zoltan Juhas"/>
        <s v="Zvonimir Torba"/>
        <m/>
      </sharedItems>
    </cacheField>
    <cacheField name="Kontakt broj" numFmtId="0">
      <sharedItems containsBlank="1" containsMixedTypes="1" containsNumber="1" containsInteger="1" minValue="385913568984" maxValue="385913568984" count="146">
        <n v="385913568984"/>
        <s v="&#10;38598302567"/>
        <s v="  +38598871499, +38598871499"/>
        <s v=" +385912241400"/>
        <s v=" +385913568984"/>
        <s v=" +385913568984&#10;+385912241400"/>
        <s v=" +38598871499"/>
        <s v=" +38598871499&#10;+385912241400"/>
        <s v=" +38598871499&#10;+385913568984"/>
        <s v=" +38598871499&#10;+385989345208&#10;+385912241400"/>
        <s v=" +38598871499 , +385989345208&#10;+385912241400"/>
        <s v=" +38598871499, +385989345208&#10;+385913568984"/>
        <s v=" +385989345208"/>
        <s v=" +385989345208&#10;+385912241400"/>
        <s v="(+385)915683877"/>
        <s v="+385 91 4305 724"/>
        <s v="+385 91 604 3920"/>
        <s v="+385 95 903 76 48"/>
        <s v="+385(91)5335.699"/>
        <s v="+385911316382 - Nenad&#10;0993047438 Filip&#10;+385 95 245 6555 Igor"/>
        <s v="+385959017650"/>
        <s v="+385992692210 - Hrvoje&#10;+385911316382 - Nenad&#10;0993047438 Filip&#10;+385 95 245 6555 Igor&#10;+385 99 529 0050 - Barbara"/>
        <s v="01/2457510"/>
        <s v="021 545545, 091 4443745"/>
        <s v="022/664-451"/>
        <s v="031/224-508"/>
        <s v="048 279 196"/>
        <s v="051/265-873"/>
        <s v="051/265-884"/>
        <s v="051/265-884&#10;0989616845&#10;"/>
        <s v="051/265-884&#10;0989616845&#10;+385959017650"/>
        <s v="091 / 9536547"/>
        <s v="091 155 9622"/>
        <s v="091 165 1207, 0922875203&#10;051/265-873"/>
        <s v="091 165 1207, 0922875203&#10;051/265-873&#10;+385959017650&#10;0989616845"/>
        <s v="091 224 1039"/>
        <s v="091 224 3413"/>
        <s v="091 2241 423&#10;"/>
        <s v="091 2241 511"/>
        <s v="091 244 0130"/>
        <s v="091 332 1308"/>
        <s v="091 3658 600"/>
        <s v="091 408 9012"/>
        <s v="091 4802 130"/>
        <s v="091 522 0721 (Krunoslav Fučkor)&#10;091 504 9730 (Lada Uzorinac)"/>
        <s v="091 531 2624&#10;095 8000 204"/>
        <s v="091 568 5994"/>
        <s v="091 604 47 89"/>
        <s v="091 6168 288"/>
        <s v="091 619 5223"/>
        <s v="091 619 5223&#10;091 5011 277&#10;099 2174 465"/>
        <s v="091 644 4200"/>
        <s v="091 644 4200&#10;095 8000 204&#10;091 531 2624"/>
        <s v="091 7888 474"/>
        <s v="091 906 6882"/>
        <s v="091-1557942"/>
        <s v="091-2600324"/>
        <s v="091-444-6885"/>
        <s v="091-595-2783"/>
        <s v="091/ 2549 157"/>
        <s v="091/1265-486"/>
        <s v="091/722-0837"/>
        <s v="0911556771"/>
        <s v="0912241440"/>
        <s v="0912246140"/>
        <s v="0912546777"/>
        <s v="0913011188"/>
        <s v="0913210792&#10;021 564815, 0915462104"/>
        <s v="0913210792&#10;021 564815, 0915462104&#10;0911556771&#10;097 6063920"/>
        <s v="0913210792&#10;0919840020 (Pilić), 0981980136 (Crnjac)&#10;021 564815, 0915462104&#10;0911556771&#10;097 6063920&#10;0914348101"/>
        <s v="0913344165&#10;021 564815, 0915462104&#10;0991639750&#10;0914348101"/>
        <s v="0913344165&#10;097 6063920&#10;0995556003&#10;0919840020 (Pilić), 0981980136 (Crnjac)"/>
        <s v="0913344165&#10;0991639750"/>
        <s v="0913344165&#10;0995556003&#10;0914433905"/>
        <s v="0914348101&#10;0911556771"/>
        <s v="0914348101&#10;0911556771&#10;0915462104"/>
        <s v="0914595855, 0914595858"/>
        <s v="0914810222"/>
        <s v="0915038578"/>
        <s v="0915053478"/>
        <s v="0915193488"/>
        <s v="0915226263"/>
        <s v="0915677600"/>
        <s v="0915765999"/>
        <s v="0917615616"/>
        <s v="0919322586"/>
        <s v="0919840020 (Pilić), 0981980136 (Crnjac)&#10;021 564815, 0915462104&#10;0911556771&#10;097 6063920&#10;0914348101&#10;O98 9895758"/>
        <s v="095 8000 204&#10;"/>
        <s v="095/205-2570"/>
        <s v="095/826-5888"/>
        <s v="095/826-5888&#10;098/654-710&#10;"/>
        <s v="095/826-5888&#10;098/654-710&#10;091/558-1986&#10;098/445-233"/>
        <s v="095/826-5888&#10;099/544-2586&#10;"/>
        <s v="095/9064710"/>
        <s v="097 610 1011"/>
        <s v="097 7094175"/>
        <s v="098 268 472&#10;"/>
        <s v="098 268 472&#10;091 906 6882"/>
        <s v="098 855 676"/>
        <s v="098 9394211,"/>
        <s v="098 9684 080"/>
        <s v="098-292-104"/>
        <s v="098-9919-742"/>
        <s v="098/211-765"/>
        <s v="098/338-182&#10;091/1651-230"/>
        <s v="098/9674947"/>
        <s v="0981771615"/>
        <s v="0981785148"/>
        <s v="0981839338"/>
        <s v="098271569"/>
        <s v="098675984"/>
        <s v="098710398"/>
        <s v="098806500"/>
        <s v="0989225600"/>
        <s v="0989389348"/>
        <s v="0989478881"/>
        <s v="0989616845&#10;051/265-873&#10;+385959017650"/>
        <s v="099 304 6109"/>
        <s v="099 312 6187"/>
        <s v="099 3136 671"/>
        <s v="099 5327723"/>
        <s v="099 533 7842"/>
        <s v="099 6081 436"/>
        <s v="099/2217114"/>
        <s v="099/2550-825"/>
        <s v="099/2717915"/>
        <s v="099/4928854"/>
        <s v="099/5246985"/>
        <s v="099/5246985&#10;"/>
        <s v="0991616166"/>
        <s v="0993777446"/>
        <s v="0994028339&#10;091 244 0130"/>
        <s v="0996935026"/>
        <s v="265-877"/>
        <s v="385912240766"/>
        <s v="385912244189"/>
        <s v="385915058109"/>
        <s v="385919845267"/>
        <s v="385924385009&#10;"/>
        <s v="38598845215"/>
        <s v="385992529898"/>
        <s v="385992529898&#10;385994988065"/>
        <s v="385994988065"/>
        <s v="385998227236"/>
        <s v="O98 9895758"/>
        <m/>
      </sharedItems>
    </cacheField>
    <cacheField name="e-mail" numFmtId="0">
      <sharedItems containsBlank="1" count="144">
        <s v="&#10;eflatz@arhitekt.hr"/>
        <s v=" dkuzic@fpz.unizg.hr"/>
        <s v="adomazet@gradst.hr"/>
        <s v="aleksandar.zivanovic@uniri.hr&#10;marko.roza@uniri.hr&#10;jasenko.mandura@uniri.hr"/>
        <s v="aljosa.brajdic@apuri.uniri.hr"/>
        <s v="amaderic@vguk.hr"/>
        <s v="andrija.levanic@fsb.unizg.hr"/>
        <s v="andrija.ljubicic@fdmz.hr&#10;"/>
        <s v="ante@kifst.hr"/>
        <s v="avincic@ttf.hr&#10;djani@ttf.hr"/>
        <s v="avukelic@pbf.hr"/>
        <s v="bbakaric@pravos.hr"/>
        <s v="bbeker@ffzg.hr"/>
        <s v="bkolman@unin.hr"/>
        <s v="branimir.dzaja@umas.hr"/>
        <s v="broncevic@nsk.hr"/>
        <s v="bruzic@uniri.hr"/>
        <s v="btovjanin@mefos.hr"/>
        <s v="damir.kovacevic@efos.hr"/>
        <s v="daniel.maratovic@riteh.uniri.hr"/>
        <s v="danka.jurjevic@uniri.hr"/>
        <s v="danka.jurjevic@uniri.hr&#10;aleksandar.zivanovic@uniri.hr&#10;"/>
        <s v="danka.jurjevic@uniri.hr&#10;aleksandar.zivanovic@uniri.hr&#10;jasenko.mandura@uniri.hr"/>
        <s v="dante@efst.hr"/>
        <s v="dario@sfzg.hr"/>
        <s v="darko.sprem@gfv.hr"/>
        <s v="davor.mijolovic@fthm.hr"/>
        <s v="davor.pintar@dekanat.pmf.hr"/>
        <s v="daxmann@efzg.hr"/>
        <s v="denis.hernaut@fer.hr"/>
        <s v="djani@ttf.hr&#10;"/>
        <s v="dknezic@fhs.unizg.hr"/>
        <s v="dkukuljan@unipu.hr"/>
        <s v="dlulic@unisb.hr"/>
        <s v="dmarcek@ptfos.hr"/>
        <s v="domagoj@ktf-split.hr"/>
        <s v="doris.knego@pmfst.hr"/>
        <s v="dstrk@fkz.hr"/>
        <s v="dtadic@veleri.hr"/>
        <s v="elvis.zic@uniri.hr"/>
        <s v="enes.cirikovic@vuv.hr"/>
        <s v="filip.samoscanec@tvz.hr&#10;igor.paljug@tvz.hr&#10;nenad.habek@tvz.hr"/>
        <s v="filip.samoscanec@tvz.hr&#10;igor.paljug@tvz.hr&#10;nenad.habek@tvz.hr&#10;barabara.idzan@tvz.hr&#10;hrvoje.matesic@tvz.hr"/>
        <s v="goran.hoic@alu.unizg.hr"/>
        <s v="helpdesk@mefst.hr"/>
        <s v="Igor.bilandzic@vevu.hr"/>
        <s v="igor.surla@pmf.hr"/>
        <s v="igor@fkit.hr"/>
        <s v="informatika.zagreb@ufzg.hr"/>
        <s v="informatika.zagreb@ufzg.hr&#10;igor.salamun@ufzg.hr&#10;tomislav.stankovic@ufzg.hr"/>
        <s v="inimac@unizd.hr"/>
        <s v="inimac@unizd.hr&#10;idelistov@unizd.hr&#10;"/>
        <s v="inimac@unizd.hr&#10;idelistov@unizd.hr&#10;kpinjatel22@unizd.hr&#10;zadamovic@unizd.hr"/>
        <s v="inimac@unizd.hr&#10;tsruk@unizd.hr&#10;"/>
        <s v="irebekic@fazos.hr"/>
        <s v="ireponj@ftrr.hr"/>
        <s v="isetin@adu.hr"/>
        <s v="ivan.cerovec@erf.unizg.hr"/>
        <s v="ivan.vuko@svkst.hr&#10;maja.krzelj@more.unist.hr"/>
        <s v="ivan.vuko@svkst.hr&#10;maja.krzelj@more.unist.hr&#10;jadranka.vrsalovic@fzz.unist.hr"/>
        <s v="jasenko.mandura@uniri.hr"/>
        <s v="jasmin.celic@uniri.hr"/>
        <s v="jmihanovic@agr.hr"/>
        <s v="jserajlic@vus.hr"/>
        <s v="juraj.saratlija@pravst.hr"/>
        <s v="kkurilj@foozos.hr"/>
        <s v="kreso@gfos.hr"/>
        <s v="kristian.dosen@fpzg.hr"/>
        <s v="krunoslav.fuckor@pravo.hr&#10;lada.uzorinac@pravo.hr"/>
        <s v="krunoslav.komugovic@pmf.hr"/>
        <s v="luka.cvenic@aukos.hr"/>
        <s v="maharjac@foi.unizg.hr"/>
        <s v="maja.krzelj@more.unist.hr"/>
        <s v="marijan.galjar@rgn.hr"/>
        <s v="marijo.senicic@geof.unizg.hr"/>
        <s v="marin.ivanisic@djkbf.hr"/>
        <s v="marin.speranda@caas.unizg.hr"/>
        <s v="marin@oss.unist.hr&#10;dalibor.bulic@fzz.unist.hr&#10;petra.musap@unist.hr&#10;ivan.vuko@svkst.hr"/>
        <s v="marin@oss.unist.hr&#10;itavra@unist.hr&#10;pradonic@medils.unist.hr&#10;mpilic@forenzika.unist.hr, jcrnjac@forenzika.unist.hr"/>
        <s v="marin@oss.unist.hr&#10;petra.musap@unist.hr"/>
        <s v="marin@oss.unist.hr&#10;pradonic@medils.unist.hr&#10;leida.rizvan@unist.hr"/>
        <s v="mario.miloloza@ferit.hr"/>
        <s v="marko.maricevic@grf.hr"/>
        <s v="marko.roza@uniri.hr"/>
        <s v="marko.stedul@vuka.hr"/>
        <s v="mate.galic@pharma.unizg.hr"/>
        <s v="matija.karapetric@kifos.hr"/>
        <s v="mdunic@biologija.unios.hr"/>
        <s v="mdunic@biologija.unios.hr&#10;oswald@unios.hr"/>
        <s v="mika@ffrz.hr"/>
        <s v="mirza.zizak@mef.hr"/>
        <s v="mmestrovic@veleknin.hr"/>
        <s v="mpilic@forenzika.unist.hr, jcrnjac@forenzika.unist.hr&#10;dalibor.bulic@fzz.unist.hr&#10;maja.krzelj@more.unist.hr&#10;itavra@unist.hr&#10;ivan.vuko@svkst.hr&#10;msalinovic@unist.hr"/>
        <s v="mprahin@arhitekt.hr&#10;"/>
        <s v="mpuljiz@fpz.unizg.hr"/>
        <s v="mpuljiz@fpz.unizg.hr&#10; dkuzic@fpz.unizg.hr"/>
        <s v="msalinovic@unist.hr"/>
        <s v="msutalo@sumfak.hr"/>
        <s v="mvicic@velegs-nikolatesla.hr"/>
        <s v="nikola.barba@unicath.hr"/>
        <s v="nikola.kaniski@vhzk.hr"/>
        <s v="nikola.kaniski@vhzk.hr&#10;"/>
        <s v="nmarijanovic@unin.hr&#10;bkolman@unin.hr"/>
        <s v="ntomisic@fdmri.uniri.hr linda.petricic@fdmri.uniri.hr&#10;marko.roza@uniri.hr"/>
        <s v="ntomisic@fdmri.uniri.hr linda.petricic@fdmri.uniri.hr&#10;marko.roza@uniri.hr&#10;jasenko.mandura@uniri.hr&#10;aleksandar.zivanovic@uniri.hr"/>
        <s v="oswald@unios.hr"/>
        <s v="ozren.digula@zvu.hr, kristijan.zbiljski@zvu.hr"/>
        <s v="petar@mathos.hr"/>
        <s v="pmaric@unist.hr&#10;dalibor.bulic@fzz.unist.hr"/>
        <s v="pmaric@unist.hr&#10;dalibor.bulic@fzz.unist.hr&#10;maja.krzelj@more.unist.hr&#10;itavra@unist.hr"/>
        <s v="pmaric@unist.hr&#10;mpilic@forenzika.unist.hr, jcrnjac@forenzika.unist.hr&#10;dalibor.bulic@fzz.unist.hr&#10;maja.krzelj@more.unist.hr&#10;itavra@unist.hr&#10;ivan.vuko@svkst.hr"/>
        <s v="pmarko@vef.unizg.hr"/>
        <s v="pmitrovic@muza.hr"/>
        <s v="predrag.sinko@sois-ft.hr"/>
        <s v="rade.lukic@fdmz.hr"/>
        <s v="romi@pfst.hr"/>
        <s v="sead.berberovic@grad.unizg.hr"/>
        <s v="sflincec@ttf.hr&#10;"/>
        <s v="sflincec@ttf.hr&#10;djani@ttf.hr&#10;avincic@ttf.hr&#10;"/>
        <s v="slaven@ffst.hr"/>
        <s v="sljivic@simet.hr"/>
        <s v="sloncaric@pravri.uniri.hr"/>
        <s v="stipe.gorenjak@kif.unizg.hr"/>
        <s v="stjepo.hladilo@unidu.hr"/>
        <s v="svlahovic@unizg.hr&#10;"/>
        <s v="svlahovic@unizg.hr&#10;marin.speranda@caas.unizg.hr"/>
        <s v="taras.barscevski@kbf.unizg.hr"/>
        <s v="tbunjevac@fizika.unios.hr"/>
        <s v="tbunjevac@fizika.unios.hr&#10;oswald@unios.hr"/>
        <s v="tedi.kolanovic@efri.uniri.hr"/>
        <s v="teo.brusic@medri.uniri.hr&#10;zoran.vucinic@medri.uniri.hr"/>
        <s v="torba@fesb.hr"/>
        <s v="tsajatovic@kemija.unios.hr"/>
        <s v="tsajatovic@kemija.unios.hr&#10;mdunic@biologija.unios.hr"/>
        <s v="tsajatovic@kemija.unios.hr&#10;mdunic@biologija.unios.hr&#10;oswald@unios.hr"/>
        <s v="tsajatovic@kemija.unios.hr&#10;tbunjevac@fizika.unios.hr"/>
        <s v="tsajatovic@kemija.unios.hr, mdunic@biologija.unios.hr"/>
        <s v="tsajatovic@kemija.unios.hr, mdunic@biologija.unios.hr&#10;oswald@unios.hr"/>
        <s v="tsajatovic@kemija.unios.hr, mdunic@biologija.unios.hr&#10;tbunjevac@fizika.unios.hr"/>
        <s v="vedran.curkovic@uniri.hr"/>
        <s v="zhrebak@mev.hr"/>
        <s v="zmatas@kbf-st.hr"/>
        <s v="zoli@ffos.hr"/>
        <m/>
      </sharedItems>
    </cacheField>
    <cacheField name="Matična adresa" numFmtId="0">
      <sharedItems containsBlank="1" count="98">
        <s v="Aleja Narodnih Heroja 3"/>
        <s v="Avenija Gojka Šuška 1"/>
        <s v="Borongajska Cesta 83D"/>
        <s v="Borongajska Cesta 83F"/>
        <s v="Braće Branchetta 20"/>
        <s v="Branitelja Dubrovnika 41"/>
        <s v="Crkvena Ulica 21"/>
        <s v="Cvite Fiskovića 5"/>
        <s v="Drinska 16A"/>
        <s v="Franje Kuhača 18"/>
        <s v="Getaldićeva Ulica 2"/>
        <s v="Gundulićeva Ulica 5"/>
        <s v="Hahlić 6"/>
        <s v="Hallerova Aleja 7"/>
        <s v="Horvaćanski Zavoj 15"/>
        <s v="Horvatovac 102A"/>
        <s v="Ilica 244B"/>
        <s v="Ilica 256B"/>
        <s v="Ilica 85"/>
        <s v="Ivana Filipovića 4"/>
        <s v="Ivana Meštrovića 10"/>
        <s v="Jordanovac 110"/>
        <s v="Kačićeva Ulica 26"/>
        <s v="Krešimirova 30"/>
        <s v="Matice Hrvatske 15"/>
        <s v="Mlinarska Cesta 38"/>
        <s v="P. Preradovića 17"/>
        <s v="Pavlinska Ulica 2"/>
        <s v="Pierottijeva Ulica 6"/>
        <s v="Poljička Cesta 35"/>
        <s v="Prilaz Baruna Filipovića 28A"/>
        <s v="Primorska 46"/>
        <s v="R. Boškovića 31"/>
        <s v="R. Boškovića 32"/>
        <s v="R. Boškovića 33"/>
        <s v="R. Boškovića 35"/>
        <s v="R. Boškovića 37"/>
        <s v="Šalata 2"/>
        <s v="Šalata 3"/>
        <s v="Šalata 3b"/>
        <s v="Savska Cesta 77"/>
        <s v="Savska cesta 77, 10000 Zagreb"/>
        <s v="Šetalište Hrvatskog Narodnog Preporoda 6"/>
        <s v="Slavka Krautzeka 83"/>
        <s v="Šoltanska 2"/>
        <s v="Studentska 2"/>
        <s v="Svetošimunska Cesta 23"/>
        <s v="Svetošimunska Cesta 25"/>
        <s v="Sveučilišna Avenija 4"/>
        <s v="Sveučilišna Avenija 6"/>
        <s v="Teslina 10"/>
        <s v="Teslina 10   2 kom.&#10;Teslina 6   2 kom."/>
        <s v="Trg &quot;Ivana Brlić Mažuranić&quot; 2"/>
        <s v="Trg A. Hebranga 11"/>
        <s v="Trg Braće Mažuranića 10"/>
        <s v="Trg Dr. Žarka Dolinara 1"/>
        <s v="Trg Johna Fitzgeralda Kennedyja 6"/>
        <s v="Trg Ljudevita Gaja 6"/>
        <s v="Trg Ljudevita Gaja 7"/>
        <s v="Trg Marka Marulića 19"/>
        <s v="Trg Republike Hrvatske 12"/>
        <s v="Trg Republike Hrvatske 14"/>
        <s v="Trg Republike Hrvatske 5"/>
        <s v="Trg Sv. Trojstva 3"/>
        <s v="Trpimirova 2"/>
        <s v="Ul. Hrvatske Bratske Zajednice 4"/>
        <s v="Ulica Ante Kovačića 1"/>
        <s v="Ulica Bana Ivana Karlovića 16"/>
        <s v="Ulica Bana Josipa Jelačića 22A"/>
        <s v="Ulica Cara Hadrijana 10"/>
        <s v="Ulica Domovinskog Rata 8"/>
        <s v="Ulica Ivana Lepušića 6"/>
        <s v="Ulica Ivana Lučića 3"/>
        <s v="Ulica Ivana Lučića 5"/>
        <s v="Ulica Josipa Huttlera 4"/>
        <s v="Ulica Kneza Trpimira 2B"/>
        <s v="Ulica Kralja Petra Svačića 1F"/>
        <s v="Ulica Lavoslava Vukelića 4"/>
        <s v="Ulica Lorenza Jägera 9"/>
        <s v="Ulica Matije Gupca 78"/>
        <s v="Ulica Mihovila Pavlinovića 1"/>
        <s v="Ulica Milislava Demerca 1"/>
        <s v="Ulica Radmile Matejčić 3"/>
        <s v="Ulica Stjepana Radića 13"/>
        <s v="Ulica Vjekoslava Heinzela 55"/>
        <s v="Ulica Vladimira Preloga 1"/>
        <s v="Ulica Vladimira Preloga 3"/>
        <s v="Unska Ulica 3"/>
        <s v="Viktora Cara Emina 5"/>
        <s v="Vlaška Ulica 38"/>
        <s v="Vrbik 8"/>
        <s v="Vukovarska 17"/>
        <s v="Vukovarska 58"/>
        <s v="Zagrebačka 3"/>
        <s v="Zagrebačka Ulica 30"/>
        <s v="Zrinjsko-Frankopanska 19"/>
        <s v="Županijska 50"/>
        <m/>
      </sharedItems>
    </cacheField>
    <cacheField name="Adresa/e isporuke" numFmtId="0">
      <sharedItems containsBlank="1" count="205" longText="1">
        <s v=" Ivana Gundulića 20A"/>
        <s v=" Trg Ljudevita Gaja 6  1 kom.&#10;Trg. Sv. Trojstva 3   6 kom."/>
        <s v=" Trg Ljudevita Gaja 6."/>
        <s v="1xHoljevčeva 15"/>
        <s v="Alda Negrija 6"/>
        <s v="Alda Negrija 6    4 om.&#10;Preradovićeva 30  1 kom.&#10;Zagrebačka 30  1 kom."/>
        <s v="Alda Negrija 6   10 kom.&#10;Preradovićeva 30  2 kom.&#10;Zagrebačka 30  2  kom.&#10;Rovinjska 14  1 kom."/>
        <s v="Alda Negrija 6   4 kom.&#10;Preradovićeva 30  1 kom.&#10;Zagrebačka 30  1 kom."/>
        <s v="Alda Negrija 6, Pula"/>
        <s v="Alda Negrija 6, Pula &#10;Preradovićeva 1, Pula"/>
        <s v="Ante Kovačića 1"/>
        <s v="Av. Gojka Šuška 1, Zagreb"/>
        <s v="Bana J. Jelačića 19A, Orahovica"/>
        <s v="Bijenička cesta 30"/>
        <s v="BLAGE ZADRE 2, VUKOVAR"/>
        <s v="Borongajska 83E  2 kom.&#10;Konavoska 2 1 kom.&#10;Holjevčeva 15 1 kom."/>
        <s v="Borongajska cesta 83a"/>
        <s v="Borongajska cesta 83a 1 kom.&#10;Borongajska cesta 83f 1 kom."/>
        <s v="Borongajska cesta 83d, Zagreb"/>
        <s v="Borongajska cesta 83f"/>
        <s v="Branitelja Dubrovnika 41, Dubrovnik 1 kom.&#10;Ćira Carića 4, Dubrovnik 1 kom.&#10;Lapadska obala Nojka Marinovića 7, Dubrovnik 1 kom."/>
        <s v="Branitelja Dubrovnika 41, Dubrovnik 2 kom.&#10;Ćira Carića 4, Dubrovnik 1 kom.&#10;Lapadska obala Nojka Marinovića 7, Dubrovnik 2 kom.&#10;Bistrina 3, Stupa 1 kom."/>
        <s v="Cara Hadrijana 10, 31 000 Osijek – NASTAVNA ZGRADA"/>
        <s v="Cara Hadrijana 10b, Osijek"/>
        <s v="Cara Hadrijana 10E"/>
        <s v="Cara Hadrijana 8/A"/>
        <s v="Cara Hadrijana 8/A  4 kom. &#10;Trg Sv. Trojstva 3. 1 kom."/>
        <s v="Cara Hadrijana 8/A 1 kom.&#10;Trg Ljudevita Gaja 6  3 kom."/>
        <s v="Cara Hadrijana 8/A 1 kom.&#10;Trg Sv. Trojstva 3. 4x kom."/>
        <s v="Cara Hadrijana 8/A 1x kom KEMIJA Kampus&#10; Trg Ljudevita Gaja 6. 2x kom FIZIKA"/>
        <s v="Cara Hadrijana 8/A 2x kom KEMIJA Kampus&#10;Cara Hadrijana 8/A 2x kom BIOLOGIJA Kampus&#10;Trg Sv. Trojstva 3. 5x kom Rektorat"/>
        <s v="Cara Hadrijana 8/A 3 kom.&#10;Trg Ljudevita Gaja 6. 1 kom."/>
        <s v="Cara Hadrijana 8/A 3 kom.&#10;Trg Sv. Trojstva 3. 2 kom."/>
        <s v="Cara Hadrijana 8/A 4x kom."/>
        <s v="Ćira Carića 4, Dubrovnik"/>
        <s v="Ćira Carića 4, Dubrovnik  3 kom. &#10;Bistrina 3, Stupa 1 kom. "/>
        <s v="Crkvena 21"/>
        <s v="Crkvena 21&#10;"/>
        <s v="Cvite Fiskovića 5, Split"/>
        <s v="Domagojeva 2"/>
        <s v="Domovinskog rata 8, Split"/>
        <s v="Don Frana Bulića 4, 20000 Dubrovnik (CAAS)"/>
        <s v="Drinska 16a, 31000 Osijek"/>
        <s v="Drinska 16a, 31000 Osijek&#10;&#10;"/>
        <s v="Drinska 16a, 31000 Osijek&#10;Woodrova Wilsona 2, 31000 Osijek&#10;"/>
        <s v="F. Kuhača 18"/>
        <s v="Fakultet za dentalnu medicinu i zdravstvo Osijek"/>
        <s v="Fausta Vrančića 19"/>
        <s v="Franjevački put 1, Makarska"/>
        <s v="Frankopanska 12"/>
        <s v="Frankopanska 22, Zagreb"/>
        <s v="Getaldićeva 2, Zagreb"/>
        <s v="Gundulićeva 5, Zagreb"/>
        <s v="Hahlić 6, Rijeka"/>
        <s v="Hallerova aleja 6c, Varaždin 1 kom.&#10;Prilaz baruna Filipovića 28a  2 kom."/>
        <s v="Hallerova aleja 7, Varaždin"/>
        <s v="Horvaćanski zavoj 15"/>
        <s v="Horvatovac 102A"/>
        <s v="Ilica 244, 10000 Zagreb"/>
        <s v="Ilica 256B, obj. 58"/>
        <s v="Ilica 85"/>
        <s v="Ilica 85   7 kom. &#10;Zamenhofova 14  1 kom."/>
        <s v="Ilica 85  6 kom. &#10;Zamenhofova 14  1 kom."/>
        <s v="Ilica 85 5 kom. &#10;Zamenhofova 14 1 kom."/>
        <s v="Ivana Filipovića 4"/>
        <s v="Ivana Gundulića 20A"/>
        <s v="Ivana Lučića 3"/>
        <s v="Ivana Lučića 3&#10;Ivana Lučića 6"/>
        <s v="Ivana Lučića 3  29 kom.&#10;Ivana Lučića 6  1 kom."/>
        <s v="Ivana Lučića 3, Zagreb"/>
        <s v="Ivana Lučića 5 (istočna zgrada) 1 kom.&#10;Ivana Lučića 1 (sjeverna zgrada) 1 kom."/>
        <s v="Ivana Meštrovića 10  4 kom.&#10;J. J. Strossmayera 9  2 kom."/>
        <s v="J. J. Strossmayera 9"/>
        <s v="J. Knifera 1 ( bivša K.P. Svačića 1/f, Osijek)"/>
        <s v="Jordanovac 110"/>
        <s v="Josipa Huttlera 4"/>
        <s v="Kačićeva 26"/>
        <s v="Kačićeva 26, 10000 Zagreb"/>
        <s v="Kačićeva 26, Zagreb"/>
        <s v="Kneza Trpimira 2b, Osijek"/>
        <s v="Konavoska 2   1 kom.&#10;Holjevčeva 15 1 kom. &#10;Vrbik 8 1 kom. &#10;Borongajska 83E kampus  1 kom.&#10;Brozova 6a 1 kom."/>
        <s v="Kopilica 21, Split 1 kom.&#10;Hrvojeva 2, Split 1 kom.  samo isporuka nema montaže"/>
        <s v="Kopilica 21, Split 1 kom.&#10;Meštrovićevo šetalište 45, Split 1 kom.&#10;Ruđera Boškovića 31, Split   1 kom."/>
        <s v="Kopilica 21, Split 1 kom.&#10;Ruđera Boškovića 35, Split   2 kom.&#10;Poljana kraljice Jelene 1, Split&#10;Ruđera Boškovića 31, Split  5 kom."/>
        <s v="Kopilica 21, Split 1 kom.&#10;Zrinsko Frankopanska 38, Split 1 kom.&#10;Meštrovićevo šetalište 45, Split 1 kom.&#10;Ruđera Boškovića 33, Split   2 kom. 1 kom."/>
        <s v="Krešimirova 30, Knin"/>
        <s v="Krešimirova 40/42, 51000 Rijeak 1 kom.&#10;Radmile Matejčić 2; 51000 Rijeka 3 kom.&#10;Trg braće Mažuranića 10; 51000 Rijeka 2 kom.&#10;Palača Moise; Zagrad 6; 51557 Cres 1 kom."/>
        <s v="Krešimirova 40/42, 51000 Rijeak 1 kom.&#10;Radmile Matejčić 2; 51000 Rijeka 5 kom."/>
        <s v="Krešimirova 40/42, 51000 Rijeak 3 kom.&#10;Radmile Matejčić 2; 51000 Rijeka 3 kom."/>
        <s v="Lepušićeva 6, 10000 Zagreb"/>
        <s v="Marulićev trg 19 Zagreb"/>
        <s v="Marulićev trg 19 Zagreb  13 kom..&#10;Trg Republike Hrvatske 3, Zagreb  3 kom."/>
        <s v="Matice hrvatske 15, 21000 Split"/>
        <s v="Matije Gupca 78, 33000 Virovitica"/>
        <s v="Milislava Demerca 1, 48260 Križevci"/>
        <s v="Miramarska cesta 20 - dvorana Martinovka"/>
        <s v="Mlinarska cesta 38"/>
        <s v="Mlinarska cesta 38&#10;Ksaver 209"/>
        <s v="Mlinarska cesta 38 1 kom..&#10;Ksaver 201 1 kom.&#10;Ksaver 209  1 kom."/>
        <s v="Mlinarska cesta 38 4 kom.&#10;Ksaver 209 5 kom."/>
        <s v="NSK - Ul. Hrvatske Bratske Zajednice 4"/>
        <s v="Obala kralja Petra Krešimira IV. Br. 2, 23000 Zadar"/>
        <s v="Obala kralja Petra Krešimira IV. Br. 2, 23000 Zadar - 1 kom.&#10;Dr. Franje Tuđmana 24, 23000 Zadar - 1 kom.&#10;Splitska 1, 23000 Zadar 1 kom.&#10;Ruđera Boškovića 5, 23000 Zadar 1 kom."/>
        <s v="Obala kralja Petra Krešimira IV. Br. 2, 23000 Zadar - 1 kom.&#10;Dr. Franje Tuđmana 24, 23000 Zadar - 2 kom."/>
        <s v="Obala kralja Petra Krešimira IV. Br. 2, 23000 Zadar - 1 kom.&#10;Šime Vitasovića 1, 23000 Zada - 1 kom."/>
        <s v="Obala kralja Petra Krešimira IV. Br. 2, 23000 Zadar - 4 kom.&#10;Dr. Franje Tuđmana 24, 23000 Zadar - 2 kom.&#10;Splitska 1, 23000 Zadar 1 kom.&#10;Dr. A. Starčevića 12, 53000 Gospić 1 kom."/>
        <s v="Obala kralja Petra Krešimira IV. Br. 2, 23000 Zadar -4  kom.&#10;Dr. Franje Tuđmana 24, 23000 Zadar - 2 kom.&#10;Splitska 1, 23000 Zadar 1 kom.&#10;Dr. A. Starčevića 12, 53000 Gospić 1 kom."/>
        <s v="Pavlinska ulica 2, Varaždin"/>
        <s v="Petra Preradovića 17, Đakovo"/>
        <s v="Pierottijeva 6"/>
        <s v="Poljička cesta 35"/>
        <s v="Prilaz baruna Filipovića 28a"/>
        <s v="Prilaz baruna Filipovića 28a&#10;"/>
        <s v="Primorska 46, 51410  Opatija"/>
        <s v="R. Boškovića 32, 21000 Split"/>
        <s v="R. Boškovića 35"/>
        <s v="Radmile Matejčić 2;  51000 Rijeka 14 kom.&#10;Palača Moise; Zagrad 6; 51557 Cres 1 kom.&#10;Trg braće Mažuranića 10; 51000 Rijeka 1 kom."/>
        <s v="Radmile Matejčić 2; 51000 Rijeka"/>
        <s v="Radmile Matejčić 2; 51000 Rijeka 1 kom."/>
        <s v="Radmile Matejčić 2; 51000 Rijeka 4 kom.&#10;Palača Moise; Zagrad 6; 51557 Cres 1 kom.&#10;"/>
        <s v="Radmile Matejčić 2; 51000 Rijeka 6 kom.&#10;Palača Moise; Zagrad 6; 51557 Cres 1 kom.&#10;Trg braće Mažuranića 10; 51000 Rijeka 1 kom."/>
        <s v="Rijeka, B. Branchetta 20"/>
        <s v="Rooseveltov trg 6"/>
        <s v="Ruđera Boškovića 31, Split&#10;Ruđera Boškovića 35, Split"/>
        <s v="Ruđera Boškovića 31, Split   1 kom.&#10;Ruđera Boškovića 33, Split  2 kom.&#10;Ruđera Boškovića 35, Split  12 kom.&#10;Ruđera Boškovića 37, Split  1 kom.&#10;Zrinsko Frankopanska 38, Split  1 kom.&#10;Ruđera Boškovića 31, Split  2 kom."/>
        <s v="Ruđera Boškovića 31, Split   1 kom.&#10;Ruđera Boškovića 35, Split  1 kom.&#10;Ruđera Boškovića 31, Split  3 kom.&#10;Zrinsko Frankopanska 38, Split  1 kom."/>
        <s v="Ruđera Boškovića 31, Split  1 kom.&#10;Ruđera Boškovića 37, Split  3 kom."/>
        <s v="Ruđera Boškovića 31, Split 1 kom.&#10;Ruđera Boškovića 37, Split  1 kom.&#10;Ruđera Boškovića 35, Split 1 kom."/>
        <s v="Ruđera Boškovića 33"/>
        <s v="Ruđera Boškovića 33, Split   2 kom.&#10;Ruđera Boškovića 35, Split   11 kom.&#10;Ruđera Boškovića 31, Split  1 kom.&#10;Zrinsko Frankopanska 38, Split  1 kom.&#10;Ruđera Boškovića 31, Split  2 kom.&#10;Franjevački put 1, Makarska 1 kom."/>
        <s v="Ruđera Boškovića 37, Split"/>
        <s v="Šalata 2"/>
        <s v="Šalata 3"/>
        <s v="Šalata 3b"/>
        <s v="Savska 16/9"/>
        <s v="Savska 16/9  1 Kom.&#10;Prilaz baruna Filipovića 28a  2 kom.&#10;Hallerova aleja 6c  1 kom."/>
        <s v="Savska cesta 77, 10000 Zagreb"/>
        <s v="Savska cesta 77, 10000 Zagreb  1kom.&#10;Ul. dr. Ante Starčevića 55, 40000, Čakovec 1 kom&#10;44250 Petrinja, Trg Matice hrvatske 12 1 kom."/>
        <s v="Savska cesta 77, 10000 Zagreb 1 kom.&#10;Ul. dr. Ante Starčevića 55, 40000, Čakovec 1 kom.&#10;44250 Petrinja, Trg Matice hrvatske 12 1 kom. "/>
        <s v="Schrottova 39"/>
        <s v="Sisak, Aleja narodnih heroja 3"/>
        <s v="Slavka Krautzeka 83, 51000 Rijeka"/>
        <s v="Šoltanska 2A, Split"/>
        <s v="Stjepana Radića 13"/>
        <s v="Studentska 2"/>
        <s v="Svetošimunska 25, Zagreb"/>
        <s v="Svetošimunska cesta 23"/>
        <s v="Sveučilišna avenija 4, 51000 Rijeka"/>
        <s v="Sveučilišna Avenija 6"/>
        <s v="Teslina 10"/>
        <s v="Teslina 6"/>
        <s v="Teslina 6&#10;Teslina 10"/>
        <s v="Trg Andrije Hebrang 11, 22000 Šibenik"/>
        <s v="Trg braće Mažuranića 10; 51000 Rijeka"/>
        <s v="Trg dr. Žarka dolinara 1, Koprivnica 10 kom.&#10;Ulica 104 brigade 3, VŽ 10 kom."/>
        <s v="Trg dr. Žarka dolinara 1, Koprivnica 10 kom.&#10;Ulica 104 brigade 3, VŽ 5 kom."/>
        <s v="Trg dr. Žarka dolinara 1, Koprivnica 2 kom.&#10;Ulica 104 brigade 3, VŽ 1 kom."/>
        <s v="Trg dr. Žarka dolinara 1, Koprivnica 2 kom.&#10;Ulica 104 brigade 3, VŽ 2 kom."/>
        <s v="Trg dr. Žarka dolinara 1, Koprivnica 5 kom.&#10;Ulica 104 brigade 3, VŽ 10 kom."/>
        <s v="Trg dr. Žarka dolinara 1, Koprivnica 5kom.&#10;Ulica 104 brigade 3, VŽ 5 kom. 5 kom."/>
        <s v="Trg I.B.Mažuranić 2"/>
        <s v="Trg I.B.Mažuranić 2, 4 kom.&#10;Ivana Gundulića 20A, 3 kom.&#10;Ivana Gundulića 20, 2 kom.&#10;Zgrada 4, Matije Gupca 24, 2 kom.&#10;Zgrada 7, Ulica 108. brigade ZNG 20, 1kom.&#10;Zgrada 7, Ulica 108. brigade ZNG 28, 1 kom.&#10;Zgrada 7, Ulica 108. brigade ZNG 32, 3 kom.&#10;Zgrada 7, Ulica 108. brigade ZNG 36, 2 kom."/>
        <s v="Trg J.F. Kennedyja 6"/>
        <s v="Trg Lj. Gaja 6, Osijek"/>
        <s v="Trg Ljudevita Gaja 6"/>
        <s v="Trg Ljudevita Gaja 7, Osijek"/>
        <s v="Trg Marka Marulića 20, Zagreb, podrum"/>
        <s v="Trg Marka Marulića 20, Zagreb, podrum&#10;"/>
        <s v="Trg Republike Hrvatske 12"/>
        <s v="Trg Republike Hrvatske 5, Zagreb"/>
        <s v="Trg S. Radića 8"/>
        <s v="Trg Sv. Trojstva 3"/>
        <s v="Trg Sv. Trojstva 3, Osijek"/>
        <s v="Trg Svetog Trojstva 3"/>
        <s v="Ul. bana Josipa Jelačića 22a"/>
        <s v="Ul. bana Josipa Jelačića 22a&#10;Ul. bana Josipa Jelačića 22f"/>
        <s v="Ul. bana Josipa Jelačića 22f"/>
        <s v="Ulica 104 brigade 3, VŽ"/>
        <s v="Ulica 108. brigade ZNG 36"/>
        <s v="Ulica bana Ivana Karlovića 16"/>
        <s v="Ulica Lorenza Jägera 9"/>
        <s v="Ulica Petra Preradovića 15, Varaždin"/>
        <s v="Ulica Radmile Matejčić 3, 51000 Rijeka"/>
        <s v="Ulica Radoslava Cimermana 88, 10000 Zagreb"/>
        <s v="Ulica Radoslava Cimermana 88, 10000 Zagreb&#10;Don Frana Bulića 4, 20000 Dubrovnik (CAAS)"/>
        <s v="Ulica Radoslava Cimermana 88, 10000 Zagreb 2 kom.&#10;Don Frana Bulića 4, 20000 Dubrovnik (CAAS) 2 kom."/>
        <s v="Ulica Radoslava Cimermana 88, 10000 Zagreb 2 kom.&#10;Don Frana Bulića 4, 20000 Dubrovnik (CAAS) 3 kom."/>
        <s v="Ulica Radoslava Cimermana 88, 10000 Zagreb 8 kom.&#10;Don Frana Bulića 4, 20000 Dubrovnik (CAAS) 3 kom."/>
        <s v="Ulica Vjekoslava Heinzela 55, 10000 Zagreb"/>
        <s v="Ulica Vladimira Preloga 3, 31000, Osijek"/>
        <s v="Viktora Cara Emina 5"/>
        <s v="Vladimira Preloga 1, 31000 Osijek"/>
        <s v="Vlaška 38"/>
        <s v="Vukelićeva 4"/>
        <s v="Vukelićeva 4   1 kom. &#10;Borongajska cesta 83a  9 kom."/>
        <s v="Vukovarska 17, Požega"/>
        <s v="Vukovarska 39, Zagreb"/>
        <s v="Vukovarska 39, Zagreb&#10;"/>
        <s v="Vukovarska 58, HR-51000 Rijeka"/>
        <s v="Vukovarska 58, Rijeka"/>
        <s v="Woodrova Wilsona 2, 31000 Osijek&#10;"/>
        <s v="Zagreb, Borongajska c.83f"/>
        <s v="Zagrebačka 3"/>
        <s v="Zrinjsko-Frankopanska 19, Split"/>
        <m/>
      </sharedItems>
    </cacheField>
    <cacheField name="OIB" numFmtId="0">
      <sharedItems containsBlank="1" count="97">
        <s v="10839679016"/>
        <s v="11614501047"/>
        <s v="1338491514"/>
        <s v="13664089430"/>
        <s v="14509285435"/>
        <s v="16146181375"/>
        <s v="16214165873"/>
        <s v="16465214888"/>
        <s v="18422925218"/>
        <s v="19213484918"/>
        <s v="2024882310"/>
        <s v="20858497843"/>
        <s v="21720825730"/>
        <s v="22910368449"/>
        <s v="24624257529"/>
        <s v="25329931628"/>
        <s v="25410051374"/>
        <s v="25564990903"/>
        <s v="26093119930"/>
        <s v="26416570803"/>
        <s v="26975482530"/>
        <s v="27208467122"/>
        <s v="28011548575"/>
        <s v="28082679513"/>
        <s v="28163265527"/>
        <s v="2879747067"/>
        <s v="29573709870"/>
        <s v="29845096215"/>
        <s v="31444990605"/>
        <s v="33027834374"/>
        <s v="34967762426"/>
        <s v="3541568700"/>
        <s v="36149548625"/>
        <s v="36162371878"/>
        <s v="36389528408"/>
        <s v="36612267447"/>
        <s v="36752094474"/>
        <s v="38583303160"/>
        <s v="38960125358"/>
        <s v="4150850819"/>
        <s v="42061107444"/>
        <s v="42552392522"/>
        <s v="43097527965"/>
        <s v="43594593297"/>
        <s v="43767699965"/>
        <s v="45001686598"/>
        <s v="46319717480"/>
        <s v="46576407858"/>
        <s v="47824453867"/>
        <s v="48006703414"/>
        <s v="48987767944"/>
        <s v="50952646228"/>
        <s v="52097842295"/>
        <s v="52778515544"/>
        <s v="5384220316"/>
        <s v="55704161999"/>
        <s v="56597320763"/>
        <s v="57029260362"/>
        <s v="57848936921"/>
        <s v="58868871646"/>
        <s v="59624928052"/>
        <s v="60277424315"/>
        <s v="61727512157"/>
        <s v="61738073226"/>
        <s v="62820859976"/>
        <s v="62924153420"/>
        <s v="64218323816"/>
        <s v="70221464726"/>
        <s v="70505505759"/>
        <s v="70788591483"/>
        <s v="71259740533"/>
        <s v="72226488129"/>
        <s v="75480885018"/>
        <s v="76023745044"/>
        <s v="76722145702"/>
        <s v="7699719217"/>
        <s v="7730927366"/>
        <s v="78808975734"/>
        <s v="83615500218"/>
        <s v="83830458507"/>
        <s v="84477684422"/>
        <s v="857144221"/>
        <s v="85799845149"/>
        <s v="8814003451"/>
        <s v="90633715804"/>
        <s v="92037849504"/>
        <s v="95494259952"/>
        <s v="95847257607"/>
        <s v="96371000697"/>
        <s v="96996385705"/>
        <s v="98004523293"/>
        <s v="98164324541"/>
        <s v="98816779821"/>
        <s v="99401575594"/>
        <s v="99454315441"/>
        <s v="99534693762"/>
        <m/>
      </sharedItems>
    </cacheField>
    <cacheField name="Isporuka na lokaciju " numFmtId="0">
      <sharedItems containsNonDate="0" containsDate="1" containsString="0" containsBlank="1" minDate="2026-03-23T00:00:00" maxDate="2026-06-08T00:00:00" count="11">
        <d v="2026-03-23T00:00:00"/>
        <d v="2026-03-30T00:00:00"/>
        <d v="2026-04-07T00:00:00"/>
        <d v="2026-04-13T00:00:00"/>
        <d v="2026-04-20T00:00:00"/>
        <d v="2026-04-27T00:00:00"/>
        <d v="2026-05-04T00:00:00"/>
        <d v="2026-05-11T00:00:00"/>
        <d v="2026-05-18T00:00:00"/>
        <d v="2026-06-08T00:00:00"/>
        <m/>
      </sharedItems>
    </cacheField>
    <cacheField name="Montaža&#10;start" numFmtId="0">
      <sharedItems containsString="0" containsBlank="1" count="1">
        <m/>
      </sharedItems>
    </cacheField>
    <cacheField name="Montaža&#10;finish" numFmtId="0">
      <sharedItems containsString="0" containsBlank="1" count="1">
        <m/>
      </sharedItems>
    </cacheField>
    <cacheField name="Instalacija " numFmtId="0">
      <sharedItems containsBlank="1" count="4">
        <s v="AVC"/>
        <s v="King"/>
        <s v="Senso"/>
        <m/>
      </sharedItems>
    </cacheField>
    <cacheField name="Održavanje " numFmtId="0">
      <sharedItems containsBlank="1" count="4">
        <s v="?"/>
        <s v="King"/>
        <s v="Senso"/>
        <m/>
      </sharedItems>
    </cacheField>
  </cacheFields>
</pivotCacheDefinition>
</file>

<file path=xl/pivotCache/pivotCacheRecords1.xml><?xml version="1.0" encoding="utf-8"?>
<pivotCacheRecords xmlns="http://schemas.openxmlformats.org/spreadsheetml/2006/main" xmlns:r="http://schemas.openxmlformats.org/officeDocument/2006/relationships" count="815">
  <r>
    <x v="1"/>
    <x v="791"/>
    <x v="98"/>
    <x v="20"/>
    <x v="97"/>
    <x v="3"/>
    <x v="23"/>
    <x v="148"/>
    <x v="149"/>
    <x v="148"/>
    <x v="97"/>
    <x v="185"/>
    <x v="96"/>
    <x v="9"/>
    <x v="3"/>
    <x v="0"/>
    <x v="2"/>
    <x v="3"/>
  </r>
  <r>
    <x v="1"/>
    <x v="63"/>
    <x v="1"/>
    <x v="20"/>
    <x v="30"/>
    <x v="0"/>
    <x v="22"/>
    <x v="98"/>
    <x v="114"/>
    <x v="88"/>
    <x v="65"/>
    <x v="21"/>
    <x v="4"/>
    <x v="4"/>
    <x v="3"/>
    <x v="0"/>
    <x v="2"/>
    <x v="2"/>
  </r>
  <r>
    <x v="1"/>
    <x v="64"/>
    <x v="79"/>
    <x v="20"/>
    <x v="94"/>
    <x v="0"/>
    <x v="19"/>
    <x v="43"/>
    <x v="115"/>
    <x v="39"/>
    <x v="78"/>
    <x v="73"/>
    <x v="47"/>
    <x v="4"/>
    <x v="3"/>
    <x v="0"/>
    <x v="2"/>
    <x v="2"/>
  </r>
  <r>
    <x v="1"/>
    <x v="65"/>
    <x v="35"/>
    <x v="20"/>
    <x v="18"/>
    <x v="0"/>
    <x v="22"/>
    <x v="48"/>
    <x v="58"/>
    <x v="47"/>
    <x v="58"/>
    <x v="113"/>
    <x v="70"/>
    <x v="4"/>
    <x v="3"/>
    <x v="0"/>
    <x v="2"/>
    <x v="2"/>
  </r>
  <r>
    <x v="1"/>
    <x v="66"/>
    <x v="39"/>
    <x v="20"/>
    <x v="57"/>
    <x v="0"/>
    <x v="22"/>
    <x v="16"/>
    <x v="121"/>
    <x v="14"/>
    <x v="64"/>
    <x v="76"/>
    <x v="96"/>
    <x v="4"/>
    <x v="3"/>
    <x v="0"/>
    <x v="2"/>
    <x v="0"/>
  </r>
  <r>
    <x v="1"/>
    <x v="791"/>
    <x v="98"/>
    <x v="21"/>
    <x v="97"/>
    <x v="12"/>
    <x v="23"/>
    <x v="148"/>
    <x v="149"/>
    <x v="148"/>
    <x v="97"/>
    <x v="185"/>
    <x v="96"/>
    <x v="9"/>
    <x v="3"/>
    <x v="0"/>
    <x v="2"/>
    <x v="3"/>
  </r>
  <r>
    <x v="1"/>
    <x v="67"/>
    <x v="78"/>
    <x v="21"/>
    <x v="41"/>
    <x v="0"/>
    <x v="22"/>
    <x v="106"/>
    <x v="123"/>
    <x v="101"/>
    <x v="16"/>
    <x v="45"/>
    <x v="76"/>
    <x v="4"/>
    <x v="3"/>
    <x v="0"/>
    <x v="2"/>
    <x v="1"/>
  </r>
  <r>
    <x v="1"/>
    <x v="786"/>
    <x v="77"/>
    <x v="21"/>
    <x v="78"/>
    <x v="1"/>
    <x v="21"/>
    <x v="52"/>
    <x v="90"/>
    <x v="51"/>
    <x v="79"/>
    <x v="78"/>
    <x v="0"/>
    <x v="4"/>
    <x v="3"/>
    <x v="0"/>
    <x v="2"/>
    <x v="2"/>
  </r>
  <r>
    <x v="1"/>
    <x v="68"/>
    <x v="90"/>
    <x v="21"/>
    <x v="87"/>
    <x v="0"/>
    <x v="6"/>
    <x v="90"/>
    <x v="21"/>
    <x v="93"/>
    <x v="23"/>
    <x v="64"/>
    <x v="3"/>
    <x v="4"/>
    <x v="3"/>
    <x v="0"/>
    <x v="2"/>
    <x v="1"/>
  </r>
  <r>
    <x v="1"/>
    <x v="69"/>
    <x v="44"/>
    <x v="21"/>
    <x v="88"/>
    <x v="0"/>
    <x v="3"/>
    <x v="104"/>
    <x v="112"/>
    <x v="100"/>
    <x v="66"/>
    <x v="159"/>
    <x v="41"/>
    <x v="4"/>
    <x v="3"/>
    <x v="0"/>
    <x v="2"/>
    <x v="1"/>
  </r>
  <r>
    <x v="1"/>
    <x v="787"/>
    <x v="83"/>
    <x v="21"/>
    <x v="73"/>
    <x v="1"/>
    <x v="7"/>
    <x v="110"/>
    <x v="136"/>
    <x v="105"/>
    <x v="54"/>
    <x v="132"/>
    <x v="60"/>
    <x v="4"/>
    <x v="3"/>
    <x v="0"/>
    <x v="2"/>
    <x v="2"/>
  </r>
  <r>
    <x v="1"/>
    <x v="70"/>
    <x v="75"/>
    <x v="21"/>
    <x v="71"/>
    <x v="0"/>
    <x v="12"/>
    <x v="29"/>
    <x v="134"/>
    <x v="30"/>
    <x v="93"/>
    <x v="2"/>
    <x v="63"/>
    <x v="4"/>
    <x v="3"/>
    <x v="0"/>
    <x v="2"/>
    <x v="2"/>
  </r>
  <r>
    <x v="1"/>
    <x v="71"/>
    <x v="58"/>
    <x v="21"/>
    <x v="75"/>
    <x v="0"/>
    <x v="13"/>
    <x v="95"/>
    <x v="24"/>
    <x v="85"/>
    <x v="53"/>
    <x v="91"/>
    <x v="66"/>
    <x v="4"/>
    <x v="3"/>
    <x v="0"/>
    <x v="2"/>
    <x v="1"/>
  </r>
  <r>
    <x v="1"/>
    <x v="72"/>
    <x v="16"/>
    <x v="21"/>
    <x v="69"/>
    <x v="0"/>
    <x v="22"/>
    <x v="27"/>
    <x v="42"/>
    <x v="22"/>
    <x v="11"/>
    <x v="38"/>
    <x v="67"/>
    <x v="4"/>
    <x v="3"/>
    <x v="0"/>
    <x v="2"/>
    <x v="2"/>
  </r>
  <r>
    <x v="1"/>
    <x v="73"/>
    <x v="0"/>
    <x v="21"/>
    <x v="91"/>
    <x v="0"/>
    <x v="9"/>
    <x v="7"/>
    <x v="23"/>
    <x v="3"/>
    <x v="80"/>
    <x v="74"/>
    <x v="72"/>
    <x v="4"/>
    <x v="3"/>
    <x v="0"/>
    <x v="2"/>
    <x v="1"/>
  </r>
  <r>
    <x v="1"/>
    <x v="74"/>
    <x v="84"/>
    <x v="21"/>
    <x v="72"/>
    <x v="1"/>
    <x v="22"/>
    <x v="119"/>
    <x v="88"/>
    <x v="122"/>
    <x v="17"/>
    <x v="46"/>
    <x v="36"/>
    <x v="4"/>
    <x v="3"/>
    <x v="0"/>
    <x v="2"/>
    <x v="1"/>
  </r>
  <r>
    <x v="1"/>
    <x v="791"/>
    <x v="98"/>
    <x v="22"/>
    <x v="97"/>
    <x v="7"/>
    <x v="23"/>
    <x v="148"/>
    <x v="149"/>
    <x v="148"/>
    <x v="97"/>
    <x v="185"/>
    <x v="96"/>
    <x v="9"/>
    <x v="3"/>
    <x v="0"/>
    <x v="0"/>
    <x v="3"/>
  </r>
  <r>
    <x v="1"/>
    <x v="75"/>
    <x v="77"/>
    <x v="22"/>
    <x v="78"/>
    <x v="0"/>
    <x v="21"/>
    <x v="146"/>
    <x v="105"/>
    <x v="144"/>
    <x v="79"/>
    <x v="24"/>
    <x v="0"/>
    <x v="4"/>
    <x v="3"/>
    <x v="0"/>
    <x v="0"/>
    <x v="2"/>
  </r>
  <r>
    <x v="1"/>
    <x v="76"/>
    <x v="47"/>
    <x v="22"/>
    <x v="36"/>
    <x v="0"/>
    <x v="18"/>
    <x v="31"/>
    <x v="41"/>
    <x v="23"/>
    <x v="13"/>
    <x v="40"/>
    <x v="5"/>
    <x v="4"/>
    <x v="3"/>
    <x v="0"/>
    <x v="0"/>
    <x v="1"/>
  </r>
  <r>
    <x v="1"/>
    <x v="77"/>
    <x v="87"/>
    <x v="22"/>
    <x v="59"/>
    <x v="0"/>
    <x v="17"/>
    <x v="121"/>
    <x v="30"/>
    <x v="124"/>
    <x v="38"/>
    <x v="111"/>
    <x v="14"/>
    <x v="4"/>
    <x v="3"/>
    <x v="0"/>
    <x v="0"/>
    <x v="1"/>
  </r>
  <r>
    <x v="1"/>
    <x v="78"/>
    <x v="62"/>
    <x v="22"/>
    <x v="92"/>
    <x v="0"/>
    <x v="13"/>
    <x v="36"/>
    <x v="39"/>
    <x v="36"/>
    <x v="63"/>
    <x v="180"/>
    <x v="26"/>
    <x v="4"/>
    <x v="3"/>
    <x v="0"/>
    <x v="0"/>
    <x v="2"/>
  </r>
  <r>
    <x v="1"/>
    <x v="79"/>
    <x v="56"/>
    <x v="22"/>
    <x v="1"/>
    <x v="0"/>
    <x v="22"/>
    <x v="59"/>
    <x v="110"/>
    <x v="55"/>
    <x v="61"/>
    <x v="146"/>
    <x v="52"/>
    <x v="4"/>
    <x v="3"/>
    <x v="0"/>
    <x v="0"/>
    <x v="2"/>
  </r>
  <r>
    <x v="1"/>
    <x v="80"/>
    <x v="60"/>
    <x v="22"/>
    <x v="93"/>
    <x v="0"/>
    <x v="14"/>
    <x v="62"/>
    <x v="146"/>
    <x v="63"/>
    <x v="52"/>
    <x v="129"/>
    <x v="62"/>
    <x v="4"/>
    <x v="3"/>
    <x v="0"/>
    <x v="0"/>
    <x v="2"/>
  </r>
  <r>
    <x v="1"/>
    <x v="81"/>
    <x v="67"/>
    <x v="22"/>
    <x v="9"/>
    <x v="0"/>
    <x v="17"/>
    <x v="10"/>
    <x v="5"/>
    <x v="21"/>
    <x v="7"/>
    <x v="20"/>
    <x v="80"/>
    <x v="4"/>
    <x v="3"/>
    <x v="0"/>
    <x v="0"/>
    <x v="1"/>
  </r>
  <r>
    <x v="1"/>
    <x v="82"/>
    <x v="21"/>
    <x v="22"/>
    <x v="11"/>
    <x v="0"/>
    <x v="10"/>
    <x v="57"/>
    <x v="118"/>
    <x v="53"/>
    <x v="84"/>
    <x v="171"/>
    <x v="92"/>
    <x v="4"/>
    <x v="3"/>
    <x v="0"/>
    <x v="0"/>
    <x v="2"/>
  </r>
  <r>
    <x v="1"/>
    <x v="791"/>
    <x v="98"/>
    <x v="23"/>
    <x v="97"/>
    <x v="14"/>
    <x v="23"/>
    <x v="148"/>
    <x v="149"/>
    <x v="148"/>
    <x v="97"/>
    <x v="185"/>
    <x v="96"/>
    <x v="9"/>
    <x v="3"/>
    <x v="0"/>
    <x v="0"/>
    <x v="3"/>
  </r>
  <r>
    <x v="1"/>
    <x v="83"/>
    <x v="53"/>
    <x v="23"/>
    <x v="42"/>
    <x v="0"/>
    <x v="1"/>
    <x v="84"/>
    <x v="35"/>
    <x v="80"/>
    <x v="26"/>
    <x v="82"/>
    <x v="54"/>
    <x v="4"/>
    <x v="3"/>
    <x v="0"/>
    <x v="0"/>
    <x v="1"/>
  </r>
  <r>
    <x v="1"/>
    <x v="84"/>
    <x v="42"/>
    <x v="23"/>
    <x v="81"/>
    <x v="0"/>
    <x v="22"/>
    <x v="55"/>
    <x v="17"/>
    <x v="58"/>
    <x v="89"/>
    <x v="173"/>
    <x v="83"/>
    <x v="4"/>
    <x v="3"/>
    <x v="0"/>
    <x v="0"/>
    <x v="1"/>
  </r>
  <r>
    <x v="1"/>
    <x v="85"/>
    <x v="77"/>
    <x v="23"/>
    <x v="78"/>
    <x v="0"/>
    <x v="21"/>
    <x v="67"/>
    <x v="57"/>
    <x v="66"/>
    <x v="79"/>
    <x v="139"/>
    <x v="0"/>
    <x v="4"/>
    <x v="3"/>
    <x v="0"/>
    <x v="0"/>
    <x v="2"/>
  </r>
  <r>
    <x v="1"/>
    <x v="86"/>
    <x v="71"/>
    <x v="23"/>
    <x v="25"/>
    <x v="0"/>
    <x v="11"/>
    <x v="58"/>
    <x v="116"/>
    <x v="54"/>
    <x v="90"/>
    <x v="176"/>
    <x v="1"/>
    <x v="4"/>
    <x v="3"/>
    <x v="0"/>
    <x v="0"/>
    <x v="2"/>
  </r>
  <r>
    <x v="1"/>
    <x v="87"/>
    <x v="91"/>
    <x v="23"/>
    <x v="86"/>
    <x v="0"/>
    <x v="20"/>
    <x v="47"/>
    <x v="53"/>
    <x v="45"/>
    <x v="96"/>
    <x v="7"/>
    <x v="12"/>
    <x v="4"/>
    <x v="3"/>
    <x v="0"/>
    <x v="0"/>
    <x v="2"/>
  </r>
  <r>
    <x v="1"/>
    <x v="88"/>
    <x v="32"/>
    <x v="23"/>
    <x v="23"/>
    <x v="0"/>
    <x v="22"/>
    <x v="8"/>
    <x v="46"/>
    <x v="4"/>
    <x v="72"/>
    <x v="52"/>
    <x v="13"/>
    <x v="4"/>
    <x v="3"/>
    <x v="0"/>
    <x v="0"/>
    <x v="1"/>
  </r>
  <r>
    <x v="1"/>
    <x v="89"/>
    <x v="93"/>
    <x v="23"/>
    <x v="77"/>
    <x v="0"/>
    <x v="17"/>
    <x v="118"/>
    <x v="132"/>
    <x v="116"/>
    <x v="32"/>
    <x v="44"/>
    <x v="27"/>
    <x v="4"/>
    <x v="3"/>
    <x v="0"/>
    <x v="0"/>
    <x v="1"/>
  </r>
  <r>
    <x v="1"/>
    <x v="90"/>
    <x v="57"/>
    <x v="23"/>
    <x v="79"/>
    <x v="0"/>
    <x v="22"/>
    <x v="126"/>
    <x v="95"/>
    <x v="132"/>
    <x v="60"/>
    <x v="164"/>
    <x v="35"/>
    <x v="4"/>
    <x v="3"/>
    <x v="0"/>
    <x v="0"/>
    <x v="2"/>
  </r>
  <r>
    <x v="1"/>
    <x v="91"/>
    <x v="74"/>
    <x v="23"/>
    <x v="85"/>
    <x v="0"/>
    <x v="17"/>
    <x v="18"/>
    <x v="52"/>
    <x v="13"/>
    <x v="92"/>
    <x v="128"/>
    <x v="38"/>
    <x v="4"/>
    <x v="3"/>
    <x v="0"/>
    <x v="0"/>
    <x v="1"/>
  </r>
  <r>
    <x v="1"/>
    <x v="92"/>
    <x v="12"/>
    <x v="23"/>
    <x v="5"/>
    <x v="0"/>
    <x v="22"/>
    <x v="42"/>
    <x v="145"/>
    <x v="37"/>
    <x v="22"/>
    <x v="33"/>
    <x v="40"/>
    <x v="4"/>
    <x v="3"/>
    <x v="0"/>
    <x v="0"/>
    <x v="2"/>
  </r>
  <r>
    <x v="1"/>
    <x v="93"/>
    <x v="54"/>
    <x v="23"/>
    <x v="44"/>
    <x v="0"/>
    <x v="22"/>
    <x v="133"/>
    <x v="10"/>
    <x v="134"/>
    <x v="88"/>
    <x v="172"/>
    <x v="50"/>
    <x v="4"/>
    <x v="3"/>
    <x v="0"/>
    <x v="0"/>
    <x v="2"/>
  </r>
  <r>
    <x v="1"/>
    <x v="94"/>
    <x v="83"/>
    <x v="23"/>
    <x v="73"/>
    <x v="0"/>
    <x v="7"/>
    <x v="109"/>
    <x v="135"/>
    <x v="104"/>
    <x v="54"/>
    <x v="131"/>
    <x v="60"/>
    <x v="4"/>
    <x v="3"/>
    <x v="0"/>
    <x v="0"/>
    <x v="2"/>
  </r>
  <r>
    <x v="1"/>
    <x v="95"/>
    <x v="80"/>
    <x v="23"/>
    <x v="4"/>
    <x v="0"/>
    <x v="10"/>
    <x v="79"/>
    <x v="119"/>
    <x v="75"/>
    <x v="75"/>
    <x v="150"/>
    <x v="61"/>
    <x v="4"/>
    <x v="3"/>
    <x v="0"/>
    <x v="0"/>
    <x v="2"/>
  </r>
  <r>
    <x v="1"/>
    <x v="96"/>
    <x v="75"/>
    <x v="23"/>
    <x v="71"/>
    <x v="0"/>
    <x v="12"/>
    <x v="29"/>
    <x v="134"/>
    <x v="30"/>
    <x v="93"/>
    <x v="2"/>
    <x v="63"/>
    <x v="4"/>
    <x v="3"/>
    <x v="0"/>
    <x v="0"/>
    <x v="2"/>
  </r>
  <r>
    <x v="1"/>
    <x v="97"/>
    <x v="59"/>
    <x v="23"/>
    <x v="70"/>
    <x v="0"/>
    <x v="10"/>
    <x v="1"/>
    <x v="11"/>
    <x v="110"/>
    <x v="62"/>
    <x v="151"/>
    <x v="77"/>
    <x v="4"/>
    <x v="3"/>
    <x v="0"/>
    <x v="0"/>
    <x v="1"/>
  </r>
  <r>
    <x v="1"/>
    <x v="98"/>
    <x v="68"/>
    <x v="23"/>
    <x v="17"/>
    <x v="0"/>
    <x v="22"/>
    <x v="28"/>
    <x v="82"/>
    <x v="29"/>
    <x v="2"/>
    <x v="9"/>
    <x v="94"/>
    <x v="4"/>
    <x v="3"/>
    <x v="0"/>
    <x v="0"/>
    <x v="2"/>
  </r>
  <r>
    <x v="1"/>
    <x v="99"/>
    <x v="52"/>
    <x v="23"/>
    <x v="55"/>
    <x v="0"/>
    <x v="22"/>
    <x v="34"/>
    <x v="120"/>
    <x v="35"/>
    <x v="1"/>
    <x v="4"/>
    <x v="33"/>
    <x v="4"/>
    <x v="3"/>
    <x v="0"/>
    <x v="0"/>
    <x v="1"/>
  </r>
  <r>
    <x v="1"/>
    <x v="100"/>
    <x v="84"/>
    <x v="23"/>
    <x v="72"/>
    <x v="0"/>
    <x v="22"/>
    <x v="119"/>
    <x v="88"/>
    <x v="122"/>
    <x v="17"/>
    <x v="46"/>
    <x v="36"/>
    <x v="4"/>
    <x v="3"/>
    <x v="0"/>
    <x v="0"/>
    <x v="1"/>
  </r>
  <r>
    <x v="1"/>
    <x v="791"/>
    <x v="98"/>
    <x v="19"/>
    <x v="97"/>
    <x v="26"/>
    <x v="23"/>
    <x v="148"/>
    <x v="149"/>
    <x v="148"/>
    <x v="97"/>
    <x v="185"/>
    <x v="96"/>
    <x v="9"/>
    <x v="3"/>
    <x v="0"/>
    <x v="2"/>
    <x v="3"/>
  </r>
  <r>
    <x v="1"/>
    <x v="101"/>
    <x v="7"/>
    <x v="19"/>
    <x v="14"/>
    <x v="0"/>
    <x v="17"/>
    <x v="147"/>
    <x v="6"/>
    <x v="140"/>
    <x v="35"/>
    <x v="89"/>
    <x v="81"/>
    <x v="4"/>
    <x v="3"/>
    <x v="0"/>
    <x v="2"/>
    <x v="1"/>
  </r>
  <r>
    <x v="1"/>
    <x v="102"/>
    <x v="82"/>
    <x v="19"/>
    <x v="74"/>
    <x v="0"/>
    <x v="2"/>
    <x v="132"/>
    <x v="83"/>
    <x v="131"/>
    <x v="5"/>
    <x v="10"/>
    <x v="2"/>
    <x v="6"/>
    <x v="3"/>
    <x v="0"/>
    <x v="2"/>
    <x v="2"/>
  </r>
  <r>
    <x v="1"/>
    <x v="103"/>
    <x v="15"/>
    <x v="19"/>
    <x v="51"/>
    <x v="0"/>
    <x v="17"/>
    <x v="21"/>
    <x v="51"/>
    <x v="42"/>
    <x v="44"/>
    <x v="119"/>
    <x v="25"/>
    <x v="4"/>
    <x v="3"/>
    <x v="0"/>
    <x v="2"/>
    <x v="1"/>
  </r>
  <r>
    <x v="1"/>
    <x v="104"/>
    <x v="6"/>
    <x v="19"/>
    <x v="62"/>
    <x v="0"/>
    <x v="17"/>
    <x v="65"/>
    <x v="137"/>
    <x v="64"/>
    <x v="69"/>
    <x v="22"/>
    <x v="31"/>
    <x v="4"/>
    <x v="3"/>
    <x v="0"/>
    <x v="2"/>
    <x v="1"/>
  </r>
  <r>
    <x v="1"/>
    <x v="105"/>
    <x v="19"/>
    <x v="19"/>
    <x v="24"/>
    <x v="0"/>
    <x v="22"/>
    <x v="102"/>
    <x v="126"/>
    <x v="99"/>
    <x v="46"/>
    <x v="124"/>
    <x v="75"/>
    <x v="2"/>
    <x v="3"/>
    <x v="0"/>
    <x v="2"/>
    <x v="1"/>
  </r>
  <r>
    <x v="1"/>
    <x v="106"/>
    <x v="78"/>
    <x v="19"/>
    <x v="41"/>
    <x v="1"/>
    <x v="22"/>
    <x v="106"/>
    <x v="123"/>
    <x v="101"/>
    <x v="16"/>
    <x v="45"/>
    <x v="76"/>
    <x v="2"/>
    <x v="3"/>
    <x v="0"/>
    <x v="2"/>
    <x v="1"/>
  </r>
  <r>
    <x v="1"/>
    <x v="736"/>
    <x v="42"/>
    <x v="19"/>
    <x v="81"/>
    <x v="5"/>
    <x v="22"/>
    <x v="56"/>
    <x v="18"/>
    <x v="59"/>
    <x v="89"/>
    <x v="174"/>
    <x v="83"/>
    <x v="4"/>
    <x v="3"/>
    <x v="0"/>
    <x v="2"/>
    <x v="1"/>
  </r>
  <r>
    <x v="1"/>
    <x v="107"/>
    <x v="77"/>
    <x v="19"/>
    <x v="78"/>
    <x v="2"/>
    <x v="21"/>
    <x v="51"/>
    <x v="89"/>
    <x v="50"/>
    <x v="79"/>
    <x v="80"/>
    <x v="0"/>
    <x v="4"/>
    <x v="3"/>
    <x v="0"/>
    <x v="2"/>
    <x v="2"/>
  </r>
  <r>
    <x v="1"/>
    <x v="108"/>
    <x v="1"/>
    <x v="19"/>
    <x v="30"/>
    <x v="0"/>
    <x v="22"/>
    <x v="98"/>
    <x v="114"/>
    <x v="88"/>
    <x v="65"/>
    <x v="21"/>
    <x v="4"/>
    <x v="4"/>
    <x v="3"/>
    <x v="0"/>
    <x v="2"/>
    <x v="2"/>
  </r>
  <r>
    <x v="1"/>
    <x v="109"/>
    <x v="70"/>
    <x v="19"/>
    <x v="89"/>
    <x v="0"/>
    <x v="8"/>
    <x v="107"/>
    <x v="128"/>
    <x v="102"/>
    <x v="42"/>
    <x v="148"/>
    <x v="7"/>
    <x v="4"/>
    <x v="3"/>
    <x v="0"/>
    <x v="2"/>
    <x v="1"/>
  </r>
  <r>
    <x v="1"/>
    <x v="110"/>
    <x v="89"/>
    <x v="19"/>
    <x v="66"/>
    <x v="0"/>
    <x v="17"/>
    <x v="39"/>
    <x v="98"/>
    <x v="34"/>
    <x v="36"/>
    <x v="108"/>
    <x v="11"/>
    <x v="4"/>
    <x v="3"/>
    <x v="0"/>
    <x v="2"/>
    <x v="1"/>
  </r>
  <r>
    <x v="1"/>
    <x v="111"/>
    <x v="91"/>
    <x v="19"/>
    <x v="86"/>
    <x v="0"/>
    <x v="20"/>
    <x v="47"/>
    <x v="53"/>
    <x v="45"/>
    <x v="96"/>
    <x v="7"/>
    <x v="12"/>
    <x v="4"/>
    <x v="3"/>
    <x v="0"/>
    <x v="2"/>
    <x v="2"/>
  </r>
  <r>
    <x v="1"/>
    <x v="112"/>
    <x v="36"/>
    <x v="19"/>
    <x v="40"/>
    <x v="1"/>
    <x v="22"/>
    <x v="89"/>
    <x v="78"/>
    <x v="84"/>
    <x v="10"/>
    <x v="35"/>
    <x v="17"/>
    <x v="4"/>
    <x v="3"/>
    <x v="0"/>
    <x v="2"/>
    <x v="2"/>
  </r>
  <r>
    <x v="1"/>
    <x v="113"/>
    <x v="51"/>
    <x v="19"/>
    <x v="15"/>
    <x v="0"/>
    <x v="22"/>
    <x v="103"/>
    <x v="117"/>
    <x v="91"/>
    <x v="21"/>
    <x v="55"/>
    <x v="20"/>
    <x v="4"/>
    <x v="3"/>
    <x v="0"/>
    <x v="2"/>
    <x v="1"/>
  </r>
  <r>
    <x v="1"/>
    <x v="114"/>
    <x v="4"/>
    <x v="19"/>
    <x v="20"/>
    <x v="2"/>
    <x v="22"/>
    <x v="68"/>
    <x v="49"/>
    <x v="68"/>
    <x v="70"/>
    <x v="69"/>
    <x v="22"/>
    <x v="4"/>
    <x v="3"/>
    <x v="0"/>
    <x v="2"/>
    <x v="2"/>
  </r>
  <r>
    <x v="1"/>
    <x v="115"/>
    <x v="62"/>
    <x v="19"/>
    <x v="92"/>
    <x v="0"/>
    <x v="13"/>
    <x v="36"/>
    <x v="39"/>
    <x v="36"/>
    <x v="63"/>
    <x v="180"/>
    <x v="26"/>
    <x v="4"/>
    <x v="3"/>
    <x v="0"/>
    <x v="2"/>
    <x v="2"/>
  </r>
  <r>
    <x v="1"/>
    <x v="737"/>
    <x v="93"/>
    <x v="19"/>
    <x v="77"/>
    <x v="5"/>
    <x v="17"/>
    <x v="80"/>
    <x v="60"/>
    <x v="77"/>
    <x v="32"/>
    <x v="102"/>
    <x v="27"/>
    <x v="4"/>
    <x v="3"/>
    <x v="0"/>
    <x v="2"/>
    <x v="1"/>
  </r>
  <r>
    <x v="1"/>
    <x v="116"/>
    <x v="73"/>
    <x v="19"/>
    <x v="53"/>
    <x v="0"/>
    <x v="0"/>
    <x v="143"/>
    <x v="113"/>
    <x v="145"/>
    <x v="67"/>
    <x v="155"/>
    <x v="28"/>
    <x v="4"/>
    <x v="3"/>
    <x v="0"/>
    <x v="2"/>
    <x v="1"/>
  </r>
  <r>
    <x v="1"/>
    <x v="117"/>
    <x v="46"/>
    <x v="19"/>
    <x v="76"/>
    <x v="1"/>
    <x v="16"/>
    <x v="23"/>
    <x v="108"/>
    <x v="31"/>
    <x v="51"/>
    <x v="158"/>
    <x v="29"/>
    <x v="4"/>
    <x v="3"/>
    <x v="0"/>
    <x v="2"/>
    <x v="2"/>
  </r>
  <r>
    <x v="1"/>
    <x v="118"/>
    <x v="69"/>
    <x v="19"/>
    <x v="6"/>
    <x v="0"/>
    <x v="22"/>
    <x v="50"/>
    <x v="19"/>
    <x v="56"/>
    <x v="3"/>
    <x v="181"/>
    <x v="30"/>
    <x v="4"/>
    <x v="3"/>
    <x v="0"/>
    <x v="2"/>
    <x v="1"/>
  </r>
  <r>
    <x v="1"/>
    <x v="119"/>
    <x v="57"/>
    <x v="19"/>
    <x v="79"/>
    <x v="1"/>
    <x v="22"/>
    <x v="126"/>
    <x v="95"/>
    <x v="132"/>
    <x v="60"/>
    <x v="163"/>
    <x v="35"/>
    <x v="4"/>
    <x v="3"/>
    <x v="0"/>
    <x v="2"/>
    <x v="2"/>
  </r>
  <r>
    <x v="1"/>
    <x v="120"/>
    <x v="74"/>
    <x v="19"/>
    <x v="85"/>
    <x v="0"/>
    <x v="17"/>
    <x v="18"/>
    <x v="52"/>
    <x v="13"/>
    <x v="92"/>
    <x v="30"/>
    <x v="38"/>
    <x v="4"/>
    <x v="3"/>
    <x v="0"/>
    <x v="2"/>
    <x v="1"/>
  </r>
  <r>
    <x v="1"/>
    <x v="121"/>
    <x v="12"/>
    <x v="19"/>
    <x v="5"/>
    <x v="0"/>
    <x v="22"/>
    <x v="42"/>
    <x v="145"/>
    <x v="37"/>
    <x v="22"/>
    <x v="33"/>
    <x v="40"/>
    <x v="4"/>
    <x v="3"/>
    <x v="0"/>
    <x v="2"/>
    <x v="2"/>
  </r>
  <r>
    <x v="1"/>
    <x v="122"/>
    <x v="2"/>
    <x v="19"/>
    <x v="35"/>
    <x v="1"/>
    <x v="22"/>
    <x v="82"/>
    <x v="122"/>
    <x v="79"/>
    <x v="22"/>
    <x v="58"/>
    <x v="43"/>
    <x v="4"/>
    <x v="3"/>
    <x v="0"/>
    <x v="2"/>
    <x v="1"/>
  </r>
  <r>
    <x v="1"/>
    <x v="123"/>
    <x v="20"/>
    <x v="19"/>
    <x v="80"/>
    <x v="0"/>
    <x v="13"/>
    <x v="24"/>
    <x v="92"/>
    <x v="18"/>
    <x v="91"/>
    <x v="179"/>
    <x v="46"/>
    <x v="4"/>
    <x v="3"/>
    <x v="0"/>
    <x v="2"/>
    <x v="2"/>
  </r>
  <r>
    <x v="1"/>
    <x v="124"/>
    <x v="34"/>
    <x v="19"/>
    <x v="54"/>
    <x v="0"/>
    <x v="15"/>
    <x v="46"/>
    <x v="109"/>
    <x v="127"/>
    <x v="0"/>
    <x v="117"/>
    <x v="49"/>
    <x v="4"/>
    <x v="3"/>
    <x v="0"/>
    <x v="2"/>
    <x v="1"/>
  </r>
  <r>
    <x v="1"/>
    <x v="125"/>
    <x v="54"/>
    <x v="19"/>
    <x v="44"/>
    <x v="0"/>
    <x v="22"/>
    <x v="133"/>
    <x v="10"/>
    <x v="134"/>
    <x v="88"/>
    <x v="172"/>
    <x v="50"/>
    <x v="4"/>
    <x v="3"/>
    <x v="0"/>
    <x v="2"/>
    <x v="2"/>
  </r>
  <r>
    <x v="1"/>
    <x v="126"/>
    <x v="61"/>
    <x v="19"/>
    <x v="96"/>
    <x v="0"/>
    <x v="22"/>
    <x v="111"/>
    <x v="74"/>
    <x v="113"/>
    <x v="25"/>
    <x v="75"/>
    <x v="51"/>
    <x v="4"/>
    <x v="3"/>
    <x v="0"/>
    <x v="2"/>
    <x v="1"/>
  </r>
  <r>
    <x v="1"/>
    <x v="127"/>
    <x v="72"/>
    <x v="19"/>
    <x v="47"/>
    <x v="0"/>
    <x v="17"/>
    <x v="11"/>
    <x v="9"/>
    <x v="6"/>
    <x v="50"/>
    <x v="127"/>
    <x v="58"/>
    <x v="4"/>
    <x v="3"/>
    <x v="0"/>
    <x v="2"/>
    <x v="1"/>
  </r>
  <r>
    <x v="1"/>
    <x v="128"/>
    <x v="83"/>
    <x v="19"/>
    <x v="73"/>
    <x v="0"/>
    <x v="7"/>
    <x v="19"/>
    <x v="38"/>
    <x v="12"/>
    <x v="54"/>
    <x v="156"/>
    <x v="60"/>
    <x v="4"/>
    <x v="3"/>
    <x v="0"/>
    <x v="2"/>
    <x v="2"/>
  </r>
  <r>
    <x v="1"/>
    <x v="129"/>
    <x v="80"/>
    <x v="19"/>
    <x v="4"/>
    <x v="0"/>
    <x v="10"/>
    <x v="79"/>
    <x v="119"/>
    <x v="75"/>
    <x v="75"/>
    <x v="54"/>
    <x v="61"/>
    <x v="4"/>
    <x v="3"/>
    <x v="0"/>
    <x v="2"/>
    <x v="2"/>
  </r>
  <r>
    <x v="1"/>
    <x v="130"/>
    <x v="75"/>
    <x v="19"/>
    <x v="71"/>
    <x v="0"/>
    <x v="12"/>
    <x v="29"/>
    <x v="134"/>
    <x v="30"/>
    <x v="93"/>
    <x v="2"/>
    <x v="63"/>
    <x v="4"/>
    <x v="3"/>
    <x v="0"/>
    <x v="2"/>
    <x v="2"/>
  </r>
  <r>
    <x v="1"/>
    <x v="131"/>
    <x v="22"/>
    <x v="19"/>
    <x v="38"/>
    <x v="0"/>
    <x v="22"/>
    <x v="124"/>
    <x v="79"/>
    <x v="125"/>
    <x v="22"/>
    <x v="59"/>
    <x v="65"/>
    <x v="4"/>
    <x v="3"/>
    <x v="0"/>
    <x v="2"/>
    <x v="1"/>
  </r>
  <r>
    <x v="1"/>
    <x v="132"/>
    <x v="58"/>
    <x v="19"/>
    <x v="75"/>
    <x v="2"/>
    <x v="13"/>
    <x v="95"/>
    <x v="24"/>
    <x v="85"/>
    <x v="53"/>
    <x v="93"/>
    <x v="66"/>
    <x v="4"/>
    <x v="3"/>
    <x v="0"/>
    <x v="2"/>
    <x v="1"/>
  </r>
  <r>
    <x v="1"/>
    <x v="133"/>
    <x v="16"/>
    <x v="19"/>
    <x v="69"/>
    <x v="0"/>
    <x v="22"/>
    <x v="27"/>
    <x v="42"/>
    <x v="22"/>
    <x v="11"/>
    <x v="38"/>
    <x v="67"/>
    <x v="4"/>
    <x v="3"/>
    <x v="0"/>
    <x v="2"/>
    <x v="2"/>
  </r>
  <r>
    <x v="1"/>
    <x v="134"/>
    <x v="96"/>
    <x v="19"/>
    <x v="46"/>
    <x v="0"/>
    <x v="10"/>
    <x v="99"/>
    <x v="77"/>
    <x v="89"/>
    <x v="8"/>
    <x v="26"/>
    <x v="69"/>
    <x v="4"/>
    <x v="3"/>
    <x v="0"/>
    <x v="2"/>
    <x v="2"/>
  </r>
  <r>
    <x v="1"/>
    <x v="738"/>
    <x v="38"/>
    <x v="19"/>
    <x v="84"/>
    <x v="1"/>
    <x v="22"/>
    <x v="123"/>
    <x v="48"/>
    <x v="49"/>
    <x v="40"/>
    <x v="115"/>
    <x v="71"/>
    <x v="4"/>
    <x v="3"/>
    <x v="0"/>
    <x v="2"/>
    <x v="2"/>
  </r>
  <r>
    <x v="1"/>
    <x v="135"/>
    <x v="26"/>
    <x v="19"/>
    <x v="58"/>
    <x v="0"/>
    <x v="13"/>
    <x v="61"/>
    <x v="63"/>
    <x v="61"/>
    <x v="45"/>
    <x v="122"/>
    <x v="74"/>
    <x v="4"/>
    <x v="3"/>
    <x v="0"/>
    <x v="2"/>
    <x v="2"/>
  </r>
  <r>
    <x v="1"/>
    <x v="739"/>
    <x v="59"/>
    <x v="19"/>
    <x v="70"/>
    <x v="2"/>
    <x v="10"/>
    <x v="135"/>
    <x v="4"/>
    <x v="142"/>
    <x v="62"/>
    <x v="17"/>
    <x v="77"/>
    <x v="4"/>
    <x v="3"/>
    <x v="0"/>
    <x v="2"/>
    <x v="1"/>
  </r>
  <r>
    <x v="1"/>
    <x v="136"/>
    <x v="23"/>
    <x v="19"/>
    <x v="16"/>
    <x v="0"/>
    <x v="17"/>
    <x v="4"/>
    <x v="44"/>
    <x v="1"/>
    <x v="24"/>
    <x v="71"/>
    <x v="78"/>
    <x v="4"/>
    <x v="3"/>
    <x v="0"/>
    <x v="2"/>
    <x v="1"/>
  </r>
  <r>
    <x v="1"/>
    <x v="137"/>
    <x v="94"/>
    <x v="19"/>
    <x v="26"/>
    <x v="0"/>
    <x v="10"/>
    <x v="9"/>
    <x v="36"/>
    <x v="5"/>
    <x v="6"/>
    <x v="19"/>
    <x v="79"/>
    <x v="4"/>
    <x v="3"/>
    <x v="0"/>
    <x v="2"/>
    <x v="1"/>
  </r>
  <r>
    <x v="1"/>
    <x v="138"/>
    <x v="37"/>
    <x v="19"/>
    <x v="34"/>
    <x v="0"/>
    <x v="22"/>
    <x v="15"/>
    <x v="102"/>
    <x v="11"/>
    <x v="71"/>
    <x v="50"/>
    <x v="84"/>
    <x v="4"/>
    <x v="3"/>
    <x v="0"/>
    <x v="2"/>
    <x v="2"/>
  </r>
  <r>
    <x v="1"/>
    <x v="139"/>
    <x v="48"/>
    <x v="19"/>
    <x v="13"/>
    <x v="0"/>
    <x v="10"/>
    <x v="88"/>
    <x v="62"/>
    <x v="83"/>
    <x v="74"/>
    <x v="15"/>
    <x v="86"/>
    <x v="4"/>
    <x v="3"/>
    <x v="0"/>
    <x v="2"/>
    <x v="1"/>
  </r>
  <r>
    <x v="1"/>
    <x v="140"/>
    <x v="55"/>
    <x v="19"/>
    <x v="2"/>
    <x v="0"/>
    <x v="22"/>
    <x v="45"/>
    <x v="125"/>
    <x v="41"/>
    <x v="18"/>
    <x v="47"/>
    <x v="87"/>
    <x v="4"/>
    <x v="3"/>
    <x v="0"/>
    <x v="2"/>
    <x v="2"/>
  </r>
  <r>
    <x v="1"/>
    <x v="141"/>
    <x v="65"/>
    <x v="19"/>
    <x v="83"/>
    <x v="0"/>
    <x v="13"/>
    <x v="25"/>
    <x v="138"/>
    <x v="19"/>
    <x v="49"/>
    <x v="126"/>
    <x v="89"/>
    <x v="4"/>
    <x v="3"/>
    <x v="0"/>
    <x v="2"/>
    <x v="2"/>
  </r>
  <r>
    <x v="1"/>
    <x v="142"/>
    <x v="95"/>
    <x v="19"/>
    <x v="33"/>
    <x v="0"/>
    <x v="17"/>
    <x v="128"/>
    <x v="20"/>
    <x v="126"/>
    <x v="29"/>
    <x v="85"/>
    <x v="90"/>
    <x v="4"/>
    <x v="3"/>
    <x v="0"/>
    <x v="2"/>
    <x v="1"/>
  </r>
  <r>
    <x v="1"/>
    <x v="143"/>
    <x v="21"/>
    <x v="19"/>
    <x v="11"/>
    <x v="0"/>
    <x v="10"/>
    <x v="57"/>
    <x v="118"/>
    <x v="53"/>
    <x v="84"/>
    <x v="171"/>
    <x v="92"/>
    <x v="4"/>
    <x v="3"/>
    <x v="0"/>
    <x v="2"/>
    <x v="2"/>
  </r>
  <r>
    <x v="1"/>
    <x v="144"/>
    <x v="68"/>
    <x v="19"/>
    <x v="17"/>
    <x v="0"/>
    <x v="22"/>
    <x v="28"/>
    <x v="82"/>
    <x v="29"/>
    <x v="2"/>
    <x v="9"/>
    <x v="94"/>
    <x v="4"/>
    <x v="3"/>
    <x v="0"/>
    <x v="2"/>
    <x v="2"/>
  </r>
  <r>
    <x v="1"/>
    <x v="145"/>
    <x v="50"/>
    <x v="19"/>
    <x v="68"/>
    <x v="0"/>
    <x v="22"/>
    <x v="81"/>
    <x v="97"/>
    <x v="78"/>
    <x v="28"/>
    <x v="83"/>
    <x v="95"/>
    <x v="4"/>
    <x v="3"/>
    <x v="0"/>
    <x v="2"/>
    <x v="2"/>
  </r>
  <r>
    <x v="1"/>
    <x v="146"/>
    <x v="52"/>
    <x v="19"/>
    <x v="55"/>
    <x v="0"/>
    <x v="22"/>
    <x v="34"/>
    <x v="120"/>
    <x v="35"/>
    <x v="1"/>
    <x v="4"/>
    <x v="33"/>
    <x v="4"/>
    <x v="3"/>
    <x v="0"/>
    <x v="2"/>
    <x v="1"/>
  </r>
  <r>
    <x v="1"/>
    <x v="147"/>
    <x v="39"/>
    <x v="19"/>
    <x v="57"/>
    <x v="0"/>
    <x v="22"/>
    <x v="16"/>
    <x v="121"/>
    <x v="14"/>
    <x v="64"/>
    <x v="76"/>
    <x v="96"/>
    <x v="4"/>
    <x v="3"/>
    <x v="0"/>
    <x v="2"/>
    <x v="0"/>
  </r>
  <r>
    <x v="1"/>
    <x v="791"/>
    <x v="98"/>
    <x v="17"/>
    <x v="97"/>
    <x v="27"/>
    <x v="23"/>
    <x v="148"/>
    <x v="149"/>
    <x v="148"/>
    <x v="97"/>
    <x v="185"/>
    <x v="96"/>
    <x v="9"/>
    <x v="3"/>
    <x v="0"/>
    <x v="2"/>
    <x v="3"/>
  </r>
  <r>
    <x v="1"/>
    <x v="148"/>
    <x v="5"/>
    <x v="17"/>
    <x v="19"/>
    <x v="1"/>
    <x v="18"/>
    <x v="87"/>
    <x v="93"/>
    <x v="76"/>
    <x v="27"/>
    <x v="161"/>
    <x v="10"/>
    <x v="5"/>
    <x v="3"/>
    <x v="0"/>
    <x v="2"/>
    <x v="1"/>
  </r>
  <r>
    <x v="1"/>
    <x v="149"/>
    <x v="19"/>
    <x v="17"/>
    <x v="24"/>
    <x v="0"/>
    <x v="22"/>
    <x v="102"/>
    <x v="126"/>
    <x v="99"/>
    <x v="46"/>
    <x v="124"/>
    <x v="75"/>
    <x v="5"/>
    <x v="3"/>
    <x v="0"/>
    <x v="2"/>
    <x v="1"/>
  </r>
  <r>
    <x v="1"/>
    <x v="740"/>
    <x v="42"/>
    <x v="17"/>
    <x v="81"/>
    <x v="9"/>
    <x v="22"/>
    <x v="142"/>
    <x v="15"/>
    <x v="43"/>
    <x v="89"/>
    <x v="175"/>
    <x v="83"/>
    <x v="5"/>
    <x v="3"/>
    <x v="0"/>
    <x v="2"/>
    <x v="1"/>
  </r>
  <r>
    <x v="1"/>
    <x v="741"/>
    <x v="77"/>
    <x v="17"/>
    <x v="78"/>
    <x v="3"/>
    <x v="21"/>
    <x v="53"/>
    <x v="91"/>
    <x v="52"/>
    <x v="79"/>
    <x v="79"/>
    <x v="0"/>
    <x v="5"/>
    <x v="3"/>
    <x v="0"/>
    <x v="2"/>
    <x v="2"/>
  </r>
  <r>
    <x v="1"/>
    <x v="150"/>
    <x v="1"/>
    <x v="17"/>
    <x v="30"/>
    <x v="0"/>
    <x v="22"/>
    <x v="98"/>
    <x v="114"/>
    <x v="88"/>
    <x v="65"/>
    <x v="3"/>
    <x v="4"/>
    <x v="5"/>
    <x v="3"/>
    <x v="0"/>
    <x v="2"/>
    <x v="2"/>
  </r>
  <r>
    <x v="1"/>
    <x v="151"/>
    <x v="9"/>
    <x v="17"/>
    <x v="49"/>
    <x v="1"/>
    <x v="10"/>
    <x v="14"/>
    <x v="61"/>
    <x v="16"/>
    <x v="73"/>
    <x v="56"/>
    <x v="6"/>
    <x v="5"/>
    <x v="3"/>
    <x v="0"/>
    <x v="2"/>
    <x v="2"/>
  </r>
  <r>
    <x v="1"/>
    <x v="152"/>
    <x v="81"/>
    <x v="17"/>
    <x v="56"/>
    <x v="1"/>
    <x v="22"/>
    <x v="116"/>
    <x v="75"/>
    <x v="121"/>
    <x v="59"/>
    <x v="144"/>
    <x v="8"/>
    <x v="5"/>
    <x v="3"/>
    <x v="0"/>
    <x v="2"/>
    <x v="2"/>
  </r>
  <r>
    <x v="1"/>
    <x v="153"/>
    <x v="85"/>
    <x v="17"/>
    <x v="29"/>
    <x v="5"/>
    <x v="13"/>
    <x v="141"/>
    <x v="29"/>
    <x v="143"/>
    <x v="87"/>
    <x v="170"/>
    <x v="9"/>
    <x v="5"/>
    <x v="3"/>
    <x v="0"/>
    <x v="2"/>
    <x v="2"/>
  </r>
  <r>
    <x v="1"/>
    <x v="154"/>
    <x v="62"/>
    <x v="17"/>
    <x v="92"/>
    <x v="0"/>
    <x v="13"/>
    <x v="36"/>
    <x v="39"/>
    <x v="36"/>
    <x v="63"/>
    <x v="180"/>
    <x v="26"/>
    <x v="5"/>
    <x v="3"/>
    <x v="0"/>
    <x v="2"/>
    <x v="2"/>
  </r>
  <r>
    <x v="1"/>
    <x v="742"/>
    <x v="93"/>
    <x v="17"/>
    <x v="77"/>
    <x v="1"/>
    <x v="17"/>
    <x v="93"/>
    <x v="86"/>
    <x v="96"/>
    <x v="32"/>
    <x v="32"/>
    <x v="27"/>
    <x v="5"/>
    <x v="3"/>
    <x v="0"/>
    <x v="2"/>
    <x v="1"/>
  </r>
  <r>
    <x v="1"/>
    <x v="155"/>
    <x v="46"/>
    <x v="17"/>
    <x v="76"/>
    <x v="6"/>
    <x v="16"/>
    <x v="23"/>
    <x v="108"/>
    <x v="31"/>
    <x v="51"/>
    <x v="137"/>
    <x v="29"/>
    <x v="5"/>
    <x v="3"/>
    <x v="0"/>
    <x v="2"/>
    <x v="2"/>
  </r>
  <r>
    <x v="1"/>
    <x v="156"/>
    <x v="69"/>
    <x v="17"/>
    <x v="6"/>
    <x v="2"/>
    <x v="22"/>
    <x v="50"/>
    <x v="19"/>
    <x v="56"/>
    <x v="3"/>
    <x v="181"/>
    <x v="30"/>
    <x v="5"/>
    <x v="3"/>
    <x v="0"/>
    <x v="2"/>
    <x v="1"/>
  </r>
  <r>
    <x v="1"/>
    <x v="157"/>
    <x v="44"/>
    <x v="17"/>
    <x v="88"/>
    <x v="0"/>
    <x v="3"/>
    <x v="104"/>
    <x v="112"/>
    <x v="100"/>
    <x v="66"/>
    <x v="159"/>
    <x v="41"/>
    <x v="5"/>
    <x v="3"/>
    <x v="0"/>
    <x v="2"/>
    <x v="1"/>
  </r>
  <r>
    <x v="1"/>
    <x v="158"/>
    <x v="13"/>
    <x v="17"/>
    <x v="64"/>
    <x v="1"/>
    <x v="22"/>
    <x v="6"/>
    <x v="80"/>
    <x v="8"/>
    <x v="28"/>
    <x v="83"/>
    <x v="48"/>
    <x v="5"/>
    <x v="3"/>
    <x v="0"/>
    <x v="2"/>
    <x v="1"/>
  </r>
  <r>
    <x v="1"/>
    <x v="159"/>
    <x v="10"/>
    <x v="17"/>
    <x v="12"/>
    <x v="1"/>
    <x v="22"/>
    <x v="37"/>
    <x v="7"/>
    <x v="27"/>
    <x v="86"/>
    <x v="177"/>
    <x v="57"/>
    <x v="5"/>
    <x v="3"/>
    <x v="0"/>
    <x v="2"/>
    <x v="2"/>
  </r>
  <r>
    <x v="1"/>
    <x v="160"/>
    <x v="83"/>
    <x v="17"/>
    <x v="73"/>
    <x v="9"/>
    <x v="7"/>
    <x v="19"/>
    <x v="38"/>
    <x v="12"/>
    <x v="54"/>
    <x v="156"/>
    <x v="60"/>
    <x v="5"/>
    <x v="3"/>
    <x v="0"/>
    <x v="2"/>
    <x v="2"/>
  </r>
  <r>
    <x v="1"/>
    <x v="161"/>
    <x v="75"/>
    <x v="17"/>
    <x v="71"/>
    <x v="0"/>
    <x v="12"/>
    <x v="29"/>
    <x v="134"/>
    <x v="30"/>
    <x v="93"/>
    <x v="2"/>
    <x v="63"/>
    <x v="5"/>
    <x v="3"/>
    <x v="0"/>
    <x v="2"/>
    <x v="2"/>
  </r>
  <r>
    <x v="1"/>
    <x v="162"/>
    <x v="45"/>
    <x v="17"/>
    <x v="90"/>
    <x v="1"/>
    <x v="5"/>
    <x v="97"/>
    <x v="101"/>
    <x v="87"/>
    <x v="20"/>
    <x v="53"/>
    <x v="64"/>
    <x v="5"/>
    <x v="3"/>
    <x v="0"/>
    <x v="2"/>
    <x v="2"/>
  </r>
  <r>
    <x v="1"/>
    <x v="163"/>
    <x v="58"/>
    <x v="17"/>
    <x v="75"/>
    <x v="0"/>
    <x v="13"/>
    <x v="25"/>
    <x v="26"/>
    <x v="19"/>
    <x v="53"/>
    <x v="91"/>
    <x v="66"/>
    <x v="5"/>
    <x v="3"/>
    <x v="0"/>
    <x v="2"/>
    <x v="1"/>
  </r>
  <r>
    <x v="1"/>
    <x v="164"/>
    <x v="35"/>
    <x v="17"/>
    <x v="18"/>
    <x v="0"/>
    <x v="22"/>
    <x v="48"/>
    <x v="58"/>
    <x v="47"/>
    <x v="58"/>
    <x v="143"/>
    <x v="70"/>
    <x v="5"/>
    <x v="3"/>
    <x v="0"/>
    <x v="2"/>
    <x v="2"/>
  </r>
  <r>
    <x v="1"/>
    <x v="165"/>
    <x v="49"/>
    <x v="17"/>
    <x v="0"/>
    <x v="1"/>
    <x v="22"/>
    <x v="64"/>
    <x v="99"/>
    <x v="62"/>
    <x v="47"/>
    <x v="123"/>
    <x v="73"/>
    <x v="5"/>
    <x v="3"/>
    <x v="0"/>
    <x v="2"/>
    <x v="1"/>
  </r>
  <r>
    <x v="1"/>
    <x v="743"/>
    <x v="59"/>
    <x v="17"/>
    <x v="70"/>
    <x v="4"/>
    <x v="10"/>
    <x v="2"/>
    <x v="12"/>
    <x v="111"/>
    <x v="62"/>
    <x v="153"/>
    <x v="77"/>
    <x v="5"/>
    <x v="3"/>
    <x v="0"/>
    <x v="2"/>
    <x v="1"/>
  </r>
  <r>
    <x v="1"/>
    <x v="166"/>
    <x v="94"/>
    <x v="17"/>
    <x v="26"/>
    <x v="0"/>
    <x v="10"/>
    <x v="120"/>
    <x v="37"/>
    <x v="123"/>
    <x v="6"/>
    <x v="5"/>
    <x v="79"/>
    <x v="5"/>
    <x v="3"/>
    <x v="0"/>
    <x v="2"/>
    <x v="1"/>
  </r>
  <r>
    <x v="1"/>
    <x v="167"/>
    <x v="67"/>
    <x v="17"/>
    <x v="9"/>
    <x v="1"/>
    <x v="17"/>
    <x v="10"/>
    <x v="5"/>
    <x v="21"/>
    <x v="7"/>
    <x v="20"/>
    <x v="80"/>
    <x v="5"/>
    <x v="3"/>
    <x v="0"/>
    <x v="2"/>
    <x v="1"/>
  </r>
  <r>
    <x v="1"/>
    <x v="168"/>
    <x v="55"/>
    <x v="17"/>
    <x v="2"/>
    <x v="0"/>
    <x v="22"/>
    <x v="45"/>
    <x v="125"/>
    <x v="41"/>
    <x v="18"/>
    <x v="47"/>
    <x v="87"/>
    <x v="5"/>
    <x v="3"/>
    <x v="0"/>
    <x v="2"/>
    <x v="2"/>
  </r>
  <r>
    <x v="1"/>
    <x v="169"/>
    <x v="27"/>
    <x v="17"/>
    <x v="65"/>
    <x v="0"/>
    <x v="10"/>
    <x v="40"/>
    <x v="107"/>
    <x v="32"/>
    <x v="9"/>
    <x v="29"/>
    <x v="88"/>
    <x v="5"/>
    <x v="3"/>
    <x v="0"/>
    <x v="2"/>
    <x v="1"/>
  </r>
  <r>
    <x v="1"/>
    <x v="170"/>
    <x v="84"/>
    <x v="17"/>
    <x v="72"/>
    <x v="2"/>
    <x v="22"/>
    <x v="119"/>
    <x v="88"/>
    <x v="122"/>
    <x v="17"/>
    <x v="46"/>
    <x v="36"/>
    <x v="5"/>
    <x v="3"/>
    <x v="0"/>
    <x v="2"/>
    <x v="1"/>
  </r>
  <r>
    <x v="1"/>
    <x v="171"/>
    <x v="39"/>
    <x v="17"/>
    <x v="57"/>
    <x v="0"/>
    <x v="22"/>
    <x v="16"/>
    <x v="121"/>
    <x v="14"/>
    <x v="64"/>
    <x v="76"/>
    <x v="96"/>
    <x v="5"/>
    <x v="3"/>
    <x v="0"/>
    <x v="2"/>
    <x v="0"/>
  </r>
  <r>
    <x v="1"/>
    <x v="791"/>
    <x v="98"/>
    <x v="18"/>
    <x v="97"/>
    <x v="21"/>
    <x v="23"/>
    <x v="148"/>
    <x v="149"/>
    <x v="148"/>
    <x v="97"/>
    <x v="185"/>
    <x v="96"/>
    <x v="9"/>
    <x v="3"/>
    <x v="0"/>
    <x v="2"/>
    <x v="3"/>
  </r>
  <r>
    <x v="1"/>
    <x v="744"/>
    <x v="82"/>
    <x v="18"/>
    <x v="74"/>
    <x v="8"/>
    <x v="2"/>
    <x v="132"/>
    <x v="83"/>
    <x v="131"/>
    <x v="5"/>
    <x v="13"/>
    <x v="2"/>
    <x v="6"/>
    <x v="3"/>
    <x v="0"/>
    <x v="2"/>
    <x v="2"/>
  </r>
  <r>
    <x v="1"/>
    <x v="172"/>
    <x v="19"/>
    <x v="18"/>
    <x v="24"/>
    <x v="4"/>
    <x v="22"/>
    <x v="102"/>
    <x v="126"/>
    <x v="99"/>
    <x v="46"/>
    <x v="124"/>
    <x v="75"/>
    <x v="5"/>
    <x v="3"/>
    <x v="0"/>
    <x v="2"/>
    <x v="1"/>
  </r>
  <r>
    <x v="1"/>
    <x v="173"/>
    <x v="1"/>
    <x v="18"/>
    <x v="30"/>
    <x v="0"/>
    <x v="22"/>
    <x v="98"/>
    <x v="114"/>
    <x v="88"/>
    <x v="65"/>
    <x v="3"/>
    <x v="4"/>
    <x v="5"/>
    <x v="3"/>
    <x v="0"/>
    <x v="2"/>
    <x v="2"/>
  </r>
  <r>
    <x v="1"/>
    <x v="174"/>
    <x v="9"/>
    <x v="18"/>
    <x v="49"/>
    <x v="2"/>
    <x v="10"/>
    <x v="14"/>
    <x v="61"/>
    <x v="16"/>
    <x v="73"/>
    <x v="56"/>
    <x v="6"/>
    <x v="5"/>
    <x v="3"/>
    <x v="0"/>
    <x v="2"/>
    <x v="2"/>
  </r>
  <r>
    <x v="1"/>
    <x v="175"/>
    <x v="85"/>
    <x v="18"/>
    <x v="29"/>
    <x v="2"/>
    <x v="13"/>
    <x v="141"/>
    <x v="29"/>
    <x v="143"/>
    <x v="87"/>
    <x v="170"/>
    <x v="9"/>
    <x v="5"/>
    <x v="3"/>
    <x v="0"/>
    <x v="2"/>
    <x v="2"/>
  </r>
  <r>
    <x v="1"/>
    <x v="176"/>
    <x v="86"/>
    <x v="18"/>
    <x v="67"/>
    <x v="0"/>
    <x v="22"/>
    <x v="86"/>
    <x v="141"/>
    <x v="90"/>
    <x v="15"/>
    <x v="142"/>
    <x v="24"/>
    <x v="5"/>
    <x v="3"/>
    <x v="0"/>
    <x v="2"/>
    <x v="2"/>
  </r>
  <r>
    <x v="1"/>
    <x v="177"/>
    <x v="69"/>
    <x v="18"/>
    <x v="6"/>
    <x v="1"/>
    <x v="22"/>
    <x v="50"/>
    <x v="19"/>
    <x v="56"/>
    <x v="3"/>
    <x v="181"/>
    <x v="30"/>
    <x v="5"/>
    <x v="3"/>
    <x v="0"/>
    <x v="2"/>
    <x v="1"/>
  </r>
  <r>
    <x v="1"/>
    <x v="178"/>
    <x v="13"/>
    <x v="18"/>
    <x v="64"/>
    <x v="1"/>
    <x v="22"/>
    <x v="6"/>
    <x v="80"/>
    <x v="8"/>
    <x v="28"/>
    <x v="83"/>
    <x v="48"/>
    <x v="5"/>
    <x v="3"/>
    <x v="0"/>
    <x v="2"/>
    <x v="1"/>
  </r>
  <r>
    <x v="1"/>
    <x v="179"/>
    <x v="43"/>
    <x v="18"/>
    <x v="3"/>
    <x v="0"/>
    <x v="13"/>
    <x v="5"/>
    <x v="124"/>
    <x v="2"/>
    <x v="43"/>
    <x v="118"/>
    <x v="55"/>
    <x v="5"/>
    <x v="3"/>
    <x v="0"/>
    <x v="2"/>
    <x v="2"/>
  </r>
  <r>
    <x v="1"/>
    <x v="180"/>
    <x v="10"/>
    <x v="18"/>
    <x v="12"/>
    <x v="2"/>
    <x v="22"/>
    <x v="37"/>
    <x v="7"/>
    <x v="27"/>
    <x v="86"/>
    <x v="177"/>
    <x v="57"/>
    <x v="5"/>
    <x v="3"/>
    <x v="0"/>
    <x v="2"/>
    <x v="2"/>
  </r>
  <r>
    <x v="1"/>
    <x v="181"/>
    <x v="75"/>
    <x v="18"/>
    <x v="71"/>
    <x v="0"/>
    <x v="12"/>
    <x v="29"/>
    <x v="134"/>
    <x v="30"/>
    <x v="93"/>
    <x v="2"/>
    <x v="63"/>
    <x v="5"/>
    <x v="3"/>
    <x v="0"/>
    <x v="2"/>
    <x v="2"/>
  </r>
  <r>
    <x v="1"/>
    <x v="182"/>
    <x v="58"/>
    <x v="18"/>
    <x v="75"/>
    <x v="0"/>
    <x v="13"/>
    <x v="77"/>
    <x v="31"/>
    <x v="106"/>
    <x v="53"/>
    <x v="66"/>
    <x v="66"/>
    <x v="5"/>
    <x v="3"/>
    <x v="0"/>
    <x v="2"/>
    <x v="1"/>
  </r>
  <r>
    <x v="1"/>
    <x v="745"/>
    <x v="96"/>
    <x v="18"/>
    <x v="46"/>
    <x v="2"/>
    <x v="10"/>
    <x v="99"/>
    <x v="77"/>
    <x v="89"/>
    <x v="8"/>
    <x v="28"/>
    <x v="69"/>
    <x v="5"/>
    <x v="3"/>
    <x v="0"/>
    <x v="2"/>
    <x v="2"/>
  </r>
  <r>
    <x v="1"/>
    <x v="746"/>
    <x v="59"/>
    <x v="18"/>
    <x v="70"/>
    <x v="9"/>
    <x v="10"/>
    <x v="3"/>
    <x v="13"/>
    <x v="112"/>
    <x v="62"/>
    <x v="152"/>
    <x v="77"/>
    <x v="5"/>
    <x v="3"/>
    <x v="0"/>
    <x v="2"/>
    <x v="1"/>
  </r>
  <r>
    <x v="1"/>
    <x v="183"/>
    <x v="23"/>
    <x v="18"/>
    <x v="16"/>
    <x v="0"/>
    <x v="17"/>
    <x v="4"/>
    <x v="44"/>
    <x v="1"/>
    <x v="24"/>
    <x v="71"/>
    <x v="78"/>
    <x v="5"/>
    <x v="3"/>
    <x v="0"/>
    <x v="2"/>
    <x v="1"/>
  </r>
  <r>
    <x v="1"/>
    <x v="184"/>
    <x v="94"/>
    <x v="18"/>
    <x v="26"/>
    <x v="0"/>
    <x v="10"/>
    <x v="120"/>
    <x v="37"/>
    <x v="123"/>
    <x v="6"/>
    <x v="5"/>
    <x v="79"/>
    <x v="5"/>
    <x v="3"/>
    <x v="0"/>
    <x v="2"/>
    <x v="1"/>
  </r>
  <r>
    <x v="1"/>
    <x v="185"/>
    <x v="65"/>
    <x v="18"/>
    <x v="83"/>
    <x v="0"/>
    <x v="13"/>
    <x v="25"/>
    <x v="138"/>
    <x v="19"/>
    <x v="49"/>
    <x v="126"/>
    <x v="89"/>
    <x v="5"/>
    <x v="3"/>
    <x v="0"/>
    <x v="2"/>
    <x v="2"/>
  </r>
  <r>
    <x v="1"/>
    <x v="186"/>
    <x v="50"/>
    <x v="18"/>
    <x v="68"/>
    <x v="0"/>
    <x v="22"/>
    <x v="81"/>
    <x v="97"/>
    <x v="78"/>
    <x v="28"/>
    <x v="83"/>
    <x v="95"/>
    <x v="5"/>
    <x v="3"/>
    <x v="0"/>
    <x v="2"/>
    <x v="2"/>
  </r>
  <r>
    <x v="1"/>
    <x v="791"/>
    <x v="98"/>
    <x v="2"/>
    <x v="97"/>
    <x v="17"/>
    <x v="23"/>
    <x v="148"/>
    <x v="149"/>
    <x v="148"/>
    <x v="97"/>
    <x v="185"/>
    <x v="96"/>
    <x v="9"/>
    <x v="3"/>
    <x v="0"/>
    <x v="4"/>
    <x v="3"/>
  </r>
  <r>
    <x v="1"/>
    <x v="187"/>
    <x v="82"/>
    <x v="2"/>
    <x v="74"/>
    <x v="0"/>
    <x v="2"/>
    <x v="132"/>
    <x v="83"/>
    <x v="131"/>
    <x v="5"/>
    <x v="10"/>
    <x v="2"/>
    <x v="3"/>
    <x v="3"/>
    <x v="0"/>
    <x v="4"/>
    <x v="3"/>
  </r>
  <r>
    <x v="1"/>
    <x v="188"/>
    <x v="78"/>
    <x v="2"/>
    <x v="41"/>
    <x v="4"/>
    <x v="22"/>
    <x v="106"/>
    <x v="123"/>
    <x v="101"/>
    <x v="16"/>
    <x v="45"/>
    <x v="76"/>
    <x v="3"/>
    <x v="3"/>
    <x v="0"/>
    <x v="4"/>
    <x v="3"/>
  </r>
  <r>
    <x v="1"/>
    <x v="189"/>
    <x v="42"/>
    <x v="2"/>
    <x v="81"/>
    <x v="3"/>
    <x v="22"/>
    <x v="54"/>
    <x v="16"/>
    <x v="57"/>
    <x v="89"/>
    <x v="173"/>
    <x v="83"/>
    <x v="3"/>
    <x v="3"/>
    <x v="0"/>
    <x v="4"/>
    <x v="3"/>
  </r>
  <r>
    <x v="1"/>
    <x v="190"/>
    <x v="77"/>
    <x v="2"/>
    <x v="78"/>
    <x v="2"/>
    <x v="21"/>
    <x v="51"/>
    <x v="89"/>
    <x v="50"/>
    <x v="79"/>
    <x v="77"/>
    <x v="0"/>
    <x v="3"/>
    <x v="3"/>
    <x v="0"/>
    <x v="4"/>
    <x v="3"/>
  </r>
  <r>
    <x v="1"/>
    <x v="191"/>
    <x v="25"/>
    <x v="2"/>
    <x v="60"/>
    <x v="0"/>
    <x v="10"/>
    <x v="20"/>
    <x v="22"/>
    <x v="10"/>
    <x v="82"/>
    <x v="121"/>
    <x v="19"/>
    <x v="3"/>
    <x v="3"/>
    <x v="0"/>
    <x v="4"/>
    <x v="3"/>
  </r>
  <r>
    <x v="1"/>
    <x v="192"/>
    <x v="51"/>
    <x v="2"/>
    <x v="15"/>
    <x v="0"/>
    <x v="22"/>
    <x v="103"/>
    <x v="117"/>
    <x v="91"/>
    <x v="21"/>
    <x v="55"/>
    <x v="20"/>
    <x v="3"/>
    <x v="3"/>
    <x v="0"/>
    <x v="4"/>
    <x v="3"/>
  </r>
  <r>
    <x v="1"/>
    <x v="193"/>
    <x v="4"/>
    <x v="2"/>
    <x v="20"/>
    <x v="0"/>
    <x v="22"/>
    <x v="68"/>
    <x v="49"/>
    <x v="68"/>
    <x v="70"/>
    <x v="69"/>
    <x v="22"/>
    <x v="3"/>
    <x v="3"/>
    <x v="0"/>
    <x v="4"/>
    <x v="3"/>
  </r>
  <r>
    <x v="1"/>
    <x v="194"/>
    <x v="46"/>
    <x v="2"/>
    <x v="76"/>
    <x v="0"/>
    <x v="16"/>
    <x v="23"/>
    <x v="108"/>
    <x v="31"/>
    <x v="51"/>
    <x v="158"/>
    <x v="29"/>
    <x v="3"/>
    <x v="3"/>
    <x v="0"/>
    <x v="4"/>
    <x v="3"/>
  </r>
  <r>
    <x v="1"/>
    <x v="195"/>
    <x v="31"/>
    <x v="2"/>
    <x v="82"/>
    <x v="0"/>
    <x v="22"/>
    <x v="129"/>
    <x v="87"/>
    <x v="28"/>
    <x v="30"/>
    <x v="87"/>
    <x v="42"/>
    <x v="3"/>
    <x v="3"/>
    <x v="0"/>
    <x v="4"/>
    <x v="3"/>
  </r>
  <r>
    <x v="1"/>
    <x v="196"/>
    <x v="24"/>
    <x v="2"/>
    <x v="52"/>
    <x v="0"/>
    <x v="22"/>
    <x v="105"/>
    <x v="54"/>
    <x v="92"/>
    <x v="39"/>
    <x v="112"/>
    <x v="45"/>
    <x v="3"/>
    <x v="3"/>
    <x v="0"/>
    <x v="4"/>
    <x v="3"/>
  </r>
  <r>
    <x v="1"/>
    <x v="197"/>
    <x v="56"/>
    <x v="2"/>
    <x v="1"/>
    <x v="0"/>
    <x v="22"/>
    <x v="59"/>
    <x v="110"/>
    <x v="55"/>
    <x v="61"/>
    <x v="146"/>
    <x v="52"/>
    <x v="3"/>
    <x v="3"/>
    <x v="0"/>
    <x v="4"/>
    <x v="3"/>
  </r>
  <r>
    <x v="1"/>
    <x v="198"/>
    <x v="72"/>
    <x v="2"/>
    <x v="47"/>
    <x v="0"/>
    <x v="17"/>
    <x v="11"/>
    <x v="9"/>
    <x v="6"/>
    <x v="50"/>
    <x v="127"/>
    <x v="58"/>
    <x v="3"/>
    <x v="3"/>
    <x v="0"/>
    <x v="4"/>
    <x v="3"/>
  </r>
  <r>
    <x v="1"/>
    <x v="199"/>
    <x v="33"/>
    <x v="2"/>
    <x v="31"/>
    <x v="0"/>
    <x v="10"/>
    <x v="145"/>
    <x v="55"/>
    <x v="147"/>
    <x v="77"/>
    <x v="160"/>
    <x v="59"/>
    <x v="3"/>
    <x v="3"/>
    <x v="0"/>
    <x v="4"/>
    <x v="3"/>
  </r>
  <r>
    <x v="1"/>
    <x v="747"/>
    <x v="83"/>
    <x v="2"/>
    <x v="73"/>
    <x v="5"/>
    <x v="7"/>
    <x v="110"/>
    <x v="136"/>
    <x v="105"/>
    <x v="54"/>
    <x v="134"/>
    <x v="60"/>
    <x v="3"/>
    <x v="3"/>
    <x v="0"/>
    <x v="4"/>
    <x v="3"/>
  </r>
  <r>
    <x v="1"/>
    <x v="200"/>
    <x v="58"/>
    <x v="2"/>
    <x v="75"/>
    <x v="1"/>
    <x v="13"/>
    <x v="95"/>
    <x v="24"/>
    <x v="85"/>
    <x v="53"/>
    <x v="91"/>
    <x v="66"/>
    <x v="3"/>
    <x v="3"/>
    <x v="0"/>
    <x v="4"/>
    <x v="3"/>
  </r>
  <r>
    <x v="1"/>
    <x v="201"/>
    <x v="16"/>
    <x v="2"/>
    <x v="69"/>
    <x v="0"/>
    <x v="22"/>
    <x v="27"/>
    <x v="42"/>
    <x v="22"/>
    <x v="11"/>
    <x v="38"/>
    <x v="67"/>
    <x v="3"/>
    <x v="3"/>
    <x v="0"/>
    <x v="4"/>
    <x v="3"/>
  </r>
  <r>
    <x v="1"/>
    <x v="202"/>
    <x v="67"/>
    <x v="2"/>
    <x v="9"/>
    <x v="0"/>
    <x v="17"/>
    <x v="10"/>
    <x v="5"/>
    <x v="21"/>
    <x v="7"/>
    <x v="20"/>
    <x v="80"/>
    <x v="3"/>
    <x v="3"/>
    <x v="0"/>
    <x v="4"/>
    <x v="3"/>
  </r>
  <r>
    <x v="1"/>
    <x v="791"/>
    <x v="98"/>
    <x v="10"/>
    <x v="97"/>
    <x v="32"/>
    <x v="23"/>
    <x v="148"/>
    <x v="149"/>
    <x v="148"/>
    <x v="97"/>
    <x v="185"/>
    <x v="96"/>
    <x v="9"/>
    <x v="3"/>
    <x v="0"/>
    <x v="4"/>
    <x v="3"/>
  </r>
  <r>
    <x v="1"/>
    <x v="203"/>
    <x v="82"/>
    <x v="10"/>
    <x v="74"/>
    <x v="1"/>
    <x v="2"/>
    <x v="132"/>
    <x v="83"/>
    <x v="131"/>
    <x v="5"/>
    <x v="10"/>
    <x v="2"/>
    <x v="6"/>
    <x v="3"/>
    <x v="0"/>
    <x v="4"/>
    <x v="3"/>
  </r>
  <r>
    <x v="1"/>
    <x v="204"/>
    <x v="6"/>
    <x v="10"/>
    <x v="62"/>
    <x v="3"/>
    <x v="17"/>
    <x v="65"/>
    <x v="137"/>
    <x v="64"/>
    <x v="69"/>
    <x v="22"/>
    <x v="31"/>
    <x v="4"/>
    <x v="3"/>
    <x v="0"/>
    <x v="4"/>
    <x v="3"/>
  </r>
  <r>
    <x v="1"/>
    <x v="205"/>
    <x v="78"/>
    <x v="10"/>
    <x v="41"/>
    <x v="11"/>
    <x v="22"/>
    <x v="106"/>
    <x v="123"/>
    <x v="101"/>
    <x v="16"/>
    <x v="45"/>
    <x v="76"/>
    <x v="4"/>
    <x v="3"/>
    <x v="0"/>
    <x v="4"/>
    <x v="3"/>
  </r>
  <r>
    <x v="1"/>
    <x v="206"/>
    <x v="77"/>
    <x v="10"/>
    <x v="78"/>
    <x v="8"/>
    <x v="21"/>
    <x v="51"/>
    <x v="89"/>
    <x v="50"/>
    <x v="79"/>
    <x v="77"/>
    <x v="0"/>
    <x v="4"/>
    <x v="3"/>
    <x v="0"/>
    <x v="4"/>
    <x v="3"/>
  </r>
  <r>
    <x v="1"/>
    <x v="207"/>
    <x v="85"/>
    <x v="10"/>
    <x v="29"/>
    <x v="4"/>
    <x v="13"/>
    <x v="141"/>
    <x v="29"/>
    <x v="143"/>
    <x v="87"/>
    <x v="170"/>
    <x v="9"/>
    <x v="4"/>
    <x v="3"/>
    <x v="0"/>
    <x v="4"/>
    <x v="3"/>
  </r>
  <r>
    <x v="1"/>
    <x v="208"/>
    <x v="89"/>
    <x v="10"/>
    <x v="66"/>
    <x v="0"/>
    <x v="17"/>
    <x v="39"/>
    <x v="98"/>
    <x v="34"/>
    <x v="36"/>
    <x v="108"/>
    <x v="11"/>
    <x v="4"/>
    <x v="3"/>
    <x v="0"/>
    <x v="4"/>
    <x v="3"/>
  </r>
  <r>
    <x v="1"/>
    <x v="209"/>
    <x v="36"/>
    <x v="10"/>
    <x v="40"/>
    <x v="0"/>
    <x v="22"/>
    <x v="89"/>
    <x v="78"/>
    <x v="84"/>
    <x v="10"/>
    <x v="35"/>
    <x v="17"/>
    <x v="4"/>
    <x v="3"/>
    <x v="0"/>
    <x v="4"/>
    <x v="3"/>
  </r>
  <r>
    <x v="1"/>
    <x v="210"/>
    <x v="51"/>
    <x v="10"/>
    <x v="15"/>
    <x v="0"/>
    <x v="22"/>
    <x v="103"/>
    <x v="117"/>
    <x v="91"/>
    <x v="21"/>
    <x v="55"/>
    <x v="20"/>
    <x v="4"/>
    <x v="3"/>
    <x v="0"/>
    <x v="4"/>
    <x v="3"/>
  </r>
  <r>
    <x v="1"/>
    <x v="211"/>
    <x v="4"/>
    <x v="10"/>
    <x v="20"/>
    <x v="4"/>
    <x v="22"/>
    <x v="68"/>
    <x v="49"/>
    <x v="68"/>
    <x v="70"/>
    <x v="69"/>
    <x v="22"/>
    <x v="4"/>
    <x v="3"/>
    <x v="0"/>
    <x v="4"/>
    <x v="3"/>
  </r>
  <r>
    <x v="1"/>
    <x v="212"/>
    <x v="76"/>
    <x v="10"/>
    <x v="28"/>
    <x v="0"/>
    <x v="10"/>
    <x v="71"/>
    <x v="130"/>
    <x v="65"/>
    <x v="68"/>
    <x v="14"/>
    <x v="23"/>
    <x v="4"/>
    <x v="3"/>
    <x v="0"/>
    <x v="4"/>
    <x v="3"/>
  </r>
  <r>
    <x v="1"/>
    <x v="213"/>
    <x v="86"/>
    <x v="10"/>
    <x v="67"/>
    <x v="1"/>
    <x v="22"/>
    <x v="33"/>
    <x v="148"/>
    <x v="25"/>
    <x v="15"/>
    <x v="43"/>
    <x v="24"/>
    <x v="4"/>
    <x v="3"/>
    <x v="0"/>
    <x v="4"/>
    <x v="3"/>
  </r>
  <r>
    <x v="1"/>
    <x v="748"/>
    <x v="93"/>
    <x v="10"/>
    <x v="77"/>
    <x v="5"/>
    <x v="17"/>
    <x v="74"/>
    <x v="71"/>
    <x v="73"/>
    <x v="32"/>
    <x v="107"/>
    <x v="27"/>
    <x v="4"/>
    <x v="3"/>
    <x v="0"/>
    <x v="4"/>
    <x v="3"/>
  </r>
  <r>
    <x v="1"/>
    <x v="214"/>
    <x v="46"/>
    <x v="10"/>
    <x v="76"/>
    <x v="0"/>
    <x v="16"/>
    <x v="23"/>
    <x v="108"/>
    <x v="31"/>
    <x v="51"/>
    <x v="158"/>
    <x v="29"/>
    <x v="4"/>
    <x v="3"/>
    <x v="0"/>
    <x v="4"/>
    <x v="3"/>
  </r>
  <r>
    <x v="1"/>
    <x v="215"/>
    <x v="63"/>
    <x v="10"/>
    <x v="43"/>
    <x v="0"/>
    <x v="17"/>
    <x v="144"/>
    <x v="94"/>
    <x v="146"/>
    <x v="94"/>
    <x v="183"/>
    <x v="32"/>
    <x v="4"/>
    <x v="3"/>
    <x v="0"/>
    <x v="4"/>
    <x v="3"/>
  </r>
  <r>
    <x v="1"/>
    <x v="216"/>
    <x v="11"/>
    <x v="10"/>
    <x v="95"/>
    <x v="0"/>
    <x v="22"/>
    <x v="94"/>
    <x v="127"/>
    <x v="120"/>
    <x v="83"/>
    <x v="167"/>
    <x v="34"/>
    <x v="4"/>
    <x v="3"/>
    <x v="0"/>
    <x v="4"/>
    <x v="3"/>
  </r>
  <r>
    <x v="1"/>
    <x v="749"/>
    <x v="57"/>
    <x v="10"/>
    <x v="79"/>
    <x v="1"/>
    <x v="22"/>
    <x v="127"/>
    <x v="96"/>
    <x v="133"/>
    <x v="60"/>
    <x v="165"/>
    <x v="35"/>
    <x v="4"/>
    <x v="3"/>
    <x v="0"/>
    <x v="4"/>
    <x v="3"/>
  </r>
  <r>
    <x v="1"/>
    <x v="217"/>
    <x v="12"/>
    <x v="10"/>
    <x v="5"/>
    <x v="0"/>
    <x v="22"/>
    <x v="42"/>
    <x v="145"/>
    <x v="37"/>
    <x v="22"/>
    <x v="33"/>
    <x v="40"/>
    <x v="4"/>
    <x v="3"/>
    <x v="0"/>
    <x v="4"/>
    <x v="3"/>
  </r>
  <r>
    <x v="1"/>
    <x v="218"/>
    <x v="2"/>
    <x v="10"/>
    <x v="35"/>
    <x v="1"/>
    <x v="22"/>
    <x v="82"/>
    <x v="122"/>
    <x v="79"/>
    <x v="22"/>
    <x v="58"/>
    <x v="43"/>
    <x v="4"/>
    <x v="3"/>
    <x v="0"/>
    <x v="4"/>
    <x v="3"/>
  </r>
  <r>
    <x v="1"/>
    <x v="219"/>
    <x v="79"/>
    <x v="10"/>
    <x v="94"/>
    <x v="0"/>
    <x v="19"/>
    <x v="43"/>
    <x v="115"/>
    <x v="39"/>
    <x v="78"/>
    <x v="73"/>
    <x v="47"/>
    <x v="4"/>
    <x v="3"/>
    <x v="0"/>
    <x v="4"/>
    <x v="3"/>
  </r>
  <r>
    <x v="1"/>
    <x v="220"/>
    <x v="54"/>
    <x v="10"/>
    <x v="44"/>
    <x v="0"/>
    <x v="22"/>
    <x v="133"/>
    <x v="10"/>
    <x v="134"/>
    <x v="88"/>
    <x v="172"/>
    <x v="50"/>
    <x v="4"/>
    <x v="3"/>
    <x v="0"/>
    <x v="4"/>
    <x v="3"/>
  </r>
  <r>
    <x v="1"/>
    <x v="221"/>
    <x v="61"/>
    <x v="10"/>
    <x v="96"/>
    <x v="0"/>
    <x v="22"/>
    <x v="111"/>
    <x v="74"/>
    <x v="113"/>
    <x v="25"/>
    <x v="75"/>
    <x v="51"/>
    <x v="4"/>
    <x v="3"/>
    <x v="0"/>
    <x v="4"/>
    <x v="3"/>
  </r>
  <r>
    <x v="1"/>
    <x v="750"/>
    <x v="56"/>
    <x v="10"/>
    <x v="1"/>
    <x v="1"/>
    <x v="22"/>
    <x v="59"/>
    <x v="110"/>
    <x v="55"/>
    <x v="61"/>
    <x v="147"/>
    <x v="52"/>
    <x v="4"/>
    <x v="3"/>
    <x v="0"/>
    <x v="4"/>
    <x v="3"/>
  </r>
  <r>
    <x v="1"/>
    <x v="222"/>
    <x v="3"/>
    <x v="10"/>
    <x v="8"/>
    <x v="0"/>
    <x v="10"/>
    <x v="22"/>
    <x v="140"/>
    <x v="17"/>
    <x v="57"/>
    <x v="141"/>
    <x v="53"/>
    <x v="4"/>
    <x v="3"/>
    <x v="0"/>
    <x v="4"/>
    <x v="3"/>
  </r>
  <r>
    <x v="1"/>
    <x v="223"/>
    <x v="64"/>
    <x v="10"/>
    <x v="21"/>
    <x v="0"/>
    <x v="10"/>
    <x v="112"/>
    <x v="34"/>
    <x v="114"/>
    <x v="56"/>
    <x v="140"/>
    <x v="56"/>
    <x v="4"/>
    <x v="3"/>
    <x v="0"/>
    <x v="4"/>
    <x v="3"/>
  </r>
  <r>
    <x v="1"/>
    <x v="224"/>
    <x v="10"/>
    <x v="10"/>
    <x v="12"/>
    <x v="0"/>
    <x v="22"/>
    <x v="37"/>
    <x v="7"/>
    <x v="27"/>
    <x v="86"/>
    <x v="177"/>
    <x v="57"/>
    <x v="4"/>
    <x v="3"/>
    <x v="0"/>
    <x v="4"/>
    <x v="3"/>
  </r>
  <r>
    <x v="1"/>
    <x v="225"/>
    <x v="72"/>
    <x v="10"/>
    <x v="47"/>
    <x v="3"/>
    <x v="17"/>
    <x v="11"/>
    <x v="9"/>
    <x v="6"/>
    <x v="50"/>
    <x v="127"/>
    <x v="58"/>
    <x v="4"/>
    <x v="3"/>
    <x v="0"/>
    <x v="4"/>
    <x v="3"/>
  </r>
  <r>
    <x v="1"/>
    <x v="226"/>
    <x v="33"/>
    <x v="10"/>
    <x v="31"/>
    <x v="0"/>
    <x v="10"/>
    <x v="145"/>
    <x v="55"/>
    <x v="147"/>
    <x v="77"/>
    <x v="160"/>
    <x v="59"/>
    <x v="4"/>
    <x v="3"/>
    <x v="0"/>
    <x v="4"/>
    <x v="3"/>
  </r>
  <r>
    <x v="1"/>
    <x v="227"/>
    <x v="83"/>
    <x v="10"/>
    <x v="73"/>
    <x v="3"/>
    <x v="7"/>
    <x v="19"/>
    <x v="38"/>
    <x v="12"/>
    <x v="54"/>
    <x v="169"/>
    <x v="60"/>
    <x v="4"/>
    <x v="3"/>
    <x v="0"/>
    <x v="4"/>
    <x v="3"/>
  </r>
  <r>
    <x v="1"/>
    <x v="228"/>
    <x v="22"/>
    <x v="10"/>
    <x v="38"/>
    <x v="0"/>
    <x v="22"/>
    <x v="124"/>
    <x v="79"/>
    <x v="125"/>
    <x v="22"/>
    <x v="59"/>
    <x v="65"/>
    <x v="4"/>
    <x v="3"/>
    <x v="0"/>
    <x v="4"/>
    <x v="3"/>
  </r>
  <r>
    <x v="1"/>
    <x v="751"/>
    <x v="58"/>
    <x v="10"/>
    <x v="75"/>
    <x v="4"/>
    <x v="13"/>
    <x v="63"/>
    <x v="14"/>
    <x v="60"/>
    <x v="53"/>
    <x v="130"/>
    <x v="66"/>
    <x v="4"/>
    <x v="3"/>
    <x v="0"/>
    <x v="4"/>
    <x v="3"/>
  </r>
  <r>
    <x v="1"/>
    <x v="229"/>
    <x v="16"/>
    <x v="10"/>
    <x v="69"/>
    <x v="0"/>
    <x v="22"/>
    <x v="27"/>
    <x v="42"/>
    <x v="22"/>
    <x v="11"/>
    <x v="38"/>
    <x v="67"/>
    <x v="4"/>
    <x v="3"/>
    <x v="0"/>
    <x v="4"/>
    <x v="3"/>
  </r>
  <r>
    <x v="1"/>
    <x v="230"/>
    <x v="59"/>
    <x v="10"/>
    <x v="70"/>
    <x v="0"/>
    <x v="10"/>
    <x v="0"/>
    <x v="0"/>
    <x v="109"/>
    <x v="62"/>
    <x v="151"/>
    <x v="77"/>
    <x v="4"/>
    <x v="3"/>
    <x v="0"/>
    <x v="4"/>
    <x v="3"/>
  </r>
  <r>
    <x v="1"/>
    <x v="231"/>
    <x v="23"/>
    <x v="10"/>
    <x v="16"/>
    <x v="1"/>
    <x v="17"/>
    <x v="0"/>
    <x v="0"/>
    <x v="109"/>
    <x v="24"/>
    <x v="71"/>
    <x v="78"/>
    <x v="4"/>
    <x v="3"/>
    <x v="0"/>
    <x v="4"/>
    <x v="3"/>
  </r>
  <r>
    <x v="1"/>
    <x v="232"/>
    <x v="30"/>
    <x v="10"/>
    <x v="27"/>
    <x v="1"/>
    <x v="4"/>
    <x v="0"/>
    <x v="0"/>
    <x v="109"/>
    <x v="31"/>
    <x v="88"/>
    <x v="82"/>
    <x v="4"/>
    <x v="3"/>
    <x v="0"/>
    <x v="4"/>
    <x v="3"/>
  </r>
  <r>
    <x v="1"/>
    <x v="233"/>
    <x v="37"/>
    <x v="10"/>
    <x v="34"/>
    <x v="0"/>
    <x v="22"/>
    <x v="15"/>
    <x v="102"/>
    <x v="11"/>
    <x v="71"/>
    <x v="50"/>
    <x v="84"/>
    <x v="4"/>
    <x v="3"/>
    <x v="0"/>
    <x v="4"/>
    <x v="3"/>
  </r>
  <r>
    <x v="1"/>
    <x v="234"/>
    <x v="95"/>
    <x v="10"/>
    <x v="33"/>
    <x v="0"/>
    <x v="17"/>
    <x v="128"/>
    <x v="20"/>
    <x v="126"/>
    <x v="29"/>
    <x v="85"/>
    <x v="90"/>
    <x v="4"/>
    <x v="3"/>
    <x v="0"/>
    <x v="4"/>
    <x v="3"/>
  </r>
  <r>
    <x v="1"/>
    <x v="235"/>
    <x v="14"/>
    <x v="10"/>
    <x v="50"/>
    <x v="0"/>
    <x v="13"/>
    <x v="137"/>
    <x v="103"/>
    <x v="138"/>
    <x v="4"/>
    <x v="97"/>
    <x v="91"/>
    <x v="4"/>
    <x v="3"/>
    <x v="0"/>
    <x v="4"/>
    <x v="3"/>
  </r>
  <r>
    <x v="1"/>
    <x v="236"/>
    <x v="68"/>
    <x v="10"/>
    <x v="17"/>
    <x v="0"/>
    <x v="22"/>
    <x v="28"/>
    <x v="82"/>
    <x v="29"/>
    <x v="2"/>
    <x v="9"/>
    <x v="94"/>
    <x v="4"/>
    <x v="3"/>
    <x v="0"/>
    <x v="4"/>
    <x v="3"/>
  </r>
  <r>
    <x v="1"/>
    <x v="237"/>
    <x v="50"/>
    <x v="10"/>
    <x v="68"/>
    <x v="0"/>
    <x v="22"/>
    <x v="81"/>
    <x v="97"/>
    <x v="78"/>
    <x v="28"/>
    <x v="83"/>
    <x v="95"/>
    <x v="4"/>
    <x v="3"/>
    <x v="0"/>
    <x v="4"/>
    <x v="3"/>
  </r>
  <r>
    <x v="1"/>
    <x v="238"/>
    <x v="52"/>
    <x v="10"/>
    <x v="55"/>
    <x v="7"/>
    <x v="22"/>
    <x v="34"/>
    <x v="120"/>
    <x v="35"/>
    <x v="1"/>
    <x v="4"/>
    <x v="33"/>
    <x v="4"/>
    <x v="3"/>
    <x v="0"/>
    <x v="4"/>
    <x v="3"/>
  </r>
  <r>
    <x v="1"/>
    <x v="239"/>
    <x v="84"/>
    <x v="10"/>
    <x v="72"/>
    <x v="0"/>
    <x v="22"/>
    <x v="119"/>
    <x v="88"/>
    <x v="122"/>
    <x v="17"/>
    <x v="46"/>
    <x v="36"/>
    <x v="4"/>
    <x v="3"/>
    <x v="0"/>
    <x v="4"/>
    <x v="3"/>
  </r>
  <r>
    <x v="1"/>
    <x v="240"/>
    <x v="39"/>
    <x v="10"/>
    <x v="57"/>
    <x v="0"/>
    <x v="22"/>
    <x v="16"/>
    <x v="121"/>
    <x v="14"/>
    <x v="64"/>
    <x v="76"/>
    <x v="96"/>
    <x v="4"/>
    <x v="3"/>
    <x v="0"/>
    <x v="4"/>
    <x v="3"/>
  </r>
  <r>
    <x v="1"/>
    <x v="791"/>
    <x v="98"/>
    <x v="14"/>
    <x v="97"/>
    <x v="23"/>
    <x v="23"/>
    <x v="148"/>
    <x v="149"/>
    <x v="148"/>
    <x v="97"/>
    <x v="185"/>
    <x v="96"/>
    <x v="9"/>
    <x v="3"/>
    <x v="0"/>
    <x v="4"/>
    <x v="3"/>
  </r>
  <r>
    <x v="1"/>
    <x v="241"/>
    <x v="7"/>
    <x v="14"/>
    <x v="14"/>
    <x v="0"/>
    <x v="17"/>
    <x v="147"/>
    <x v="6"/>
    <x v="140"/>
    <x v="35"/>
    <x v="89"/>
    <x v="81"/>
    <x v="7"/>
    <x v="3"/>
    <x v="0"/>
    <x v="4"/>
    <x v="3"/>
  </r>
  <r>
    <x v="1"/>
    <x v="242"/>
    <x v="78"/>
    <x v="14"/>
    <x v="41"/>
    <x v="3"/>
    <x v="22"/>
    <x v="106"/>
    <x v="123"/>
    <x v="101"/>
    <x v="16"/>
    <x v="45"/>
    <x v="76"/>
    <x v="7"/>
    <x v="3"/>
    <x v="0"/>
    <x v="4"/>
    <x v="3"/>
  </r>
  <r>
    <x v="1"/>
    <x v="243"/>
    <x v="77"/>
    <x v="14"/>
    <x v="78"/>
    <x v="8"/>
    <x v="21"/>
    <x v="51"/>
    <x v="89"/>
    <x v="50"/>
    <x v="79"/>
    <x v="77"/>
    <x v="0"/>
    <x v="7"/>
    <x v="3"/>
    <x v="0"/>
    <x v="4"/>
    <x v="3"/>
  </r>
  <r>
    <x v="1"/>
    <x v="244"/>
    <x v="89"/>
    <x v="14"/>
    <x v="66"/>
    <x v="0"/>
    <x v="17"/>
    <x v="39"/>
    <x v="98"/>
    <x v="34"/>
    <x v="36"/>
    <x v="108"/>
    <x v="11"/>
    <x v="7"/>
    <x v="3"/>
    <x v="0"/>
    <x v="4"/>
    <x v="3"/>
  </r>
  <r>
    <x v="1"/>
    <x v="245"/>
    <x v="91"/>
    <x v="14"/>
    <x v="86"/>
    <x v="1"/>
    <x v="20"/>
    <x v="47"/>
    <x v="53"/>
    <x v="45"/>
    <x v="96"/>
    <x v="7"/>
    <x v="12"/>
    <x v="7"/>
    <x v="3"/>
    <x v="0"/>
    <x v="4"/>
    <x v="3"/>
  </r>
  <r>
    <x v="1"/>
    <x v="246"/>
    <x v="41"/>
    <x v="14"/>
    <x v="22"/>
    <x v="0"/>
    <x v="22"/>
    <x v="30"/>
    <x v="147"/>
    <x v="0"/>
    <x v="76"/>
    <x v="8"/>
    <x v="16"/>
    <x v="7"/>
    <x v="3"/>
    <x v="0"/>
    <x v="4"/>
    <x v="3"/>
  </r>
  <r>
    <x v="1"/>
    <x v="247"/>
    <x v="25"/>
    <x v="14"/>
    <x v="60"/>
    <x v="0"/>
    <x v="10"/>
    <x v="20"/>
    <x v="22"/>
    <x v="10"/>
    <x v="82"/>
    <x v="121"/>
    <x v="19"/>
    <x v="7"/>
    <x v="3"/>
    <x v="0"/>
    <x v="4"/>
    <x v="3"/>
  </r>
  <r>
    <x v="1"/>
    <x v="248"/>
    <x v="4"/>
    <x v="14"/>
    <x v="20"/>
    <x v="3"/>
    <x v="22"/>
    <x v="68"/>
    <x v="49"/>
    <x v="68"/>
    <x v="70"/>
    <x v="69"/>
    <x v="22"/>
    <x v="7"/>
    <x v="3"/>
    <x v="0"/>
    <x v="4"/>
    <x v="3"/>
  </r>
  <r>
    <x v="1"/>
    <x v="249"/>
    <x v="46"/>
    <x v="14"/>
    <x v="76"/>
    <x v="1"/>
    <x v="16"/>
    <x v="23"/>
    <x v="108"/>
    <x v="31"/>
    <x v="51"/>
    <x v="158"/>
    <x v="29"/>
    <x v="7"/>
    <x v="3"/>
    <x v="0"/>
    <x v="4"/>
    <x v="3"/>
  </r>
  <r>
    <x v="1"/>
    <x v="752"/>
    <x v="57"/>
    <x v="14"/>
    <x v="79"/>
    <x v="1"/>
    <x v="22"/>
    <x v="127"/>
    <x v="96"/>
    <x v="133"/>
    <x v="60"/>
    <x v="165"/>
    <x v="35"/>
    <x v="7"/>
    <x v="3"/>
    <x v="0"/>
    <x v="4"/>
    <x v="3"/>
  </r>
  <r>
    <x v="1"/>
    <x v="250"/>
    <x v="74"/>
    <x v="14"/>
    <x v="85"/>
    <x v="0"/>
    <x v="17"/>
    <x v="18"/>
    <x v="52"/>
    <x v="13"/>
    <x v="92"/>
    <x v="36"/>
    <x v="38"/>
    <x v="7"/>
    <x v="3"/>
    <x v="0"/>
    <x v="4"/>
    <x v="3"/>
  </r>
  <r>
    <x v="1"/>
    <x v="251"/>
    <x v="12"/>
    <x v="14"/>
    <x v="5"/>
    <x v="0"/>
    <x v="22"/>
    <x v="100"/>
    <x v="143"/>
    <x v="97"/>
    <x v="22"/>
    <x v="57"/>
    <x v="40"/>
    <x v="7"/>
    <x v="3"/>
    <x v="0"/>
    <x v="4"/>
    <x v="3"/>
  </r>
  <r>
    <x v="1"/>
    <x v="252"/>
    <x v="2"/>
    <x v="14"/>
    <x v="35"/>
    <x v="2"/>
    <x v="22"/>
    <x v="82"/>
    <x v="122"/>
    <x v="79"/>
    <x v="22"/>
    <x v="58"/>
    <x v="43"/>
    <x v="7"/>
    <x v="3"/>
    <x v="0"/>
    <x v="4"/>
    <x v="3"/>
  </r>
  <r>
    <x v="1"/>
    <x v="253"/>
    <x v="24"/>
    <x v="14"/>
    <x v="52"/>
    <x v="0"/>
    <x v="22"/>
    <x v="105"/>
    <x v="54"/>
    <x v="92"/>
    <x v="39"/>
    <x v="112"/>
    <x v="45"/>
    <x v="7"/>
    <x v="3"/>
    <x v="0"/>
    <x v="4"/>
    <x v="3"/>
  </r>
  <r>
    <x v="1"/>
    <x v="254"/>
    <x v="61"/>
    <x v="14"/>
    <x v="96"/>
    <x v="0"/>
    <x v="22"/>
    <x v="111"/>
    <x v="74"/>
    <x v="113"/>
    <x v="25"/>
    <x v="75"/>
    <x v="51"/>
    <x v="7"/>
    <x v="3"/>
    <x v="0"/>
    <x v="4"/>
    <x v="3"/>
  </r>
  <r>
    <x v="1"/>
    <x v="255"/>
    <x v="56"/>
    <x v="14"/>
    <x v="1"/>
    <x v="3"/>
    <x v="22"/>
    <x v="59"/>
    <x v="110"/>
    <x v="55"/>
    <x v="61"/>
    <x v="146"/>
    <x v="52"/>
    <x v="7"/>
    <x v="3"/>
    <x v="0"/>
    <x v="4"/>
    <x v="3"/>
  </r>
  <r>
    <x v="1"/>
    <x v="256"/>
    <x v="64"/>
    <x v="14"/>
    <x v="21"/>
    <x v="2"/>
    <x v="10"/>
    <x v="112"/>
    <x v="34"/>
    <x v="114"/>
    <x v="56"/>
    <x v="140"/>
    <x v="56"/>
    <x v="7"/>
    <x v="3"/>
    <x v="0"/>
    <x v="4"/>
    <x v="3"/>
  </r>
  <r>
    <x v="1"/>
    <x v="257"/>
    <x v="72"/>
    <x v="14"/>
    <x v="47"/>
    <x v="0"/>
    <x v="17"/>
    <x v="11"/>
    <x v="9"/>
    <x v="6"/>
    <x v="50"/>
    <x v="127"/>
    <x v="58"/>
    <x v="7"/>
    <x v="3"/>
    <x v="0"/>
    <x v="4"/>
    <x v="3"/>
  </r>
  <r>
    <x v="1"/>
    <x v="258"/>
    <x v="33"/>
    <x v="14"/>
    <x v="31"/>
    <x v="0"/>
    <x v="10"/>
    <x v="145"/>
    <x v="55"/>
    <x v="147"/>
    <x v="77"/>
    <x v="160"/>
    <x v="59"/>
    <x v="7"/>
    <x v="3"/>
    <x v="0"/>
    <x v="4"/>
    <x v="3"/>
  </r>
  <r>
    <x v="1"/>
    <x v="259"/>
    <x v="83"/>
    <x v="14"/>
    <x v="73"/>
    <x v="3"/>
    <x v="7"/>
    <x v="19"/>
    <x v="38"/>
    <x v="12"/>
    <x v="54"/>
    <x v="169"/>
    <x v="60"/>
    <x v="7"/>
    <x v="3"/>
    <x v="0"/>
    <x v="4"/>
    <x v="3"/>
  </r>
  <r>
    <x v="1"/>
    <x v="260"/>
    <x v="60"/>
    <x v="14"/>
    <x v="93"/>
    <x v="0"/>
    <x v="14"/>
    <x v="62"/>
    <x v="146"/>
    <x v="63"/>
    <x v="52"/>
    <x v="129"/>
    <x v="62"/>
    <x v="7"/>
    <x v="3"/>
    <x v="0"/>
    <x v="4"/>
    <x v="3"/>
  </r>
  <r>
    <x v="1"/>
    <x v="261"/>
    <x v="58"/>
    <x v="14"/>
    <x v="75"/>
    <x v="2"/>
    <x v="13"/>
    <x v="95"/>
    <x v="24"/>
    <x v="85"/>
    <x v="53"/>
    <x v="91"/>
    <x v="66"/>
    <x v="7"/>
    <x v="3"/>
    <x v="0"/>
    <x v="4"/>
    <x v="3"/>
  </r>
  <r>
    <x v="1"/>
    <x v="262"/>
    <x v="16"/>
    <x v="14"/>
    <x v="69"/>
    <x v="1"/>
    <x v="22"/>
    <x v="27"/>
    <x v="42"/>
    <x v="22"/>
    <x v="11"/>
    <x v="38"/>
    <x v="67"/>
    <x v="7"/>
    <x v="3"/>
    <x v="0"/>
    <x v="4"/>
    <x v="3"/>
  </r>
  <r>
    <x v="1"/>
    <x v="753"/>
    <x v="96"/>
    <x v="14"/>
    <x v="46"/>
    <x v="0"/>
    <x v="10"/>
    <x v="99"/>
    <x v="77"/>
    <x v="89"/>
    <x v="8"/>
    <x v="27"/>
    <x v="69"/>
    <x v="7"/>
    <x v="3"/>
    <x v="0"/>
    <x v="4"/>
    <x v="3"/>
  </r>
  <r>
    <x v="1"/>
    <x v="263"/>
    <x v="38"/>
    <x v="14"/>
    <x v="84"/>
    <x v="0"/>
    <x v="22"/>
    <x v="122"/>
    <x v="47"/>
    <x v="48"/>
    <x v="41"/>
    <x v="114"/>
    <x v="71"/>
    <x v="7"/>
    <x v="3"/>
    <x v="0"/>
    <x v="4"/>
    <x v="3"/>
  </r>
  <r>
    <x v="1"/>
    <x v="264"/>
    <x v="59"/>
    <x v="14"/>
    <x v="70"/>
    <x v="1"/>
    <x v="10"/>
    <x v="0"/>
    <x v="0"/>
    <x v="109"/>
    <x v="62"/>
    <x v="151"/>
    <x v="77"/>
    <x v="7"/>
    <x v="3"/>
    <x v="0"/>
    <x v="4"/>
    <x v="3"/>
  </r>
  <r>
    <x v="1"/>
    <x v="265"/>
    <x v="67"/>
    <x v="14"/>
    <x v="9"/>
    <x v="0"/>
    <x v="17"/>
    <x v="10"/>
    <x v="5"/>
    <x v="21"/>
    <x v="7"/>
    <x v="20"/>
    <x v="80"/>
    <x v="7"/>
    <x v="3"/>
    <x v="0"/>
    <x v="4"/>
    <x v="3"/>
  </r>
  <r>
    <x v="1"/>
    <x v="266"/>
    <x v="48"/>
    <x v="14"/>
    <x v="13"/>
    <x v="0"/>
    <x v="10"/>
    <x v="88"/>
    <x v="62"/>
    <x v="83"/>
    <x v="74"/>
    <x v="15"/>
    <x v="86"/>
    <x v="7"/>
    <x v="3"/>
    <x v="0"/>
    <x v="4"/>
    <x v="3"/>
  </r>
  <r>
    <x v="1"/>
    <x v="267"/>
    <x v="65"/>
    <x v="14"/>
    <x v="83"/>
    <x v="0"/>
    <x v="13"/>
    <x v="25"/>
    <x v="138"/>
    <x v="19"/>
    <x v="49"/>
    <x v="126"/>
    <x v="89"/>
    <x v="7"/>
    <x v="3"/>
    <x v="0"/>
    <x v="4"/>
    <x v="3"/>
  </r>
  <r>
    <x v="1"/>
    <x v="268"/>
    <x v="95"/>
    <x v="14"/>
    <x v="33"/>
    <x v="0"/>
    <x v="17"/>
    <x v="128"/>
    <x v="20"/>
    <x v="126"/>
    <x v="29"/>
    <x v="85"/>
    <x v="90"/>
    <x v="7"/>
    <x v="3"/>
    <x v="0"/>
    <x v="4"/>
    <x v="3"/>
  </r>
  <r>
    <x v="1"/>
    <x v="269"/>
    <x v="68"/>
    <x v="14"/>
    <x v="17"/>
    <x v="0"/>
    <x v="22"/>
    <x v="28"/>
    <x v="82"/>
    <x v="29"/>
    <x v="2"/>
    <x v="9"/>
    <x v="94"/>
    <x v="7"/>
    <x v="3"/>
    <x v="0"/>
    <x v="4"/>
    <x v="3"/>
  </r>
  <r>
    <x v="1"/>
    <x v="270"/>
    <x v="50"/>
    <x v="14"/>
    <x v="68"/>
    <x v="0"/>
    <x v="22"/>
    <x v="81"/>
    <x v="97"/>
    <x v="78"/>
    <x v="28"/>
    <x v="83"/>
    <x v="95"/>
    <x v="7"/>
    <x v="3"/>
    <x v="0"/>
    <x v="4"/>
    <x v="3"/>
  </r>
  <r>
    <x v="1"/>
    <x v="271"/>
    <x v="84"/>
    <x v="14"/>
    <x v="72"/>
    <x v="0"/>
    <x v="22"/>
    <x v="119"/>
    <x v="88"/>
    <x v="122"/>
    <x v="17"/>
    <x v="46"/>
    <x v="36"/>
    <x v="7"/>
    <x v="3"/>
    <x v="0"/>
    <x v="4"/>
    <x v="3"/>
  </r>
  <r>
    <x v="1"/>
    <x v="272"/>
    <x v="39"/>
    <x v="14"/>
    <x v="57"/>
    <x v="0"/>
    <x v="22"/>
    <x v="16"/>
    <x v="121"/>
    <x v="14"/>
    <x v="64"/>
    <x v="76"/>
    <x v="96"/>
    <x v="7"/>
    <x v="3"/>
    <x v="0"/>
    <x v="4"/>
    <x v="3"/>
  </r>
  <r>
    <x v="1"/>
    <x v="791"/>
    <x v="98"/>
    <x v="13"/>
    <x v="97"/>
    <x v="15"/>
    <x v="23"/>
    <x v="148"/>
    <x v="149"/>
    <x v="148"/>
    <x v="97"/>
    <x v="185"/>
    <x v="96"/>
    <x v="9"/>
    <x v="3"/>
    <x v="0"/>
    <x v="4"/>
    <x v="3"/>
  </r>
  <r>
    <x v="1"/>
    <x v="273"/>
    <x v="42"/>
    <x v="13"/>
    <x v="81"/>
    <x v="0"/>
    <x v="22"/>
    <x v="54"/>
    <x v="16"/>
    <x v="57"/>
    <x v="89"/>
    <x v="173"/>
    <x v="83"/>
    <x v="8"/>
    <x v="3"/>
    <x v="0"/>
    <x v="4"/>
    <x v="3"/>
  </r>
  <r>
    <x v="1"/>
    <x v="274"/>
    <x v="77"/>
    <x v="13"/>
    <x v="78"/>
    <x v="2"/>
    <x v="21"/>
    <x v="51"/>
    <x v="89"/>
    <x v="50"/>
    <x v="79"/>
    <x v="80"/>
    <x v="0"/>
    <x v="8"/>
    <x v="3"/>
    <x v="0"/>
    <x v="4"/>
    <x v="3"/>
  </r>
  <r>
    <x v="1"/>
    <x v="275"/>
    <x v="47"/>
    <x v="13"/>
    <x v="36"/>
    <x v="0"/>
    <x v="18"/>
    <x v="31"/>
    <x v="41"/>
    <x v="23"/>
    <x v="13"/>
    <x v="40"/>
    <x v="5"/>
    <x v="8"/>
    <x v="3"/>
    <x v="0"/>
    <x v="4"/>
    <x v="3"/>
  </r>
  <r>
    <x v="1"/>
    <x v="276"/>
    <x v="89"/>
    <x v="13"/>
    <x v="66"/>
    <x v="0"/>
    <x v="17"/>
    <x v="39"/>
    <x v="98"/>
    <x v="34"/>
    <x v="36"/>
    <x v="108"/>
    <x v="11"/>
    <x v="8"/>
    <x v="3"/>
    <x v="0"/>
    <x v="4"/>
    <x v="3"/>
  </r>
  <r>
    <x v="1"/>
    <x v="277"/>
    <x v="93"/>
    <x v="13"/>
    <x v="77"/>
    <x v="0"/>
    <x v="17"/>
    <x v="113"/>
    <x v="65"/>
    <x v="117"/>
    <x v="32"/>
    <x v="99"/>
    <x v="27"/>
    <x v="8"/>
    <x v="3"/>
    <x v="0"/>
    <x v="4"/>
    <x v="3"/>
  </r>
  <r>
    <x v="1"/>
    <x v="278"/>
    <x v="46"/>
    <x v="13"/>
    <x v="76"/>
    <x v="0"/>
    <x v="16"/>
    <x v="23"/>
    <x v="108"/>
    <x v="31"/>
    <x v="51"/>
    <x v="158"/>
    <x v="29"/>
    <x v="8"/>
    <x v="3"/>
    <x v="0"/>
    <x v="4"/>
    <x v="3"/>
  </r>
  <r>
    <x v="1"/>
    <x v="279"/>
    <x v="29"/>
    <x v="13"/>
    <x v="61"/>
    <x v="0"/>
    <x v="13"/>
    <x v="125"/>
    <x v="64"/>
    <x v="128"/>
    <x v="12"/>
    <x v="39"/>
    <x v="44"/>
    <x v="8"/>
    <x v="3"/>
    <x v="0"/>
    <x v="4"/>
    <x v="3"/>
  </r>
  <r>
    <x v="1"/>
    <x v="280"/>
    <x v="24"/>
    <x v="13"/>
    <x v="52"/>
    <x v="0"/>
    <x v="22"/>
    <x v="105"/>
    <x v="54"/>
    <x v="92"/>
    <x v="39"/>
    <x v="112"/>
    <x v="45"/>
    <x v="8"/>
    <x v="3"/>
    <x v="0"/>
    <x v="4"/>
    <x v="3"/>
  </r>
  <r>
    <x v="1"/>
    <x v="281"/>
    <x v="61"/>
    <x v="13"/>
    <x v="96"/>
    <x v="0"/>
    <x v="22"/>
    <x v="111"/>
    <x v="74"/>
    <x v="113"/>
    <x v="25"/>
    <x v="75"/>
    <x v="51"/>
    <x v="8"/>
    <x v="3"/>
    <x v="0"/>
    <x v="4"/>
    <x v="3"/>
  </r>
  <r>
    <x v="1"/>
    <x v="755"/>
    <x v="83"/>
    <x v="13"/>
    <x v="73"/>
    <x v="2"/>
    <x v="7"/>
    <x v="110"/>
    <x v="136"/>
    <x v="105"/>
    <x v="54"/>
    <x v="133"/>
    <x v="60"/>
    <x v="8"/>
    <x v="3"/>
    <x v="0"/>
    <x v="4"/>
    <x v="3"/>
  </r>
  <r>
    <x v="1"/>
    <x v="282"/>
    <x v="58"/>
    <x v="13"/>
    <x v="75"/>
    <x v="1"/>
    <x v="13"/>
    <x v="95"/>
    <x v="24"/>
    <x v="85"/>
    <x v="53"/>
    <x v="91"/>
    <x v="66"/>
    <x v="8"/>
    <x v="3"/>
    <x v="0"/>
    <x v="4"/>
    <x v="3"/>
  </r>
  <r>
    <x v="1"/>
    <x v="283"/>
    <x v="16"/>
    <x v="13"/>
    <x v="69"/>
    <x v="0"/>
    <x v="22"/>
    <x v="27"/>
    <x v="42"/>
    <x v="22"/>
    <x v="11"/>
    <x v="38"/>
    <x v="67"/>
    <x v="8"/>
    <x v="3"/>
    <x v="0"/>
    <x v="4"/>
    <x v="3"/>
  </r>
  <r>
    <x v="1"/>
    <x v="284"/>
    <x v="59"/>
    <x v="13"/>
    <x v="70"/>
    <x v="0"/>
    <x v="10"/>
    <x v="0"/>
    <x v="0"/>
    <x v="109"/>
    <x v="62"/>
    <x v="151"/>
    <x v="77"/>
    <x v="8"/>
    <x v="3"/>
    <x v="0"/>
    <x v="4"/>
    <x v="3"/>
  </r>
  <r>
    <x v="1"/>
    <x v="285"/>
    <x v="48"/>
    <x v="13"/>
    <x v="13"/>
    <x v="0"/>
    <x v="10"/>
    <x v="88"/>
    <x v="62"/>
    <x v="83"/>
    <x v="74"/>
    <x v="15"/>
    <x v="86"/>
    <x v="8"/>
    <x v="3"/>
    <x v="0"/>
    <x v="4"/>
    <x v="3"/>
  </r>
  <r>
    <x v="1"/>
    <x v="286"/>
    <x v="95"/>
    <x v="13"/>
    <x v="33"/>
    <x v="0"/>
    <x v="17"/>
    <x v="128"/>
    <x v="20"/>
    <x v="126"/>
    <x v="29"/>
    <x v="85"/>
    <x v="90"/>
    <x v="8"/>
    <x v="3"/>
    <x v="0"/>
    <x v="4"/>
    <x v="3"/>
  </r>
  <r>
    <x v="1"/>
    <x v="791"/>
    <x v="98"/>
    <x v="4"/>
    <x v="97"/>
    <x v="35"/>
    <x v="23"/>
    <x v="148"/>
    <x v="149"/>
    <x v="148"/>
    <x v="97"/>
    <x v="185"/>
    <x v="96"/>
    <x v="9"/>
    <x v="3"/>
    <x v="0"/>
    <x v="4"/>
    <x v="3"/>
  </r>
  <r>
    <x v="1"/>
    <x v="287"/>
    <x v="7"/>
    <x v="4"/>
    <x v="14"/>
    <x v="0"/>
    <x v="17"/>
    <x v="147"/>
    <x v="6"/>
    <x v="140"/>
    <x v="35"/>
    <x v="89"/>
    <x v="81"/>
    <x v="7"/>
    <x v="3"/>
    <x v="0"/>
    <x v="4"/>
    <x v="3"/>
  </r>
  <r>
    <x v="1"/>
    <x v="288"/>
    <x v="5"/>
    <x v="4"/>
    <x v="19"/>
    <x v="10"/>
    <x v="18"/>
    <x v="87"/>
    <x v="93"/>
    <x v="76"/>
    <x v="27"/>
    <x v="81"/>
    <x v="10"/>
    <x v="7"/>
    <x v="3"/>
    <x v="0"/>
    <x v="4"/>
    <x v="3"/>
  </r>
  <r>
    <x v="1"/>
    <x v="289"/>
    <x v="92"/>
    <x v="4"/>
    <x v="39"/>
    <x v="0"/>
    <x v="10"/>
    <x v="66"/>
    <x v="139"/>
    <x v="67"/>
    <x v="85"/>
    <x v="168"/>
    <x v="39"/>
    <x v="7"/>
    <x v="3"/>
    <x v="0"/>
    <x v="4"/>
    <x v="3"/>
  </r>
  <r>
    <x v="1"/>
    <x v="290"/>
    <x v="78"/>
    <x v="4"/>
    <x v="41"/>
    <x v="1"/>
    <x v="22"/>
    <x v="106"/>
    <x v="123"/>
    <x v="101"/>
    <x v="16"/>
    <x v="45"/>
    <x v="76"/>
    <x v="4"/>
    <x v="3"/>
    <x v="0"/>
    <x v="4"/>
    <x v="3"/>
  </r>
  <r>
    <x v="1"/>
    <x v="291"/>
    <x v="77"/>
    <x v="4"/>
    <x v="78"/>
    <x v="20"/>
    <x v="21"/>
    <x v="51"/>
    <x v="89"/>
    <x v="50"/>
    <x v="79"/>
    <x v="77"/>
    <x v="0"/>
    <x v="7"/>
    <x v="3"/>
    <x v="0"/>
    <x v="4"/>
    <x v="3"/>
  </r>
  <r>
    <x v="1"/>
    <x v="292"/>
    <x v="71"/>
    <x v="4"/>
    <x v="25"/>
    <x v="0"/>
    <x v="11"/>
    <x v="58"/>
    <x v="116"/>
    <x v="54"/>
    <x v="90"/>
    <x v="176"/>
    <x v="1"/>
    <x v="7"/>
    <x v="3"/>
    <x v="0"/>
    <x v="4"/>
    <x v="3"/>
  </r>
  <r>
    <x v="1"/>
    <x v="293"/>
    <x v="1"/>
    <x v="4"/>
    <x v="30"/>
    <x v="1"/>
    <x v="22"/>
    <x v="98"/>
    <x v="114"/>
    <x v="88"/>
    <x v="65"/>
    <x v="21"/>
    <x v="4"/>
    <x v="4"/>
    <x v="3"/>
    <x v="0"/>
    <x v="4"/>
    <x v="3"/>
  </r>
  <r>
    <x v="1"/>
    <x v="294"/>
    <x v="47"/>
    <x v="4"/>
    <x v="36"/>
    <x v="4"/>
    <x v="18"/>
    <x v="31"/>
    <x v="41"/>
    <x v="23"/>
    <x v="13"/>
    <x v="40"/>
    <x v="5"/>
    <x v="7"/>
    <x v="3"/>
    <x v="0"/>
    <x v="4"/>
    <x v="3"/>
  </r>
  <r>
    <x v="1"/>
    <x v="295"/>
    <x v="70"/>
    <x v="4"/>
    <x v="89"/>
    <x v="5"/>
    <x v="8"/>
    <x v="107"/>
    <x v="128"/>
    <x v="102"/>
    <x v="42"/>
    <x v="148"/>
    <x v="7"/>
    <x v="7"/>
    <x v="3"/>
    <x v="0"/>
    <x v="4"/>
    <x v="3"/>
  </r>
  <r>
    <x v="1"/>
    <x v="296"/>
    <x v="81"/>
    <x v="4"/>
    <x v="56"/>
    <x v="2"/>
    <x v="22"/>
    <x v="116"/>
    <x v="75"/>
    <x v="121"/>
    <x v="59"/>
    <x v="144"/>
    <x v="8"/>
    <x v="4"/>
    <x v="3"/>
    <x v="0"/>
    <x v="4"/>
    <x v="3"/>
  </r>
  <r>
    <x v="1"/>
    <x v="297"/>
    <x v="89"/>
    <x v="4"/>
    <x v="66"/>
    <x v="3"/>
    <x v="17"/>
    <x v="39"/>
    <x v="98"/>
    <x v="34"/>
    <x v="36"/>
    <x v="108"/>
    <x v="11"/>
    <x v="7"/>
    <x v="3"/>
    <x v="0"/>
    <x v="4"/>
    <x v="3"/>
  </r>
  <r>
    <x v="1"/>
    <x v="298"/>
    <x v="87"/>
    <x v="4"/>
    <x v="59"/>
    <x v="0"/>
    <x v="17"/>
    <x v="121"/>
    <x v="30"/>
    <x v="124"/>
    <x v="38"/>
    <x v="111"/>
    <x v="14"/>
    <x v="7"/>
    <x v="3"/>
    <x v="0"/>
    <x v="4"/>
    <x v="3"/>
  </r>
  <r>
    <x v="1"/>
    <x v="299"/>
    <x v="8"/>
    <x v="4"/>
    <x v="48"/>
    <x v="0"/>
    <x v="22"/>
    <x v="130"/>
    <x v="40"/>
    <x v="129"/>
    <x v="14"/>
    <x v="42"/>
    <x v="15"/>
    <x v="4"/>
    <x v="3"/>
    <x v="0"/>
    <x v="4"/>
    <x v="3"/>
  </r>
  <r>
    <x v="1"/>
    <x v="300"/>
    <x v="66"/>
    <x v="4"/>
    <x v="10"/>
    <x v="1"/>
    <x v="13"/>
    <x v="136"/>
    <x v="45"/>
    <x v="137"/>
    <x v="19"/>
    <x v="49"/>
    <x v="18"/>
    <x v="7"/>
    <x v="3"/>
    <x v="0"/>
    <x v="4"/>
    <x v="3"/>
  </r>
  <r>
    <x v="1"/>
    <x v="301"/>
    <x v="25"/>
    <x v="4"/>
    <x v="60"/>
    <x v="0"/>
    <x v="10"/>
    <x v="20"/>
    <x v="22"/>
    <x v="10"/>
    <x v="82"/>
    <x v="121"/>
    <x v="19"/>
    <x v="7"/>
    <x v="3"/>
    <x v="0"/>
    <x v="4"/>
    <x v="3"/>
  </r>
  <r>
    <x v="1"/>
    <x v="302"/>
    <x v="18"/>
    <x v="4"/>
    <x v="7"/>
    <x v="3"/>
    <x v="22"/>
    <x v="35"/>
    <x v="111"/>
    <x v="26"/>
    <x v="55"/>
    <x v="138"/>
    <x v="21"/>
    <x v="4"/>
    <x v="3"/>
    <x v="0"/>
    <x v="4"/>
    <x v="3"/>
  </r>
  <r>
    <x v="1"/>
    <x v="303"/>
    <x v="4"/>
    <x v="4"/>
    <x v="20"/>
    <x v="6"/>
    <x v="22"/>
    <x v="68"/>
    <x v="49"/>
    <x v="68"/>
    <x v="70"/>
    <x v="69"/>
    <x v="22"/>
    <x v="4"/>
    <x v="3"/>
    <x v="0"/>
    <x v="4"/>
    <x v="3"/>
  </r>
  <r>
    <x v="1"/>
    <x v="304"/>
    <x v="76"/>
    <x v="4"/>
    <x v="28"/>
    <x v="0"/>
    <x v="10"/>
    <x v="71"/>
    <x v="130"/>
    <x v="65"/>
    <x v="68"/>
    <x v="14"/>
    <x v="23"/>
    <x v="7"/>
    <x v="3"/>
    <x v="0"/>
    <x v="4"/>
    <x v="3"/>
  </r>
  <r>
    <x v="1"/>
    <x v="305"/>
    <x v="86"/>
    <x v="4"/>
    <x v="67"/>
    <x v="3"/>
    <x v="22"/>
    <x v="70"/>
    <x v="142"/>
    <x v="70"/>
    <x v="15"/>
    <x v="6"/>
    <x v="24"/>
    <x v="4"/>
    <x v="3"/>
    <x v="0"/>
    <x v="4"/>
    <x v="3"/>
  </r>
  <r>
    <x v="1"/>
    <x v="756"/>
    <x v="93"/>
    <x v="4"/>
    <x v="77"/>
    <x v="5"/>
    <x v="17"/>
    <x v="115"/>
    <x v="67"/>
    <x v="119"/>
    <x v="32"/>
    <x v="105"/>
    <x v="27"/>
    <x v="7"/>
    <x v="3"/>
    <x v="0"/>
    <x v="4"/>
    <x v="3"/>
  </r>
  <r>
    <x v="1"/>
    <x v="306"/>
    <x v="73"/>
    <x v="4"/>
    <x v="53"/>
    <x v="1"/>
    <x v="0"/>
    <x v="143"/>
    <x v="113"/>
    <x v="145"/>
    <x v="67"/>
    <x v="155"/>
    <x v="28"/>
    <x v="7"/>
    <x v="3"/>
    <x v="0"/>
    <x v="4"/>
    <x v="3"/>
  </r>
  <r>
    <x v="1"/>
    <x v="307"/>
    <x v="46"/>
    <x v="4"/>
    <x v="76"/>
    <x v="9"/>
    <x v="16"/>
    <x v="23"/>
    <x v="108"/>
    <x v="31"/>
    <x v="51"/>
    <x v="158"/>
    <x v="29"/>
    <x v="7"/>
    <x v="3"/>
    <x v="0"/>
    <x v="4"/>
    <x v="3"/>
  </r>
  <r>
    <x v="1"/>
    <x v="308"/>
    <x v="63"/>
    <x v="4"/>
    <x v="43"/>
    <x v="0"/>
    <x v="17"/>
    <x v="144"/>
    <x v="94"/>
    <x v="146"/>
    <x v="94"/>
    <x v="183"/>
    <x v="32"/>
    <x v="7"/>
    <x v="3"/>
    <x v="0"/>
    <x v="4"/>
    <x v="3"/>
  </r>
  <r>
    <x v="1"/>
    <x v="309"/>
    <x v="11"/>
    <x v="4"/>
    <x v="95"/>
    <x v="0"/>
    <x v="22"/>
    <x v="94"/>
    <x v="127"/>
    <x v="120"/>
    <x v="83"/>
    <x v="167"/>
    <x v="34"/>
    <x v="4"/>
    <x v="3"/>
    <x v="0"/>
    <x v="4"/>
    <x v="3"/>
  </r>
  <r>
    <x v="1"/>
    <x v="310"/>
    <x v="57"/>
    <x v="4"/>
    <x v="79"/>
    <x v="2"/>
    <x v="22"/>
    <x v="126"/>
    <x v="95"/>
    <x v="132"/>
    <x v="60"/>
    <x v="163"/>
    <x v="35"/>
    <x v="4"/>
    <x v="3"/>
    <x v="0"/>
    <x v="4"/>
    <x v="3"/>
  </r>
  <r>
    <x v="1"/>
    <x v="757"/>
    <x v="74"/>
    <x v="4"/>
    <x v="85"/>
    <x v="1"/>
    <x v="17"/>
    <x v="18"/>
    <x v="52"/>
    <x v="13"/>
    <x v="92"/>
    <x v="37"/>
    <x v="38"/>
    <x v="7"/>
    <x v="3"/>
    <x v="0"/>
    <x v="4"/>
    <x v="3"/>
  </r>
  <r>
    <x v="1"/>
    <x v="311"/>
    <x v="12"/>
    <x v="4"/>
    <x v="5"/>
    <x v="0"/>
    <x v="22"/>
    <x v="42"/>
    <x v="145"/>
    <x v="37"/>
    <x v="22"/>
    <x v="33"/>
    <x v="40"/>
    <x v="4"/>
    <x v="3"/>
    <x v="0"/>
    <x v="4"/>
    <x v="3"/>
  </r>
  <r>
    <x v="1"/>
    <x v="312"/>
    <x v="44"/>
    <x v="4"/>
    <x v="88"/>
    <x v="0"/>
    <x v="3"/>
    <x v="104"/>
    <x v="112"/>
    <x v="100"/>
    <x v="66"/>
    <x v="159"/>
    <x v="41"/>
    <x v="7"/>
    <x v="3"/>
    <x v="0"/>
    <x v="4"/>
    <x v="3"/>
  </r>
  <r>
    <x v="1"/>
    <x v="313"/>
    <x v="2"/>
    <x v="4"/>
    <x v="35"/>
    <x v="3"/>
    <x v="22"/>
    <x v="82"/>
    <x v="122"/>
    <x v="79"/>
    <x v="22"/>
    <x v="58"/>
    <x v="43"/>
    <x v="4"/>
    <x v="3"/>
    <x v="0"/>
    <x v="4"/>
    <x v="3"/>
  </r>
  <r>
    <x v="1"/>
    <x v="314"/>
    <x v="29"/>
    <x v="4"/>
    <x v="61"/>
    <x v="0"/>
    <x v="13"/>
    <x v="125"/>
    <x v="64"/>
    <x v="128"/>
    <x v="12"/>
    <x v="39"/>
    <x v="44"/>
    <x v="7"/>
    <x v="3"/>
    <x v="0"/>
    <x v="4"/>
    <x v="3"/>
  </r>
  <r>
    <x v="1"/>
    <x v="315"/>
    <x v="79"/>
    <x v="4"/>
    <x v="94"/>
    <x v="0"/>
    <x v="19"/>
    <x v="43"/>
    <x v="115"/>
    <x v="39"/>
    <x v="78"/>
    <x v="73"/>
    <x v="47"/>
    <x v="7"/>
    <x v="3"/>
    <x v="0"/>
    <x v="4"/>
    <x v="3"/>
  </r>
  <r>
    <x v="1"/>
    <x v="316"/>
    <x v="13"/>
    <x v="4"/>
    <x v="64"/>
    <x v="4"/>
    <x v="22"/>
    <x v="6"/>
    <x v="80"/>
    <x v="8"/>
    <x v="28"/>
    <x v="83"/>
    <x v="48"/>
    <x v="4"/>
    <x v="3"/>
    <x v="0"/>
    <x v="4"/>
    <x v="3"/>
  </r>
  <r>
    <x v="1"/>
    <x v="317"/>
    <x v="34"/>
    <x v="4"/>
    <x v="54"/>
    <x v="0"/>
    <x v="15"/>
    <x v="46"/>
    <x v="109"/>
    <x v="127"/>
    <x v="0"/>
    <x v="117"/>
    <x v="49"/>
    <x v="7"/>
    <x v="3"/>
    <x v="0"/>
    <x v="4"/>
    <x v="3"/>
  </r>
  <r>
    <x v="1"/>
    <x v="318"/>
    <x v="54"/>
    <x v="4"/>
    <x v="44"/>
    <x v="0"/>
    <x v="22"/>
    <x v="133"/>
    <x v="10"/>
    <x v="134"/>
    <x v="88"/>
    <x v="172"/>
    <x v="50"/>
    <x v="4"/>
    <x v="3"/>
    <x v="0"/>
    <x v="4"/>
    <x v="3"/>
  </r>
  <r>
    <x v="1"/>
    <x v="319"/>
    <x v="64"/>
    <x v="4"/>
    <x v="21"/>
    <x v="1"/>
    <x v="10"/>
    <x v="112"/>
    <x v="34"/>
    <x v="114"/>
    <x v="56"/>
    <x v="140"/>
    <x v="56"/>
    <x v="7"/>
    <x v="3"/>
    <x v="0"/>
    <x v="4"/>
    <x v="3"/>
  </r>
  <r>
    <x v="1"/>
    <x v="320"/>
    <x v="10"/>
    <x v="4"/>
    <x v="12"/>
    <x v="0"/>
    <x v="22"/>
    <x v="37"/>
    <x v="7"/>
    <x v="27"/>
    <x v="86"/>
    <x v="178"/>
    <x v="57"/>
    <x v="4"/>
    <x v="3"/>
    <x v="0"/>
    <x v="4"/>
    <x v="3"/>
  </r>
  <r>
    <x v="1"/>
    <x v="321"/>
    <x v="72"/>
    <x v="4"/>
    <x v="47"/>
    <x v="0"/>
    <x v="17"/>
    <x v="11"/>
    <x v="9"/>
    <x v="6"/>
    <x v="50"/>
    <x v="127"/>
    <x v="58"/>
    <x v="7"/>
    <x v="3"/>
    <x v="0"/>
    <x v="4"/>
    <x v="3"/>
  </r>
  <r>
    <x v="1"/>
    <x v="322"/>
    <x v="33"/>
    <x v="4"/>
    <x v="31"/>
    <x v="5"/>
    <x v="10"/>
    <x v="145"/>
    <x v="55"/>
    <x v="147"/>
    <x v="77"/>
    <x v="160"/>
    <x v="59"/>
    <x v="7"/>
    <x v="3"/>
    <x v="0"/>
    <x v="4"/>
    <x v="3"/>
  </r>
  <r>
    <x v="1"/>
    <x v="758"/>
    <x v="83"/>
    <x v="4"/>
    <x v="73"/>
    <x v="12"/>
    <x v="7"/>
    <x v="110"/>
    <x v="136"/>
    <x v="105"/>
    <x v="54"/>
    <x v="136"/>
    <x v="60"/>
    <x v="7"/>
    <x v="3"/>
    <x v="0"/>
    <x v="4"/>
    <x v="3"/>
  </r>
  <r>
    <x v="1"/>
    <x v="323"/>
    <x v="80"/>
    <x v="4"/>
    <x v="4"/>
    <x v="1"/>
    <x v="10"/>
    <x v="79"/>
    <x v="119"/>
    <x v="75"/>
    <x v="75"/>
    <x v="54"/>
    <x v="61"/>
    <x v="7"/>
    <x v="3"/>
    <x v="0"/>
    <x v="4"/>
    <x v="3"/>
  </r>
  <r>
    <x v="1"/>
    <x v="324"/>
    <x v="75"/>
    <x v="4"/>
    <x v="71"/>
    <x v="5"/>
    <x v="12"/>
    <x v="29"/>
    <x v="134"/>
    <x v="30"/>
    <x v="93"/>
    <x v="2"/>
    <x v="63"/>
    <x v="7"/>
    <x v="3"/>
    <x v="0"/>
    <x v="4"/>
    <x v="3"/>
  </r>
  <r>
    <x v="1"/>
    <x v="325"/>
    <x v="22"/>
    <x v="4"/>
    <x v="38"/>
    <x v="0"/>
    <x v="22"/>
    <x v="124"/>
    <x v="79"/>
    <x v="125"/>
    <x v="22"/>
    <x v="59"/>
    <x v="65"/>
    <x v="4"/>
    <x v="3"/>
    <x v="0"/>
    <x v="4"/>
    <x v="3"/>
  </r>
  <r>
    <x v="1"/>
    <x v="326"/>
    <x v="58"/>
    <x v="4"/>
    <x v="75"/>
    <x v="14"/>
    <x v="13"/>
    <x v="13"/>
    <x v="28"/>
    <x v="9"/>
    <x v="53"/>
    <x v="91"/>
    <x v="66"/>
    <x v="7"/>
    <x v="3"/>
    <x v="0"/>
    <x v="4"/>
    <x v="3"/>
  </r>
  <r>
    <x v="1"/>
    <x v="327"/>
    <x v="16"/>
    <x v="4"/>
    <x v="69"/>
    <x v="7"/>
    <x v="22"/>
    <x v="27"/>
    <x v="42"/>
    <x v="22"/>
    <x v="11"/>
    <x v="38"/>
    <x v="67"/>
    <x v="4"/>
    <x v="3"/>
    <x v="0"/>
    <x v="4"/>
    <x v="3"/>
  </r>
  <r>
    <x v="1"/>
    <x v="328"/>
    <x v="40"/>
    <x v="4"/>
    <x v="32"/>
    <x v="0"/>
    <x v="13"/>
    <x v="17"/>
    <x v="81"/>
    <x v="15"/>
    <x v="48"/>
    <x v="125"/>
    <x v="68"/>
    <x v="7"/>
    <x v="3"/>
    <x v="0"/>
    <x v="4"/>
    <x v="3"/>
  </r>
  <r>
    <x v="1"/>
    <x v="329"/>
    <x v="96"/>
    <x v="4"/>
    <x v="46"/>
    <x v="0"/>
    <x v="10"/>
    <x v="99"/>
    <x v="77"/>
    <x v="89"/>
    <x v="8"/>
    <x v="26"/>
    <x v="69"/>
    <x v="7"/>
    <x v="3"/>
    <x v="0"/>
    <x v="4"/>
    <x v="3"/>
  </r>
  <r>
    <x v="1"/>
    <x v="330"/>
    <x v="38"/>
    <x v="4"/>
    <x v="84"/>
    <x v="0"/>
    <x v="22"/>
    <x v="122"/>
    <x v="47"/>
    <x v="48"/>
    <x v="41"/>
    <x v="114"/>
    <x v="71"/>
    <x v="4"/>
    <x v="3"/>
    <x v="0"/>
    <x v="4"/>
    <x v="3"/>
  </r>
  <r>
    <x v="1"/>
    <x v="331"/>
    <x v="0"/>
    <x v="4"/>
    <x v="91"/>
    <x v="1"/>
    <x v="9"/>
    <x v="7"/>
    <x v="23"/>
    <x v="3"/>
    <x v="80"/>
    <x v="74"/>
    <x v="72"/>
    <x v="7"/>
    <x v="3"/>
    <x v="0"/>
    <x v="4"/>
    <x v="3"/>
  </r>
  <r>
    <x v="1"/>
    <x v="332"/>
    <x v="49"/>
    <x v="4"/>
    <x v="0"/>
    <x v="1"/>
    <x v="22"/>
    <x v="64"/>
    <x v="99"/>
    <x v="62"/>
    <x v="47"/>
    <x v="123"/>
    <x v="73"/>
    <x v="4"/>
    <x v="3"/>
    <x v="0"/>
    <x v="4"/>
    <x v="3"/>
  </r>
  <r>
    <x v="1"/>
    <x v="333"/>
    <x v="26"/>
    <x v="4"/>
    <x v="58"/>
    <x v="2"/>
    <x v="13"/>
    <x v="61"/>
    <x v="63"/>
    <x v="61"/>
    <x v="45"/>
    <x v="122"/>
    <x v="74"/>
    <x v="7"/>
    <x v="3"/>
    <x v="0"/>
    <x v="4"/>
    <x v="3"/>
  </r>
  <r>
    <x v="1"/>
    <x v="759"/>
    <x v="59"/>
    <x v="4"/>
    <x v="70"/>
    <x v="7"/>
    <x v="10"/>
    <x v="140"/>
    <x v="2"/>
    <x v="136"/>
    <x v="62"/>
    <x v="1"/>
    <x v="77"/>
    <x v="7"/>
    <x v="3"/>
    <x v="0"/>
    <x v="4"/>
    <x v="3"/>
  </r>
  <r>
    <x v="1"/>
    <x v="334"/>
    <x v="67"/>
    <x v="4"/>
    <x v="9"/>
    <x v="0"/>
    <x v="17"/>
    <x v="10"/>
    <x v="5"/>
    <x v="21"/>
    <x v="7"/>
    <x v="20"/>
    <x v="80"/>
    <x v="7"/>
    <x v="3"/>
    <x v="0"/>
    <x v="4"/>
    <x v="3"/>
  </r>
  <r>
    <x v="1"/>
    <x v="335"/>
    <x v="30"/>
    <x v="4"/>
    <x v="27"/>
    <x v="2"/>
    <x v="4"/>
    <x v="32"/>
    <x v="100"/>
    <x v="24"/>
    <x v="31"/>
    <x v="88"/>
    <x v="82"/>
    <x v="7"/>
    <x v="3"/>
    <x v="0"/>
    <x v="4"/>
    <x v="3"/>
  </r>
  <r>
    <x v="1"/>
    <x v="336"/>
    <x v="37"/>
    <x v="4"/>
    <x v="34"/>
    <x v="0"/>
    <x v="22"/>
    <x v="15"/>
    <x v="102"/>
    <x v="11"/>
    <x v="71"/>
    <x v="50"/>
    <x v="84"/>
    <x v="4"/>
    <x v="3"/>
    <x v="0"/>
    <x v="4"/>
    <x v="3"/>
  </r>
  <r>
    <x v="1"/>
    <x v="337"/>
    <x v="28"/>
    <x v="4"/>
    <x v="37"/>
    <x v="0"/>
    <x v="13"/>
    <x v="41"/>
    <x v="76"/>
    <x v="38"/>
    <x v="81"/>
    <x v="162"/>
    <x v="85"/>
    <x v="7"/>
    <x v="3"/>
    <x v="0"/>
    <x v="4"/>
    <x v="3"/>
  </r>
  <r>
    <x v="1"/>
    <x v="338"/>
    <x v="48"/>
    <x v="4"/>
    <x v="13"/>
    <x v="0"/>
    <x v="10"/>
    <x v="88"/>
    <x v="62"/>
    <x v="83"/>
    <x v="74"/>
    <x v="15"/>
    <x v="86"/>
    <x v="7"/>
    <x v="3"/>
    <x v="0"/>
    <x v="4"/>
    <x v="3"/>
  </r>
  <r>
    <x v="1"/>
    <x v="339"/>
    <x v="55"/>
    <x v="4"/>
    <x v="2"/>
    <x v="1"/>
    <x v="22"/>
    <x v="45"/>
    <x v="125"/>
    <x v="41"/>
    <x v="18"/>
    <x v="47"/>
    <x v="87"/>
    <x v="4"/>
    <x v="3"/>
    <x v="0"/>
    <x v="4"/>
    <x v="3"/>
  </r>
  <r>
    <x v="1"/>
    <x v="340"/>
    <x v="14"/>
    <x v="4"/>
    <x v="50"/>
    <x v="5"/>
    <x v="13"/>
    <x v="137"/>
    <x v="103"/>
    <x v="138"/>
    <x v="4"/>
    <x v="96"/>
    <x v="91"/>
    <x v="7"/>
    <x v="3"/>
    <x v="0"/>
    <x v="4"/>
    <x v="3"/>
  </r>
  <r>
    <x v="1"/>
    <x v="341"/>
    <x v="21"/>
    <x v="4"/>
    <x v="11"/>
    <x v="0"/>
    <x v="10"/>
    <x v="57"/>
    <x v="118"/>
    <x v="53"/>
    <x v="84"/>
    <x v="171"/>
    <x v="92"/>
    <x v="7"/>
    <x v="3"/>
    <x v="0"/>
    <x v="4"/>
    <x v="3"/>
  </r>
  <r>
    <x v="1"/>
    <x v="342"/>
    <x v="88"/>
    <x v="4"/>
    <x v="45"/>
    <x v="0"/>
    <x v="17"/>
    <x v="38"/>
    <x v="56"/>
    <x v="33"/>
    <x v="37"/>
    <x v="90"/>
    <x v="93"/>
    <x v="7"/>
    <x v="3"/>
    <x v="0"/>
    <x v="4"/>
    <x v="3"/>
  </r>
  <r>
    <x v="1"/>
    <x v="343"/>
    <x v="68"/>
    <x v="4"/>
    <x v="17"/>
    <x v="1"/>
    <x v="22"/>
    <x v="28"/>
    <x v="82"/>
    <x v="29"/>
    <x v="2"/>
    <x v="9"/>
    <x v="94"/>
    <x v="4"/>
    <x v="3"/>
    <x v="0"/>
    <x v="4"/>
    <x v="3"/>
  </r>
  <r>
    <x v="1"/>
    <x v="344"/>
    <x v="50"/>
    <x v="4"/>
    <x v="68"/>
    <x v="0"/>
    <x v="22"/>
    <x v="81"/>
    <x v="97"/>
    <x v="78"/>
    <x v="28"/>
    <x v="83"/>
    <x v="95"/>
    <x v="4"/>
    <x v="3"/>
    <x v="0"/>
    <x v="4"/>
    <x v="3"/>
  </r>
  <r>
    <x v="1"/>
    <x v="345"/>
    <x v="52"/>
    <x v="4"/>
    <x v="55"/>
    <x v="1"/>
    <x v="22"/>
    <x v="34"/>
    <x v="120"/>
    <x v="35"/>
    <x v="1"/>
    <x v="4"/>
    <x v="33"/>
    <x v="4"/>
    <x v="3"/>
    <x v="0"/>
    <x v="4"/>
    <x v="3"/>
  </r>
  <r>
    <x v="1"/>
    <x v="346"/>
    <x v="84"/>
    <x v="4"/>
    <x v="72"/>
    <x v="0"/>
    <x v="22"/>
    <x v="119"/>
    <x v="88"/>
    <x v="122"/>
    <x v="17"/>
    <x v="46"/>
    <x v="36"/>
    <x v="7"/>
    <x v="3"/>
    <x v="0"/>
    <x v="4"/>
    <x v="3"/>
  </r>
  <r>
    <x v="1"/>
    <x v="347"/>
    <x v="39"/>
    <x v="4"/>
    <x v="57"/>
    <x v="4"/>
    <x v="22"/>
    <x v="16"/>
    <x v="121"/>
    <x v="14"/>
    <x v="64"/>
    <x v="76"/>
    <x v="96"/>
    <x v="7"/>
    <x v="3"/>
    <x v="0"/>
    <x v="4"/>
    <x v="3"/>
  </r>
  <r>
    <x v="1"/>
    <x v="791"/>
    <x v="98"/>
    <x v="5"/>
    <x v="97"/>
    <x v="30"/>
    <x v="23"/>
    <x v="148"/>
    <x v="149"/>
    <x v="148"/>
    <x v="97"/>
    <x v="185"/>
    <x v="96"/>
    <x v="9"/>
    <x v="3"/>
    <x v="0"/>
    <x v="4"/>
    <x v="3"/>
  </r>
  <r>
    <x v="1"/>
    <x v="348"/>
    <x v="82"/>
    <x v="5"/>
    <x v="74"/>
    <x v="0"/>
    <x v="2"/>
    <x v="132"/>
    <x v="83"/>
    <x v="131"/>
    <x v="5"/>
    <x v="10"/>
    <x v="2"/>
    <x v="6"/>
    <x v="3"/>
    <x v="0"/>
    <x v="4"/>
    <x v="3"/>
  </r>
  <r>
    <x v="1"/>
    <x v="349"/>
    <x v="5"/>
    <x v="5"/>
    <x v="19"/>
    <x v="13"/>
    <x v="18"/>
    <x v="87"/>
    <x v="93"/>
    <x v="76"/>
    <x v="27"/>
    <x v="81"/>
    <x v="10"/>
    <x v="4"/>
    <x v="3"/>
    <x v="0"/>
    <x v="4"/>
    <x v="3"/>
  </r>
  <r>
    <x v="1"/>
    <x v="350"/>
    <x v="77"/>
    <x v="5"/>
    <x v="78"/>
    <x v="9"/>
    <x v="21"/>
    <x v="51"/>
    <x v="89"/>
    <x v="50"/>
    <x v="79"/>
    <x v="77"/>
    <x v="0"/>
    <x v="4"/>
    <x v="3"/>
    <x v="0"/>
    <x v="4"/>
    <x v="3"/>
  </r>
  <r>
    <x v="1"/>
    <x v="351"/>
    <x v="1"/>
    <x v="5"/>
    <x v="30"/>
    <x v="0"/>
    <x v="22"/>
    <x v="98"/>
    <x v="114"/>
    <x v="88"/>
    <x v="65"/>
    <x v="21"/>
    <x v="4"/>
    <x v="4"/>
    <x v="3"/>
    <x v="0"/>
    <x v="4"/>
    <x v="3"/>
  </r>
  <r>
    <x v="1"/>
    <x v="352"/>
    <x v="41"/>
    <x v="5"/>
    <x v="22"/>
    <x v="0"/>
    <x v="22"/>
    <x v="30"/>
    <x v="147"/>
    <x v="0"/>
    <x v="76"/>
    <x v="8"/>
    <x v="16"/>
    <x v="4"/>
    <x v="3"/>
    <x v="0"/>
    <x v="4"/>
    <x v="3"/>
  </r>
  <r>
    <x v="1"/>
    <x v="353"/>
    <x v="36"/>
    <x v="5"/>
    <x v="40"/>
    <x v="0"/>
    <x v="22"/>
    <x v="89"/>
    <x v="78"/>
    <x v="84"/>
    <x v="10"/>
    <x v="35"/>
    <x v="17"/>
    <x v="4"/>
    <x v="3"/>
    <x v="0"/>
    <x v="4"/>
    <x v="3"/>
  </r>
  <r>
    <x v="1"/>
    <x v="354"/>
    <x v="25"/>
    <x v="5"/>
    <x v="60"/>
    <x v="0"/>
    <x v="10"/>
    <x v="20"/>
    <x v="22"/>
    <x v="10"/>
    <x v="82"/>
    <x v="121"/>
    <x v="19"/>
    <x v="4"/>
    <x v="3"/>
    <x v="0"/>
    <x v="4"/>
    <x v="3"/>
  </r>
  <r>
    <x v="1"/>
    <x v="355"/>
    <x v="4"/>
    <x v="5"/>
    <x v="20"/>
    <x v="7"/>
    <x v="22"/>
    <x v="68"/>
    <x v="49"/>
    <x v="68"/>
    <x v="70"/>
    <x v="69"/>
    <x v="22"/>
    <x v="4"/>
    <x v="3"/>
    <x v="0"/>
    <x v="4"/>
    <x v="3"/>
  </r>
  <r>
    <x v="1"/>
    <x v="356"/>
    <x v="86"/>
    <x v="5"/>
    <x v="67"/>
    <x v="1"/>
    <x v="22"/>
    <x v="70"/>
    <x v="142"/>
    <x v="70"/>
    <x v="15"/>
    <x v="6"/>
    <x v="24"/>
    <x v="4"/>
    <x v="3"/>
    <x v="0"/>
    <x v="4"/>
    <x v="3"/>
  </r>
  <r>
    <x v="1"/>
    <x v="760"/>
    <x v="93"/>
    <x v="5"/>
    <x v="77"/>
    <x v="3"/>
    <x v="17"/>
    <x v="114"/>
    <x v="66"/>
    <x v="118"/>
    <x v="32"/>
    <x v="104"/>
    <x v="27"/>
    <x v="4"/>
    <x v="3"/>
    <x v="0"/>
    <x v="4"/>
    <x v="3"/>
  </r>
  <r>
    <x v="1"/>
    <x v="357"/>
    <x v="46"/>
    <x v="5"/>
    <x v="76"/>
    <x v="0"/>
    <x v="16"/>
    <x v="23"/>
    <x v="108"/>
    <x v="31"/>
    <x v="51"/>
    <x v="158"/>
    <x v="29"/>
    <x v="4"/>
    <x v="3"/>
    <x v="0"/>
    <x v="4"/>
    <x v="3"/>
  </r>
  <r>
    <x v="1"/>
    <x v="358"/>
    <x v="11"/>
    <x v="5"/>
    <x v="95"/>
    <x v="0"/>
    <x v="22"/>
    <x v="94"/>
    <x v="127"/>
    <x v="120"/>
    <x v="83"/>
    <x v="167"/>
    <x v="34"/>
    <x v="4"/>
    <x v="3"/>
    <x v="0"/>
    <x v="4"/>
    <x v="3"/>
  </r>
  <r>
    <x v="1"/>
    <x v="359"/>
    <x v="74"/>
    <x v="5"/>
    <x v="85"/>
    <x v="0"/>
    <x v="17"/>
    <x v="18"/>
    <x v="52"/>
    <x v="13"/>
    <x v="92"/>
    <x v="31"/>
    <x v="38"/>
    <x v="4"/>
    <x v="3"/>
    <x v="0"/>
    <x v="4"/>
    <x v="3"/>
  </r>
  <r>
    <x v="1"/>
    <x v="360"/>
    <x v="12"/>
    <x v="5"/>
    <x v="5"/>
    <x v="1"/>
    <x v="22"/>
    <x v="42"/>
    <x v="145"/>
    <x v="37"/>
    <x v="22"/>
    <x v="33"/>
    <x v="40"/>
    <x v="4"/>
    <x v="3"/>
    <x v="0"/>
    <x v="4"/>
    <x v="3"/>
  </r>
  <r>
    <x v="1"/>
    <x v="361"/>
    <x v="24"/>
    <x v="5"/>
    <x v="52"/>
    <x v="0"/>
    <x v="22"/>
    <x v="105"/>
    <x v="54"/>
    <x v="92"/>
    <x v="39"/>
    <x v="112"/>
    <x v="45"/>
    <x v="4"/>
    <x v="3"/>
    <x v="0"/>
    <x v="4"/>
    <x v="3"/>
  </r>
  <r>
    <x v="1"/>
    <x v="362"/>
    <x v="79"/>
    <x v="5"/>
    <x v="94"/>
    <x v="0"/>
    <x v="19"/>
    <x v="43"/>
    <x v="115"/>
    <x v="39"/>
    <x v="78"/>
    <x v="73"/>
    <x v="47"/>
    <x v="4"/>
    <x v="3"/>
    <x v="0"/>
    <x v="4"/>
    <x v="3"/>
  </r>
  <r>
    <x v="1"/>
    <x v="363"/>
    <x v="13"/>
    <x v="5"/>
    <x v="64"/>
    <x v="3"/>
    <x v="22"/>
    <x v="6"/>
    <x v="80"/>
    <x v="8"/>
    <x v="28"/>
    <x v="83"/>
    <x v="48"/>
    <x v="4"/>
    <x v="3"/>
    <x v="0"/>
    <x v="4"/>
    <x v="3"/>
  </r>
  <r>
    <x v="1"/>
    <x v="364"/>
    <x v="34"/>
    <x v="5"/>
    <x v="54"/>
    <x v="0"/>
    <x v="15"/>
    <x v="46"/>
    <x v="109"/>
    <x v="127"/>
    <x v="0"/>
    <x v="117"/>
    <x v="49"/>
    <x v="4"/>
    <x v="3"/>
    <x v="0"/>
    <x v="4"/>
    <x v="3"/>
  </r>
  <r>
    <x v="1"/>
    <x v="365"/>
    <x v="3"/>
    <x v="5"/>
    <x v="8"/>
    <x v="0"/>
    <x v="10"/>
    <x v="22"/>
    <x v="140"/>
    <x v="17"/>
    <x v="57"/>
    <x v="141"/>
    <x v="53"/>
    <x v="4"/>
    <x v="3"/>
    <x v="0"/>
    <x v="4"/>
    <x v="3"/>
  </r>
  <r>
    <x v="1"/>
    <x v="366"/>
    <x v="64"/>
    <x v="5"/>
    <x v="21"/>
    <x v="0"/>
    <x v="10"/>
    <x v="112"/>
    <x v="34"/>
    <x v="114"/>
    <x v="56"/>
    <x v="140"/>
    <x v="56"/>
    <x v="4"/>
    <x v="3"/>
    <x v="0"/>
    <x v="4"/>
    <x v="3"/>
  </r>
  <r>
    <x v="1"/>
    <x v="367"/>
    <x v="10"/>
    <x v="5"/>
    <x v="12"/>
    <x v="1"/>
    <x v="22"/>
    <x v="37"/>
    <x v="7"/>
    <x v="27"/>
    <x v="86"/>
    <x v="177"/>
    <x v="57"/>
    <x v="4"/>
    <x v="3"/>
    <x v="0"/>
    <x v="4"/>
    <x v="3"/>
  </r>
  <r>
    <x v="1"/>
    <x v="368"/>
    <x v="33"/>
    <x v="5"/>
    <x v="31"/>
    <x v="1"/>
    <x v="10"/>
    <x v="145"/>
    <x v="55"/>
    <x v="147"/>
    <x v="77"/>
    <x v="160"/>
    <x v="59"/>
    <x v="4"/>
    <x v="3"/>
    <x v="0"/>
    <x v="4"/>
    <x v="3"/>
  </r>
  <r>
    <x v="1"/>
    <x v="369"/>
    <x v="75"/>
    <x v="5"/>
    <x v="71"/>
    <x v="5"/>
    <x v="12"/>
    <x v="29"/>
    <x v="134"/>
    <x v="30"/>
    <x v="93"/>
    <x v="2"/>
    <x v="63"/>
    <x v="4"/>
    <x v="3"/>
    <x v="0"/>
    <x v="4"/>
    <x v="3"/>
  </r>
  <r>
    <x v="1"/>
    <x v="761"/>
    <x v="58"/>
    <x v="5"/>
    <x v="75"/>
    <x v="9"/>
    <x v="13"/>
    <x v="78"/>
    <x v="33"/>
    <x v="107"/>
    <x v="53"/>
    <x v="68"/>
    <x v="66"/>
    <x v="4"/>
    <x v="3"/>
    <x v="0"/>
    <x v="4"/>
    <x v="3"/>
  </r>
  <r>
    <x v="1"/>
    <x v="370"/>
    <x v="38"/>
    <x v="5"/>
    <x v="84"/>
    <x v="0"/>
    <x v="22"/>
    <x v="122"/>
    <x v="47"/>
    <x v="48"/>
    <x v="40"/>
    <x v="114"/>
    <x v="71"/>
    <x v="4"/>
    <x v="3"/>
    <x v="0"/>
    <x v="4"/>
    <x v="3"/>
  </r>
  <r>
    <x v="1"/>
    <x v="371"/>
    <x v="59"/>
    <x v="5"/>
    <x v="70"/>
    <x v="1"/>
    <x v="10"/>
    <x v="0"/>
    <x v="0"/>
    <x v="109"/>
    <x v="62"/>
    <x v="151"/>
    <x v="77"/>
    <x v="4"/>
    <x v="3"/>
    <x v="0"/>
    <x v="4"/>
    <x v="3"/>
  </r>
  <r>
    <x v="1"/>
    <x v="372"/>
    <x v="67"/>
    <x v="5"/>
    <x v="9"/>
    <x v="1"/>
    <x v="17"/>
    <x v="10"/>
    <x v="5"/>
    <x v="21"/>
    <x v="7"/>
    <x v="20"/>
    <x v="80"/>
    <x v="4"/>
    <x v="3"/>
    <x v="0"/>
    <x v="4"/>
    <x v="3"/>
  </r>
  <r>
    <x v="1"/>
    <x v="373"/>
    <x v="48"/>
    <x v="5"/>
    <x v="13"/>
    <x v="0"/>
    <x v="10"/>
    <x v="88"/>
    <x v="62"/>
    <x v="83"/>
    <x v="74"/>
    <x v="15"/>
    <x v="86"/>
    <x v="4"/>
    <x v="3"/>
    <x v="0"/>
    <x v="4"/>
    <x v="3"/>
  </r>
  <r>
    <x v="1"/>
    <x v="374"/>
    <x v="95"/>
    <x v="5"/>
    <x v="33"/>
    <x v="0"/>
    <x v="17"/>
    <x v="128"/>
    <x v="20"/>
    <x v="126"/>
    <x v="29"/>
    <x v="85"/>
    <x v="90"/>
    <x v="4"/>
    <x v="3"/>
    <x v="0"/>
    <x v="4"/>
    <x v="3"/>
  </r>
  <r>
    <x v="1"/>
    <x v="375"/>
    <x v="14"/>
    <x v="5"/>
    <x v="50"/>
    <x v="0"/>
    <x v="13"/>
    <x v="137"/>
    <x v="103"/>
    <x v="138"/>
    <x v="4"/>
    <x v="96"/>
    <x v="91"/>
    <x v="4"/>
    <x v="3"/>
    <x v="0"/>
    <x v="4"/>
    <x v="3"/>
  </r>
  <r>
    <x v="1"/>
    <x v="376"/>
    <x v="88"/>
    <x v="5"/>
    <x v="45"/>
    <x v="0"/>
    <x v="17"/>
    <x v="38"/>
    <x v="56"/>
    <x v="33"/>
    <x v="37"/>
    <x v="90"/>
    <x v="93"/>
    <x v="4"/>
    <x v="3"/>
    <x v="0"/>
    <x v="4"/>
    <x v="3"/>
  </r>
  <r>
    <x v="1"/>
    <x v="377"/>
    <x v="68"/>
    <x v="5"/>
    <x v="17"/>
    <x v="1"/>
    <x v="22"/>
    <x v="28"/>
    <x v="82"/>
    <x v="29"/>
    <x v="2"/>
    <x v="9"/>
    <x v="94"/>
    <x v="4"/>
    <x v="3"/>
    <x v="0"/>
    <x v="4"/>
    <x v="3"/>
  </r>
  <r>
    <x v="1"/>
    <x v="378"/>
    <x v="50"/>
    <x v="5"/>
    <x v="68"/>
    <x v="0"/>
    <x v="22"/>
    <x v="81"/>
    <x v="97"/>
    <x v="78"/>
    <x v="28"/>
    <x v="83"/>
    <x v="95"/>
    <x v="4"/>
    <x v="3"/>
    <x v="0"/>
    <x v="4"/>
    <x v="3"/>
  </r>
  <r>
    <x v="1"/>
    <x v="379"/>
    <x v="84"/>
    <x v="5"/>
    <x v="72"/>
    <x v="0"/>
    <x v="22"/>
    <x v="119"/>
    <x v="88"/>
    <x v="122"/>
    <x v="17"/>
    <x v="46"/>
    <x v="36"/>
    <x v="4"/>
    <x v="3"/>
    <x v="0"/>
    <x v="4"/>
    <x v="3"/>
  </r>
  <r>
    <x v="1"/>
    <x v="380"/>
    <x v="39"/>
    <x v="5"/>
    <x v="57"/>
    <x v="0"/>
    <x v="22"/>
    <x v="16"/>
    <x v="121"/>
    <x v="14"/>
    <x v="64"/>
    <x v="76"/>
    <x v="96"/>
    <x v="4"/>
    <x v="3"/>
    <x v="0"/>
    <x v="4"/>
    <x v="3"/>
  </r>
  <r>
    <x v="1"/>
    <x v="791"/>
    <x v="98"/>
    <x v="11"/>
    <x v="97"/>
    <x v="22"/>
    <x v="23"/>
    <x v="148"/>
    <x v="149"/>
    <x v="148"/>
    <x v="97"/>
    <x v="185"/>
    <x v="96"/>
    <x v="9"/>
    <x v="3"/>
    <x v="0"/>
    <x v="4"/>
    <x v="3"/>
  </r>
  <r>
    <x v="1"/>
    <x v="381"/>
    <x v="78"/>
    <x v="11"/>
    <x v="41"/>
    <x v="4"/>
    <x v="22"/>
    <x v="106"/>
    <x v="123"/>
    <x v="101"/>
    <x v="16"/>
    <x v="45"/>
    <x v="76"/>
    <x v="3"/>
    <x v="3"/>
    <x v="0"/>
    <x v="4"/>
    <x v="3"/>
  </r>
  <r>
    <x v="1"/>
    <x v="382"/>
    <x v="42"/>
    <x v="11"/>
    <x v="81"/>
    <x v="0"/>
    <x v="22"/>
    <x v="54"/>
    <x v="16"/>
    <x v="57"/>
    <x v="89"/>
    <x v="173"/>
    <x v="83"/>
    <x v="3"/>
    <x v="3"/>
    <x v="0"/>
    <x v="4"/>
    <x v="3"/>
  </r>
  <r>
    <x v="1"/>
    <x v="383"/>
    <x v="77"/>
    <x v="11"/>
    <x v="78"/>
    <x v="2"/>
    <x v="21"/>
    <x v="51"/>
    <x v="89"/>
    <x v="50"/>
    <x v="79"/>
    <x v="77"/>
    <x v="0"/>
    <x v="3"/>
    <x v="3"/>
    <x v="0"/>
    <x v="4"/>
    <x v="3"/>
  </r>
  <r>
    <x v="1"/>
    <x v="384"/>
    <x v="90"/>
    <x v="11"/>
    <x v="87"/>
    <x v="0"/>
    <x v="6"/>
    <x v="90"/>
    <x v="21"/>
    <x v="93"/>
    <x v="23"/>
    <x v="65"/>
    <x v="3"/>
    <x v="3"/>
    <x v="3"/>
    <x v="0"/>
    <x v="4"/>
    <x v="3"/>
  </r>
  <r>
    <x v="1"/>
    <x v="385"/>
    <x v="89"/>
    <x v="11"/>
    <x v="66"/>
    <x v="0"/>
    <x v="17"/>
    <x v="39"/>
    <x v="98"/>
    <x v="34"/>
    <x v="36"/>
    <x v="108"/>
    <x v="11"/>
    <x v="3"/>
    <x v="3"/>
    <x v="0"/>
    <x v="4"/>
    <x v="3"/>
  </r>
  <r>
    <x v="1"/>
    <x v="386"/>
    <x v="41"/>
    <x v="11"/>
    <x v="22"/>
    <x v="0"/>
    <x v="22"/>
    <x v="30"/>
    <x v="147"/>
    <x v="0"/>
    <x v="76"/>
    <x v="8"/>
    <x v="16"/>
    <x v="3"/>
    <x v="3"/>
    <x v="0"/>
    <x v="4"/>
    <x v="3"/>
  </r>
  <r>
    <x v="1"/>
    <x v="387"/>
    <x v="36"/>
    <x v="11"/>
    <x v="40"/>
    <x v="0"/>
    <x v="22"/>
    <x v="89"/>
    <x v="78"/>
    <x v="84"/>
    <x v="10"/>
    <x v="35"/>
    <x v="17"/>
    <x v="3"/>
    <x v="3"/>
    <x v="0"/>
    <x v="4"/>
    <x v="3"/>
  </r>
  <r>
    <x v="1"/>
    <x v="388"/>
    <x v="97"/>
    <x v="11"/>
    <x v="15"/>
    <x v="0"/>
    <x v="22"/>
    <x v="103"/>
    <x v="117"/>
    <x v="91"/>
    <x v="21"/>
    <x v="55"/>
    <x v="20"/>
    <x v="3"/>
    <x v="3"/>
    <x v="0"/>
    <x v="4"/>
    <x v="3"/>
  </r>
  <r>
    <x v="1"/>
    <x v="389"/>
    <x v="4"/>
    <x v="11"/>
    <x v="20"/>
    <x v="1"/>
    <x v="22"/>
    <x v="68"/>
    <x v="49"/>
    <x v="68"/>
    <x v="70"/>
    <x v="69"/>
    <x v="22"/>
    <x v="3"/>
    <x v="3"/>
    <x v="0"/>
    <x v="4"/>
    <x v="3"/>
  </r>
  <r>
    <x v="1"/>
    <x v="762"/>
    <x v="93"/>
    <x v="11"/>
    <x v="77"/>
    <x v="3"/>
    <x v="17"/>
    <x v="115"/>
    <x v="67"/>
    <x v="119"/>
    <x v="32"/>
    <x v="103"/>
    <x v="27"/>
    <x v="3"/>
    <x v="3"/>
    <x v="0"/>
    <x v="4"/>
    <x v="3"/>
  </r>
  <r>
    <x v="1"/>
    <x v="390"/>
    <x v="46"/>
    <x v="11"/>
    <x v="76"/>
    <x v="3"/>
    <x v="16"/>
    <x v="23"/>
    <x v="108"/>
    <x v="31"/>
    <x v="51"/>
    <x v="158"/>
    <x v="29"/>
    <x v="3"/>
    <x v="3"/>
    <x v="0"/>
    <x v="4"/>
    <x v="3"/>
  </r>
  <r>
    <x v="1"/>
    <x v="391"/>
    <x v="57"/>
    <x v="11"/>
    <x v="79"/>
    <x v="0"/>
    <x v="22"/>
    <x v="126"/>
    <x v="95"/>
    <x v="132"/>
    <x v="60"/>
    <x v="163"/>
    <x v="35"/>
    <x v="3"/>
    <x v="3"/>
    <x v="0"/>
    <x v="4"/>
    <x v="3"/>
  </r>
  <r>
    <x v="1"/>
    <x v="392"/>
    <x v="74"/>
    <x v="11"/>
    <x v="85"/>
    <x v="0"/>
    <x v="17"/>
    <x v="18"/>
    <x v="52"/>
    <x v="13"/>
    <x v="92"/>
    <x v="36"/>
    <x v="38"/>
    <x v="3"/>
    <x v="3"/>
    <x v="0"/>
    <x v="4"/>
    <x v="3"/>
  </r>
  <r>
    <x v="1"/>
    <x v="393"/>
    <x v="12"/>
    <x v="11"/>
    <x v="5"/>
    <x v="0"/>
    <x v="22"/>
    <x v="42"/>
    <x v="145"/>
    <x v="37"/>
    <x v="22"/>
    <x v="33"/>
    <x v="40"/>
    <x v="3"/>
    <x v="3"/>
    <x v="0"/>
    <x v="4"/>
    <x v="3"/>
  </r>
  <r>
    <x v="1"/>
    <x v="394"/>
    <x v="24"/>
    <x v="11"/>
    <x v="52"/>
    <x v="1"/>
    <x v="22"/>
    <x v="105"/>
    <x v="54"/>
    <x v="92"/>
    <x v="39"/>
    <x v="112"/>
    <x v="45"/>
    <x v="3"/>
    <x v="3"/>
    <x v="0"/>
    <x v="4"/>
    <x v="3"/>
  </r>
  <r>
    <x v="1"/>
    <x v="395"/>
    <x v="34"/>
    <x v="11"/>
    <x v="54"/>
    <x v="0"/>
    <x v="15"/>
    <x v="46"/>
    <x v="109"/>
    <x v="127"/>
    <x v="0"/>
    <x v="117"/>
    <x v="49"/>
    <x v="3"/>
    <x v="3"/>
    <x v="0"/>
    <x v="4"/>
    <x v="3"/>
  </r>
  <r>
    <x v="1"/>
    <x v="396"/>
    <x v="61"/>
    <x v="11"/>
    <x v="96"/>
    <x v="0"/>
    <x v="22"/>
    <x v="111"/>
    <x v="74"/>
    <x v="113"/>
    <x v="25"/>
    <x v="75"/>
    <x v="51"/>
    <x v="3"/>
    <x v="3"/>
    <x v="0"/>
    <x v="4"/>
    <x v="3"/>
  </r>
  <r>
    <x v="1"/>
    <x v="397"/>
    <x v="64"/>
    <x v="11"/>
    <x v="21"/>
    <x v="0"/>
    <x v="10"/>
    <x v="112"/>
    <x v="34"/>
    <x v="114"/>
    <x v="56"/>
    <x v="140"/>
    <x v="56"/>
    <x v="3"/>
    <x v="3"/>
    <x v="0"/>
    <x v="4"/>
    <x v="3"/>
  </r>
  <r>
    <x v="1"/>
    <x v="398"/>
    <x v="33"/>
    <x v="11"/>
    <x v="31"/>
    <x v="0"/>
    <x v="10"/>
    <x v="145"/>
    <x v="55"/>
    <x v="147"/>
    <x v="77"/>
    <x v="160"/>
    <x v="59"/>
    <x v="3"/>
    <x v="3"/>
    <x v="0"/>
    <x v="4"/>
    <x v="3"/>
  </r>
  <r>
    <x v="1"/>
    <x v="399"/>
    <x v="83"/>
    <x v="11"/>
    <x v="73"/>
    <x v="4"/>
    <x v="7"/>
    <x v="19"/>
    <x v="38"/>
    <x v="12"/>
    <x v="54"/>
    <x v="169"/>
    <x v="60"/>
    <x v="3"/>
    <x v="3"/>
    <x v="0"/>
    <x v="4"/>
    <x v="3"/>
  </r>
  <r>
    <x v="1"/>
    <x v="400"/>
    <x v="75"/>
    <x v="11"/>
    <x v="71"/>
    <x v="2"/>
    <x v="12"/>
    <x v="29"/>
    <x v="134"/>
    <x v="30"/>
    <x v="93"/>
    <x v="2"/>
    <x v="63"/>
    <x v="3"/>
    <x v="3"/>
    <x v="0"/>
    <x v="4"/>
    <x v="3"/>
  </r>
  <r>
    <x v="1"/>
    <x v="401"/>
    <x v="58"/>
    <x v="11"/>
    <x v="75"/>
    <x v="3"/>
    <x v="13"/>
    <x v="95"/>
    <x v="24"/>
    <x v="85"/>
    <x v="53"/>
    <x v="91"/>
    <x v="66"/>
    <x v="3"/>
    <x v="3"/>
    <x v="0"/>
    <x v="4"/>
    <x v="3"/>
  </r>
  <r>
    <x v="1"/>
    <x v="402"/>
    <x v="16"/>
    <x v="11"/>
    <x v="69"/>
    <x v="4"/>
    <x v="22"/>
    <x v="27"/>
    <x v="42"/>
    <x v="22"/>
    <x v="11"/>
    <x v="38"/>
    <x v="67"/>
    <x v="3"/>
    <x v="3"/>
    <x v="0"/>
    <x v="4"/>
    <x v="3"/>
  </r>
  <r>
    <x v="1"/>
    <x v="403"/>
    <x v="59"/>
    <x v="11"/>
    <x v="70"/>
    <x v="0"/>
    <x v="10"/>
    <x v="0"/>
    <x v="0"/>
    <x v="109"/>
    <x v="62"/>
    <x v="151"/>
    <x v="77"/>
    <x v="3"/>
    <x v="3"/>
    <x v="0"/>
    <x v="4"/>
    <x v="3"/>
  </r>
  <r>
    <x v="1"/>
    <x v="404"/>
    <x v="67"/>
    <x v="11"/>
    <x v="9"/>
    <x v="0"/>
    <x v="17"/>
    <x v="10"/>
    <x v="5"/>
    <x v="21"/>
    <x v="7"/>
    <x v="20"/>
    <x v="80"/>
    <x v="3"/>
    <x v="3"/>
    <x v="0"/>
    <x v="4"/>
    <x v="3"/>
  </r>
  <r>
    <x v="1"/>
    <x v="405"/>
    <x v="28"/>
    <x v="11"/>
    <x v="37"/>
    <x v="0"/>
    <x v="13"/>
    <x v="41"/>
    <x v="76"/>
    <x v="38"/>
    <x v="81"/>
    <x v="162"/>
    <x v="85"/>
    <x v="3"/>
    <x v="3"/>
    <x v="0"/>
    <x v="4"/>
    <x v="3"/>
  </r>
  <r>
    <x v="1"/>
    <x v="406"/>
    <x v="48"/>
    <x v="11"/>
    <x v="13"/>
    <x v="1"/>
    <x v="10"/>
    <x v="88"/>
    <x v="62"/>
    <x v="83"/>
    <x v="74"/>
    <x v="15"/>
    <x v="86"/>
    <x v="3"/>
    <x v="3"/>
    <x v="0"/>
    <x v="4"/>
    <x v="3"/>
  </r>
  <r>
    <x v="1"/>
    <x v="407"/>
    <x v="95"/>
    <x v="11"/>
    <x v="33"/>
    <x v="0"/>
    <x v="17"/>
    <x v="128"/>
    <x v="20"/>
    <x v="126"/>
    <x v="29"/>
    <x v="85"/>
    <x v="90"/>
    <x v="3"/>
    <x v="3"/>
    <x v="0"/>
    <x v="4"/>
    <x v="3"/>
  </r>
  <r>
    <x v="1"/>
    <x v="408"/>
    <x v="88"/>
    <x v="11"/>
    <x v="45"/>
    <x v="0"/>
    <x v="17"/>
    <x v="38"/>
    <x v="56"/>
    <x v="33"/>
    <x v="37"/>
    <x v="90"/>
    <x v="93"/>
    <x v="3"/>
    <x v="3"/>
    <x v="0"/>
    <x v="4"/>
    <x v="3"/>
  </r>
  <r>
    <x v="1"/>
    <x v="409"/>
    <x v="50"/>
    <x v="11"/>
    <x v="68"/>
    <x v="0"/>
    <x v="22"/>
    <x v="81"/>
    <x v="97"/>
    <x v="78"/>
    <x v="28"/>
    <x v="83"/>
    <x v="95"/>
    <x v="3"/>
    <x v="3"/>
    <x v="0"/>
    <x v="4"/>
    <x v="3"/>
  </r>
  <r>
    <x v="1"/>
    <x v="410"/>
    <x v="52"/>
    <x v="11"/>
    <x v="55"/>
    <x v="0"/>
    <x v="22"/>
    <x v="34"/>
    <x v="120"/>
    <x v="35"/>
    <x v="1"/>
    <x v="4"/>
    <x v="33"/>
    <x v="3"/>
    <x v="3"/>
    <x v="0"/>
    <x v="4"/>
    <x v="3"/>
  </r>
  <r>
    <x v="1"/>
    <x v="791"/>
    <x v="98"/>
    <x v="7"/>
    <x v="97"/>
    <x v="25"/>
    <x v="23"/>
    <x v="148"/>
    <x v="149"/>
    <x v="148"/>
    <x v="97"/>
    <x v="185"/>
    <x v="96"/>
    <x v="9"/>
    <x v="3"/>
    <x v="0"/>
    <x v="2"/>
    <x v="3"/>
  </r>
  <r>
    <x v="1"/>
    <x v="763"/>
    <x v="82"/>
    <x v="7"/>
    <x v="74"/>
    <x v="6"/>
    <x v="2"/>
    <x v="132"/>
    <x v="83"/>
    <x v="131"/>
    <x v="5"/>
    <x v="11"/>
    <x v="2"/>
    <x v="6"/>
    <x v="3"/>
    <x v="0"/>
    <x v="2"/>
    <x v="2"/>
  </r>
  <r>
    <x v="1"/>
    <x v="411"/>
    <x v="77"/>
    <x v="7"/>
    <x v="78"/>
    <x v="0"/>
    <x v="21"/>
    <x v="51"/>
    <x v="89"/>
    <x v="50"/>
    <x v="79"/>
    <x v="77"/>
    <x v="0"/>
    <x v="4"/>
    <x v="3"/>
    <x v="0"/>
    <x v="2"/>
    <x v="2"/>
  </r>
  <r>
    <x v="1"/>
    <x v="412"/>
    <x v="1"/>
    <x v="7"/>
    <x v="30"/>
    <x v="0"/>
    <x v="22"/>
    <x v="98"/>
    <x v="114"/>
    <x v="88"/>
    <x v="65"/>
    <x v="21"/>
    <x v="4"/>
    <x v="4"/>
    <x v="3"/>
    <x v="0"/>
    <x v="2"/>
    <x v="2"/>
  </r>
  <r>
    <x v="0"/>
    <x v="413"/>
    <x v="70"/>
    <x v="7"/>
    <x v="89"/>
    <x v="2"/>
    <x v="8"/>
    <x v="131"/>
    <x v="59"/>
    <x v="130"/>
    <x v="42"/>
    <x v="116"/>
    <x v="7"/>
    <x v="2"/>
    <x v="3"/>
    <x v="0"/>
    <x v="2"/>
    <x v="1"/>
  </r>
  <r>
    <x v="1"/>
    <x v="414"/>
    <x v="81"/>
    <x v="7"/>
    <x v="56"/>
    <x v="4"/>
    <x v="22"/>
    <x v="116"/>
    <x v="75"/>
    <x v="121"/>
    <x v="59"/>
    <x v="144"/>
    <x v="8"/>
    <x v="4"/>
    <x v="3"/>
    <x v="0"/>
    <x v="2"/>
    <x v="2"/>
  </r>
  <r>
    <x v="1"/>
    <x v="415"/>
    <x v="87"/>
    <x v="7"/>
    <x v="59"/>
    <x v="1"/>
    <x v="17"/>
    <x v="121"/>
    <x v="30"/>
    <x v="124"/>
    <x v="38"/>
    <x v="111"/>
    <x v="14"/>
    <x v="2"/>
    <x v="3"/>
    <x v="0"/>
    <x v="2"/>
    <x v="1"/>
  </r>
  <r>
    <x v="1"/>
    <x v="416"/>
    <x v="25"/>
    <x v="7"/>
    <x v="60"/>
    <x v="0"/>
    <x v="10"/>
    <x v="20"/>
    <x v="22"/>
    <x v="10"/>
    <x v="82"/>
    <x v="120"/>
    <x v="19"/>
    <x v="4"/>
    <x v="3"/>
    <x v="0"/>
    <x v="2"/>
    <x v="2"/>
  </r>
  <r>
    <x v="0"/>
    <x v="764"/>
    <x v="18"/>
    <x v="7"/>
    <x v="7"/>
    <x v="0"/>
    <x v="22"/>
    <x v="35"/>
    <x v="111"/>
    <x v="26"/>
    <x v="55"/>
    <x v="138"/>
    <x v="21"/>
    <x v="2"/>
    <x v="3"/>
    <x v="0"/>
    <x v="2"/>
    <x v="1"/>
  </r>
  <r>
    <x v="1"/>
    <x v="765"/>
    <x v="18"/>
    <x v="7"/>
    <x v="7"/>
    <x v="8"/>
    <x v="22"/>
    <x v="35"/>
    <x v="111"/>
    <x v="26"/>
    <x v="55"/>
    <x v="138"/>
    <x v="21"/>
    <x v="4"/>
    <x v="3"/>
    <x v="0"/>
    <x v="2"/>
    <x v="1"/>
  </r>
  <r>
    <x v="1"/>
    <x v="417"/>
    <x v="86"/>
    <x v="7"/>
    <x v="67"/>
    <x v="1"/>
    <x v="22"/>
    <x v="33"/>
    <x v="148"/>
    <x v="25"/>
    <x v="15"/>
    <x v="43"/>
    <x v="24"/>
    <x v="4"/>
    <x v="3"/>
    <x v="0"/>
    <x v="2"/>
    <x v="2"/>
  </r>
  <r>
    <x v="1"/>
    <x v="418"/>
    <x v="46"/>
    <x v="7"/>
    <x v="76"/>
    <x v="0"/>
    <x v="16"/>
    <x v="23"/>
    <x v="108"/>
    <x v="31"/>
    <x v="51"/>
    <x v="72"/>
    <x v="29"/>
    <x v="4"/>
    <x v="3"/>
    <x v="0"/>
    <x v="2"/>
    <x v="2"/>
  </r>
  <r>
    <x v="1"/>
    <x v="766"/>
    <x v="17"/>
    <x v="7"/>
    <x v="63"/>
    <x v="4"/>
    <x v="22"/>
    <x v="69"/>
    <x v="43"/>
    <x v="69"/>
    <x v="60"/>
    <x v="70"/>
    <x v="37"/>
    <x v="2"/>
    <x v="3"/>
    <x v="0"/>
    <x v="2"/>
    <x v="2"/>
  </r>
  <r>
    <x v="1"/>
    <x v="419"/>
    <x v="34"/>
    <x v="7"/>
    <x v="54"/>
    <x v="0"/>
    <x v="15"/>
    <x v="46"/>
    <x v="109"/>
    <x v="127"/>
    <x v="0"/>
    <x v="117"/>
    <x v="49"/>
    <x v="4"/>
    <x v="3"/>
    <x v="0"/>
    <x v="2"/>
    <x v="1"/>
  </r>
  <r>
    <x v="1"/>
    <x v="420"/>
    <x v="72"/>
    <x v="7"/>
    <x v="47"/>
    <x v="0"/>
    <x v="17"/>
    <x v="11"/>
    <x v="9"/>
    <x v="6"/>
    <x v="50"/>
    <x v="127"/>
    <x v="58"/>
    <x v="4"/>
    <x v="3"/>
    <x v="0"/>
    <x v="2"/>
    <x v="1"/>
  </r>
  <r>
    <x v="1"/>
    <x v="767"/>
    <x v="83"/>
    <x v="7"/>
    <x v="73"/>
    <x v="7"/>
    <x v="7"/>
    <x v="110"/>
    <x v="136"/>
    <x v="105"/>
    <x v="54"/>
    <x v="135"/>
    <x v="60"/>
    <x v="4"/>
    <x v="3"/>
    <x v="0"/>
    <x v="2"/>
    <x v="2"/>
  </r>
  <r>
    <x v="1"/>
    <x v="768"/>
    <x v="58"/>
    <x v="7"/>
    <x v="75"/>
    <x v="2"/>
    <x v="13"/>
    <x v="26"/>
    <x v="27"/>
    <x v="20"/>
    <x v="53"/>
    <x v="95"/>
    <x v="66"/>
    <x v="4"/>
    <x v="3"/>
    <x v="0"/>
    <x v="2"/>
    <x v="1"/>
  </r>
  <r>
    <x v="1"/>
    <x v="421"/>
    <x v="16"/>
    <x v="7"/>
    <x v="69"/>
    <x v="0"/>
    <x v="22"/>
    <x v="27"/>
    <x v="42"/>
    <x v="22"/>
    <x v="11"/>
    <x v="38"/>
    <x v="67"/>
    <x v="4"/>
    <x v="3"/>
    <x v="0"/>
    <x v="2"/>
    <x v="2"/>
  </r>
  <r>
    <x v="1"/>
    <x v="422"/>
    <x v="40"/>
    <x v="7"/>
    <x v="32"/>
    <x v="7"/>
    <x v="13"/>
    <x v="17"/>
    <x v="81"/>
    <x v="15"/>
    <x v="48"/>
    <x v="125"/>
    <x v="68"/>
    <x v="2"/>
    <x v="3"/>
    <x v="0"/>
    <x v="2"/>
    <x v="2"/>
  </r>
  <r>
    <x v="1"/>
    <x v="423"/>
    <x v="26"/>
    <x v="7"/>
    <x v="58"/>
    <x v="0"/>
    <x v="13"/>
    <x v="61"/>
    <x v="63"/>
    <x v="61"/>
    <x v="45"/>
    <x v="122"/>
    <x v="74"/>
    <x v="4"/>
    <x v="3"/>
    <x v="0"/>
    <x v="2"/>
    <x v="2"/>
  </r>
  <r>
    <x v="1"/>
    <x v="424"/>
    <x v="59"/>
    <x v="7"/>
    <x v="70"/>
    <x v="0"/>
    <x v="10"/>
    <x v="134"/>
    <x v="3"/>
    <x v="141"/>
    <x v="62"/>
    <x v="16"/>
    <x v="77"/>
    <x v="4"/>
    <x v="3"/>
    <x v="0"/>
    <x v="2"/>
    <x v="1"/>
  </r>
  <r>
    <x v="1"/>
    <x v="425"/>
    <x v="94"/>
    <x v="7"/>
    <x v="26"/>
    <x v="0"/>
    <x v="10"/>
    <x v="9"/>
    <x v="36"/>
    <x v="5"/>
    <x v="6"/>
    <x v="19"/>
    <x v="79"/>
    <x v="4"/>
    <x v="3"/>
    <x v="0"/>
    <x v="2"/>
    <x v="1"/>
  </r>
  <r>
    <x v="1"/>
    <x v="769"/>
    <x v="48"/>
    <x v="7"/>
    <x v="13"/>
    <x v="2"/>
    <x v="10"/>
    <x v="88"/>
    <x v="62"/>
    <x v="83"/>
    <x v="74"/>
    <x v="61"/>
    <x v="86"/>
    <x v="2"/>
    <x v="3"/>
    <x v="0"/>
    <x v="2"/>
    <x v="1"/>
  </r>
  <r>
    <x v="1"/>
    <x v="770"/>
    <x v="55"/>
    <x v="7"/>
    <x v="2"/>
    <x v="5"/>
    <x v="22"/>
    <x v="45"/>
    <x v="125"/>
    <x v="41"/>
    <x v="18"/>
    <x v="48"/>
    <x v="87"/>
    <x v="4"/>
    <x v="3"/>
    <x v="0"/>
    <x v="2"/>
    <x v="2"/>
  </r>
  <r>
    <x v="1"/>
    <x v="426"/>
    <x v="65"/>
    <x v="7"/>
    <x v="83"/>
    <x v="0"/>
    <x v="13"/>
    <x v="25"/>
    <x v="138"/>
    <x v="19"/>
    <x v="49"/>
    <x v="126"/>
    <x v="89"/>
    <x v="4"/>
    <x v="3"/>
    <x v="0"/>
    <x v="2"/>
    <x v="2"/>
  </r>
  <r>
    <x v="1"/>
    <x v="427"/>
    <x v="50"/>
    <x v="7"/>
    <x v="68"/>
    <x v="0"/>
    <x v="22"/>
    <x v="81"/>
    <x v="97"/>
    <x v="78"/>
    <x v="28"/>
    <x v="83"/>
    <x v="95"/>
    <x v="4"/>
    <x v="3"/>
    <x v="0"/>
    <x v="2"/>
    <x v="2"/>
  </r>
  <r>
    <x v="1"/>
    <x v="791"/>
    <x v="98"/>
    <x v="8"/>
    <x v="97"/>
    <x v="33"/>
    <x v="23"/>
    <x v="148"/>
    <x v="149"/>
    <x v="148"/>
    <x v="97"/>
    <x v="185"/>
    <x v="96"/>
    <x v="9"/>
    <x v="3"/>
    <x v="0"/>
    <x v="1"/>
    <x v="3"/>
  </r>
  <r>
    <x v="1"/>
    <x v="428"/>
    <x v="15"/>
    <x v="8"/>
    <x v="51"/>
    <x v="3"/>
    <x v="17"/>
    <x v="21"/>
    <x v="51"/>
    <x v="42"/>
    <x v="44"/>
    <x v="119"/>
    <x v="25"/>
    <x v="5"/>
    <x v="2"/>
    <x v="0"/>
    <x v="1"/>
    <x v="1"/>
  </r>
  <r>
    <x v="1"/>
    <x v="429"/>
    <x v="92"/>
    <x v="8"/>
    <x v="39"/>
    <x v="1"/>
    <x v="10"/>
    <x v="66"/>
    <x v="139"/>
    <x v="67"/>
    <x v="85"/>
    <x v="168"/>
    <x v="39"/>
    <x v="5"/>
    <x v="2"/>
    <x v="0"/>
    <x v="1"/>
    <x v="2"/>
  </r>
  <r>
    <x v="0"/>
    <x v="430"/>
    <x v="78"/>
    <x v="8"/>
    <x v="41"/>
    <x v="2"/>
    <x v="22"/>
    <x v="106"/>
    <x v="123"/>
    <x v="101"/>
    <x v="16"/>
    <x v="45"/>
    <x v="76"/>
    <x v="2"/>
    <x v="1"/>
    <x v="0"/>
    <x v="1"/>
    <x v="1"/>
  </r>
  <r>
    <x v="0"/>
    <x v="431"/>
    <x v="42"/>
    <x v="8"/>
    <x v="81"/>
    <x v="1"/>
    <x v="22"/>
    <x v="49"/>
    <x v="8"/>
    <x v="46"/>
    <x v="89"/>
    <x v="41"/>
    <x v="83"/>
    <x v="2"/>
    <x v="1"/>
    <x v="0"/>
    <x v="1"/>
    <x v="1"/>
  </r>
  <r>
    <x v="1"/>
    <x v="432"/>
    <x v="77"/>
    <x v="8"/>
    <x v="78"/>
    <x v="1"/>
    <x v="21"/>
    <x v="60"/>
    <x v="106"/>
    <x v="44"/>
    <x v="79"/>
    <x v="25"/>
    <x v="0"/>
    <x v="2"/>
    <x v="1"/>
    <x v="0"/>
    <x v="1"/>
    <x v="2"/>
  </r>
  <r>
    <x v="1"/>
    <x v="433"/>
    <x v="90"/>
    <x v="8"/>
    <x v="87"/>
    <x v="0"/>
    <x v="6"/>
    <x v="90"/>
    <x v="21"/>
    <x v="93"/>
    <x v="23"/>
    <x v="65"/>
    <x v="3"/>
    <x v="5"/>
    <x v="2"/>
    <x v="0"/>
    <x v="1"/>
    <x v="1"/>
  </r>
  <r>
    <x v="0"/>
    <x v="434"/>
    <x v="1"/>
    <x v="8"/>
    <x v="30"/>
    <x v="0"/>
    <x v="22"/>
    <x v="98"/>
    <x v="114"/>
    <x v="88"/>
    <x v="65"/>
    <x v="21"/>
    <x v="4"/>
    <x v="2"/>
    <x v="1"/>
    <x v="0"/>
    <x v="1"/>
    <x v="2"/>
  </r>
  <r>
    <x v="1"/>
    <x v="435"/>
    <x v="47"/>
    <x v="8"/>
    <x v="36"/>
    <x v="0"/>
    <x v="18"/>
    <x v="31"/>
    <x v="41"/>
    <x v="23"/>
    <x v="13"/>
    <x v="40"/>
    <x v="5"/>
    <x v="5"/>
    <x v="2"/>
    <x v="0"/>
    <x v="1"/>
    <x v="1"/>
  </r>
  <r>
    <x v="1"/>
    <x v="436"/>
    <x v="70"/>
    <x v="8"/>
    <x v="89"/>
    <x v="0"/>
    <x v="8"/>
    <x v="131"/>
    <x v="59"/>
    <x v="130"/>
    <x v="42"/>
    <x v="116"/>
    <x v="7"/>
    <x v="5"/>
    <x v="2"/>
    <x v="0"/>
    <x v="1"/>
    <x v="1"/>
  </r>
  <r>
    <x v="1"/>
    <x v="437"/>
    <x v="85"/>
    <x v="8"/>
    <x v="29"/>
    <x v="1"/>
    <x v="13"/>
    <x v="141"/>
    <x v="29"/>
    <x v="143"/>
    <x v="87"/>
    <x v="170"/>
    <x v="9"/>
    <x v="5"/>
    <x v="2"/>
    <x v="0"/>
    <x v="1"/>
    <x v="2"/>
  </r>
  <r>
    <x v="1"/>
    <x v="438"/>
    <x v="89"/>
    <x v="8"/>
    <x v="66"/>
    <x v="0"/>
    <x v="17"/>
    <x v="39"/>
    <x v="98"/>
    <x v="34"/>
    <x v="36"/>
    <x v="108"/>
    <x v="11"/>
    <x v="5"/>
    <x v="2"/>
    <x v="0"/>
    <x v="1"/>
    <x v="1"/>
  </r>
  <r>
    <x v="1"/>
    <x v="439"/>
    <x v="87"/>
    <x v="8"/>
    <x v="59"/>
    <x v="4"/>
    <x v="17"/>
    <x v="121"/>
    <x v="30"/>
    <x v="124"/>
    <x v="38"/>
    <x v="111"/>
    <x v="14"/>
    <x v="5"/>
    <x v="2"/>
    <x v="0"/>
    <x v="1"/>
    <x v="1"/>
  </r>
  <r>
    <x v="0"/>
    <x v="440"/>
    <x v="41"/>
    <x v="8"/>
    <x v="22"/>
    <x v="0"/>
    <x v="22"/>
    <x v="30"/>
    <x v="147"/>
    <x v="0"/>
    <x v="76"/>
    <x v="8"/>
    <x v="16"/>
    <x v="2"/>
    <x v="1"/>
    <x v="0"/>
    <x v="1"/>
    <x v="1"/>
  </r>
  <r>
    <x v="1"/>
    <x v="441"/>
    <x v="66"/>
    <x v="8"/>
    <x v="10"/>
    <x v="5"/>
    <x v="13"/>
    <x v="136"/>
    <x v="45"/>
    <x v="137"/>
    <x v="19"/>
    <x v="49"/>
    <x v="18"/>
    <x v="5"/>
    <x v="2"/>
    <x v="0"/>
    <x v="1"/>
    <x v="2"/>
  </r>
  <r>
    <x v="1"/>
    <x v="442"/>
    <x v="25"/>
    <x v="8"/>
    <x v="60"/>
    <x v="0"/>
    <x v="10"/>
    <x v="20"/>
    <x v="22"/>
    <x v="10"/>
    <x v="82"/>
    <x v="120"/>
    <x v="19"/>
    <x v="5"/>
    <x v="2"/>
    <x v="0"/>
    <x v="1"/>
    <x v="2"/>
  </r>
  <r>
    <x v="0"/>
    <x v="443"/>
    <x v="51"/>
    <x v="8"/>
    <x v="15"/>
    <x v="0"/>
    <x v="22"/>
    <x v="103"/>
    <x v="117"/>
    <x v="91"/>
    <x v="21"/>
    <x v="55"/>
    <x v="20"/>
    <x v="2"/>
    <x v="1"/>
    <x v="0"/>
    <x v="1"/>
    <x v="1"/>
  </r>
  <r>
    <x v="0"/>
    <x v="444"/>
    <x v="18"/>
    <x v="8"/>
    <x v="7"/>
    <x v="7"/>
    <x v="22"/>
    <x v="35"/>
    <x v="111"/>
    <x v="26"/>
    <x v="55"/>
    <x v="138"/>
    <x v="21"/>
    <x v="2"/>
    <x v="1"/>
    <x v="0"/>
    <x v="1"/>
    <x v="1"/>
  </r>
  <r>
    <x v="1"/>
    <x v="445"/>
    <x v="76"/>
    <x v="8"/>
    <x v="28"/>
    <x v="4"/>
    <x v="10"/>
    <x v="71"/>
    <x v="130"/>
    <x v="65"/>
    <x v="68"/>
    <x v="14"/>
    <x v="23"/>
    <x v="5"/>
    <x v="2"/>
    <x v="0"/>
    <x v="1"/>
    <x v="2"/>
  </r>
  <r>
    <x v="1"/>
    <x v="446"/>
    <x v="86"/>
    <x v="8"/>
    <x v="67"/>
    <x v="0"/>
    <x v="22"/>
    <x v="33"/>
    <x v="148"/>
    <x v="25"/>
    <x v="15"/>
    <x v="43"/>
    <x v="24"/>
    <x v="5"/>
    <x v="2"/>
    <x v="0"/>
    <x v="1"/>
    <x v="2"/>
  </r>
  <r>
    <x v="1"/>
    <x v="771"/>
    <x v="93"/>
    <x v="8"/>
    <x v="77"/>
    <x v="11"/>
    <x v="17"/>
    <x v="92"/>
    <x v="85"/>
    <x v="95"/>
    <x v="32"/>
    <x v="110"/>
    <x v="27"/>
    <x v="5"/>
    <x v="2"/>
    <x v="0"/>
    <x v="1"/>
    <x v="1"/>
  </r>
  <r>
    <x v="1"/>
    <x v="447"/>
    <x v="46"/>
    <x v="8"/>
    <x v="76"/>
    <x v="5"/>
    <x v="16"/>
    <x v="23"/>
    <x v="108"/>
    <x v="31"/>
    <x v="51"/>
    <x v="137"/>
    <x v="29"/>
    <x v="5"/>
    <x v="2"/>
    <x v="0"/>
    <x v="1"/>
    <x v="2"/>
  </r>
  <r>
    <x v="0"/>
    <x v="448"/>
    <x v="69"/>
    <x v="8"/>
    <x v="6"/>
    <x v="0"/>
    <x v="22"/>
    <x v="50"/>
    <x v="19"/>
    <x v="56"/>
    <x v="3"/>
    <x v="181"/>
    <x v="30"/>
    <x v="2"/>
    <x v="1"/>
    <x v="0"/>
    <x v="1"/>
    <x v="1"/>
  </r>
  <r>
    <x v="1"/>
    <x v="449"/>
    <x v="57"/>
    <x v="8"/>
    <x v="79"/>
    <x v="0"/>
    <x v="22"/>
    <x v="85"/>
    <x v="50"/>
    <x v="81"/>
    <x v="60"/>
    <x v="23"/>
    <x v="35"/>
    <x v="5"/>
    <x v="2"/>
    <x v="0"/>
    <x v="1"/>
    <x v="2"/>
  </r>
  <r>
    <x v="1"/>
    <x v="772"/>
    <x v="74"/>
    <x v="8"/>
    <x v="85"/>
    <x v="1"/>
    <x v="17"/>
    <x v="18"/>
    <x v="52"/>
    <x v="13"/>
    <x v="92"/>
    <x v="182"/>
    <x v="38"/>
    <x v="5"/>
    <x v="2"/>
    <x v="0"/>
    <x v="1"/>
    <x v="1"/>
  </r>
  <r>
    <x v="0"/>
    <x v="450"/>
    <x v="12"/>
    <x v="8"/>
    <x v="5"/>
    <x v="0"/>
    <x v="22"/>
    <x v="42"/>
    <x v="145"/>
    <x v="37"/>
    <x v="22"/>
    <x v="33"/>
    <x v="40"/>
    <x v="2"/>
    <x v="1"/>
    <x v="0"/>
    <x v="1"/>
    <x v="2"/>
  </r>
  <r>
    <x v="0"/>
    <x v="451"/>
    <x v="31"/>
    <x v="8"/>
    <x v="82"/>
    <x v="1"/>
    <x v="22"/>
    <x v="129"/>
    <x v="87"/>
    <x v="28"/>
    <x v="30"/>
    <x v="87"/>
    <x v="42"/>
    <x v="2"/>
    <x v="1"/>
    <x v="0"/>
    <x v="1"/>
    <x v="2"/>
  </r>
  <r>
    <x v="1"/>
    <x v="452"/>
    <x v="20"/>
    <x v="8"/>
    <x v="80"/>
    <x v="0"/>
    <x v="13"/>
    <x v="24"/>
    <x v="92"/>
    <x v="18"/>
    <x v="91"/>
    <x v="179"/>
    <x v="46"/>
    <x v="5"/>
    <x v="2"/>
    <x v="0"/>
    <x v="1"/>
    <x v="2"/>
  </r>
  <r>
    <x v="0"/>
    <x v="453"/>
    <x v="56"/>
    <x v="8"/>
    <x v="1"/>
    <x v="0"/>
    <x v="22"/>
    <x v="59"/>
    <x v="110"/>
    <x v="55"/>
    <x v="61"/>
    <x v="34"/>
    <x v="52"/>
    <x v="2"/>
    <x v="1"/>
    <x v="0"/>
    <x v="1"/>
    <x v="2"/>
  </r>
  <r>
    <x v="1"/>
    <x v="454"/>
    <x v="3"/>
    <x v="8"/>
    <x v="8"/>
    <x v="2"/>
    <x v="10"/>
    <x v="22"/>
    <x v="140"/>
    <x v="17"/>
    <x v="57"/>
    <x v="141"/>
    <x v="53"/>
    <x v="5"/>
    <x v="2"/>
    <x v="0"/>
    <x v="1"/>
    <x v="1"/>
  </r>
  <r>
    <x v="1"/>
    <x v="455"/>
    <x v="43"/>
    <x v="8"/>
    <x v="3"/>
    <x v="1"/>
    <x v="13"/>
    <x v="5"/>
    <x v="124"/>
    <x v="2"/>
    <x v="43"/>
    <x v="118"/>
    <x v="55"/>
    <x v="5"/>
    <x v="2"/>
    <x v="0"/>
    <x v="1"/>
    <x v="2"/>
  </r>
  <r>
    <x v="1"/>
    <x v="456"/>
    <x v="64"/>
    <x v="8"/>
    <x v="21"/>
    <x v="1"/>
    <x v="10"/>
    <x v="112"/>
    <x v="34"/>
    <x v="114"/>
    <x v="56"/>
    <x v="140"/>
    <x v="56"/>
    <x v="5"/>
    <x v="2"/>
    <x v="0"/>
    <x v="1"/>
    <x v="1"/>
  </r>
  <r>
    <x v="0"/>
    <x v="457"/>
    <x v="10"/>
    <x v="8"/>
    <x v="12"/>
    <x v="0"/>
    <x v="22"/>
    <x v="37"/>
    <x v="7"/>
    <x v="27"/>
    <x v="86"/>
    <x v="177"/>
    <x v="57"/>
    <x v="2"/>
    <x v="1"/>
    <x v="0"/>
    <x v="1"/>
    <x v="2"/>
  </r>
  <r>
    <x v="1"/>
    <x v="458"/>
    <x v="33"/>
    <x v="8"/>
    <x v="31"/>
    <x v="2"/>
    <x v="10"/>
    <x v="145"/>
    <x v="55"/>
    <x v="147"/>
    <x v="77"/>
    <x v="160"/>
    <x v="59"/>
    <x v="5"/>
    <x v="2"/>
    <x v="0"/>
    <x v="1"/>
    <x v="2"/>
  </r>
  <r>
    <x v="1"/>
    <x v="459"/>
    <x v="83"/>
    <x v="8"/>
    <x v="73"/>
    <x v="3"/>
    <x v="7"/>
    <x v="19"/>
    <x v="38"/>
    <x v="12"/>
    <x v="54"/>
    <x v="156"/>
    <x v="60"/>
    <x v="5"/>
    <x v="2"/>
    <x v="0"/>
    <x v="1"/>
    <x v="2"/>
  </r>
  <r>
    <x v="1"/>
    <x v="460"/>
    <x v="75"/>
    <x v="8"/>
    <x v="71"/>
    <x v="1"/>
    <x v="12"/>
    <x v="29"/>
    <x v="134"/>
    <x v="30"/>
    <x v="93"/>
    <x v="2"/>
    <x v="63"/>
    <x v="5"/>
    <x v="2"/>
    <x v="0"/>
    <x v="1"/>
    <x v="2"/>
  </r>
  <r>
    <x v="1"/>
    <x v="461"/>
    <x v="58"/>
    <x v="8"/>
    <x v="75"/>
    <x v="0"/>
    <x v="13"/>
    <x v="77"/>
    <x v="31"/>
    <x v="106"/>
    <x v="53"/>
    <x v="66"/>
    <x v="66"/>
    <x v="5"/>
    <x v="2"/>
    <x v="0"/>
    <x v="1"/>
    <x v="1"/>
  </r>
  <r>
    <x v="1"/>
    <x v="462"/>
    <x v="40"/>
    <x v="8"/>
    <x v="32"/>
    <x v="1"/>
    <x v="13"/>
    <x v="17"/>
    <x v="81"/>
    <x v="15"/>
    <x v="48"/>
    <x v="125"/>
    <x v="68"/>
    <x v="5"/>
    <x v="2"/>
    <x v="0"/>
    <x v="1"/>
    <x v="2"/>
  </r>
  <r>
    <x v="1"/>
    <x v="463"/>
    <x v="26"/>
    <x v="8"/>
    <x v="58"/>
    <x v="1"/>
    <x v="13"/>
    <x v="61"/>
    <x v="63"/>
    <x v="61"/>
    <x v="45"/>
    <x v="122"/>
    <x v="74"/>
    <x v="5"/>
    <x v="2"/>
    <x v="0"/>
    <x v="1"/>
    <x v="2"/>
  </r>
  <r>
    <x v="1"/>
    <x v="464"/>
    <x v="23"/>
    <x v="8"/>
    <x v="16"/>
    <x v="2"/>
    <x v="17"/>
    <x v="4"/>
    <x v="44"/>
    <x v="1"/>
    <x v="24"/>
    <x v="71"/>
    <x v="78"/>
    <x v="5"/>
    <x v="2"/>
    <x v="0"/>
    <x v="1"/>
    <x v="1"/>
  </r>
  <r>
    <x v="1"/>
    <x v="465"/>
    <x v="94"/>
    <x v="8"/>
    <x v="26"/>
    <x v="0"/>
    <x v="10"/>
    <x v="9"/>
    <x v="36"/>
    <x v="5"/>
    <x v="6"/>
    <x v="19"/>
    <x v="79"/>
    <x v="5"/>
    <x v="2"/>
    <x v="0"/>
    <x v="1"/>
    <x v="1"/>
  </r>
  <r>
    <x v="1"/>
    <x v="466"/>
    <x v="28"/>
    <x v="8"/>
    <x v="37"/>
    <x v="5"/>
    <x v="13"/>
    <x v="41"/>
    <x v="76"/>
    <x v="38"/>
    <x v="81"/>
    <x v="162"/>
    <x v="85"/>
    <x v="5"/>
    <x v="2"/>
    <x v="0"/>
    <x v="1"/>
    <x v="2"/>
  </r>
  <r>
    <x v="1"/>
    <x v="467"/>
    <x v="48"/>
    <x v="8"/>
    <x v="13"/>
    <x v="0"/>
    <x v="10"/>
    <x v="88"/>
    <x v="62"/>
    <x v="83"/>
    <x v="74"/>
    <x v="60"/>
    <x v="86"/>
    <x v="5"/>
    <x v="2"/>
    <x v="0"/>
    <x v="1"/>
    <x v="1"/>
  </r>
  <r>
    <x v="0"/>
    <x v="468"/>
    <x v="55"/>
    <x v="8"/>
    <x v="2"/>
    <x v="0"/>
    <x v="22"/>
    <x v="45"/>
    <x v="125"/>
    <x v="41"/>
    <x v="18"/>
    <x v="47"/>
    <x v="87"/>
    <x v="2"/>
    <x v="1"/>
    <x v="0"/>
    <x v="1"/>
    <x v="2"/>
  </r>
  <r>
    <x v="1"/>
    <x v="469"/>
    <x v="65"/>
    <x v="8"/>
    <x v="83"/>
    <x v="0"/>
    <x v="13"/>
    <x v="25"/>
    <x v="138"/>
    <x v="19"/>
    <x v="49"/>
    <x v="126"/>
    <x v="89"/>
    <x v="5"/>
    <x v="2"/>
    <x v="0"/>
    <x v="1"/>
    <x v="2"/>
  </r>
  <r>
    <x v="1"/>
    <x v="773"/>
    <x v="14"/>
    <x v="8"/>
    <x v="50"/>
    <x v="4"/>
    <x v="13"/>
    <x v="138"/>
    <x v="104"/>
    <x v="139"/>
    <x v="4"/>
    <x v="98"/>
    <x v="91"/>
    <x v="5"/>
    <x v="2"/>
    <x v="0"/>
    <x v="1"/>
    <x v="2"/>
  </r>
  <r>
    <x v="1"/>
    <x v="470"/>
    <x v="88"/>
    <x v="8"/>
    <x v="45"/>
    <x v="0"/>
    <x v="17"/>
    <x v="38"/>
    <x v="56"/>
    <x v="33"/>
    <x v="37"/>
    <x v="90"/>
    <x v="93"/>
    <x v="5"/>
    <x v="2"/>
    <x v="0"/>
    <x v="1"/>
    <x v="1"/>
  </r>
  <r>
    <x v="1"/>
    <x v="791"/>
    <x v="98"/>
    <x v="9"/>
    <x v="97"/>
    <x v="20"/>
    <x v="23"/>
    <x v="148"/>
    <x v="149"/>
    <x v="148"/>
    <x v="97"/>
    <x v="185"/>
    <x v="96"/>
    <x v="9"/>
    <x v="0"/>
    <x v="0"/>
    <x v="1"/>
    <x v="3"/>
  </r>
  <r>
    <x v="1"/>
    <x v="774"/>
    <x v="82"/>
    <x v="9"/>
    <x v="74"/>
    <x v="5"/>
    <x v="2"/>
    <x v="132"/>
    <x v="83"/>
    <x v="131"/>
    <x v="5"/>
    <x v="12"/>
    <x v="2"/>
    <x v="2"/>
    <x v="3"/>
    <x v="0"/>
    <x v="1"/>
    <x v="2"/>
  </r>
  <r>
    <x v="1"/>
    <x v="471"/>
    <x v="5"/>
    <x v="9"/>
    <x v="19"/>
    <x v="0"/>
    <x v="18"/>
    <x v="87"/>
    <x v="93"/>
    <x v="76"/>
    <x v="27"/>
    <x v="161"/>
    <x v="10"/>
    <x v="5"/>
    <x v="2"/>
    <x v="0"/>
    <x v="1"/>
    <x v="1"/>
  </r>
  <r>
    <x v="1"/>
    <x v="472"/>
    <x v="6"/>
    <x v="9"/>
    <x v="62"/>
    <x v="1"/>
    <x v="17"/>
    <x v="65"/>
    <x v="137"/>
    <x v="64"/>
    <x v="69"/>
    <x v="22"/>
    <x v="31"/>
    <x v="2"/>
    <x v="1"/>
    <x v="0"/>
    <x v="1"/>
    <x v="1"/>
  </r>
  <r>
    <x v="1"/>
    <x v="473"/>
    <x v="92"/>
    <x v="9"/>
    <x v="39"/>
    <x v="1"/>
    <x v="10"/>
    <x v="66"/>
    <x v="139"/>
    <x v="67"/>
    <x v="85"/>
    <x v="168"/>
    <x v="39"/>
    <x v="5"/>
    <x v="2"/>
    <x v="0"/>
    <x v="1"/>
    <x v="2"/>
  </r>
  <r>
    <x v="1"/>
    <x v="474"/>
    <x v="53"/>
    <x v="9"/>
    <x v="42"/>
    <x v="0"/>
    <x v="1"/>
    <x v="84"/>
    <x v="35"/>
    <x v="80"/>
    <x v="26"/>
    <x v="82"/>
    <x v="54"/>
    <x v="2"/>
    <x v="1"/>
    <x v="0"/>
    <x v="1"/>
    <x v="1"/>
  </r>
  <r>
    <x v="0"/>
    <x v="475"/>
    <x v="78"/>
    <x v="9"/>
    <x v="41"/>
    <x v="0"/>
    <x v="22"/>
    <x v="106"/>
    <x v="123"/>
    <x v="101"/>
    <x v="16"/>
    <x v="45"/>
    <x v="76"/>
    <x v="2"/>
    <x v="1"/>
    <x v="0"/>
    <x v="1"/>
    <x v="1"/>
  </r>
  <r>
    <x v="0"/>
    <x v="476"/>
    <x v="42"/>
    <x v="9"/>
    <x v="81"/>
    <x v="1"/>
    <x v="22"/>
    <x v="44"/>
    <x v="133"/>
    <x v="40"/>
    <x v="89"/>
    <x v="62"/>
    <x v="83"/>
    <x v="2"/>
    <x v="1"/>
    <x v="0"/>
    <x v="1"/>
    <x v="1"/>
  </r>
  <r>
    <x v="1"/>
    <x v="477"/>
    <x v="77"/>
    <x v="9"/>
    <x v="78"/>
    <x v="0"/>
    <x v="21"/>
    <x v="60"/>
    <x v="106"/>
    <x v="44"/>
    <x v="79"/>
    <x v="25"/>
    <x v="0"/>
    <x v="2"/>
    <x v="1"/>
    <x v="0"/>
    <x v="1"/>
    <x v="2"/>
  </r>
  <r>
    <x v="1"/>
    <x v="478"/>
    <x v="47"/>
    <x v="9"/>
    <x v="36"/>
    <x v="0"/>
    <x v="18"/>
    <x v="31"/>
    <x v="41"/>
    <x v="23"/>
    <x v="13"/>
    <x v="40"/>
    <x v="5"/>
    <x v="5"/>
    <x v="2"/>
    <x v="0"/>
    <x v="1"/>
    <x v="1"/>
  </r>
  <r>
    <x v="1"/>
    <x v="479"/>
    <x v="8"/>
    <x v="9"/>
    <x v="48"/>
    <x v="1"/>
    <x v="22"/>
    <x v="130"/>
    <x v="40"/>
    <x v="129"/>
    <x v="14"/>
    <x v="42"/>
    <x v="15"/>
    <x v="2"/>
    <x v="1"/>
    <x v="0"/>
    <x v="1"/>
    <x v="1"/>
  </r>
  <r>
    <x v="0"/>
    <x v="480"/>
    <x v="36"/>
    <x v="9"/>
    <x v="40"/>
    <x v="0"/>
    <x v="22"/>
    <x v="89"/>
    <x v="78"/>
    <x v="84"/>
    <x v="10"/>
    <x v="35"/>
    <x v="17"/>
    <x v="2"/>
    <x v="1"/>
    <x v="0"/>
    <x v="1"/>
    <x v="2"/>
  </r>
  <r>
    <x v="1"/>
    <x v="481"/>
    <x v="66"/>
    <x v="9"/>
    <x v="10"/>
    <x v="1"/>
    <x v="13"/>
    <x v="136"/>
    <x v="45"/>
    <x v="137"/>
    <x v="19"/>
    <x v="49"/>
    <x v="18"/>
    <x v="5"/>
    <x v="2"/>
    <x v="0"/>
    <x v="1"/>
    <x v="2"/>
  </r>
  <r>
    <x v="1"/>
    <x v="482"/>
    <x v="25"/>
    <x v="9"/>
    <x v="60"/>
    <x v="0"/>
    <x v="10"/>
    <x v="20"/>
    <x v="22"/>
    <x v="10"/>
    <x v="82"/>
    <x v="120"/>
    <x v="19"/>
    <x v="5"/>
    <x v="2"/>
    <x v="0"/>
    <x v="1"/>
    <x v="2"/>
  </r>
  <r>
    <x v="0"/>
    <x v="483"/>
    <x v="51"/>
    <x v="9"/>
    <x v="15"/>
    <x v="0"/>
    <x v="22"/>
    <x v="103"/>
    <x v="117"/>
    <x v="91"/>
    <x v="21"/>
    <x v="55"/>
    <x v="20"/>
    <x v="2"/>
    <x v="1"/>
    <x v="0"/>
    <x v="1"/>
    <x v="1"/>
  </r>
  <r>
    <x v="0"/>
    <x v="484"/>
    <x v="18"/>
    <x v="9"/>
    <x v="7"/>
    <x v="0"/>
    <x v="22"/>
    <x v="35"/>
    <x v="111"/>
    <x v="26"/>
    <x v="55"/>
    <x v="138"/>
    <x v="21"/>
    <x v="2"/>
    <x v="1"/>
    <x v="0"/>
    <x v="1"/>
    <x v="1"/>
  </r>
  <r>
    <x v="1"/>
    <x v="775"/>
    <x v="93"/>
    <x v="9"/>
    <x v="77"/>
    <x v="1"/>
    <x v="17"/>
    <x v="75"/>
    <x v="72"/>
    <x v="74"/>
    <x v="32"/>
    <x v="101"/>
    <x v="27"/>
    <x v="5"/>
    <x v="2"/>
    <x v="0"/>
    <x v="1"/>
    <x v="1"/>
  </r>
  <r>
    <x v="1"/>
    <x v="485"/>
    <x v="46"/>
    <x v="9"/>
    <x v="76"/>
    <x v="0"/>
    <x v="16"/>
    <x v="23"/>
    <x v="108"/>
    <x v="31"/>
    <x v="51"/>
    <x v="157"/>
    <x v="29"/>
    <x v="5"/>
    <x v="2"/>
    <x v="0"/>
    <x v="1"/>
    <x v="2"/>
  </r>
  <r>
    <x v="1"/>
    <x v="486"/>
    <x v="20"/>
    <x v="9"/>
    <x v="80"/>
    <x v="1"/>
    <x v="13"/>
    <x v="24"/>
    <x v="92"/>
    <x v="18"/>
    <x v="91"/>
    <x v="179"/>
    <x v="46"/>
    <x v="5"/>
    <x v="2"/>
    <x v="0"/>
    <x v="1"/>
    <x v="2"/>
  </r>
  <r>
    <x v="0"/>
    <x v="776"/>
    <x v="56"/>
    <x v="9"/>
    <x v="1"/>
    <x v="1"/>
    <x v="22"/>
    <x v="59"/>
    <x v="110"/>
    <x v="55"/>
    <x v="61"/>
    <x v="145"/>
    <x v="52"/>
    <x v="2"/>
    <x v="1"/>
    <x v="0"/>
    <x v="1"/>
    <x v="2"/>
  </r>
  <r>
    <x v="1"/>
    <x v="487"/>
    <x v="3"/>
    <x v="9"/>
    <x v="8"/>
    <x v="1"/>
    <x v="10"/>
    <x v="22"/>
    <x v="140"/>
    <x v="17"/>
    <x v="57"/>
    <x v="141"/>
    <x v="53"/>
    <x v="5"/>
    <x v="2"/>
    <x v="0"/>
    <x v="1"/>
    <x v="1"/>
  </r>
  <r>
    <x v="1"/>
    <x v="488"/>
    <x v="43"/>
    <x v="9"/>
    <x v="3"/>
    <x v="0"/>
    <x v="13"/>
    <x v="5"/>
    <x v="124"/>
    <x v="2"/>
    <x v="43"/>
    <x v="118"/>
    <x v="55"/>
    <x v="5"/>
    <x v="2"/>
    <x v="0"/>
    <x v="1"/>
    <x v="2"/>
  </r>
  <r>
    <x v="1"/>
    <x v="489"/>
    <x v="83"/>
    <x v="9"/>
    <x v="73"/>
    <x v="0"/>
    <x v="7"/>
    <x v="19"/>
    <x v="38"/>
    <x v="12"/>
    <x v="54"/>
    <x v="156"/>
    <x v="60"/>
    <x v="5"/>
    <x v="2"/>
    <x v="0"/>
    <x v="1"/>
    <x v="2"/>
  </r>
  <r>
    <x v="1"/>
    <x v="490"/>
    <x v="75"/>
    <x v="9"/>
    <x v="71"/>
    <x v="1"/>
    <x v="12"/>
    <x v="29"/>
    <x v="134"/>
    <x v="30"/>
    <x v="93"/>
    <x v="86"/>
    <x v="63"/>
    <x v="5"/>
    <x v="2"/>
    <x v="0"/>
    <x v="1"/>
    <x v="2"/>
  </r>
  <r>
    <x v="0"/>
    <x v="491"/>
    <x v="45"/>
    <x v="9"/>
    <x v="90"/>
    <x v="0"/>
    <x v="5"/>
    <x v="97"/>
    <x v="101"/>
    <x v="87"/>
    <x v="20"/>
    <x v="53"/>
    <x v="64"/>
    <x v="2"/>
    <x v="1"/>
    <x v="0"/>
    <x v="1"/>
    <x v="2"/>
  </r>
  <r>
    <x v="1"/>
    <x v="492"/>
    <x v="58"/>
    <x v="9"/>
    <x v="75"/>
    <x v="0"/>
    <x v="13"/>
    <x v="25"/>
    <x v="26"/>
    <x v="19"/>
    <x v="53"/>
    <x v="91"/>
    <x v="66"/>
    <x v="5"/>
    <x v="2"/>
    <x v="0"/>
    <x v="1"/>
    <x v="1"/>
  </r>
  <r>
    <x v="1"/>
    <x v="493"/>
    <x v="40"/>
    <x v="9"/>
    <x v="32"/>
    <x v="0"/>
    <x v="13"/>
    <x v="17"/>
    <x v="81"/>
    <x v="15"/>
    <x v="48"/>
    <x v="125"/>
    <x v="68"/>
    <x v="5"/>
    <x v="2"/>
    <x v="0"/>
    <x v="1"/>
    <x v="2"/>
  </r>
  <r>
    <x v="1"/>
    <x v="494"/>
    <x v="26"/>
    <x v="9"/>
    <x v="58"/>
    <x v="0"/>
    <x v="13"/>
    <x v="61"/>
    <x v="63"/>
    <x v="61"/>
    <x v="45"/>
    <x v="122"/>
    <x v="74"/>
    <x v="5"/>
    <x v="2"/>
    <x v="0"/>
    <x v="1"/>
    <x v="2"/>
  </r>
  <r>
    <x v="1"/>
    <x v="495"/>
    <x v="59"/>
    <x v="9"/>
    <x v="70"/>
    <x v="0"/>
    <x v="10"/>
    <x v="0"/>
    <x v="0"/>
    <x v="109"/>
    <x v="62"/>
    <x v="154"/>
    <x v="77"/>
    <x v="5"/>
    <x v="2"/>
    <x v="0"/>
    <x v="1"/>
    <x v="1"/>
  </r>
  <r>
    <x v="1"/>
    <x v="496"/>
    <x v="23"/>
    <x v="9"/>
    <x v="16"/>
    <x v="0"/>
    <x v="17"/>
    <x v="4"/>
    <x v="44"/>
    <x v="1"/>
    <x v="24"/>
    <x v="71"/>
    <x v="78"/>
    <x v="5"/>
    <x v="2"/>
    <x v="0"/>
    <x v="1"/>
    <x v="1"/>
  </r>
  <r>
    <x v="1"/>
    <x v="497"/>
    <x v="37"/>
    <x v="9"/>
    <x v="34"/>
    <x v="0"/>
    <x v="22"/>
    <x v="15"/>
    <x v="102"/>
    <x v="11"/>
    <x v="71"/>
    <x v="51"/>
    <x v="84"/>
    <x v="2"/>
    <x v="1"/>
    <x v="0"/>
    <x v="1"/>
    <x v="2"/>
  </r>
  <r>
    <x v="0"/>
    <x v="498"/>
    <x v="52"/>
    <x v="9"/>
    <x v="55"/>
    <x v="1"/>
    <x v="22"/>
    <x v="34"/>
    <x v="120"/>
    <x v="35"/>
    <x v="1"/>
    <x v="4"/>
    <x v="33"/>
    <x v="2"/>
    <x v="1"/>
    <x v="0"/>
    <x v="1"/>
    <x v="1"/>
  </r>
  <r>
    <x v="0"/>
    <x v="499"/>
    <x v="39"/>
    <x v="9"/>
    <x v="57"/>
    <x v="0"/>
    <x v="22"/>
    <x v="16"/>
    <x v="121"/>
    <x v="14"/>
    <x v="64"/>
    <x v="76"/>
    <x v="96"/>
    <x v="2"/>
    <x v="1"/>
    <x v="0"/>
    <x v="1"/>
    <x v="0"/>
  </r>
  <r>
    <x v="1"/>
    <x v="791"/>
    <x v="98"/>
    <x v="3"/>
    <x v="97"/>
    <x v="18"/>
    <x v="23"/>
    <x v="148"/>
    <x v="149"/>
    <x v="148"/>
    <x v="97"/>
    <x v="185"/>
    <x v="96"/>
    <x v="9"/>
    <x v="3"/>
    <x v="0"/>
    <x v="4"/>
    <x v="3"/>
  </r>
  <r>
    <x v="1"/>
    <x v="500"/>
    <x v="77"/>
    <x v="3"/>
    <x v="78"/>
    <x v="4"/>
    <x v="21"/>
    <x v="51"/>
    <x v="89"/>
    <x v="50"/>
    <x v="79"/>
    <x v="77"/>
    <x v="0"/>
    <x v="3"/>
    <x v="3"/>
    <x v="0"/>
    <x v="4"/>
    <x v="3"/>
  </r>
  <r>
    <x v="1"/>
    <x v="501"/>
    <x v="81"/>
    <x v="3"/>
    <x v="56"/>
    <x v="0"/>
    <x v="22"/>
    <x v="116"/>
    <x v="75"/>
    <x v="121"/>
    <x v="59"/>
    <x v="144"/>
    <x v="8"/>
    <x v="3"/>
    <x v="3"/>
    <x v="0"/>
    <x v="4"/>
    <x v="3"/>
  </r>
  <r>
    <x v="1"/>
    <x v="502"/>
    <x v="4"/>
    <x v="3"/>
    <x v="20"/>
    <x v="6"/>
    <x v="22"/>
    <x v="68"/>
    <x v="49"/>
    <x v="68"/>
    <x v="70"/>
    <x v="69"/>
    <x v="22"/>
    <x v="3"/>
    <x v="3"/>
    <x v="0"/>
    <x v="4"/>
    <x v="3"/>
  </r>
  <r>
    <x v="1"/>
    <x v="503"/>
    <x v="86"/>
    <x v="3"/>
    <x v="67"/>
    <x v="0"/>
    <x v="22"/>
    <x v="70"/>
    <x v="142"/>
    <x v="70"/>
    <x v="15"/>
    <x v="6"/>
    <x v="24"/>
    <x v="3"/>
    <x v="3"/>
    <x v="0"/>
    <x v="4"/>
    <x v="3"/>
  </r>
  <r>
    <x v="1"/>
    <x v="504"/>
    <x v="46"/>
    <x v="3"/>
    <x v="76"/>
    <x v="2"/>
    <x v="16"/>
    <x v="23"/>
    <x v="108"/>
    <x v="31"/>
    <x v="51"/>
    <x v="158"/>
    <x v="29"/>
    <x v="3"/>
    <x v="3"/>
    <x v="0"/>
    <x v="4"/>
    <x v="3"/>
  </r>
  <r>
    <x v="1"/>
    <x v="505"/>
    <x v="11"/>
    <x v="3"/>
    <x v="95"/>
    <x v="0"/>
    <x v="22"/>
    <x v="94"/>
    <x v="127"/>
    <x v="120"/>
    <x v="83"/>
    <x v="167"/>
    <x v="34"/>
    <x v="3"/>
    <x v="3"/>
    <x v="0"/>
    <x v="4"/>
    <x v="3"/>
  </r>
  <r>
    <x v="1"/>
    <x v="506"/>
    <x v="29"/>
    <x v="3"/>
    <x v="61"/>
    <x v="0"/>
    <x v="13"/>
    <x v="125"/>
    <x v="64"/>
    <x v="128"/>
    <x v="12"/>
    <x v="39"/>
    <x v="44"/>
    <x v="3"/>
    <x v="3"/>
    <x v="0"/>
    <x v="4"/>
    <x v="3"/>
  </r>
  <r>
    <x v="1"/>
    <x v="507"/>
    <x v="24"/>
    <x v="3"/>
    <x v="52"/>
    <x v="1"/>
    <x v="22"/>
    <x v="105"/>
    <x v="54"/>
    <x v="92"/>
    <x v="39"/>
    <x v="112"/>
    <x v="45"/>
    <x v="3"/>
    <x v="3"/>
    <x v="0"/>
    <x v="4"/>
    <x v="3"/>
  </r>
  <r>
    <x v="1"/>
    <x v="508"/>
    <x v="79"/>
    <x v="3"/>
    <x v="94"/>
    <x v="0"/>
    <x v="19"/>
    <x v="43"/>
    <x v="115"/>
    <x v="39"/>
    <x v="78"/>
    <x v="73"/>
    <x v="47"/>
    <x v="3"/>
    <x v="3"/>
    <x v="0"/>
    <x v="4"/>
    <x v="3"/>
  </r>
  <r>
    <x v="1"/>
    <x v="509"/>
    <x v="54"/>
    <x v="3"/>
    <x v="44"/>
    <x v="0"/>
    <x v="22"/>
    <x v="133"/>
    <x v="10"/>
    <x v="134"/>
    <x v="88"/>
    <x v="172"/>
    <x v="50"/>
    <x v="3"/>
    <x v="3"/>
    <x v="0"/>
    <x v="4"/>
    <x v="3"/>
  </r>
  <r>
    <x v="1"/>
    <x v="510"/>
    <x v="3"/>
    <x v="3"/>
    <x v="8"/>
    <x v="0"/>
    <x v="10"/>
    <x v="22"/>
    <x v="140"/>
    <x v="17"/>
    <x v="57"/>
    <x v="141"/>
    <x v="53"/>
    <x v="3"/>
    <x v="3"/>
    <x v="0"/>
    <x v="4"/>
    <x v="3"/>
  </r>
  <r>
    <x v="1"/>
    <x v="511"/>
    <x v="83"/>
    <x v="3"/>
    <x v="73"/>
    <x v="2"/>
    <x v="7"/>
    <x v="19"/>
    <x v="38"/>
    <x v="12"/>
    <x v="54"/>
    <x v="156"/>
    <x v="60"/>
    <x v="3"/>
    <x v="3"/>
    <x v="0"/>
    <x v="4"/>
    <x v="3"/>
  </r>
  <r>
    <x v="1"/>
    <x v="512"/>
    <x v="75"/>
    <x v="3"/>
    <x v="71"/>
    <x v="3"/>
    <x v="12"/>
    <x v="29"/>
    <x v="134"/>
    <x v="30"/>
    <x v="93"/>
    <x v="2"/>
    <x v="63"/>
    <x v="3"/>
    <x v="3"/>
    <x v="0"/>
    <x v="4"/>
    <x v="3"/>
  </r>
  <r>
    <x v="1"/>
    <x v="513"/>
    <x v="58"/>
    <x v="3"/>
    <x v="75"/>
    <x v="1"/>
    <x v="13"/>
    <x v="95"/>
    <x v="24"/>
    <x v="85"/>
    <x v="53"/>
    <x v="91"/>
    <x v="66"/>
    <x v="3"/>
    <x v="3"/>
    <x v="0"/>
    <x v="4"/>
    <x v="3"/>
  </r>
  <r>
    <x v="1"/>
    <x v="514"/>
    <x v="96"/>
    <x v="3"/>
    <x v="46"/>
    <x v="0"/>
    <x v="10"/>
    <x v="99"/>
    <x v="77"/>
    <x v="89"/>
    <x v="8"/>
    <x v="26"/>
    <x v="69"/>
    <x v="3"/>
    <x v="3"/>
    <x v="0"/>
    <x v="4"/>
    <x v="3"/>
  </r>
  <r>
    <x v="1"/>
    <x v="791"/>
    <x v="98"/>
    <x v="15"/>
    <x v="97"/>
    <x v="28"/>
    <x v="23"/>
    <x v="148"/>
    <x v="149"/>
    <x v="148"/>
    <x v="97"/>
    <x v="185"/>
    <x v="96"/>
    <x v="9"/>
    <x v="3"/>
    <x v="0"/>
    <x v="4"/>
    <x v="3"/>
  </r>
  <r>
    <x v="1"/>
    <x v="515"/>
    <x v="7"/>
    <x v="15"/>
    <x v="14"/>
    <x v="0"/>
    <x v="17"/>
    <x v="147"/>
    <x v="6"/>
    <x v="140"/>
    <x v="35"/>
    <x v="89"/>
    <x v="81"/>
    <x v="5"/>
    <x v="3"/>
    <x v="0"/>
    <x v="4"/>
    <x v="3"/>
  </r>
  <r>
    <x v="1"/>
    <x v="516"/>
    <x v="82"/>
    <x v="15"/>
    <x v="74"/>
    <x v="9"/>
    <x v="2"/>
    <x v="132"/>
    <x v="83"/>
    <x v="131"/>
    <x v="5"/>
    <x v="18"/>
    <x v="2"/>
    <x v="6"/>
    <x v="3"/>
    <x v="0"/>
    <x v="4"/>
    <x v="3"/>
  </r>
  <r>
    <x v="1"/>
    <x v="517"/>
    <x v="78"/>
    <x v="15"/>
    <x v="41"/>
    <x v="13"/>
    <x v="22"/>
    <x v="106"/>
    <x v="123"/>
    <x v="101"/>
    <x v="16"/>
    <x v="45"/>
    <x v="76"/>
    <x v="5"/>
    <x v="3"/>
    <x v="0"/>
    <x v="4"/>
    <x v="3"/>
  </r>
  <r>
    <x v="1"/>
    <x v="518"/>
    <x v="77"/>
    <x v="15"/>
    <x v="78"/>
    <x v="7"/>
    <x v="21"/>
    <x v="51"/>
    <x v="89"/>
    <x v="50"/>
    <x v="79"/>
    <x v="77"/>
    <x v="0"/>
    <x v="5"/>
    <x v="3"/>
    <x v="0"/>
    <x v="4"/>
    <x v="3"/>
  </r>
  <r>
    <x v="1"/>
    <x v="519"/>
    <x v="81"/>
    <x v="15"/>
    <x v="56"/>
    <x v="0"/>
    <x v="22"/>
    <x v="116"/>
    <x v="75"/>
    <x v="121"/>
    <x v="59"/>
    <x v="144"/>
    <x v="8"/>
    <x v="5"/>
    <x v="3"/>
    <x v="0"/>
    <x v="4"/>
    <x v="3"/>
  </r>
  <r>
    <x v="1"/>
    <x v="520"/>
    <x v="89"/>
    <x v="15"/>
    <x v="66"/>
    <x v="0"/>
    <x v="17"/>
    <x v="39"/>
    <x v="98"/>
    <x v="34"/>
    <x v="36"/>
    <x v="108"/>
    <x v="11"/>
    <x v="5"/>
    <x v="3"/>
    <x v="0"/>
    <x v="4"/>
    <x v="3"/>
  </r>
  <r>
    <x v="1"/>
    <x v="521"/>
    <x v="25"/>
    <x v="15"/>
    <x v="60"/>
    <x v="0"/>
    <x v="10"/>
    <x v="20"/>
    <x v="22"/>
    <x v="10"/>
    <x v="82"/>
    <x v="120"/>
    <x v="19"/>
    <x v="5"/>
    <x v="3"/>
    <x v="0"/>
    <x v="4"/>
    <x v="3"/>
  </r>
  <r>
    <x v="1"/>
    <x v="522"/>
    <x v="51"/>
    <x v="15"/>
    <x v="15"/>
    <x v="0"/>
    <x v="22"/>
    <x v="103"/>
    <x v="117"/>
    <x v="91"/>
    <x v="21"/>
    <x v="55"/>
    <x v="20"/>
    <x v="5"/>
    <x v="3"/>
    <x v="0"/>
    <x v="4"/>
    <x v="3"/>
  </r>
  <r>
    <x v="1"/>
    <x v="523"/>
    <x v="76"/>
    <x v="15"/>
    <x v="28"/>
    <x v="0"/>
    <x v="10"/>
    <x v="71"/>
    <x v="130"/>
    <x v="65"/>
    <x v="68"/>
    <x v="14"/>
    <x v="23"/>
    <x v="5"/>
    <x v="3"/>
    <x v="0"/>
    <x v="4"/>
    <x v="3"/>
  </r>
  <r>
    <x v="1"/>
    <x v="524"/>
    <x v="86"/>
    <x v="15"/>
    <x v="67"/>
    <x v="0"/>
    <x v="22"/>
    <x v="70"/>
    <x v="142"/>
    <x v="70"/>
    <x v="15"/>
    <x v="6"/>
    <x v="24"/>
    <x v="5"/>
    <x v="3"/>
    <x v="0"/>
    <x v="4"/>
    <x v="3"/>
  </r>
  <r>
    <x v="1"/>
    <x v="777"/>
    <x v="93"/>
    <x v="15"/>
    <x v="77"/>
    <x v="2"/>
    <x v="17"/>
    <x v="83"/>
    <x v="68"/>
    <x v="82"/>
    <x v="32"/>
    <x v="63"/>
    <x v="27"/>
    <x v="5"/>
    <x v="3"/>
    <x v="0"/>
    <x v="4"/>
    <x v="3"/>
  </r>
  <r>
    <x v="1"/>
    <x v="525"/>
    <x v="46"/>
    <x v="15"/>
    <x v="76"/>
    <x v="2"/>
    <x v="16"/>
    <x v="23"/>
    <x v="108"/>
    <x v="31"/>
    <x v="51"/>
    <x v="158"/>
    <x v="29"/>
    <x v="5"/>
    <x v="3"/>
    <x v="0"/>
    <x v="4"/>
    <x v="3"/>
  </r>
  <r>
    <x v="1"/>
    <x v="526"/>
    <x v="11"/>
    <x v="15"/>
    <x v="95"/>
    <x v="0"/>
    <x v="22"/>
    <x v="94"/>
    <x v="127"/>
    <x v="120"/>
    <x v="83"/>
    <x v="167"/>
    <x v="34"/>
    <x v="5"/>
    <x v="3"/>
    <x v="0"/>
    <x v="4"/>
    <x v="3"/>
  </r>
  <r>
    <x v="1"/>
    <x v="527"/>
    <x v="57"/>
    <x v="15"/>
    <x v="79"/>
    <x v="1"/>
    <x v="22"/>
    <x v="85"/>
    <x v="50"/>
    <x v="81"/>
    <x v="60"/>
    <x v="23"/>
    <x v="35"/>
    <x v="5"/>
    <x v="3"/>
    <x v="0"/>
    <x v="4"/>
    <x v="3"/>
  </r>
  <r>
    <x v="1"/>
    <x v="528"/>
    <x v="74"/>
    <x v="15"/>
    <x v="85"/>
    <x v="0"/>
    <x v="17"/>
    <x v="18"/>
    <x v="52"/>
    <x v="13"/>
    <x v="92"/>
    <x v="36"/>
    <x v="38"/>
    <x v="5"/>
    <x v="3"/>
    <x v="0"/>
    <x v="4"/>
    <x v="3"/>
  </r>
  <r>
    <x v="1"/>
    <x v="529"/>
    <x v="29"/>
    <x v="15"/>
    <x v="61"/>
    <x v="0"/>
    <x v="13"/>
    <x v="125"/>
    <x v="64"/>
    <x v="128"/>
    <x v="12"/>
    <x v="39"/>
    <x v="44"/>
    <x v="5"/>
    <x v="3"/>
    <x v="0"/>
    <x v="4"/>
    <x v="3"/>
  </r>
  <r>
    <x v="1"/>
    <x v="530"/>
    <x v="24"/>
    <x v="15"/>
    <x v="52"/>
    <x v="1"/>
    <x v="22"/>
    <x v="105"/>
    <x v="54"/>
    <x v="92"/>
    <x v="39"/>
    <x v="112"/>
    <x v="45"/>
    <x v="5"/>
    <x v="3"/>
    <x v="0"/>
    <x v="4"/>
    <x v="3"/>
  </r>
  <r>
    <x v="1"/>
    <x v="531"/>
    <x v="61"/>
    <x v="15"/>
    <x v="96"/>
    <x v="0"/>
    <x v="22"/>
    <x v="111"/>
    <x v="74"/>
    <x v="113"/>
    <x v="25"/>
    <x v="75"/>
    <x v="51"/>
    <x v="5"/>
    <x v="3"/>
    <x v="0"/>
    <x v="4"/>
    <x v="3"/>
  </r>
  <r>
    <x v="1"/>
    <x v="532"/>
    <x v="72"/>
    <x v="15"/>
    <x v="47"/>
    <x v="0"/>
    <x v="17"/>
    <x v="11"/>
    <x v="9"/>
    <x v="6"/>
    <x v="50"/>
    <x v="127"/>
    <x v="58"/>
    <x v="5"/>
    <x v="3"/>
    <x v="0"/>
    <x v="4"/>
    <x v="3"/>
  </r>
  <r>
    <x v="1"/>
    <x v="533"/>
    <x v="33"/>
    <x v="15"/>
    <x v="31"/>
    <x v="1"/>
    <x v="10"/>
    <x v="145"/>
    <x v="55"/>
    <x v="147"/>
    <x v="77"/>
    <x v="160"/>
    <x v="59"/>
    <x v="5"/>
    <x v="3"/>
    <x v="0"/>
    <x v="4"/>
    <x v="3"/>
  </r>
  <r>
    <x v="1"/>
    <x v="534"/>
    <x v="83"/>
    <x v="15"/>
    <x v="73"/>
    <x v="3"/>
    <x v="7"/>
    <x v="19"/>
    <x v="38"/>
    <x v="12"/>
    <x v="54"/>
    <x v="156"/>
    <x v="60"/>
    <x v="5"/>
    <x v="3"/>
    <x v="0"/>
    <x v="4"/>
    <x v="3"/>
  </r>
  <r>
    <x v="1"/>
    <x v="535"/>
    <x v="75"/>
    <x v="15"/>
    <x v="71"/>
    <x v="3"/>
    <x v="12"/>
    <x v="29"/>
    <x v="134"/>
    <x v="30"/>
    <x v="93"/>
    <x v="2"/>
    <x v="63"/>
    <x v="5"/>
    <x v="3"/>
    <x v="0"/>
    <x v="4"/>
    <x v="3"/>
  </r>
  <r>
    <x v="1"/>
    <x v="536"/>
    <x v="58"/>
    <x v="15"/>
    <x v="75"/>
    <x v="2"/>
    <x v="13"/>
    <x v="95"/>
    <x v="24"/>
    <x v="85"/>
    <x v="53"/>
    <x v="91"/>
    <x v="66"/>
    <x v="5"/>
    <x v="3"/>
    <x v="0"/>
    <x v="4"/>
    <x v="3"/>
  </r>
  <r>
    <x v="1"/>
    <x v="537"/>
    <x v="16"/>
    <x v="15"/>
    <x v="69"/>
    <x v="1"/>
    <x v="22"/>
    <x v="27"/>
    <x v="42"/>
    <x v="22"/>
    <x v="11"/>
    <x v="38"/>
    <x v="67"/>
    <x v="5"/>
    <x v="3"/>
    <x v="0"/>
    <x v="4"/>
    <x v="3"/>
  </r>
  <r>
    <x v="1"/>
    <x v="538"/>
    <x v="96"/>
    <x v="15"/>
    <x v="46"/>
    <x v="0"/>
    <x v="10"/>
    <x v="99"/>
    <x v="77"/>
    <x v="89"/>
    <x v="8"/>
    <x v="26"/>
    <x v="69"/>
    <x v="5"/>
    <x v="3"/>
    <x v="0"/>
    <x v="4"/>
    <x v="3"/>
  </r>
  <r>
    <x v="1"/>
    <x v="539"/>
    <x v="59"/>
    <x v="15"/>
    <x v="70"/>
    <x v="0"/>
    <x v="10"/>
    <x v="0"/>
    <x v="0"/>
    <x v="109"/>
    <x v="62"/>
    <x v="154"/>
    <x v="77"/>
    <x v="5"/>
    <x v="3"/>
    <x v="0"/>
    <x v="4"/>
    <x v="3"/>
  </r>
  <r>
    <x v="1"/>
    <x v="540"/>
    <x v="30"/>
    <x v="15"/>
    <x v="27"/>
    <x v="1"/>
    <x v="4"/>
    <x v="32"/>
    <x v="100"/>
    <x v="24"/>
    <x v="31"/>
    <x v="88"/>
    <x v="82"/>
    <x v="5"/>
    <x v="3"/>
    <x v="0"/>
    <x v="4"/>
    <x v="3"/>
  </r>
  <r>
    <x v="1"/>
    <x v="541"/>
    <x v="48"/>
    <x v="15"/>
    <x v="13"/>
    <x v="1"/>
    <x v="10"/>
    <x v="88"/>
    <x v="62"/>
    <x v="83"/>
    <x v="74"/>
    <x v="15"/>
    <x v="86"/>
    <x v="5"/>
    <x v="3"/>
    <x v="0"/>
    <x v="4"/>
    <x v="3"/>
  </r>
  <r>
    <x v="1"/>
    <x v="542"/>
    <x v="65"/>
    <x v="15"/>
    <x v="83"/>
    <x v="0"/>
    <x v="13"/>
    <x v="25"/>
    <x v="138"/>
    <x v="19"/>
    <x v="49"/>
    <x v="126"/>
    <x v="89"/>
    <x v="5"/>
    <x v="3"/>
    <x v="0"/>
    <x v="4"/>
    <x v="3"/>
  </r>
  <r>
    <x v="1"/>
    <x v="543"/>
    <x v="95"/>
    <x v="15"/>
    <x v="33"/>
    <x v="0"/>
    <x v="17"/>
    <x v="128"/>
    <x v="20"/>
    <x v="126"/>
    <x v="29"/>
    <x v="85"/>
    <x v="90"/>
    <x v="5"/>
    <x v="3"/>
    <x v="0"/>
    <x v="4"/>
    <x v="3"/>
  </r>
  <r>
    <x v="1"/>
    <x v="791"/>
    <x v="98"/>
    <x v="6"/>
    <x v="97"/>
    <x v="34"/>
    <x v="23"/>
    <x v="148"/>
    <x v="149"/>
    <x v="148"/>
    <x v="97"/>
    <x v="185"/>
    <x v="96"/>
    <x v="9"/>
    <x v="3"/>
    <x v="0"/>
    <x v="4"/>
    <x v="3"/>
  </r>
  <r>
    <x v="1"/>
    <x v="544"/>
    <x v="7"/>
    <x v="6"/>
    <x v="14"/>
    <x v="0"/>
    <x v="17"/>
    <x v="147"/>
    <x v="6"/>
    <x v="140"/>
    <x v="35"/>
    <x v="89"/>
    <x v="81"/>
    <x v="1"/>
    <x v="3"/>
    <x v="0"/>
    <x v="4"/>
    <x v="3"/>
  </r>
  <r>
    <x v="1"/>
    <x v="545"/>
    <x v="82"/>
    <x v="6"/>
    <x v="74"/>
    <x v="16"/>
    <x v="2"/>
    <x v="132"/>
    <x v="83"/>
    <x v="131"/>
    <x v="5"/>
    <x v="18"/>
    <x v="2"/>
    <x v="6"/>
    <x v="3"/>
    <x v="0"/>
    <x v="4"/>
    <x v="3"/>
  </r>
  <r>
    <x v="1"/>
    <x v="546"/>
    <x v="5"/>
    <x v="6"/>
    <x v="19"/>
    <x v="7"/>
    <x v="18"/>
    <x v="87"/>
    <x v="93"/>
    <x v="76"/>
    <x v="27"/>
    <x v="81"/>
    <x v="10"/>
    <x v="1"/>
    <x v="3"/>
    <x v="0"/>
    <x v="4"/>
    <x v="3"/>
  </r>
  <r>
    <x v="1"/>
    <x v="547"/>
    <x v="15"/>
    <x v="6"/>
    <x v="51"/>
    <x v="0"/>
    <x v="17"/>
    <x v="21"/>
    <x v="51"/>
    <x v="42"/>
    <x v="44"/>
    <x v="119"/>
    <x v="25"/>
    <x v="1"/>
    <x v="3"/>
    <x v="0"/>
    <x v="4"/>
    <x v="3"/>
  </r>
  <r>
    <x v="1"/>
    <x v="548"/>
    <x v="6"/>
    <x v="6"/>
    <x v="62"/>
    <x v="1"/>
    <x v="17"/>
    <x v="65"/>
    <x v="137"/>
    <x v="64"/>
    <x v="69"/>
    <x v="22"/>
    <x v="31"/>
    <x v="1"/>
    <x v="3"/>
    <x v="0"/>
    <x v="4"/>
    <x v="3"/>
  </r>
  <r>
    <x v="1"/>
    <x v="549"/>
    <x v="19"/>
    <x v="6"/>
    <x v="24"/>
    <x v="0"/>
    <x v="22"/>
    <x v="102"/>
    <x v="126"/>
    <x v="99"/>
    <x v="46"/>
    <x v="124"/>
    <x v="75"/>
    <x v="1"/>
    <x v="3"/>
    <x v="0"/>
    <x v="4"/>
    <x v="3"/>
  </r>
  <r>
    <x v="1"/>
    <x v="550"/>
    <x v="78"/>
    <x v="6"/>
    <x v="41"/>
    <x v="1"/>
    <x v="22"/>
    <x v="106"/>
    <x v="123"/>
    <x v="101"/>
    <x v="16"/>
    <x v="45"/>
    <x v="76"/>
    <x v="1"/>
    <x v="3"/>
    <x v="0"/>
    <x v="4"/>
    <x v="3"/>
  </r>
  <r>
    <x v="1"/>
    <x v="551"/>
    <x v="42"/>
    <x v="6"/>
    <x v="81"/>
    <x v="0"/>
    <x v="22"/>
    <x v="54"/>
    <x v="16"/>
    <x v="57"/>
    <x v="89"/>
    <x v="173"/>
    <x v="83"/>
    <x v="1"/>
    <x v="3"/>
    <x v="0"/>
    <x v="4"/>
    <x v="3"/>
  </r>
  <r>
    <x v="1"/>
    <x v="552"/>
    <x v="77"/>
    <x v="6"/>
    <x v="78"/>
    <x v="0"/>
    <x v="21"/>
    <x v="51"/>
    <x v="89"/>
    <x v="50"/>
    <x v="79"/>
    <x v="77"/>
    <x v="0"/>
    <x v="1"/>
    <x v="3"/>
    <x v="0"/>
    <x v="4"/>
    <x v="3"/>
  </r>
  <r>
    <x v="1"/>
    <x v="553"/>
    <x v="71"/>
    <x v="6"/>
    <x v="25"/>
    <x v="1"/>
    <x v="11"/>
    <x v="58"/>
    <x v="116"/>
    <x v="54"/>
    <x v="90"/>
    <x v="176"/>
    <x v="1"/>
    <x v="1"/>
    <x v="3"/>
    <x v="0"/>
    <x v="4"/>
    <x v="3"/>
  </r>
  <r>
    <x v="1"/>
    <x v="554"/>
    <x v="1"/>
    <x v="6"/>
    <x v="30"/>
    <x v="0"/>
    <x v="22"/>
    <x v="98"/>
    <x v="114"/>
    <x v="88"/>
    <x v="65"/>
    <x v="21"/>
    <x v="4"/>
    <x v="1"/>
    <x v="3"/>
    <x v="0"/>
    <x v="4"/>
    <x v="3"/>
  </r>
  <r>
    <x v="1"/>
    <x v="778"/>
    <x v="70"/>
    <x v="6"/>
    <x v="89"/>
    <x v="1"/>
    <x v="8"/>
    <x v="107"/>
    <x v="128"/>
    <x v="102"/>
    <x v="42"/>
    <x v="148"/>
    <x v="7"/>
    <x v="1"/>
    <x v="3"/>
    <x v="0"/>
    <x v="4"/>
    <x v="3"/>
  </r>
  <r>
    <x v="1"/>
    <x v="555"/>
    <x v="81"/>
    <x v="6"/>
    <x v="56"/>
    <x v="0"/>
    <x v="22"/>
    <x v="116"/>
    <x v="75"/>
    <x v="121"/>
    <x v="59"/>
    <x v="144"/>
    <x v="8"/>
    <x v="1"/>
    <x v="3"/>
    <x v="0"/>
    <x v="4"/>
    <x v="3"/>
  </r>
  <r>
    <x v="1"/>
    <x v="556"/>
    <x v="85"/>
    <x v="6"/>
    <x v="29"/>
    <x v="0"/>
    <x v="13"/>
    <x v="141"/>
    <x v="29"/>
    <x v="143"/>
    <x v="87"/>
    <x v="170"/>
    <x v="9"/>
    <x v="1"/>
    <x v="3"/>
    <x v="0"/>
    <x v="4"/>
    <x v="3"/>
  </r>
  <r>
    <x v="1"/>
    <x v="557"/>
    <x v="91"/>
    <x v="6"/>
    <x v="86"/>
    <x v="0"/>
    <x v="20"/>
    <x v="47"/>
    <x v="53"/>
    <x v="45"/>
    <x v="96"/>
    <x v="7"/>
    <x v="12"/>
    <x v="1"/>
    <x v="3"/>
    <x v="0"/>
    <x v="4"/>
    <x v="3"/>
  </r>
  <r>
    <x v="1"/>
    <x v="558"/>
    <x v="8"/>
    <x v="6"/>
    <x v="48"/>
    <x v="2"/>
    <x v="22"/>
    <x v="130"/>
    <x v="40"/>
    <x v="129"/>
    <x v="14"/>
    <x v="42"/>
    <x v="15"/>
    <x v="1"/>
    <x v="3"/>
    <x v="0"/>
    <x v="4"/>
    <x v="3"/>
  </r>
  <r>
    <x v="1"/>
    <x v="559"/>
    <x v="41"/>
    <x v="6"/>
    <x v="22"/>
    <x v="1"/>
    <x v="22"/>
    <x v="30"/>
    <x v="147"/>
    <x v="0"/>
    <x v="76"/>
    <x v="8"/>
    <x v="16"/>
    <x v="1"/>
    <x v="3"/>
    <x v="0"/>
    <x v="4"/>
    <x v="3"/>
  </r>
  <r>
    <x v="1"/>
    <x v="560"/>
    <x v="4"/>
    <x v="6"/>
    <x v="20"/>
    <x v="0"/>
    <x v="22"/>
    <x v="68"/>
    <x v="49"/>
    <x v="68"/>
    <x v="70"/>
    <x v="69"/>
    <x v="22"/>
    <x v="1"/>
    <x v="3"/>
    <x v="0"/>
    <x v="4"/>
    <x v="3"/>
  </r>
  <r>
    <x v="1"/>
    <x v="561"/>
    <x v="86"/>
    <x v="6"/>
    <x v="67"/>
    <x v="1"/>
    <x v="22"/>
    <x v="70"/>
    <x v="142"/>
    <x v="70"/>
    <x v="15"/>
    <x v="6"/>
    <x v="24"/>
    <x v="1"/>
    <x v="3"/>
    <x v="0"/>
    <x v="4"/>
    <x v="3"/>
  </r>
  <r>
    <x v="1"/>
    <x v="562"/>
    <x v="62"/>
    <x v="6"/>
    <x v="92"/>
    <x v="6"/>
    <x v="13"/>
    <x v="36"/>
    <x v="39"/>
    <x v="36"/>
    <x v="63"/>
    <x v="180"/>
    <x v="26"/>
    <x v="1"/>
    <x v="3"/>
    <x v="0"/>
    <x v="4"/>
    <x v="3"/>
  </r>
  <r>
    <x v="1"/>
    <x v="563"/>
    <x v="93"/>
    <x v="6"/>
    <x v="77"/>
    <x v="0"/>
    <x v="17"/>
    <x v="72"/>
    <x v="69"/>
    <x v="71"/>
    <x v="32"/>
    <x v="99"/>
    <x v="27"/>
    <x v="1"/>
    <x v="3"/>
    <x v="0"/>
    <x v="4"/>
    <x v="3"/>
  </r>
  <r>
    <x v="1"/>
    <x v="564"/>
    <x v="73"/>
    <x v="6"/>
    <x v="53"/>
    <x v="0"/>
    <x v="0"/>
    <x v="143"/>
    <x v="113"/>
    <x v="145"/>
    <x v="67"/>
    <x v="155"/>
    <x v="28"/>
    <x v="1"/>
    <x v="3"/>
    <x v="0"/>
    <x v="4"/>
    <x v="3"/>
  </r>
  <r>
    <x v="1"/>
    <x v="565"/>
    <x v="46"/>
    <x v="6"/>
    <x v="76"/>
    <x v="3"/>
    <x v="16"/>
    <x v="23"/>
    <x v="108"/>
    <x v="31"/>
    <x v="51"/>
    <x v="158"/>
    <x v="29"/>
    <x v="1"/>
    <x v="3"/>
    <x v="0"/>
    <x v="4"/>
    <x v="3"/>
  </r>
  <r>
    <x v="1"/>
    <x v="566"/>
    <x v="63"/>
    <x v="6"/>
    <x v="43"/>
    <x v="0"/>
    <x v="17"/>
    <x v="144"/>
    <x v="94"/>
    <x v="146"/>
    <x v="94"/>
    <x v="183"/>
    <x v="32"/>
    <x v="1"/>
    <x v="3"/>
    <x v="0"/>
    <x v="4"/>
    <x v="3"/>
  </r>
  <r>
    <x v="1"/>
    <x v="567"/>
    <x v="11"/>
    <x v="6"/>
    <x v="95"/>
    <x v="0"/>
    <x v="22"/>
    <x v="94"/>
    <x v="127"/>
    <x v="120"/>
    <x v="83"/>
    <x v="167"/>
    <x v="34"/>
    <x v="1"/>
    <x v="3"/>
    <x v="0"/>
    <x v="4"/>
    <x v="3"/>
  </r>
  <r>
    <x v="1"/>
    <x v="779"/>
    <x v="57"/>
    <x v="6"/>
    <x v="79"/>
    <x v="2"/>
    <x v="22"/>
    <x v="127"/>
    <x v="96"/>
    <x v="133"/>
    <x v="60"/>
    <x v="166"/>
    <x v="35"/>
    <x v="1"/>
    <x v="3"/>
    <x v="0"/>
    <x v="4"/>
    <x v="3"/>
  </r>
  <r>
    <x v="1"/>
    <x v="568"/>
    <x v="12"/>
    <x v="6"/>
    <x v="5"/>
    <x v="1"/>
    <x v="22"/>
    <x v="42"/>
    <x v="145"/>
    <x v="37"/>
    <x v="22"/>
    <x v="33"/>
    <x v="40"/>
    <x v="1"/>
    <x v="3"/>
    <x v="0"/>
    <x v="4"/>
    <x v="3"/>
  </r>
  <r>
    <x v="1"/>
    <x v="569"/>
    <x v="44"/>
    <x v="6"/>
    <x v="88"/>
    <x v="2"/>
    <x v="3"/>
    <x v="104"/>
    <x v="112"/>
    <x v="100"/>
    <x v="66"/>
    <x v="159"/>
    <x v="41"/>
    <x v="1"/>
    <x v="3"/>
    <x v="0"/>
    <x v="4"/>
    <x v="3"/>
  </r>
  <r>
    <x v="1"/>
    <x v="570"/>
    <x v="2"/>
    <x v="6"/>
    <x v="35"/>
    <x v="0"/>
    <x v="22"/>
    <x v="82"/>
    <x v="122"/>
    <x v="79"/>
    <x v="22"/>
    <x v="58"/>
    <x v="43"/>
    <x v="1"/>
    <x v="3"/>
    <x v="0"/>
    <x v="4"/>
    <x v="3"/>
  </r>
  <r>
    <x v="1"/>
    <x v="571"/>
    <x v="20"/>
    <x v="6"/>
    <x v="80"/>
    <x v="0"/>
    <x v="13"/>
    <x v="24"/>
    <x v="92"/>
    <x v="18"/>
    <x v="91"/>
    <x v="179"/>
    <x v="46"/>
    <x v="1"/>
    <x v="3"/>
    <x v="0"/>
    <x v="4"/>
    <x v="3"/>
  </r>
  <r>
    <x v="1"/>
    <x v="572"/>
    <x v="79"/>
    <x v="6"/>
    <x v="94"/>
    <x v="5"/>
    <x v="19"/>
    <x v="43"/>
    <x v="115"/>
    <x v="39"/>
    <x v="78"/>
    <x v="73"/>
    <x v="47"/>
    <x v="1"/>
    <x v="3"/>
    <x v="0"/>
    <x v="4"/>
    <x v="3"/>
  </r>
  <r>
    <x v="1"/>
    <x v="573"/>
    <x v="13"/>
    <x v="6"/>
    <x v="64"/>
    <x v="1"/>
    <x v="22"/>
    <x v="6"/>
    <x v="80"/>
    <x v="8"/>
    <x v="28"/>
    <x v="83"/>
    <x v="48"/>
    <x v="1"/>
    <x v="3"/>
    <x v="0"/>
    <x v="4"/>
    <x v="3"/>
  </r>
  <r>
    <x v="1"/>
    <x v="574"/>
    <x v="54"/>
    <x v="6"/>
    <x v="44"/>
    <x v="0"/>
    <x v="22"/>
    <x v="133"/>
    <x v="10"/>
    <x v="134"/>
    <x v="88"/>
    <x v="172"/>
    <x v="50"/>
    <x v="1"/>
    <x v="3"/>
    <x v="0"/>
    <x v="4"/>
    <x v="3"/>
  </r>
  <r>
    <x v="1"/>
    <x v="575"/>
    <x v="56"/>
    <x v="6"/>
    <x v="1"/>
    <x v="0"/>
    <x v="22"/>
    <x v="59"/>
    <x v="110"/>
    <x v="55"/>
    <x v="61"/>
    <x v="146"/>
    <x v="52"/>
    <x v="1"/>
    <x v="3"/>
    <x v="0"/>
    <x v="4"/>
    <x v="3"/>
  </r>
  <r>
    <x v="1"/>
    <x v="576"/>
    <x v="3"/>
    <x v="6"/>
    <x v="8"/>
    <x v="1"/>
    <x v="10"/>
    <x v="22"/>
    <x v="140"/>
    <x v="17"/>
    <x v="57"/>
    <x v="141"/>
    <x v="53"/>
    <x v="1"/>
    <x v="3"/>
    <x v="0"/>
    <x v="4"/>
    <x v="3"/>
  </r>
  <r>
    <x v="1"/>
    <x v="577"/>
    <x v="43"/>
    <x v="6"/>
    <x v="3"/>
    <x v="0"/>
    <x v="13"/>
    <x v="5"/>
    <x v="124"/>
    <x v="2"/>
    <x v="43"/>
    <x v="118"/>
    <x v="55"/>
    <x v="1"/>
    <x v="3"/>
    <x v="0"/>
    <x v="4"/>
    <x v="3"/>
  </r>
  <r>
    <x v="1"/>
    <x v="578"/>
    <x v="64"/>
    <x v="6"/>
    <x v="21"/>
    <x v="0"/>
    <x v="10"/>
    <x v="112"/>
    <x v="34"/>
    <x v="114"/>
    <x v="56"/>
    <x v="140"/>
    <x v="56"/>
    <x v="1"/>
    <x v="3"/>
    <x v="0"/>
    <x v="4"/>
    <x v="3"/>
  </r>
  <r>
    <x v="1"/>
    <x v="579"/>
    <x v="10"/>
    <x v="6"/>
    <x v="12"/>
    <x v="0"/>
    <x v="22"/>
    <x v="37"/>
    <x v="7"/>
    <x v="27"/>
    <x v="86"/>
    <x v="177"/>
    <x v="57"/>
    <x v="1"/>
    <x v="3"/>
    <x v="0"/>
    <x v="4"/>
    <x v="3"/>
  </r>
  <r>
    <x v="1"/>
    <x v="580"/>
    <x v="33"/>
    <x v="6"/>
    <x v="31"/>
    <x v="1"/>
    <x v="10"/>
    <x v="145"/>
    <x v="55"/>
    <x v="147"/>
    <x v="77"/>
    <x v="160"/>
    <x v="59"/>
    <x v="1"/>
    <x v="3"/>
    <x v="0"/>
    <x v="4"/>
    <x v="3"/>
  </r>
  <r>
    <x v="1"/>
    <x v="581"/>
    <x v="75"/>
    <x v="6"/>
    <x v="71"/>
    <x v="1"/>
    <x v="12"/>
    <x v="29"/>
    <x v="134"/>
    <x v="30"/>
    <x v="93"/>
    <x v="2"/>
    <x v="63"/>
    <x v="1"/>
    <x v="3"/>
    <x v="0"/>
    <x v="4"/>
    <x v="3"/>
  </r>
  <r>
    <x v="1"/>
    <x v="582"/>
    <x v="45"/>
    <x v="6"/>
    <x v="90"/>
    <x v="0"/>
    <x v="5"/>
    <x v="97"/>
    <x v="101"/>
    <x v="87"/>
    <x v="20"/>
    <x v="53"/>
    <x v="64"/>
    <x v="1"/>
    <x v="3"/>
    <x v="0"/>
    <x v="4"/>
    <x v="3"/>
  </r>
  <r>
    <x v="1"/>
    <x v="583"/>
    <x v="22"/>
    <x v="6"/>
    <x v="38"/>
    <x v="0"/>
    <x v="22"/>
    <x v="124"/>
    <x v="79"/>
    <x v="125"/>
    <x v="22"/>
    <x v="59"/>
    <x v="65"/>
    <x v="1"/>
    <x v="3"/>
    <x v="0"/>
    <x v="4"/>
    <x v="3"/>
  </r>
  <r>
    <x v="1"/>
    <x v="780"/>
    <x v="58"/>
    <x v="6"/>
    <x v="75"/>
    <x v="9"/>
    <x v="13"/>
    <x v="76"/>
    <x v="32"/>
    <x v="108"/>
    <x v="53"/>
    <x v="67"/>
    <x v="66"/>
    <x v="1"/>
    <x v="3"/>
    <x v="0"/>
    <x v="4"/>
    <x v="3"/>
  </r>
  <r>
    <x v="1"/>
    <x v="584"/>
    <x v="16"/>
    <x v="6"/>
    <x v="69"/>
    <x v="1"/>
    <x v="22"/>
    <x v="27"/>
    <x v="42"/>
    <x v="22"/>
    <x v="11"/>
    <x v="38"/>
    <x v="67"/>
    <x v="1"/>
    <x v="3"/>
    <x v="0"/>
    <x v="4"/>
    <x v="3"/>
  </r>
  <r>
    <x v="1"/>
    <x v="585"/>
    <x v="35"/>
    <x v="6"/>
    <x v="18"/>
    <x v="0"/>
    <x v="22"/>
    <x v="48"/>
    <x v="58"/>
    <x v="47"/>
    <x v="58"/>
    <x v="143"/>
    <x v="70"/>
    <x v="1"/>
    <x v="3"/>
    <x v="0"/>
    <x v="4"/>
    <x v="3"/>
  </r>
  <r>
    <x v="1"/>
    <x v="586"/>
    <x v="0"/>
    <x v="6"/>
    <x v="91"/>
    <x v="0"/>
    <x v="9"/>
    <x v="7"/>
    <x v="23"/>
    <x v="3"/>
    <x v="80"/>
    <x v="74"/>
    <x v="72"/>
    <x v="1"/>
    <x v="3"/>
    <x v="0"/>
    <x v="4"/>
    <x v="3"/>
  </r>
  <r>
    <x v="1"/>
    <x v="587"/>
    <x v="59"/>
    <x v="6"/>
    <x v="70"/>
    <x v="0"/>
    <x v="10"/>
    <x v="139"/>
    <x v="1"/>
    <x v="135"/>
    <x v="62"/>
    <x v="0"/>
    <x v="77"/>
    <x v="1"/>
    <x v="3"/>
    <x v="0"/>
    <x v="4"/>
    <x v="3"/>
  </r>
  <r>
    <x v="1"/>
    <x v="588"/>
    <x v="23"/>
    <x v="6"/>
    <x v="16"/>
    <x v="1"/>
    <x v="17"/>
    <x v="4"/>
    <x v="44"/>
    <x v="1"/>
    <x v="24"/>
    <x v="71"/>
    <x v="78"/>
    <x v="1"/>
    <x v="3"/>
    <x v="0"/>
    <x v="4"/>
    <x v="3"/>
  </r>
  <r>
    <x v="1"/>
    <x v="589"/>
    <x v="94"/>
    <x v="6"/>
    <x v="26"/>
    <x v="0"/>
    <x v="10"/>
    <x v="9"/>
    <x v="36"/>
    <x v="5"/>
    <x v="6"/>
    <x v="19"/>
    <x v="79"/>
    <x v="1"/>
    <x v="3"/>
    <x v="0"/>
    <x v="4"/>
    <x v="3"/>
  </r>
  <r>
    <x v="1"/>
    <x v="590"/>
    <x v="67"/>
    <x v="6"/>
    <x v="9"/>
    <x v="0"/>
    <x v="17"/>
    <x v="10"/>
    <x v="5"/>
    <x v="21"/>
    <x v="7"/>
    <x v="20"/>
    <x v="80"/>
    <x v="1"/>
    <x v="3"/>
    <x v="0"/>
    <x v="4"/>
    <x v="3"/>
  </r>
  <r>
    <x v="1"/>
    <x v="591"/>
    <x v="30"/>
    <x v="6"/>
    <x v="27"/>
    <x v="1"/>
    <x v="4"/>
    <x v="32"/>
    <x v="100"/>
    <x v="24"/>
    <x v="31"/>
    <x v="88"/>
    <x v="82"/>
    <x v="1"/>
    <x v="3"/>
    <x v="0"/>
    <x v="4"/>
    <x v="3"/>
  </r>
  <r>
    <x v="1"/>
    <x v="592"/>
    <x v="37"/>
    <x v="6"/>
    <x v="34"/>
    <x v="0"/>
    <x v="22"/>
    <x v="15"/>
    <x v="102"/>
    <x v="11"/>
    <x v="71"/>
    <x v="50"/>
    <x v="84"/>
    <x v="1"/>
    <x v="3"/>
    <x v="0"/>
    <x v="4"/>
    <x v="3"/>
  </r>
  <r>
    <x v="1"/>
    <x v="593"/>
    <x v="28"/>
    <x v="6"/>
    <x v="37"/>
    <x v="1"/>
    <x v="13"/>
    <x v="41"/>
    <x v="76"/>
    <x v="38"/>
    <x v="81"/>
    <x v="162"/>
    <x v="85"/>
    <x v="1"/>
    <x v="3"/>
    <x v="0"/>
    <x v="4"/>
    <x v="3"/>
  </r>
  <r>
    <x v="1"/>
    <x v="594"/>
    <x v="65"/>
    <x v="6"/>
    <x v="83"/>
    <x v="0"/>
    <x v="13"/>
    <x v="25"/>
    <x v="138"/>
    <x v="19"/>
    <x v="49"/>
    <x v="126"/>
    <x v="89"/>
    <x v="1"/>
    <x v="3"/>
    <x v="0"/>
    <x v="4"/>
    <x v="3"/>
  </r>
  <r>
    <x v="1"/>
    <x v="595"/>
    <x v="14"/>
    <x v="6"/>
    <x v="50"/>
    <x v="1"/>
    <x v="13"/>
    <x v="137"/>
    <x v="103"/>
    <x v="138"/>
    <x v="4"/>
    <x v="96"/>
    <x v="91"/>
    <x v="1"/>
    <x v="3"/>
    <x v="0"/>
    <x v="4"/>
    <x v="3"/>
  </r>
  <r>
    <x v="1"/>
    <x v="596"/>
    <x v="21"/>
    <x v="6"/>
    <x v="11"/>
    <x v="0"/>
    <x v="10"/>
    <x v="57"/>
    <x v="118"/>
    <x v="53"/>
    <x v="84"/>
    <x v="171"/>
    <x v="92"/>
    <x v="1"/>
    <x v="3"/>
    <x v="0"/>
    <x v="4"/>
    <x v="3"/>
  </r>
  <r>
    <x v="1"/>
    <x v="597"/>
    <x v="50"/>
    <x v="6"/>
    <x v="68"/>
    <x v="0"/>
    <x v="22"/>
    <x v="81"/>
    <x v="97"/>
    <x v="78"/>
    <x v="28"/>
    <x v="83"/>
    <x v="95"/>
    <x v="1"/>
    <x v="3"/>
    <x v="0"/>
    <x v="4"/>
    <x v="3"/>
  </r>
  <r>
    <x v="1"/>
    <x v="791"/>
    <x v="98"/>
    <x v="0"/>
    <x v="97"/>
    <x v="29"/>
    <x v="23"/>
    <x v="148"/>
    <x v="149"/>
    <x v="148"/>
    <x v="97"/>
    <x v="185"/>
    <x v="96"/>
    <x v="9"/>
    <x v="3"/>
    <x v="0"/>
    <x v="4"/>
    <x v="3"/>
  </r>
  <r>
    <x v="1"/>
    <x v="598"/>
    <x v="7"/>
    <x v="0"/>
    <x v="14"/>
    <x v="0"/>
    <x v="17"/>
    <x v="147"/>
    <x v="6"/>
    <x v="140"/>
    <x v="35"/>
    <x v="89"/>
    <x v="81"/>
    <x v="3"/>
    <x v="3"/>
    <x v="0"/>
    <x v="4"/>
    <x v="3"/>
  </r>
  <r>
    <x v="1"/>
    <x v="599"/>
    <x v="82"/>
    <x v="0"/>
    <x v="74"/>
    <x v="10"/>
    <x v="2"/>
    <x v="132"/>
    <x v="83"/>
    <x v="131"/>
    <x v="5"/>
    <x v="10"/>
    <x v="2"/>
    <x v="3"/>
    <x v="3"/>
    <x v="0"/>
    <x v="4"/>
    <x v="3"/>
  </r>
  <r>
    <x v="1"/>
    <x v="600"/>
    <x v="5"/>
    <x v="0"/>
    <x v="19"/>
    <x v="0"/>
    <x v="18"/>
    <x v="87"/>
    <x v="93"/>
    <x v="76"/>
    <x v="27"/>
    <x v="161"/>
    <x v="10"/>
    <x v="3"/>
    <x v="3"/>
    <x v="0"/>
    <x v="4"/>
    <x v="3"/>
  </r>
  <r>
    <x v="1"/>
    <x v="601"/>
    <x v="15"/>
    <x v="0"/>
    <x v="51"/>
    <x v="1"/>
    <x v="17"/>
    <x v="21"/>
    <x v="51"/>
    <x v="42"/>
    <x v="44"/>
    <x v="119"/>
    <x v="25"/>
    <x v="3"/>
    <x v="3"/>
    <x v="0"/>
    <x v="4"/>
    <x v="3"/>
  </r>
  <r>
    <x v="1"/>
    <x v="602"/>
    <x v="6"/>
    <x v="0"/>
    <x v="62"/>
    <x v="3"/>
    <x v="17"/>
    <x v="65"/>
    <x v="137"/>
    <x v="64"/>
    <x v="69"/>
    <x v="22"/>
    <x v="31"/>
    <x v="3"/>
    <x v="3"/>
    <x v="0"/>
    <x v="4"/>
    <x v="3"/>
  </r>
  <r>
    <x v="1"/>
    <x v="603"/>
    <x v="78"/>
    <x v="0"/>
    <x v="41"/>
    <x v="7"/>
    <x v="22"/>
    <x v="106"/>
    <x v="123"/>
    <x v="101"/>
    <x v="16"/>
    <x v="45"/>
    <x v="76"/>
    <x v="3"/>
    <x v="3"/>
    <x v="0"/>
    <x v="4"/>
    <x v="3"/>
  </r>
  <r>
    <x v="1"/>
    <x v="604"/>
    <x v="77"/>
    <x v="0"/>
    <x v="78"/>
    <x v="4"/>
    <x v="21"/>
    <x v="51"/>
    <x v="89"/>
    <x v="50"/>
    <x v="79"/>
    <x v="77"/>
    <x v="0"/>
    <x v="3"/>
    <x v="3"/>
    <x v="0"/>
    <x v="4"/>
    <x v="3"/>
  </r>
  <r>
    <x v="1"/>
    <x v="605"/>
    <x v="90"/>
    <x v="0"/>
    <x v="87"/>
    <x v="1"/>
    <x v="6"/>
    <x v="90"/>
    <x v="21"/>
    <x v="93"/>
    <x v="23"/>
    <x v="65"/>
    <x v="3"/>
    <x v="3"/>
    <x v="3"/>
    <x v="0"/>
    <x v="4"/>
    <x v="3"/>
  </r>
  <r>
    <x v="1"/>
    <x v="606"/>
    <x v="9"/>
    <x v="0"/>
    <x v="49"/>
    <x v="0"/>
    <x v="10"/>
    <x v="14"/>
    <x v="61"/>
    <x v="16"/>
    <x v="73"/>
    <x v="56"/>
    <x v="6"/>
    <x v="3"/>
    <x v="3"/>
    <x v="0"/>
    <x v="4"/>
    <x v="3"/>
  </r>
  <r>
    <x v="1"/>
    <x v="607"/>
    <x v="89"/>
    <x v="0"/>
    <x v="66"/>
    <x v="0"/>
    <x v="17"/>
    <x v="39"/>
    <x v="98"/>
    <x v="34"/>
    <x v="36"/>
    <x v="108"/>
    <x v="11"/>
    <x v="3"/>
    <x v="3"/>
    <x v="0"/>
    <x v="4"/>
    <x v="3"/>
  </r>
  <r>
    <x v="1"/>
    <x v="608"/>
    <x v="87"/>
    <x v="0"/>
    <x v="59"/>
    <x v="1"/>
    <x v="17"/>
    <x v="121"/>
    <x v="30"/>
    <x v="124"/>
    <x v="38"/>
    <x v="111"/>
    <x v="14"/>
    <x v="3"/>
    <x v="3"/>
    <x v="0"/>
    <x v="4"/>
    <x v="3"/>
  </r>
  <r>
    <x v="1"/>
    <x v="609"/>
    <x v="41"/>
    <x v="0"/>
    <x v="22"/>
    <x v="0"/>
    <x v="22"/>
    <x v="30"/>
    <x v="147"/>
    <x v="0"/>
    <x v="76"/>
    <x v="8"/>
    <x v="16"/>
    <x v="3"/>
    <x v="3"/>
    <x v="0"/>
    <x v="4"/>
    <x v="3"/>
  </r>
  <r>
    <x v="1"/>
    <x v="610"/>
    <x v="36"/>
    <x v="0"/>
    <x v="40"/>
    <x v="0"/>
    <x v="22"/>
    <x v="89"/>
    <x v="78"/>
    <x v="84"/>
    <x v="10"/>
    <x v="35"/>
    <x v="17"/>
    <x v="3"/>
    <x v="3"/>
    <x v="0"/>
    <x v="4"/>
    <x v="3"/>
  </r>
  <r>
    <x v="1"/>
    <x v="611"/>
    <x v="51"/>
    <x v="0"/>
    <x v="15"/>
    <x v="0"/>
    <x v="22"/>
    <x v="103"/>
    <x v="117"/>
    <x v="91"/>
    <x v="21"/>
    <x v="55"/>
    <x v="20"/>
    <x v="3"/>
    <x v="3"/>
    <x v="0"/>
    <x v="4"/>
    <x v="3"/>
  </r>
  <r>
    <x v="1"/>
    <x v="612"/>
    <x v="76"/>
    <x v="0"/>
    <x v="28"/>
    <x v="1"/>
    <x v="10"/>
    <x v="71"/>
    <x v="130"/>
    <x v="65"/>
    <x v="68"/>
    <x v="14"/>
    <x v="23"/>
    <x v="3"/>
    <x v="3"/>
    <x v="0"/>
    <x v="4"/>
    <x v="3"/>
  </r>
  <r>
    <x v="1"/>
    <x v="783"/>
    <x v="93"/>
    <x v="0"/>
    <x v="77"/>
    <x v="5"/>
    <x v="17"/>
    <x v="73"/>
    <x v="70"/>
    <x v="72"/>
    <x v="32"/>
    <x v="106"/>
    <x v="27"/>
    <x v="3"/>
    <x v="3"/>
    <x v="0"/>
    <x v="4"/>
    <x v="3"/>
  </r>
  <r>
    <x v="1"/>
    <x v="614"/>
    <x v="46"/>
    <x v="0"/>
    <x v="76"/>
    <x v="1"/>
    <x v="16"/>
    <x v="23"/>
    <x v="108"/>
    <x v="31"/>
    <x v="51"/>
    <x v="158"/>
    <x v="29"/>
    <x v="3"/>
    <x v="3"/>
    <x v="0"/>
    <x v="4"/>
    <x v="3"/>
  </r>
  <r>
    <x v="1"/>
    <x v="615"/>
    <x v="63"/>
    <x v="0"/>
    <x v="43"/>
    <x v="0"/>
    <x v="17"/>
    <x v="144"/>
    <x v="94"/>
    <x v="146"/>
    <x v="94"/>
    <x v="183"/>
    <x v="32"/>
    <x v="3"/>
    <x v="3"/>
    <x v="0"/>
    <x v="4"/>
    <x v="3"/>
  </r>
  <r>
    <x v="1"/>
    <x v="784"/>
    <x v="57"/>
    <x v="0"/>
    <x v="79"/>
    <x v="1"/>
    <x v="22"/>
    <x v="127"/>
    <x v="96"/>
    <x v="133"/>
    <x v="60"/>
    <x v="165"/>
    <x v="35"/>
    <x v="3"/>
    <x v="3"/>
    <x v="0"/>
    <x v="4"/>
    <x v="3"/>
  </r>
  <r>
    <x v="1"/>
    <x v="616"/>
    <x v="12"/>
    <x v="0"/>
    <x v="5"/>
    <x v="0"/>
    <x v="22"/>
    <x v="101"/>
    <x v="144"/>
    <x v="98"/>
    <x v="22"/>
    <x v="57"/>
    <x v="40"/>
    <x v="3"/>
    <x v="3"/>
    <x v="0"/>
    <x v="4"/>
    <x v="3"/>
  </r>
  <r>
    <x v="1"/>
    <x v="617"/>
    <x v="31"/>
    <x v="0"/>
    <x v="82"/>
    <x v="0"/>
    <x v="22"/>
    <x v="129"/>
    <x v="87"/>
    <x v="28"/>
    <x v="30"/>
    <x v="87"/>
    <x v="42"/>
    <x v="3"/>
    <x v="3"/>
    <x v="0"/>
    <x v="4"/>
    <x v="3"/>
  </r>
  <r>
    <x v="1"/>
    <x v="618"/>
    <x v="2"/>
    <x v="0"/>
    <x v="35"/>
    <x v="1"/>
    <x v="22"/>
    <x v="82"/>
    <x v="122"/>
    <x v="79"/>
    <x v="22"/>
    <x v="58"/>
    <x v="43"/>
    <x v="3"/>
    <x v="3"/>
    <x v="0"/>
    <x v="4"/>
    <x v="3"/>
  </r>
  <r>
    <x v="1"/>
    <x v="619"/>
    <x v="29"/>
    <x v="0"/>
    <x v="61"/>
    <x v="0"/>
    <x v="13"/>
    <x v="125"/>
    <x v="64"/>
    <x v="128"/>
    <x v="12"/>
    <x v="39"/>
    <x v="44"/>
    <x v="3"/>
    <x v="3"/>
    <x v="0"/>
    <x v="4"/>
    <x v="3"/>
  </r>
  <r>
    <x v="1"/>
    <x v="620"/>
    <x v="20"/>
    <x v="0"/>
    <x v="80"/>
    <x v="0"/>
    <x v="13"/>
    <x v="24"/>
    <x v="92"/>
    <x v="18"/>
    <x v="91"/>
    <x v="179"/>
    <x v="46"/>
    <x v="3"/>
    <x v="3"/>
    <x v="0"/>
    <x v="4"/>
    <x v="3"/>
  </r>
  <r>
    <x v="1"/>
    <x v="621"/>
    <x v="3"/>
    <x v="0"/>
    <x v="8"/>
    <x v="0"/>
    <x v="10"/>
    <x v="22"/>
    <x v="140"/>
    <x v="17"/>
    <x v="57"/>
    <x v="141"/>
    <x v="53"/>
    <x v="3"/>
    <x v="3"/>
    <x v="0"/>
    <x v="4"/>
    <x v="3"/>
  </r>
  <r>
    <x v="1"/>
    <x v="622"/>
    <x v="43"/>
    <x v="0"/>
    <x v="3"/>
    <x v="0"/>
    <x v="13"/>
    <x v="5"/>
    <x v="124"/>
    <x v="2"/>
    <x v="43"/>
    <x v="118"/>
    <x v="55"/>
    <x v="3"/>
    <x v="3"/>
    <x v="0"/>
    <x v="4"/>
    <x v="3"/>
  </r>
  <r>
    <x v="1"/>
    <x v="623"/>
    <x v="64"/>
    <x v="0"/>
    <x v="21"/>
    <x v="0"/>
    <x v="10"/>
    <x v="112"/>
    <x v="34"/>
    <x v="114"/>
    <x v="56"/>
    <x v="140"/>
    <x v="56"/>
    <x v="3"/>
    <x v="3"/>
    <x v="0"/>
    <x v="4"/>
    <x v="3"/>
  </r>
  <r>
    <x v="1"/>
    <x v="624"/>
    <x v="10"/>
    <x v="0"/>
    <x v="12"/>
    <x v="0"/>
    <x v="22"/>
    <x v="37"/>
    <x v="7"/>
    <x v="27"/>
    <x v="86"/>
    <x v="177"/>
    <x v="57"/>
    <x v="3"/>
    <x v="3"/>
    <x v="0"/>
    <x v="4"/>
    <x v="3"/>
  </r>
  <r>
    <x v="1"/>
    <x v="625"/>
    <x v="72"/>
    <x v="0"/>
    <x v="47"/>
    <x v="0"/>
    <x v="17"/>
    <x v="11"/>
    <x v="9"/>
    <x v="6"/>
    <x v="50"/>
    <x v="127"/>
    <x v="58"/>
    <x v="3"/>
    <x v="3"/>
    <x v="0"/>
    <x v="4"/>
    <x v="3"/>
  </r>
  <r>
    <x v="1"/>
    <x v="626"/>
    <x v="33"/>
    <x v="0"/>
    <x v="31"/>
    <x v="0"/>
    <x v="10"/>
    <x v="145"/>
    <x v="55"/>
    <x v="147"/>
    <x v="77"/>
    <x v="160"/>
    <x v="59"/>
    <x v="3"/>
    <x v="3"/>
    <x v="0"/>
    <x v="4"/>
    <x v="3"/>
  </r>
  <r>
    <x v="1"/>
    <x v="627"/>
    <x v="83"/>
    <x v="0"/>
    <x v="73"/>
    <x v="0"/>
    <x v="7"/>
    <x v="19"/>
    <x v="38"/>
    <x v="12"/>
    <x v="54"/>
    <x v="156"/>
    <x v="60"/>
    <x v="3"/>
    <x v="3"/>
    <x v="0"/>
    <x v="4"/>
    <x v="3"/>
  </r>
  <r>
    <x v="1"/>
    <x v="628"/>
    <x v="22"/>
    <x v="0"/>
    <x v="38"/>
    <x v="0"/>
    <x v="22"/>
    <x v="124"/>
    <x v="79"/>
    <x v="125"/>
    <x v="22"/>
    <x v="59"/>
    <x v="65"/>
    <x v="3"/>
    <x v="3"/>
    <x v="0"/>
    <x v="4"/>
    <x v="3"/>
  </r>
  <r>
    <x v="1"/>
    <x v="629"/>
    <x v="58"/>
    <x v="0"/>
    <x v="75"/>
    <x v="0"/>
    <x v="13"/>
    <x v="25"/>
    <x v="26"/>
    <x v="19"/>
    <x v="53"/>
    <x v="94"/>
    <x v="66"/>
    <x v="3"/>
    <x v="3"/>
    <x v="0"/>
    <x v="4"/>
    <x v="3"/>
  </r>
  <r>
    <x v="1"/>
    <x v="630"/>
    <x v="16"/>
    <x v="0"/>
    <x v="69"/>
    <x v="0"/>
    <x v="22"/>
    <x v="27"/>
    <x v="42"/>
    <x v="22"/>
    <x v="11"/>
    <x v="38"/>
    <x v="67"/>
    <x v="3"/>
    <x v="3"/>
    <x v="0"/>
    <x v="4"/>
    <x v="3"/>
  </r>
  <r>
    <x v="1"/>
    <x v="631"/>
    <x v="96"/>
    <x v="0"/>
    <x v="46"/>
    <x v="0"/>
    <x v="10"/>
    <x v="99"/>
    <x v="77"/>
    <x v="89"/>
    <x v="8"/>
    <x v="26"/>
    <x v="69"/>
    <x v="3"/>
    <x v="3"/>
    <x v="0"/>
    <x v="4"/>
    <x v="3"/>
  </r>
  <r>
    <x v="1"/>
    <x v="613"/>
    <x v="38"/>
    <x v="0"/>
    <x v="84"/>
    <x v="0"/>
    <x v="22"/>
    <x v="122"/>
    <x v="47"/>
    <x v="48"/>
    <x v="41"/>
    <x v="114"/>
    <x v="71"/>
    <x v="3"/>
    <x v="3"/>
    <x v="0"/>
    <x v="4"/>
    <x v="3"/>
  </r>
  <r>
    <x v="1"/>
    <x v="632"/>
    <x v="26"/>
    <x v="0"/>
    <x v="58"/>
    <x v="0"/>
    <x v="13"/>
    <x v="61"/>
    <x v="63"/>
    <x v="61"/>
    <x v="45"/>
    <x v="122"/>
    <x v="74"/>
    <x v="3"/>
    <x v="3"/>
    <x v="0"/>
    <x v="4"/>
    <x v="3"/>
  </r>
  <r>
    <x v="1"/>
    <x v="633"/>
    <x v="59"/>
    <x v="0"/>
    <x v="70"/>
    <x v="0"/>
    <x v="10"/>
    <x v="139"/>
    <x v="1"/>
    <x v="135"/>
    <x v="62"/>
    <x v="0"/>
    <x v="77"/>
    <x v="3"/>
    <x v="3"/>
    <x v="0"/>
    <x v="4"/>
    <x v="3"/>
  </r>
  <r>
    <x v="1"/>
    <x v="634"/>
    <x v="67"/>
    <x v="0"/>
    <x v="9"/>
    <x v="0"/>
    <x v="17"/>
    <x v="10"/>
    <x v="5"/>
    <x v="21"/>
    <x v="7"/>
    <x v="20"/>
    <x v="80"/>
    <x v="3"/>
    <x v="3"/>
    <x v="0"/>
    <x v="4"/>
    <x v="3"/>
  </r>
  <r>
    <x v="1"/>
    <x v="635"/>
    <x v="30"/>
    <x v="0"/>
    <x v="27"/>
    <x v="0"/>
    <x v="4"/>
    <x v="32"/>
    <x v="100"/>
    <x v="24"/>
    <x v="31"/>
    <x v="88"/>
    <x v="82"/>
    <x v="3"/>
    <x v="3"/>
    <x v="0"/>
    <x v="4"/>
    <x v="3"/>
  </r>
  <r>
    <x v="1"/>
    <x v="636"/>
    <x v="48"/>
    <x v="0"/>
    <x v="13"/>
    <x v="0"/>
    <x v="10"/>
    <x v="88"/>
    <x v="62"/>
    <x v="83"/>
    <x v="74"/>
    <x v="15"/>
    <x v="86"/>
    <x v="3"/>
    <x v="3"/>
    <x v="0"/>
    <x v="4"/>
    <x v="3"/>
  </r>
  <r>
    <x v="1"/>
    <x v="637"/>
    <x v="55"/>
    <x v="0"/>
    <x v="2"/>
    <x v="0"/>
    <x v="22"/>
    <x v="45"/>
    <x v="125"/>
    <x v="41"/>
    <x v="18"/>
    <x v="47"/>
    <x v="87"/>
    <x v="3"/>
    <x v="3"/>
    <x v="0"/>
    <x v="4"/>
    <x v="3"/>
  </r>
  <r>
    <x v="1"/>
    <x v="638"/>
    <x v="65"/>
    <x v="0"/>
    <x v="83"/>
    <x v="0"/>
    <x v="13"/>
    <x v="25"/>
    <x v="138"/>
    <x v="19"/>
    <x v="49"/>
    <x v="126"/>
    <x v="89"/>
    <x v="3"/>
    <x v="3"/>
    <x v="0"/>
    <x v="4"/>
    <x v="3"/>
  </r>
  <r>
    <x v="1"/>
    <x v="639"/>
    <x v="14"/>
    <x v="0"/>
    <x v="50"/>
    <x v="0"/>
    <x v="13"/>
    <x v="137"/>
    <x v="103"/>
    <x v="138"/>
    <x v="4"/>
    <x v="96"/>
    <x v="91"/>
    <x v="3"/>
    <x v="3"/>
    <x v="0"/>
    <x v="4"/>
    <x v="3"/>
  </r>
  <r>
    <x v="1"/>
    <x v="640"/>
    <x v="88"/>
    <x v="0"/>
    <x v="45"/>
    <x v="0"/>
    <x v="17"/>
    <x v="38"/>
    <x v="56"/>
    <x v="33"/>
    <x v="37"/>
    <x v="90"/>
    <x v="93"/>
    <x v="3"/>
    <x v="3"/>
    <x v="0"/>
    <x v="4"/>
    <x v="3"/>
  </r>
  <r>
    <x v="1"/>
    <x v="641"/>
    <x v="68"/>
    <x v="0"/>
    <x v="17"/>
    <x v="0"/>
    <x v="22"/>
    <x v="28"/>
    <x v="82"/>
    <x v="29"/>
    <x v="2"/>
    <x v="9"/>
    <x v="94"/>
    <x v="3"/>
    <x v="3"/>
    <x v="0"/>
    <x v="4"/>
    <x v="3"/>
  </r>
  <r>
    <x v="1"/>
    <x v="642"/>
    <x v="50"/>
    <x v="0"/>
    <x v="68"/>
    <x v="0"/>
    <x v="22"/>
    <x v="81"/>
    <x v="97"/>
    <x v="78"/>
    <x v="28"/>
    <x v="83"/>
    <x v="95"/>
    <x v="3"/>
    <x v="3"/>
    <x v="0"/>
    <x v="4"/>
    <x v="3"/>
  </r>
  <r>
    <x v="1"/>
    <x v="643"/>
    <x v="52"/>
    <x v="0"/>
    <x v="55"/>
    <x v="0"/>
    <x v="22"/>
    <x v="34"/>
    <x v="120"/>
    <x v="35"/>
    <x v="1"/>
    <x v="4"/>
    <x v="33"/>
    <x v="3"/>
    <x v="3"/>
    <x v="0"/>
    <x v="4"/>
    <x v="3"/>
  </r>
  <r>
    <x v="1"/>
    <x v="644"/>
    <x v="84"/>
    <x v="0"/>
    <x v="72"/>
    <x v="0"/>
    <x v="22"/>
    <x v="119"/>
    <x v="88"/>
    <x v="122"/>
    <x v="17"/>
    <x v="46"/>
    <x v="36"/>
    <x v="3"/>
    <x v="3"/>
    <x v="0"/>
    <x v="4"/>
    <x v="3"/>
  </r>
  <r>
    <x v="1"/>
    <x v="645"/>
    <x v="39"/>
    <x v="0"/>
    <x v="57"/>
    <x v="2"/>
    <x v="22"/>
    <x v="16"/>
    <x v="121"/>
    <x v="14"/>
    <x v="64"/>
    <x v="76"/>
    <x v="96"/>
    <x v="3"/>
    <x v="3"/>
    <x v="0"/>
    <x v="4"/>
    <x v="3"/>
  </r>
  <r>
    <x v="1"/>
    <x v="791"/>
    <x v="98"/>
    <x v="16"/>
    <x v="97"/>
    <x v="31"/>
    <x v="23"/>
    <x v="148"/>
    <x v="149"/>
    <x v="148"/>
    <x v="97"/>
    <x v="185"/>
    <x v="96"/>
    <x v="9"/>
    <x v="3"/>
    <x v="0"/>
    <x v="4"/>
    <x v="3"/>
  </r>
  <r>
    <x v="1"/>
    <x v="646"/>
    <x v="82"/>
    <x v="16"/>
    <x v="74"/>
    <x v="3"/>
    <x v="2"/>
    <x v="132"/>
    <x v="83"/>
    <x v="131"/>
    <x v="5"/>
    <x v="18"/>
    <x v="2"/>
    <x v="6"/>
    <x v="3"/>
    <x v="0"/>
    <x v="4"/>
    <x v="3"/>
  </r>
  <r>
    <x v="1"/>
    <x v="647"/>
    <x v="5"/>
    <x v="16"/>
    <x v="19"/>
    <x v="2"/>
    <x v="18"/>
    <x v="87"/>
    <x v="93"/>
    <x v="76"/>
    <x v="27"/>
    <x v="81"/>
    <x v="10"/>
    <x v="1"/>
    <x v="3"/>
    <x v="0"/>
    <x v="3"/>
    <x v="3"/>
  </r>
  <r>
    <x v="1"/>
    <x v="648"/>
    <x v="15"/>
    <x v="16"/>
    <x v="51"/>
    <x v="6"/>
    <x v="17"/>
    <x v="21"/>
    <x v="51"/>
    <x v="42"/>
    <x v="44"/>
    <x v="119"/>
    <x v="25"/>
    <x v="1"/>
    <x v="3"/>
    <x v="0"/>
    <x v="3"/>
    <x v="3"/>
  </r>
  <r>
    <x v="1"/>
    <x v="649"/>
    <x v="78"/>
    <x v="16"/>
    <x v="41"/>
    <x v="0"/>
    <x v="22"/>
    <x v="106"/>
    <x v="123"/>
    <x v="101"/>
    <x v="16"/>
    <x v="45"/>
    <x v="76"/>
    <x v="1"/>
    <x v="3"/>
    <x v="0"/>
    <x v="3"/>
    <x v="3"/>
  </r>
  <r>
    <x v="1"/>
    <x v="650"/>
    <x v="77"/>
    <x v="16"/>
    <x v="78"/>
    <x v="1"/>
    <x v="21"/>
    <x v="51"/>
    <x v="89"/>
    <x v="50"/>
    <x v="79"/>
    <x v="77"/>
    <x v="0"/>
    <x v="1"/>
    <x v="3"/>
    <x v="0"/>
    <x v="3"/>
    <x v="3"/>
  </r>
  <r>
    <x v="1"/>
    <x v="651"/>
    <x v="1"/>
    <x v="16"/>
    <x v="30"/>
    <x v="1"/>
    <x v="22"/>
    <x v="98"/>
    <x v="114"/>
    <x v="88"/>
    <x v="65"/>
    <x v="21"/>
    <x v="4"/>
    <x v="1"/>
    <x v="3"/>
    <x v="0"/>
    <x v="3"/>
    <x v="3"/>
  </r>
  <r>
    <x v="1"/>
    <x v="652"/>
    <x v="47"/>
    <x v="16"/>
    <x v="36"/>
    <x v="0"/>
    <x v="18"/>
    <x v="31"/>
    <x v="41"/>
    <x v="23"/>
    <x v="13"/>
    <x v="40"/>
    <x v="5"/>
    <x v="1"/>
    <x v="3"/>
    <x v="0"/>
    <x v="3"/>
    <x v="3"/>
  </r>
  <r>
    <x v="1"/>
    <x v="653"/>
    <x v="9"/>
    <x v="16"/>
    <x v="49"/>
    <x v="0"/>
    <x v="10"/>
    <x v="14"/>
    <x v="61"/>
    <x v="16"/>
    <x v="73"/>
    <x v="56"/>
    <x v="6"/>
    <x v="1"/>
    <x v="3"/>
    <x v="0"/>
    <x v="4"/>
    <x v="3"/>
  </r>
  <r>
    <x v="1"/>
    <x v="654"/>
    <x v="81"/>
    <x v="16"/>
    <x v="56"/>
    <x v="0"/>
    <x v="22"/>
    <x v="116"/>
    <x v="75"/>
    <x v="121"/>
    <x v="59"/>
    <x v="144"/>
    <x v="8"/>
    <x v="1"/>
    <x v="3"/>
    <x v="0"/>
    <x v="3"/>
    <x v="3"/>
  </r>
  <r>
    <x v="1"/>
    <x v="655"/>
    <x v="85"/>
    <x v="16"/>
    <x v="29"/>
    <x v="0"/>
    <x v="13"/>
    <x v="141"/>
    <x v="29"/>
    <x v="143"/>
    <x v="87"/>
    <x v="170"/>
    <x v="9"/>
    <x v="1"/>
    <x v="3"/>
    <x v="0"/>
    <x v="3"/>
    <x v="3"/>
  </r>
  <r>
    <x v="1"/>
    <x v="656"/>
    <x v="89"/>
    <x v="16"/>
    <x v="66"/>
    <x v="0"/>
    <x v="17"/>
    <x v="39"/>
    <x v="98"/>
    <x v="34"/>
    <x v="36"/>
    <x v="108"/>
    <x v="11"/>
    <x v="1"/>
    <x v="3"/>
    <x v="0"/>
    <x v="3"/>
    <x v="3"/>
  </r>
  <r>
    <x v="1"/>
    <x v="657"/>
    <x v="91"/>
    <x v="16"/>
    <x v="86"/>
    <x v="0"/>
    <x v="20"/>
    <x v="47"/>
    <x v="53"/>
    <x v="45"/>
    <x v="96"/>
    <x v="7"/>
    <x v="12"/>
    <x v="1"/>
    <x v="3"/>
    <x v="0"/>
    <x v="3"/>
    <x v="3"/>
  </r>
  <r>
    <x v="1"/>
    <x v="658"/>
    <x v="8"/>
    <x v="16"/>
    <x v="48"/>
    <x v="0"/>
    <x v="22"/>
    <x v="130"/>
    <x v="40"/>
    <x v="129"/>
    <x v="14"/>
    <x v="42"/>
    <x v="15"/>
    <x v="1"/>
    <x v="3"/>
    <x v="0"/>
    <x v="3"/>
    <x v="3"/>
  </r>
  <r>
    <x v="1"/>
    <x v="659"/>
    <x v="41"/>
    <x v="16"/>
    <x v="22"/>
    <x v="0"/>
    <x v="22"/>
    <x v="30"/>
    <x v="147"/>
    <x v="0"/>
    <x v="76"/>
    <x v="8"/>
    <x v="16"/>
    <x v="1"/>
    <x v="3"/>
    <x v="0"/>
    <x v="3"/>
    <x v="3"/>
  </r>
  <r>
    <x v="1"/>
    <x v="660"/>
    <x v="66"/>
    <x v="16"/>
    <x v="10"/>
    <x v="0"/>
    <x v="13"/>
    <x v="136"/>
    <x v="45"/>
    <x v="137"/>
    <x v="19"/>
    <x v="49"/>
    <x v="18"/>
    <x v="1"/>
    <x v="3"/>
    <x v="0"/>
    <x v="3"/>
    <x v="3"/>
  </r>
  <r>
    <x v="1"/>
    <x v="661"/>
    <x v="4"/>
    <x v="16"/>
    <x v="20"/>
    <x v="1"/>
    <x v="22"/>
    <x v="68"/>
    <x v="49"/>
    <x v="68"/>
    <x v="70"/>
    <x v="69"/>
    <x v="22"/>
    <x v="1"/>
    <x v="3"/>
    <x v="0"/>
    <x v="3"/>
    <x v="3"/>
  </r>
  <r>
    <x v="1"/>
    <x v="662"/>
    <x v="76"/>
    <x v="16"/>
    <x v="28"/>
    <x v="10"/>
    <x v="10"/>
    <x v="71"/>
    <x v="130"/>
    <x v="65"/>
    <x v="68"/>
    <x v="14"/>
    <x v="23"/>
    <x v="1"/>
    <x v="3"/>
    <x v="0"/>
    <x v="3"/>
    <x v="3"/>
  </r>
  <r>
    <x v="1"/>
    <x v="663"/>
    <x v="86"/>
    <x v="16"/>
    <x v="67"/>
    <x v="0"/>
    <x v="22"/>
    <x v="33"/>
    <x v="148"/>
    <x v="25"/>
    <x v="15"/>
    <x v="43"/>
    <x v="24"/>
    <x v="1"/>
    <x v="3"/>
    <x v="0"/>
    <x v="3"/>
    <x v="3"/>
  </r>
  <r>
    <x v="1"/>
    <x v="664"/>
    <x v="62"/>
    <x v="16"/>
    <x v="92"/>
    <x v="0"/>
    <x v="13"/>
    <x v="36"/>
    <x v="39"/>
    <x v="36"/>
    <x v="63"/>
    <x v="180"/>
    <x v="26"/>
    <x v="1"/>
    <x v="3"/>
    <x v="0"/>
    <x v="3"/>
    <x v="3"/>
  </r>
  <r>
    <x v="1"/>
    <x v="785"/>
    <x v="93"/>
    <x v="16"/>
    <x v="77"/>
    <x v="9"/>
    <x v="17"/>
    <x v="91"/>
    <x v="84"/>
    <x v="94"/>
    <x v="32"/>
    <x v="109"/>
    <x v="27"/>
    <x v="1"/>
    <x v="3"/>
    <x v="0"/>
    <x v="3"/>
    <x v="3"/>
  </r>
  <r>
    <x v="1"/>
    <x v="665"/>
    <x v="46"/>
    <x v="16"/>
    <x v="76"/>
    <x v="4"/>
    <x v="16"/>
    <x v="23"/>
    <x v="108"/>
    <x v="31"/>
    <x v="51"/>
    <x v="158"/>
    <x v="29"/>
    <x v="1"/>
    <x v="3"/>
    <x v="0"/>
    <x v="3"/>
    <x v="3"/>
  </r>
  <r>
    <x v="1"/>
    <x v="666"/>
    <x v="63"/>
    <x v="16"/>
    <x v="43"/>
    <x v="0"/>
    <x v="17"/>
    <x v="144"/>
    <x v="94"/>
    <x v="146"/>
    <x v="94"/>
    <x v="183"/>
    <x v="32"/>
    <x v="1"/>
    <x v="3"/>
    <x v="0"/>
    <x v="3"/>
    <x v="3"/>
  </r>
  <r>
    <x v="1"/>
    <x v="667"/>
    <x v="11"/>
    <x v="16"/>
    <x v="95"/>
    <x v="0"/>
    <x v="22"/>
    <x v="94"/>
    <x v="127"/>
    <x v="120"/>
    <x v="83"/>
    <x v="167"/>
    <x v="34"/>
    <x v="1"/>
    <x v="3"/>
    <x v="0"/>
    <x v="3"/>
    <x v="3"/>
  </r>
  <r>
    <x v="1"/>
    <x v="668"/>
    <x v="57"/>
    <x v="16"/>
    <x v="79"/>
    <x v="0"/>
    <x v="22"/>
    <x v="85"/>
    <x v="50"/>
    <x v="81"/>
    <x v="60"/>
    <x v="23"/>
    <x v="35"/>
    <x v="1"/>
    <x v="3"/>
    <x v="0"/>
    <x v="3"/>
    <x v="3"/>
  </r>
  <r>
    <x v="1"/>
    <x v="669"/>
    <x v="74"/>
    <x v="16"/>
    <x v="85"/>
    <x v="0"/>
    <x v="17"/>
    <x v="18"/>
    <x v="52"/>
    <x v="13"/>
    <x v="92"/>
    <x v="36"/>
    <x v="38"/>
    <x v="1"/>
    <x v="3"/>
    <x v="0"/>
    <x v="3"/>
    <x v="3"/>
  </r>
  <r>
    <x v="1"/>
    <x v="670"/>
    <x v="12"/>
    <x v="16"/>
    <x v="5"/>
    <x v="0"/>
    <x v="22"/>
    <x v="101"/>
    <x v="144"/>
    <x v="98"/>
    <x v="22"/>
    <x v="57"/>
    <x v="40"/>
    <x v="1"/>
    <x v="3"/>
    <x v="0"/>
    <x v="3"/>
    <x v="3"/>
  </r>
  <r>
    <x v="1"/>
    <x v="671"/>
    <x v="29"/>
    <x v="16"/>
    <x v="61"/>
    <x v="0"/>
    <x v="13"/>
    <x v="125"/>
    <x v="64"/>
    <x v="128"/>
    <x v="12"/>
    <x v="39"/>
    <x v="44"/>
    <x v="1"/>
    <x v="3"/>
    <x v="0"/>
    <x v="3"/>
    <x v="3"/>
  </r>
  <r>
    <x v="1"/>
    <x v="672"/>
    <x v="20"/>
    <x v="16"/>
    <x v="80"/>
    <x v="0"/>
    <x v="13"/>
    <x v="24"/>
    <x v="92"/>
    <x v="18"/>
    <x v="91"/>
    <x v="179"/>
    <x v="46"/>
    <x v="1"/>
    <x v="3"/>
    <x v="0"/>
    <x v="3"/>
    <x v="3"/>
  </r>
  <r>
    <x v="1"/>
    <x v="673"/>
    <x v="13"/>
    <x v="16"/>
    <x v="64"/>
    <x v="0"/>
    <x v="22"/>
    <x v="6"/>
    <x v="80"/>
    <x v="8"/>
    <x v="28"/>
    <x v="83"/>
    <x v="48"/>
    <x v="1"/>
    <x v="3"/>
    <x v="0"/>
    <x v="3"/>
    <x v="3"/>
  </r>
  <r>
    <x v="1"/>
    <x v="674"/>
    <x v="54"/>
    <x v="16"/>
    <x v="44"/>
    <x v="0"/>
    <x v="22"/>
    <x v="133"/>
    <x v="10"/>
    <x v="134"/>
    <x v="88"/>
    <x v="172"/>
    <x v="50"/>
    <x v="1"/>
    <x v="3"/>
    <x v="0"/>
    <x v="3"/>
    <x v="3"/>
  </r>
  <r>
    <x v="1"/>
    <x v="675"/>
    <x v="56"/>
    <x v="16"/>
    <x v="1"/>
    <x v="0"/>
    <x v="22"/>
    <x v="59"/>
    <x v="110"/>
    <x v="55"/>
    <x v="61"/>
    <x v="146"/>
    <x v="52"/>
    <x v="1"/>
    <x v="3"/>
    <x v="0"/>
    <x v="3"/>
    <x v="3"/>
  </r>
  <r>
    <x v="1"/>
    <x v="676"/>
    <x v="3"/>
    <x v="16"/>
    <x v="8"/>
    <x v="0"/>
    <x v="10"/>
    <x v="22"/>
    <x v="140"/>
    <x v="17"/>
    <x v="57"/>
    <x v="141"/>
    <x v="53"/>
    <x v="1"/>
    <x v="3"/>
    <x v="0"/>
    <x v="3"/>
    <x v="3"/>
  </r>
  <r>
    <x v="1"/>
    <x v="677"/>
    <x v="10"/>
    <x v="16"/>
    <x v="12"/>
    <x v="0"/>
    <x v="22"/>
    <x v="37"/>
    <x v="7"/>
    <x v="27"/>
    <x v="86"/>
    <x v="177"/>
    <x v="57"/>
    <x v="1"/>
    <x v="3"/>
    <x v="0"/>
    <x v="3"/>
    <x v="3"/>
  </r>
  <r>
    <x v="1"/>
    <x v="678"/>
    <x v="72"/>
    <x v="16"/>
    <x v="47"/>
    <x v="0"/>
    <x v="17"/>
    <x v="11"/>
    <x v="9"/>
    <x v="6"/>
    <x v="50"/>
    <x v="127"/>
    <x v="58"/>
    <x v="1"/>
    <x v="3"/>
    <x v="0"/>
    <x v="3"/>
    <x v="3"/>
  </r>
  <r>
    <x v="1"/>
    <x v="679"/>
    <x v="33"/>
    <x v="16"/>
    <x v="31"/>
    <x v="0"/>
    <x v="10"/>
    <x v="145"/>
    <x v="55"/>
    <x v="147"/>
    <x v="77"/>
    <x v="160"/>
    <x v="59"/>
    <x v="1"/>
    <x v="3"/>
    <x v="0"/>
    <x v="3"/>
    <x v="3"/>
  </r>
  <r>
    <x v="1"/>
    <x v="680"/>
    <x v="22"/>
    <x v="16"/>
    <x v="38"/>
    <x v="0"/>
    <x v="22"/>
    <x v="124"/>
    <x v="79"/>
    <x v="125"/>
    <x v="22"/>
    <x v="59"/>
    <x v="65"/>
    <x v="1"/>
    <x v="3"/>
    <x v="0"/>
    <x v="3"/>
    <x v="3"/>
  </r>
  <r>
    <x v="1"/>
    <x v="681"/>
    <x v="58"/>
    <x v="16"/>
    <x v="75"/>
    <x v="1"/>
    <x v="13"/>
    <x v="95"/>
    <x v="24"/>
    <x v="85"/>
    <x v="53"/>
    <x v="91"/>
    <x v="66"/>
    <x v="1"/>
    <x v="3"/>
    <x v="0"/>
    <x v="3"/>
    <x v="3"/>
  </r>
  <r>
    <x v="1"/>
    <x v="682"/>
    <x v="40"/>
    <x v="16"/>
    <x v="32"/>
    <x v="0"/>
    <x v="13"/>
    <x v="17"/>
    <x v="81"/>
    <x v="15"/>
    <x v="48"/>
    <x v="125"/>
    <x v="68"/>
    <x v="1"/>
    <x v="3"/>
    <x v="0"/>
    <x v="3"/>
    <x v="3"/>
  </r>
  <r>
    <x v="1"/>
    <x v="683"/>
    <x v="0"/>
    <x v="16"/>
    <x v="91"/>
    <x v="0"/>
    <x v="9"/>
    <x v="7"/>
    <x v="23"/>
    <x v="3"/>
    <x v="80"/>
    <x v="74"/>
    <x v="72"/>
    <x v="1"/>
    <x v="3"/>
    <x v="0"/>
    <x v="3"/>
    <x v="3"/>
  </r>
  <r>
    <x v="1"/>
    <x v="684"/>
    <x v="26"/>
    <x v="16"/>
    <x v="58"/>
    <x v="0"/>
    <x v="13"/>
    <x v="61"/>
    <x v="63"/>
    <x v="61"/>
    <x v="45"/>
    <x v="122"/>
    <x v="74"/>
    <x v="1"/>
    <x v="3"/>
    <x v="0"/>
    <x v="3"/>
    <x v="3"/>
  </r>
  <r>
    <x v="1"/>
    <x v="685"/>
    <x v="59"/>
    <x v="16"/>
    <x v="70"/>
    <x v="0"/>
    <x v="10"/>
    <x v="134"/>
    <x v="3"/>
    <x v="141"/>
    <x v="62"/>
    <x v="16"/>
    <x v="77"/>
    <x v="1"/>
    <x v="3"/>
    <x v="0"/>
    <x v="3"/>
    <x v="3"/>
  </r>
  <r>
    <x v="1"/>
    <x v="686"/>
    <x v="23"/>
    <x v="16"/>
    <x v="16"/>
    <x v="1"/>
    <x v="17"/>
    <x v="4"/>
    <x v="44"/>
    <x v="1"/>
    <x v="24"/>
    <x v="71"/>
    <x v="78"/>
    <x v="1"/>
    <x v="3"/>
    <x v="0"/>
    <x v="3"/>
    <x v="3"/>
  </r>
  <r>
    <x v="1"/>
    <x v="687"/>
    <x v="67"/>
    <x v="16"/>
    <x v="9"/>
    <x v="0"/>
    <x v="17"/>
    <x v="10"/>
    <x v="5"/>
    <x v="21"/>
    <x v="7"/>
    <x v="20"/>
    <x v="80"/>
    <x v="1"/>
    <x v="3"/>
    <x v="0"/>
    <x v="3"/>
    <x v="3"/>
  </r>
  <r>
    <x v="1"/>
    <x v="688"/>
    <x v="30"/>
    <x v="16"/>
    <x v="27"/>
    <x v="0"/>
    <x v="4"/>
    <x v="32"/>
    <x v="100"/>
    <x v="24"/>
    <x v="31"/>
    <x v="88"/>
    <x v="82"/>
    <x v="1"/>
    <x v="3"/>
    <x v="0"/>
    <x v="3"/>
    <x v="3"/>
  </r>
  <r>
    <x v="1"/>
    <x v="689"/>
    <x v="28"/>
    <x v="16"/>
    <x v="37"/>
    <x v="0"/>
    <x v="13"/>
    <x v="41"/>
    <x v="76"/>
    <x v="38"/>
    <x v="81"/>
    <x v="162"/>
    <x v="85"/>
    <x v="1"/>
    <x v="3"/>
    <x v="0"/>
    <x v="3"/>
    <x v="3"/>
  </r>
  <r>
    <x v="1"/>
    <x v="690"/>
    <x v="27"/>
    <x v="16"/>
    <x v="65"/>
    <x v="0"/>
    <x v="10"/>
    <x v="40"/>
    <x v="107"/>
    <x v="32"/>
    <x v="9"/>
    <x v="29"/>
    <x v="88"/>
    <x v="1"/>
    <x v="3"/>
    <x v="0"/>
    <x v="3"/>
    <x v="3"/>
  </r>
  <r>
    <x v="1"/>
    <x v="691"/>
    <x v="65"/>
    <x v="16"/>
    <x v="83"/>
    <x v="0"/>
    <x v="13"/>
    <x v="25"/>
    <x v="138"/>
    <x v="19"/>
    <x v="49"/>
    <x v="126"/>
    <x v="89"/>
    <x v="1"/>
    <x v="3"/>
    <x v="0"/>
    <x v="3"/>
    <x v="3"/>
  </r>
  <r>
    <x v="1"/>
    <x v="692"/>
    <x v="95"/>
    <x v="16"/>
    <x v="33"/>
    <x v="0"/>
    <x v="17"/>
    <x v="128"/>
    <x v="20"/>
    <x v="126"/>
    <x v="29"/>
    <x v="85"/>
    <x v="90"/>
    <x v="1"/>
    <x v="3"/>
    <x v="0"/>
    <x v="3"/>
    <x v="3"/>
  </r>
  <r>
    <x v="1"/>
    <x v="693"/>
    <x v="14"/>
    <x v="16"/>
    <x v="50"/>
    <x v="0"/>
    <x v="13"/>
    <x v="137"/>
    <x v="103"/>
    <x v="138"/>
    <x v="4"/>
    <x v="96"/>
    <x v="91"/>
    <x v="1"/>
    <x v="3"/>
    <x v="0"/>
    <x v="3"/>
    <x v="3"/>
  </r>
  <r>
    <x v="1"/>
    <x v="694"/>
    <x v="21"/>
    <x v="16"/>
    <x v="11"/>
    <x v="0"/>
    <x v="10"/>
    <x v="57"/>
    <x v="118"/>
    <x v="53"/>
    <x v="84"/>
    <x v="171"/>
    <x v="92"/>
    <x v="1"/>
    <x v="3"/>
    <x v="0"/>
    <x v="3"/>
    <x v="3"/>
  </r>
  <r>
    <x v="1"/>
    <x v="695"/>
    <x v="88"/>
    <x v="16"/>
    <x v="45"/>
    <x v="0"/>
    <x v="17"/>
    <x v="38"/>
    <x v="56"/>
    <x v="33"/>
    <x v="37"/>
    <x v="90"/>
    <x v="93"/>
    <x v="1"/>
    <x v="3"/>
    <x v="0"/>
    <x v="3"/>
    <x v="3"/>
  </r>
  <r>
    <x v="1"/>
    <x v="696"/>
    <x v="68"/>
    <x v="16"/>
    <x v="17"/>
    <x v="0"/>
    <x v="22"/>
    <x v="28"/>
    <x v="82"/>
    <x v="29"/>
    <x v="2"/>
    <x v="9"/>
    <x v="94"/>
    <x v="1"/>
    <x v="3"/>
    <x v="0"/>
    <x v="3"/>
    <x v="3"/>
  </r>
  <r>
    <x v="1"/>
    <x v="697"/>
    <x v="50"/>
    <x v="16"/>
    <x v="68"/>
    <x v="0"/>
    <x v="22"/>
    <x v="81"/>
    <x v="97"/>
    <x v="78"/>
    <x v="28"/>
    <x v="83"/>
    <x v="95"/>
    <x v="1"/>
    <x v="3"/>
    <x v="0"/>
    <x v="3"/>
    <x v="3"/>
  </r>
  <r>
    <x v="1"/>
    <x v="698"/>
    <x v="52"/>
    <x v="16"/>
    <x v="55"/>
    <x v="0"/>
    <x v="22"/>
    <x v="34"/>
    <x v="120"/>
    <x v="35"/>
    <x v="1"/>
    <x v="4"/>
    <x v="33"/>
    <x v="1"/>
    <x v="3"/>
    <x v="0"/>
    <x v="3"/>
    <x v="3"/>
  </r>
  <r>
    <x v="1"/>
    <x v="699"/>
    <x v="39"/>
    <x v="16"/>
    <x v="57"/>
    <x v="0"/>
    <x v="22"/>
    <x v="16"/>
    <x v="121"/>
    <x v="14"/>
    <x v="64"/>
    <x v="76"/>
    <x v="96"/>
    <x v="1"/>
    <x v="3"/>
    <x v="0"/>
    <x v="3"/>
    <x v="3"/>
  </r>
  <r>
    <x v="1"/>
    <x v="791"/>
    <x v="98"/>
    <x v="1"/>
    <x v="97"/>
    <x v="19"/>
    <x v="23"/>
    <x v="148"/>
    <x v="149"/>
    <x v="148"/>
    <x v="97"/>
    <x v="185"/>
    <x v="96"/>
    <x v="9"/>
    <x v="3"/>
    <x v="0"/>
    <x v="4"/>
    <x v="3"/>
  </r>
  <r>
    <x v="1"/>
    <x v="700"/>
    <x v="7"/>
    <x v="1"/>
    <x v="14"/>
    <x v="0"/>
    <x v="17"/>
    <x v="147"/>
    <x v="6"/>
    <x v="140"/>
    <x v="35"/>
    <x v="89"/>
    <x v="81"/>
    <x v="2"/>
    <x v="3"/>
    <x v="0"/>
    <x v="4"/>
    <x v="3"/>
  </r>
  <r>
    <x v="1"/>
    <x v="701"/>
    <x v="82"/>
    <x v="1"/>
    <x v="74"/>
    <x v="2"/>
    <x v="2"/>
    <x v="132"/>
    <x v="83"/>
    <x v="131"/>
    <x v="5"/>
    <x v="10"/>
    <x v="2"/>
    <x v="2"/>
    <x v="3"/>
    <x v="0"/>
    <x v="4"/>
    <x v="3"/>
  </r>
  <r>
    <x v="1"/>
    <x v="702"/>
    <x v="78"/>
    <x v="1"/>
    <x v="41"/>
    <x v="0"/>
    <x v="22"/>
    <x v="106"/>
    <x v="123"/>
    <x v="101"/>
    <x v="16"/>
    <x v="45"/>
    <x v="76"/>
    <x v="2"/>
    <x v="3"/>
    <x v="0"/>
    <x v="4"/>
    <x v="3"/>
  </r>
  <r>
    <x v="1"/>
    <x v="703"/>
    <x v="42"/>
    <x v="1"/>
    <x v="81"/>
    <x v="0"/>
    <x v="22"/>
    <x v="54"/>
    <x v="16"/>
    <x v="57"/>
    <x v="89"/>
    <x v="173"/>
    <x v="83"/>
    <x v="2"/>
    <x v="3"/>
    <x v="0"/>
    <x v="4"/>
    <x v="3"/>
  </r>
  <r>
    <x v="1"/>
    <x v="704"/>
    <x v="71"/>
    <x v="1"/>
    <x v="25"/>
    <x v="0"/>
    <x v="11"/>
    <x v="58"/>
    <x v="116"/>
    <x v="54"/>
    <x v="90"/>
    <x v="176"/>
    <x v="1"/>
    <x v="2"/>
    <x v="3"/>
    <x v="0"/>
    <x v="4"/>
    <x v="3"/>
  </r>
  <r>
    <x v="1"/>
    <x v="705"/>
    <x v="70"/>
    <x v="1"/>
    <x v="89"/>
    <x v="0"/>
    <x v="8"/>
    <x v="107"/>
    <x v="128"/>
    <x v="102"/>
    <x v="42"/>
    <x v="148"/>
    <x v="7"/>
    <x v="2"/>
    <x v="3"/>
    <x v="0"/>
    <x v="4"/>
    <x v="3"/>
  </r>
  <r>
    <x v="1"/>
    <x v="706"/>
    <x v="91"/>
    <x v="1"/>
    <x v="86"/>
    <x v="0"/>
    <x v="20"/>
    <x v="47"/>
    <x v="53"/>
    <x v="45"/>
    <x v="96"/>
    <x v="7"/>
    <x v="12"/>
    <x v="2"/>
    <x v="3"/>
    <x v="0"/>
    <x v="4"/>
    <x v="3"/>
  </r>
  <r>
    <x v="1"/>
    <x v="707"/>
    <x v="4"/>
    <x v="1"/>
    <x v="20"/>
    <x v="1"/>
    <x v="22"/>
    <x v="68"/>
    <x v="49"/>
    <x v="68"/>
    <x v="70"/>
    <x v="69"/>
    <x v="22"/>
    <x v="2"/>
    <x v="3"/>
    <x v="0"/>
    <x v="4"/>
    <x v="3"/>
  </r>
  <r>
    <x v="1"/>
    <x v="708"/>
    <x v="76"/>
    <x v="1"/>
    <x v="28"/>
    <x v="0"/>
    <x v="10"/>
    <x v="71"/>
    <x v="130"/>
    <x v="65"/>
    <x v="68"/>
    <x v="14"/>
    <x v="23"/>
    <x v="2"/>
    <x v="3"/>
    <x v="0"/>
    <x v="4"/>
    <x v="3"/>
  </r>
  <r>
    <x v="1"/>
    <x v="788"/>
    <x v="93"/>
    <x v="1"/>
    <x v="77"/>
    <x v="1"/>
    <x v="17"/>
    <x v="12"/>
    <x v="73"/>
    <x v="7"/>
    <x v="34"/>
    <x v="100"/>
    <x v="27"/>
    <x v="2"/>
    <x v="3"/>
    <x v="0"/>
    <x v="4"/>
    <x v="3"/>
  </r>
  <r>
    <x v="1"/>
    <x v="709"/>
    <x v="46"/>
    <x v="1"/>
    <x v="76"/>
    <x v="1"/>
    <x v="16"/>
    <x v="23"/>
    <x v="108"/>
    <x v="31"/>
    <x v="51"/>
    <x v="158"/>
    <x v="29"/>
    <x v="2"/>
    <x v="3"/>
    <x v="0"/>
    <x v="4"/>
    <x v="3"/>
  </r>
  <r>
    <x v="1"/>
    <x v="710"/>
    <x v="63"/>
    <x v="1"/>
    <x v="43"/>
    <x v="0"/>
    <x v="17"/>
    <x v="144"/>
    <x v="94"/>
    <x v="146"/>
    <x v="94"/>
    <x v="183"/>
    <x v="32"/>
    <x v="2"/>
    <x v="3"/>
    <x v="0"/>
    <x v="4"/>
    <x v="3"/>
  </r>
  <r>
    <x v="1"/>
    <x v="711"/>
    <x v="11"/>
    <x v="1"/>
    <x v="95"/>
    <x v="0"/>
    <x v="22"/>
    <x v="94"/>
    <x v="127"/>
    <x v="120"/>
    <x v="83"/>
    <x v="167"/>
    <x v="34"/>
    <x v="2"/>
    <x v="3"/>
    <x v="0"/>
    <x v="4"/>
    <x v="3"/>
  </r>
  <r>
    <x v="1"/>
    <x v="789"/>
    <x v="57"/>
    <x v="1"/>
    <x v="79"/>
    <x v="1"/>
    <x v="22"/>
    <x v="127"/>
    <x v="96"/>
    <x v="133"/>
    <x v="60"/>
    <x v="165"/>
    <x v="35"/>
    <x v="2"/>
    <x v="3"/>
    <x v="0"/>
    <x v="4"/>
    <x v="3"/>
  </r>
  <r>
    <x v="1"/>
    <x v="712"/>
    <x v="74"/>
    <x v="1"/>
    <x v="85"/>
    <x v="0"/>
    <x v="17"/>
    <x v="18"/>
    <x v="52"/>
    <x v="13"/>
    <x v="92"/>
    <x v="36"/>
    <x v="38"/>
    <x v="2"/>
    <x v="3"/>
    <x v="0"/>
    <x v="4"/>
    <x v="3"/>
  </r>
  <r>
    <x v="1"/>
    <x v="713"/>
    <x v="12"/>
    <x v="1"/>
    <x v="5"/>
    <x v="0"/>
    <x v="22"/>
    <x v="42"/>
    <x v="145"/>
    <x v="37"/>
    <x v="22"/>
    <x v="33"/>
    <x v="40"/>
    <x v="2"/>
    <x v="3"/>
    <x v="0"/>
    <x v="4"/>
    <x v="3"/>
  </r>
  <r>
    <x v="1"/>
    <x v="714"/>
    <x v="2"/>
    <x v="1"/>
    <x v="35"/>
    <x v="0"/>
    <x v="22"/>
    <x v="82"/>
    <x v="122"/>
    <x v="79"/>
    <x v="22"/>
    <x v="58"/>
    <x v="43"/>
    <x v="2"/>
    <x v="3"/>
    <x v="0"/>
    <x v="4"/>
    <x v="3"/>
  </r>
  <r>
    <x v="1"/>
    <x v="715"/>
    <x v="29"/>
    <x v="1"/>
    <x v="61"/>
    <x v="0"/>
    <x v="13"/>
    <x v="125"/>
    <x v="64"/>
    <x v="128"/>
    <x v="12"/>
    <x v="39"/>
    <x v="44"/>
    <x v="2"/>
    <x v="3"/>
    <x v="0"/>
    <x v="4"/>
    <x v="3"/>
  </r>
  <r>
    <x v="1"/>
    <x v="716"/>
    <x v="24"/>
    <x v="1"/>
    <x v="52"/>
    <x v="0"/>
    <x v="22"/>
    <x v="105"/>
    <x v="54"/>
    <x v="92"/>
    <x v="39"/>
    <x v="112"/>
    <x v="45"/>
    <x v="2"/>
    <x v="3"/>
    <x v="0"/>
    <x v="4"/>
    <x v="3"/>
  </r>
  <r>
    <x v="1"/>
    <x v="717"/>
    <x v="13"/>
    <x v="1"/>
    <x v="64"/>
    <x v="0"/>
    <x v="22"/>
    <x v="6"/>
    <x v="80"/>
    <x v="8"/>
    <x v="28"/>
    <x v="83"/>
    <x v="48"/>
    <x v="2"/>
    <x v="3"/>
    <x v="0"/>
    <x v="4"/>
    <x v="3"/>
  </r>
  <r>
    <x v="1"/>
    <x v="718"/>
    <x v="54"/>
    <x v="1"/>
    <x v="44"/>
    <x v="0"/>
    <x v="22"/>
    <x v="133"/>
    <x v="10"/>
    <x v="134"/>
    <x v="88"/>
    <x v="172"/>
    <x v="50"/>
    <x v="2"/>
    <x v="3"/>
    <x v="0"/>
    <x v="4"/>
    <x v="3"/>
  </r>
  <r>
    <x v="1"/>
    <x v="719"/>
    <x v="64"/>
    <x v="1"/>
    <x v="21"/>
    <x v="0"/>
    <x v="10"/>
    <x v="112"/>
    <x v="34"/>
    <x v="114"/>
    <x v="56"/>
    <x v="140"/>
    <x v="56"/>
    <x v="2"/>
    <x v="3"/>
    <x v="0"/>
    <x v="4"/>
    <x v="3"/>
  </r>
  <r>
    <x v="1"/>
    <x v="720"/>
    <x v="72"/>
    <x v="1"/>
    <x v="47"/>
    <x v="0"/>
    <x v="17"/>
    <x v="11"/>
    <x v="9"/>
    <x v="6"/>
    <x v="50"/>
    <x v="127"/>
    <x v="58"/>
    <x v="2"/>
    <x v="3"/>
    <x v="0"/>
    <x v="4"/>
    <x v="3"/>
  </r>
  <r>
    <x v="1"/>
    <x v="721"/>
    <x v="33"/>
    <x v="1"/>
    <x v="31"/>
    <x v="0"/>
    <x v="10"/>
    <x v="145"/>
    <x v="55"/>
    <x v="147"/>
    <x v="77"/>
    <x v="160"/>
    <x v="59"/>
    <x v="2"/>
    <x v="3"/>
    <x v="0"/>
    <x v="4"/>
    <x v="3"/>
  </r>
  <r>
    <x v="1"/>
    <x v="722"/>
    <x v="83"/>
    <x v="1"/>
    <x v="73"/>
    <x v="1"/>
    <x v="7"/>
    <x v="19"/>
    <x v="38"/>
    <x v="12"/>
    <x v="54"/>
    <x v="156"/>
    <x v="60"/>
    <x v="2"/>
    <x v="3"/>
    <x v="0"/>
    <x v="4"/>
    <x v="3"/>
  </r>
  <r>
    <x v="1"/>
    <x v="723"/>
    <x v="75"/>
    <x v="1"/>
    <x v="71"/>
    <x v="0"/>
    <x v="12"/>
    <x v="29"/>
    <x v="134"/>
    <x v="30"/>
    <x v="93"/>
    <x v="2"/>
    <x v="63"/>
    <x v="2"/>
    <x v="3"/>
    <x v="0"/>
    <x v="4"/>
    <x v="3"/>
  </r>
  <r>
    <x v="1"/>
    <x v="790"/>
    <x v="58"/>
    <x v="1"/>
    <x v="75"/>
    <x v="1"/>
    <x v="13"/>
    <x v="96"/>
    <x v="25"/>
    <x v="86"/>
    <x v="53"/>
    <x v="92"/>
    <x v="66"/>
    <x v="2"/>
    <x v="3"/>
    <x v="0"/>
    <x v="4"/>
    <x v="3"/>
  </r>
  <r>
    <x v="1"/>
    <x v="724"/>
    <x v="16"/>
    <x v="1"/>
    <x v="69"/>
    <x v="0"/>
    <x v="22"/>
    <x v="27"/>
    <x v="42"/>
    <x v="22"/>
    <x v="11"/>
    <x v="38"/>
    <x v="67"/>
    <x v="2"/>
    <x v="3"/>
    <x v="0"/>
    <x v="4"/>
    <x v="3"/>
  </r>
  <r>
    <x v="1"/>
    <x v="725"/>
    <x v="96"/>
    <x v="1"/>
    <x v="46"/>
    <x v="0"/>
    <x v="10"/>
    <x v="99"/>
    <x v="77"/>
    <x v="89"/>
    <x v="8"/>
    <x v="26"/>
    <x v="69"/>
    <x v="2"/>
    <x v="3"/>
    <x v="0"/>
    <x v="4"/>
    <x v="3"/>
  </r>
  <r>
    <x v="1"/>
    <x v="726"/>
    <x v="26"/>
    <x v="1"/>
    <x v="58"/>
    <x v="0"/>
    <x v="13"/>
    <x v="61"/>
    <x v="63"/>
    <x v="61"/>
    <x v="45"/>
    <x v="122"/>
    <x v="74"/>
    <x v="2"/>
    <x v="3"/>
    <x v="0"/>
    <x v="4"/>
    <x v="3"/>
  </r>
  <r>
    <x v="1"/>
    <x v="727"/>
    <x v="59"/>
    <x v="1"/>
    <x v="70"/>
    <x v="0"/>
    <x v="10"/>
    <x v="134"/>
    <x v="3"/>
    <x v="141"/>
    <x v="62"/>
    <x v="16"/>
    <x v="77"/>
    <x v="2"/>
    <x v="3"/>
    <x v="0"/>
    <x v="4"/>
    <x v="3"/>
  </r>
  <r>
    <x v="1"/>
    <x v="728"/>
    <x v="94"/>
    <x v="1"/>
    <x v="26"/>
    <x v="0"/>
    <x v="10"/>
    <x v="9"/>
    <x v="36"/>
    <x v="5"/>
    <x v="6"/>
    <x v="19"/>
    <x v="79"/>
    <x v="2"/>
    <x v="3"/>
    <x v="0"/>
    <x v="4"/>
    <x v="3"/>
  </r>
  <r>
    <x v="1"/>
    <x v="729"/>
    <x v="67"/>
    <x v="1"/>
    <x v="9"/>
    <x v="0"/>
    <x v="17"/>
    <x v="10"/>
    <x v="5"/>
    <x v="21"/>
    <x v="7"/>
    <x v="20"/>
    <x v="80"/>
    <x v="2"/>
    <x v="3"/>
    <x v="0"/>
    <x v="4"/>
    <x v="3"/>
  </r>
  <r>
    <x v="1"/>
    <x v="730"/>
    <x v="30"/>
    <x v="1"/>
    <x v="27"/>
    <x v="0"/>
    <x v="4"/>
    <x v="32"/>
    <x v="100"/>
    <x v="24"/>
    <x v="31"/>
    <x v="88"/>
    <x v="82"/>
    <x v="2"/>
    <x v="3"/>
    <x v="0"/>
    <x v="4"/>
    <x v="3"/>
  </r>
  <r>
    <x v="1"/>
    <x v="731"/>
    <x v="48"/>
    <x v="1"/>
    <x v="13"/>
    <x v="0"/>
    <x v="10"/>
    <x v="88"/>
    <x v="62"/>
    <x v="83"/>
    <x v="74"/>
    <x v="15"/>
    <x v="86"/>
    <x v="2"/>
    <x v="3"/>
    <x v="0"/>
    <x v="4"/>
    <x v="3"/>
  </r>
  <r>
    <x v="1"/>
    <x v="732"/>
    <x v="65"/>
    <x v="1"/>
    <x v="83"/>
    <x v="0"/>
    <x v="13"/>
    <x v="25"/>
    <x v="138"/>
    <x v="19"/>
    <x v="49"/>
    <x v="126"/>
    <x v="89"/>
    <x v="2"/>
    <x v="3"/>
    <x v="0"/>
    <x v="4"/>
    <x v="3"/>
  </r>
  <r>
    <x v="1"/>
    <x v="733"/>
    <x v="95"/>
    <x v="1"/>
    <x v="33"/>
    <x v="0"/>
    <x v="17"/>
    <x v="128"/>
    <x v="20"/>
    <x v="126"/>
    <x v="29"/>
    <x v="85"/>
    <x v="90"/>
    <x v="2"/>
    <x v="3"/>
    <x v="0"/>
    <x v="4"/>
    <x v="3"/>
  </r>
  <r>
    <x v="1"/>
    <x v="734"/>
    <x v="88"/>
    <x v="1"/>
    <x v="45"/>
    <x v="0"/>
    <x v="17"/>
    <x v="38"/>
    <x v="56"/>
    <x v="33"/>
    <x v="37"/>
    <x v="90"/>
    <x v="93"/>
    <x v="2"/>
    <x v="3"/>
    <x v="0"/>
    <x v="4"/>
    <x v="3"/>
  </r>
  <r>
    <x v="1"/>
    <x v="735"/>
    <x v="52"/>
    <x v="1"/>
    <x v="55"/>
    <x v="0"/>
    <x v="22"/>
    <x v="34"/>
    <x v="120"/>
    <x v="35"/>
    <x v="1"/>
    <x v="4"/>
    <x v="33"/>
    <x v="2"/>
    <x v="3"/>
    <x v="0"/>
    <x v="4"/>
    <x v="3"/>
  </r>
  <r>
    <x v="1"/>
    <x v="791"/>
    <x v="98"/>
    <x v="12"/>
    <x v="97"/>
    <x v="24"/>
    <x v="23"/>
    <x v="148"/>
    <x v="149"/>
    <x v="148"/>
    <x v="97"/>
    <x v="185"/>
    <x v="96"/>
    <x v="9"/>
    <x v="3"/>
    <x v="0"/>
    <x v="2"/>
    <x v="3"/>
  </r>
  <r>
    <x v="0"/>
    <x v="0"/>
    <x v="7"/>
    <x v="12"/>
    <x v="14"/>
    <x v="0"/>
    <x v="17"/>
    <x v="147"/>
    <x v="6"/>
    <x v="140"/>
    <x v="35"/>
    <x v="89"/>
    <x v="81"/>
    <x v="0"/>
    <x v="3"/>
    <x v="0"/>
    <x v="2"/>
    <x v="1"/>
  </r>
  <r>
    <x v="1"/>
    <x v="62"/>
    <x v="82"/>
    <x v="12"/>
    <x v="74"/>
    <x v="1"/>
    <x v="2"/>
    <x v="132"/>
    <x v="83"/>
    <x v="131"/>
    <x v="5"/>
    <x v="18"/>
    <x v="2"/>
    <x v="6"/>
    <x v="3"/>
    <x v="0"/>
    <x v="2"/>
    <x v="2"/>
  </r>
  <r>
    <x v="0"/>
    <x v="754"/>
    <x v="5"/>
    <x v="12"/>
    <x v="19"/>
    <x v="1"/>
    <x v="18"/>
    <x v="87"/>
    <x v="93"/>
    <x v="76"/>
    <x v="27"/>
    <x v="81"/>
    <x v="10"/>
    <x v="0"/>
    <x v="3"/>
    <x v="0"/>
    <x v="2"/>
    <x v="1"/>
  </r>
  <r>
    <x v="0"/>
    <x v="1"/>
    <x v="15"/>
    <x v="12"/>
    <x v="51"/>
    <x v="0"/>
    <x v="17"/>
    <x v="21"/>
    <x v="51"/>
    <x v="42"/>
    <x v="44"/>
    <x v="119"/>
    <x v="25"/>
    <x v="0"/>
    <x v="3"/>
    <x v="0"/>
    <x v="2"/>
    <x v="1"/>
  </r>
  <r>
    <x v="0"/>
    <x v="2"/>
    <x v="6"/>
    <x v="12"/>
    <x v="62"/>
    <x v="0"/>
    <x v="17"/>
    <x v="65"/>
    <x v="137"/>
    <x v="64"/>
    <x v="69"/>
    <x v="22"/>
    <x v="31"/>
    <x v="0"/>
    <x v="3"/>
    <x v="0"/>
    <x v="2"/>
    <x v="1"/>
  </r>
  <r>
    <x v="0"/>
    <x v="3"/>
    <x v="78"/>
    <x v="12"/>
    <x v="41"/>
    <x v="0"/>
    <x v="22"/>
    <x v="106"/>
    <x v="123"/>
    <x v="101"/>
    <x v="16"/>
    <x v="45"/>
    <x v="76"/>
    <x v="0"/>
    <x v="3"/>
    <x v="0"/>
    <x v="2"/>
    <x v="1"/>
  </r>
  <r>
    <x v="0"/>
    <x v="4"/>
    <x v="42"/>
    <x v="12"/>
    <x v="81"/>
    <x v="0"/>
    <x v="22"/>
    <x v="54"/>
    <x v="16"/>
    <x v="57"/>
    <x v="89"/>
    <x v="173"/>
    <x v="83"/>
    <x v="0"/>
    <x v="3"/>
    <x v="0"/>
    <x v="2"/>
    <x v="1"/>
  </r>
  <r>
    <x v="0"/>
    <x v="5"/>
    <x v="77"/>
    <x v="12"/>
    <x v="78"/>
    <x v="0"/>
    <x v="21"/>
    <x v="51"/>
    <x v="89"/>
    <x v="50"/>
    <x v="79"/>
    <x v="77"/>
    <x v="0"/>
    <x v="0"/>
    <x v="3"/>
    <x v="0"/>
    <x v="2"/>
    <x v="2"/>
  </r>
  <r>
    <x v="0"/>
    <x v="6"/>
    <x v="71"/>
    <x v="12"/>
    <x v="25"/>
    <x v="0"/>
    <x v="11"/>
    <x v="58"/>
    <x v="116"/>
    <x v="54"/>
    <x v="90"/>
    <x v="176"/>
    <x v="1"/>
    <x v="0"/>
    <x v="3"/>
    <x v="0"/>
    <x v="2"/>
    <x v="2"/>
  </r>
  <r>
    <x v="0"/>
    <x v="7"/>
    <x v="47"/>
    <x v="12"/>
    <x v="36"/>
    <x v="0"/>
    <x v="18"/>
    <x v="31"/>
    <x v="41"/>
    <x v="23"/>
    <x v="13"/>
    <x v="40"/>
    <x v="5"/>
    <x v="0"/>
    <x v="3"/>
    <x v="0"/>
    <x v="2"/>
    <x v="1"/>
  </r>
  <r>
    <x v="1"/>
    <x v="781"/>
    <x v="70"/>
    <x v="12"/>
    <x v="89"/>
    <x v="1"/>
    <x v="8"/>
    <x v="108"/>
    <x v="129"/>
    <x v="103"/>
    <x v="42"/>
    <x v="149"/>
    <x v="7"/>
    <x v="4"/>
    <x v="3"/>
    <x v="0"/>
    <x v="2"/>
    <x v="1"/>
  </r>
  <r>
    <x v="0"/>
    <x v="8"/>
    <x v="81"/>
    <x v="12"/>
    <x v="56"/>
    <x v="0"/>
    <x v="22"/>
    <x v="116"/>
    <x v="75"/>
    <x v="121"/>
    <x v="59"/>
    <x v="144"/>
    <x v="8"/>
    <x v="0"/>
    <x v="3"/>
    <x v="0"/>
    <x v="2"/>
    <x v="2"/>
  </r>
  <r>
    <x v="0"/>
    <x v="9"/>
    <x v="85"/>
    <x v="12"/>
    <x v="29"/>
    <x v="0"/>
    <x v="13"/>
    <x v="141"/>
    <x v="29"/>
    <x v="143"/>
    <x v="87"/>
    <x v="170"/>
    <x v="9"/>
    <x v="0"/>
    <x v="3"/>
    <x v="0"/>
    <x v="2"/>
    <x v="2"/>
  </r>
  <r>
    <x v="0"/>
    <x v="10"/>
    <x v="89"/>
    <x v="12"/>
    <x v="66"/>
    <x v="0"/>
    <x v="17"/>
    <x v="39"/>
    <x v="98"/>
    <x v="34"/>
    <x v="36"/>
    <x v="108"/>
    <x v="11"/>
    <x v="0"/>
    <x v="3"/>
    <x v="0"/>
    <x v="2"/>
    <x v="1"/>
  </r>
  <r>
    <x v="0"/>
    <x v="11"/>
    <x v="91"/>
    <x v="12"/>
    <x v="86"/>
    <x v="0"/>
    <x v="20"/>
    <x v="47"/>
    <x v="53"/>
    <x v="45"/>
    <x v="96"/>
    <x v="7"/>
    <x v="12"/>
    <x v="0"/>
    <x v="3"/>
    <x v="0"/>
    <x v="2"/>
    <x v="2"/>
  </r>
  <r>
    <x v="0"/>
    <x v="12"/>
    <x v="87"/>
    <x v="12"/>
    <x v="59"/>
    <x v="0"/>
    <x v="17"/>
    <x v="121"/>
    <x v="30"/>
    <x v="124"/>
    <x v="38"/>
    <x v="111"/>
    <x v="14"/>
    <x v="0"/>
    <x v="3"/>
    <x v="0"/>
    <x v="2"/>
    <x v="1"/>
  </r>
  <r>
    <x v="0"/>
    <x v="13"/>
    <x v="36"/>
    <x v="12"/>
    <x v="40"/>
    <x v="0"/>
    <x v="22"/>
    <x v="89"/>
    <x v="78"/>
    <x v="84"/>
    <x v="10"/>
    <x v="35"/>
    <x v="17"/>
    <x v="0"/>
    <x v="3"/>
    <x v="0"/>
    <x v="2"/>
    <x v="2"/>
  </r>
  <r>
    <x v="0"/>
    <x v="14"/>
    <x v="25"/>
    <x v="12"/>
    <x v="60"/>
    <x v="0"/>
    <x v="10"/>
    <x v="20"/>
    <x v="22"/>
    <x v="10"/>
    <x v="82"/>
    <x v="121"/>
    <x v="19"/>
    <x v="0"/>
    <x v="3"/>
    <x v="0"/>
    <x v="2"/>
    <x v="2"/>
  </r>
  <r>
    <x v="0"/>
    <x v="15"/>
    <x v="51"/>
    <x v="12"/>
    <x v="15"/>
    <x v="0"/>
    <x v="22"/>
    <x v="103"/>
    <x v="117"/>
    <x v="91"/>
    <x v="21"/>
    <x v="55"/>
    <x v="20"/>
    <x v="0"/>
    <x v="3"/>
    <x v="0"/>
    <x v="2"/>
    <x v="1"/>
  </r>
  <r>
    <x v="0"/>
    <x v="16"/>
    <x v="4"/>
    <x v="12"/>
    <x v="20"/>
    <x v="0"/>
    <x v="22"/>
    <x v="68"/>
    <x v="49"/>
    <x v="68"/>
    <x v="70"/>
    <x v="69"/>
    <x v="22"/>
    <x v="0"/>
    <x v="3"/>
    <x v="0"/>
    <x v="2"/>
    <x v="2"/>
  </r>
  <r>
    <x v="0"/>
    <x v="17"/>
    <x v="76"/>
    <x v="12"/>
    <x v="28"/>
    <x v="0"/>
    <x v="10"/>
    <x v="71"/>
    <x v="130"/>
    <x v="65"/>
    <x v="68"/>
    <x v="14"/>
    <x v="23"/>
    <x v="0"/>
    <x v="3"/>
    <x v="0"/>
    <x v="2"/>
    <x v="2"/>
  </r>
  <r>
    <x v="0"/>
    <x v="18"/>
    <x v="62"/>
    <x v="12"/>
    <x v="92"/>
    <x v="0"/>
    <x v="13"/>
    <x v="36"/>
    <x v="39"/>
    <x v="36"/>
    <x v="63"/>
    <x v="180"/>
    <x v="26"/>
    <x v="0"/>
    <x v="3"/>
    <x v="0"/>
    <x v="2"/>
    <x v="2"/>
  </r>
  <r>
    <x v="0"/>
    <x v="19"/>
    <x v="93"/>
    <x v="12"/>
    <x v="77"/>
    <x v="0"/>
    <x v="17"/>
    <x v="117"/>
    <x v="131"/>
    <x v="115"/>
    <x v="33"/>
    <x v="84"/>
    <x v="27"/>
    <x v="0"/>
    <x v="3"/>
    <x v="0"/>
    <x v="2"/>
    <x v="1"/>
  </r>
  <r>
    <x v="0"/>
    <x v="20"/>
    <x v="46"/>
    <x v="12"/>
    <x v="76"/>
    <x v="0"/>
    <x v="16"/>
    <x v="23"/>
    <x v="108"/>
    <x v="31"/>
    <x v="51"/>
    <x v="158"/>
    <x v="29"/>
    <x v="0"/>
    <x v="3"/>
    <x v="0"/>
    <x v="2"/>
    <x v="2"/>
  </r>
  <r>
    <x v="0"/>
    <x v="21"/>
    <x v="69"/>
    <x v="12"/>
    <x v="6"/>
    <x v="0"/>
    <x v="22"/>
    <x v="50"/>
    <x v="19"/>
    <x v="56"/>
    <x v="3"/>
    <x v="181"/>
    <x v="30"/>
    <x v="0"/>
    <x v="3"/>
    <x v="0"/>
    <x v="2"/>
    <x v="1"/>
  </r>
  <r>
    <x v="0"/>
    <x v="22"/>
    <x v="63"/>
    <x v="12"/>
    <x v="43"/>
    <x v="0"/>
    <x v="17"/>
    <x v="144"/>
    <x v="94"/>
    <x v="146"/>
    <x v="95"/>
    <x v="184"/>
    <x v="32"/>
    <x v="0"/>
    <x v="3"/>
    <x v="0"/>
    <x v="2"/>
    <x v="1"/>
  </r>
  <r>
    <x v="0"/>
    <x v="23"/>
    <x v="11"/>
    <x v="12"/>
    <x v="95"/>
    <x v="0"/>
    <x v="22"/>
    <x v="94"/>
    <x v="127"/>
    <x v="120"/>
    <x v="83"/>
    <x v="167"/>
    <x v="34"/>
    <x v="0"/>
    <x v="3"/>
    <x v="0"/>
    <x v="2"/>
    <x v="1"/>
  </r>
  <r>
    <x v="0"/>
    <x v="24"/>
    <x v="57"/>
    <x v="12"/>
    <x v="79"/>
    <x v="0"/>
    <x v="22"/>
    <x v="126"/>
    <x v="95"/>
    <x v="132"/>
    <x v="60"/>
    <x v="163"/>
    <x v="35"/>
    <x v="0"/>
    <x v="3"/>
    <x v="0"/>
    <x v="2"/>
    <x v="2"/>
  </r>
  <r>
    <x v="0"/>
    <x v="25"/>
    <x v="74"/>
    <x v="12"/>
    <x v="85"/>
    <x v="0"/>
    <x v="17"/>
    <x v="18"/>
    <x v="52"/>
    <x v="13"/>
    <x v="92"/>
    <x v="31"/>
    <x v="38"/>
    <x v="0"/>
    <x v="3"/>
    <x v="0"/>
    <x v="2"/>
    <x v="1"/>
  </r>
  <r>
    <x v="0"/>
    <x v="26"/>
    <x v="12"/>
    <x v="12"/>
    <x v="5"/>
    <x v="0"/>
    <x v="22"/>
    <x v="42"/>
    <x v="145"/>
    <x v="37"/>
    <x v="22"/>
    <x v="33"/>
    <x v="40"/>
    <x v="0"/>
    <x v="3"/>
    <x v="0"/>
    <x v="2"/>
    <x v="2"/>
  </r>
  <r>
    <x v="0"/>
    <x v="27"/>
    <x v="31"/>
    <x v="12"/>
    <x v="82"/>
    <x v="0"/>
    <x v="22"/>
    <x v="129"/>
    <x v="87"/>
    <x v="28"/>
    <x v="30"/>
    <x v="87"/>
    <x v="42"/>
    <x v="0"/>
    <x v="3"/>
    <x v="0"/>
    <x v="2"/>
    <x v="2"/>
  </r>
  <r>
    <x v="0"/>
    <x v="28"/>
    <x v="2"/>
    <x v="12"/>
    <x v="35"/>
    <x v="0"/>
    <x v="22"/>
    <x v="82"/>
    <x v="122"/>
    <x v="79"/>
    <x v="22"/>
    <x v="58"/>
    <x v="43"/>
    <x v="0"/>
    <x v="3"/>
    <x v="0"/>
    <x v="2"/>
    <x v="1"/>
  </r>
  <r>
    <x v="0"/>
    <x v="29"/>
    <x v="24"/>
    <x v="12"/>
    <x v="52"/>
    <x v="0"/>
    <x v="22"/>
    <x v="105"/>
    <x v="54"/>
    <x v="92"/>
    <x v="39"/>
    <x v="112"/>
    <x v="45"/>
    <x v="0"/>
    <x v="3"/>
    <x v="0"/>
    <x v="2"/>
    <x v="1"/>
  </r>
  <r>
    <x v="0"/>
    <x v="30"/>
    <x v="13"/>
    <x v="12"/>
    <x v="64"/>
    <x v="0"/>
    <x v="22"/>
    <x v="6"/>
    <x v="80"/>
    <x v="8"/>
    <x v="28"/>
    <x v="83"/>
    <x v="48"/>
    <x v="0"/>
    <x v="3"/>
    <x v="0"/>
    <x v="2"/>
    <x v="1"/>
  </r>
  <r>
    <x v="0"/>
    <x v="31"/>
    <x v="54"/>
    <x v="12"/>
    <x v="44"/>
    <x v="0"/>
    <x v="22"/>
    <x v="133"/>
    <x v="10"/>
    <x v="134"/>
    <x v="88"/>
    <x v="172"/>
    <x v="50"/>
    <x v="0"/>
    <x v="3"/>
    <x v="0"/>
    <x v="2"/>
    <x v="2"/>
  </r>
  <r>
    <x v="0"/>
    <x v="32"/>
    <x v="61"/>
    <x v="12"/>
    <x v="96"/>
    <x v="0"/>
    <x v="22"/>
    <x v="111"/>
    <x v="74"/>
    <x v="113"/>
    <x v="25"/>
    <x v="75"/>
    <x v="51"/>
    <x v="0"/>
    <x v="3"/>
    <x v="0"/>
    <x v="2"/>
    <x v="1"/>
  </r>
  <r>
    <x v="0"/>
    <x v="33"/>
    <x v="56"/>
    <x v="12"/>
    <x v="1"/>
    <x v="0"/>
    <x v="22"/>
    <x v="59"/>
    <x v="110"/>
    <x v="55"/>
    <x v="61"/>
    <x v="146"/>
    <x v="52"/>
    <x v="0"/>
    <x v="3"/>
    <x v="0"/>
    <x v="2"/>
    <x v="2"/>
  </r>
  <r>
    <x v="0"/>
    <x v="34"/>
    <x v="3"/>
    <x v="12"/>
    <x v="8"/>
    <x v="0"/>
    <x v="10"/>
    <x v="22"/>
    <x v="140"/>
    <x v="17"/>
    <x v="57"/>
    <x v="141"/>
    <x v="53"/>
    <x v="0"/>
    <x v="3"/>
    <x v="0"/>
    <x v="2"/>
    <x v="1"/>
  </r>
  <r>
    <x v="1"/>
    <x v="35"/>
    <x v="43"/>
    <x v="12"/>
    <x v="3"/>
    <x v="0"/>
    <x v="13"/>
    <x v="5"/>
    <x v="124"/>
    <x v="2"/>
    <x v="43"/>
    <x v="118"/>
    <x v="55"/>
    <x v="0"/>
    <x v="3"/>
    <x v="0"/>
    <x v="2"/>
    <x v="2"/>
  </r>
  <r>
    <x v="0"/>
    <x v="36"/>
    <x v="64"/>
    <x v="12"/>
    <x v="21"/>
    <x v="1"/>
    <x v="10"/>
    <x v="112"/>
    <x v="34"/>
    <x v="114"/>
    <x v="56"/>
    <x v="140"/>
    <x v="56"/>
    <x v="0"/>
    <x v="3"/>
    <x v="0"/>
    <x v="2"/>
    <x v="1"/>
  </r>
  <r>
    <x v="0"/>
    <x v="37"/>
    <x v="10"/>
    <x v="12"/>
    <x v="12"/>
    <x v="0"/>
    <x v="22"/>
    <x v="37"/>
    <x v="7"/>
    <x v="27"/>
    <x v="86"/>
    <x v="177"/>
    <x v="57"/>
    <x v="0"/>
    <x v="3"/>
    <x v="0"/>
    <x v="2"/>
    <x v="2"/>
  </r>
  <r>
    <x v="0"/>
    <x v="38"/>
    <x v="72"/>
    <x v="12"/>
    <x v="47"/>
    <x v="0"/>
    <x v="17"/>
    <x v="11"/>
    <x v="9"/>
    <x v="6"/>
    <x v="50"/>
    <x v="127"/>
    <x v="58"/>
    <x v="0"/>
    <x v="3"/>
    <x v="0"/>
    <x v="2"/>
    <x v="1"/>
  </r>
  <r>
    <x v="0"/>
    <x v="39"/>
    <x v="33"/>
    <x v="12"/>
    <x v="31"/>
    <x v="0"/>
    <x v="10"/>
    <x v="145"/>
    <x v="55"/>
    <x v="147"/>
    <x v="77"/>
    <x v="160"/>
    <x v="59"/>
    <x v="0"/>
    <x v="3"/>
    <x v="0"/>
    <x v="2"/>
    <x v="2"/>
  </r>
  <r>
    <x v="1"/>
    <x v="782"/>
    <x v="83"/>
    <x v="12"/>
    <x v="73"/>
    <x v="0"/>
    <x v="7"/>
    <x v="19"/>
    <x v="38"/>
    <x v="12"/>
    <x v="54"/>
    <x v="156"/>
    <x v="60"/>
    <x v="4"/>
    <x v="3"/>
    <x v="0"/>
    <x v="2"/>
    <x v="2"/>
  </r>
  <r>
    <x v="0"/>
    <x v="40"/>
    <x v="60"/>
    <x v="12"/>
    <x v="93"/>
    <x v="0"/>
    <x v="14"/>
    <x v="62"/>
    <x v="146"/>
    <x v="63"/>
    <x v="52"/>
    <x v="129"/>
    <x v="62"/>
    <x v="0"/>
    <x v="3"/>
    <x v="0"/>
    <x v="2"/>
    <x v="2"/>
  </r>
  <r>
    <x v="0"/>
    <x v="41"/>
    <x v="75"/>
    <x v="12"/>
    <x v="71"/>
    <x v="0"/>
    <x v="12"/>
    <x v="29"/>
    <x v="134"/>
    <x v="30"/>
    <x v="93"/>
    <x v="2"/>
    <x v="63"/>
    <x v="0"/>
    <x v="3"/>
    <x v="0"/>
    <x v="2"/>
    <x v="2"/>
  </r>
  <r>
    <x v="1"/>
    <x v="42"/>
    <x v="58"/>
    <x v="12"/>
    <x v="75"/>
    <x v="0"/>
    <x v="13"/>
    <x v="95"/>
    <x v="24"/>
    <x v="85"/>
    <x v="53"/>
    <x v="91"/>
    <x v="66"/>
    <x v="0"/>
    <x v="3"/>
    <x v="0"/>
    <x v="2"/>
    <x v="1"/>
  </r>
  <r>
    <x v="0"/>
    <x v="43"/>
    <x v="16"/>
    <x v="12"/>
    <x v="69"/>
    <x v="0"/>
    <x v="22"/>
    <x v="27"/>
    <x v="42"/>
    <x v="22"/>
    <x v="11"/>
    <x v="38"/>
    <x v="67"/>
    <x v="0"/>
    <x v="3"/>
    <x v="0"/>
    <x v="2"/>
    <x v="2"/>
  </r>
  <r>
    <x v="1"/>
    <x v="44"/>
    <x v="40"/>
    <x v="12"/>
    <x v="32"/>
    <x v="0"/>
    <x v="13"/>
    <x v="17"/>
    <x v="81"/>
    <x v="15"/>
    <x v="48"/>
    <x v="125"/>
    <x v="68"/>
    <x v="0"/>
    <x v="3"/>
    <x v="0"/>
    <x v="2"/>
    <x v="2"/>
  </r>
  <r>
    <x v="0"/>
    <x v="45"/>
    <x v="96"/>
    <x v="12"/>
    <x v="46"/>
    <x v="0"/>
    <x v="10"/>
    <x v="99"/>
    <x v="77"/>
    <x v="89"/>
    <x v="8"/>
    <x v="26"/>
    <x v="69"/>
    <x v="0"/>
    <x v="3"/>
    <x v="0"/>
    <x v="2"/>
    <x v="2"/>
  </r>
  <r>
    <x v="0"/>
    <x v="46"/>
    <x v="35"/>
    <x v="12"/>
    <x v="18"/>
    <x v="0"/>
    <x v="22"/>
    <x v="48"/>
    <x v="58"/>
    <x v="47"/>
    <x v="58"/>
    <x v="113"/>
    <x v="70"/>
    <x v="0"/>
    <x v="3"/>
    <x v="0"/>
    <x v="2"/>
    <x v="2"/>
  </r>
  <r>
    <x v="0"/>
    <x v="47"/>
    <x v="0"/>
    <x v="12"/>
    <x v="91"/>
    <x v="0"/>
    <x v="9"/>
    <x v="7"/>
    <x v="23"/>
    <x v="3"/>
    <x v="80"/>
    <x v="74"/>
    <x v="72"/>
    <x v="0"/>
    <x v="3"/>
    <x v="0"/>
    <x v="2"/>
    <x v="1"/>
  </r>
  <r>
    <x v="0"/>
    <x v="48"/>
    <x v="26"/>
    <x v="12"/>
    <x v="58"/>
    <x v="0"/>
    <x v="13"/>
    <x v="61"/>
    <x v="63"/>
    <x v="61"/>
    <x v="45"/>
    <x v="122"/>
    <x v="74"/>
    <x v="0"/>
    <x v="3"/>
    <x v="0"/>
    <x v="2"/>
    <x v="2"/>
  </r>
  <r>
    <x v="0"/>
    <x v="49"/>
    <x v="59"/>
    <x v="12"/>
    <x v="70"/>
    <x v="0"/>
    <x v="10"/>
    <x v="134"/>
    <x v="3"/>
    <x v="141"/>
    <x v="62"/>
    <x v="16"/>
    <x v="77"/>
    <x v="0"/>
    <x v="3"/>
    <x v="0"/>
    <x v="2"/>
    <x v="1"/>
  </r>
  <r>
    <x v="0"/>
    <x v="50"/>
    <x v="94"/>
    <x v="12"/>
    <x v="26"/>
    <x v="0"/>
    <x v="10"/>
    <x v="9"/>
    <x v="36"/>
    <x v="5"/>
    <x v="6"/>
    <x v="19"/>
    <x v="79"/>
    <x v="0"/>
    <x v="3"/>
    <x v="0"/>
    <x v="2"/>
    <x v="1"/>
  </r>
  <r>
    <x v="0"/>
    <x v="51"/>
    <x v="67"/>
    <x v="12"/>
    <x v="9"/>
    <x v="0"/>
    <x v="17"/>
    <x v="10"/>
    <x v="5"/>
    <x v="21"/>
    <x v="7"/>
    <x v="20"/>
    <x v="80"/>
    <x v="0"/>
    <x v="3"/>
    <x v="0"/>
    <x v="2"/>
    <x v="1"/>
  </r>
  <r>
    <x v="1"/>
    <x v="61"/>
    <x v="30"/>
    <x v="12"/>
    <x v="27"/>
    <x v="0"/>
    <x v="4"/>
    <x v="32"/>
    <x v="100"/>
    <x v="24"/>
    <x v="31"/>
    <x v="88"/>
    <x v="82"/>
    <x v="4"/>
    <x v="3"/>
    <x v="0"/>
    <x v="2"/>
    <x v="2"/>
  </r>
  <r>
    <x v="1"/>
    <x v="52"/>
    <x v="28"/>
    <x v="12"/>
    <x v="37"/>
    <x v="0"/>
    <x v="13"/>
    <x v="41"/>
    <x v="76"/>
    <x v="38"/>
    <x v="81"/>
    <x v="162"/>
    <x v="85"/>
    <x v="0"/>
    <x v="3"/>
    <x v="0"/>
    <x v="2"/>
    <x v="2"/>
  </r>
  <r>
    <x v="0"/>
    <x v="53"/>
    <x v="48"/>
    <x v="12"/>
    <x v="13"/>
    <x v="0"/>
    <x v="10"/>
    <x v="88"/>
    <x v="62"/>
    <x v="83"/>
    <x v="74"/>
    <x v="15"/>
    <x v="86"/>
    <x v="0"/>
    <x v="3"/>
    <x v="0"/>
    <x v="2"/>
    <x v="1"/>
  </r>
  <r>
    <x v="1"/>
    <x v="54"/>
    <x v="65"/>
    <x v="12"/>
    <x v="83"/>
    <x v="0"/>
    <x v="13"/>
    <x v="25"/>
    <x v="138"/>
    <x v="19"/>
    <x v="49"/>
    <x v="126"/>
    <x v="89"/>
    <x v="0"/>
    <x v="3"/>
    <x v="0"/>
    <x v="2"/>
    <x v="2"/>
  </r>
  <r>
    <x v="0"/>
    <x v="55"/>
    <x v="14"/>
    <x v="12"/>
    <x v="50"/>
    <x v="0"/>
    <x v="13"/>
    <x v="137"/>
    <x v="103"/>
    <x v="138"/>
    <x v="4"/>
    <x v="96"/>
    <x v="91"/>
    <x v="0"/>
    <x v="3"/>
    <x v="0"/>
    <x v="2"/>
    <x v="2"/>
  </r>
  <r>
    <x v="0"/>
    <x v="56"/>
    <x v="21"/>
    <x v="12"/>
    <x v="11"/>
    <x v="0"/>
    <x v="10"/>
    <x v="57"/>
    <x v="118"/>
    <x v="53"/>
    <x v="84"/>
    <x v="171"/>
    <x v="92"/>
    <x v="0"/>
    <x v="3"/>
    <x v="0"/>
    <x v="2"/>
    <x v="2"/>
  </r>
  <r>
    <x v="0"/>
    <x v="57"/>
    <x v="68"/>
    <x v="12"/>
    <x v="17"/>
    <x v="0"/>
    <x v="22"/>
    <x v="28"/>
    <x v="82"/>
    <x v="29"/>
    <x v="2"/>
    <x v="9"/>
    <x v="94"/>
    <x v="0"/>
    <x v="3"/>
    <x v="0"/>
    <x v="2"/>
    <x v="2"/>
  </r>
  <r>
    <x v="0"/>
    <x v="58"/>
    <x v="50"/>
    <x v="12"/>
    <x v="68"/>
    <x v="0"/>
    <x v="22"/>
    <x v="81"/>
    <x v="97"/>
    <x v="78"/>
    <x v="28"/>
    <x v="83"/>
    <x v="95"/>
    <x v="0"/>
    <x v="3"/>
    <x v="0"/>
    <x v="2"/>
    <x v="2"/>
  </r>
  <r>
    <x v="0"/>
    <x v="59"/>
    <x v="52"/>
    <x v="12"/>
    <x v="55"/>
    <x v="0"/>
    <x v="22"/>
    <x v="34"/>
    <x v="120"/>
    <x v="35"/>
    <x v="1"/>
    <x v="4"/>
    <x v="33"/>
    <x v="0"/>
    <x v="3"/>
    <x v="0"/>
    <x v="2"/>
    <x v="1"/>
  </r>
  <r>
    <x v="0"/>
    <x v="60"/>
    <x v="84"/>
    <x v="12"/>
    <x v="72"/>
    <x v="0"/>
    <x v="22"/>
    <x v="119"/>
    <x v="88"/>
    <x v="122"/>
    <x v="17"/>
    <x v="46"/>
    <x v="36"/>
    <x v="0"/>
    <x v="3"/>
    <x v="0"/>
    <x v="2"/>
    <x v="1"/>
  </r>
</pivotCacheRecords>
</file>

<file path=xl/pivotCache/pivotCacheRecords2.xml><?xml version="1.0" encoding="utf-8"?>
<pivotCacheRecords xmlns="http://schemas.openxmlformats.org/spreadsheetml/2006/main" xmlns:r="http://schemas.openxmlformats.org/officeDocument/2006/relationships" count="647">
  <r>
    <x v="5"/>
    <x v="631"/>
    <x v="97"/>
    <x v="2"/>
    <x v="97"/>
    <x v="22"/>
    <x v="23"/>
    <x v="145"/>
    <x v="145"/>
    <x v="143"/>
    <x v="97"/>
    <x v="204"/>
    <x v="96"/>
    <x v="10"/>
    <x v="0"/>
    <x v="0"/>
    <x v="0"/>
    <x v="3"/>
  </r>
  <r>
    <x v="5"/>
    <x v="0"/>
    <x v="6"/>
    <x v="2"/>
    <x v="62"/>
    <x v="0"/>
    <x v="17"/>
    <x v="64"/>
    <x v="132"/>
    <x v="64"/>
    <x v="70"/>
    <x v="40"/>
    <x v="31"/>
    <x v="5"/>
    <x v="0"/>
    <x v="0"/>
    <x v="0"/>
    <x v="1"/>
  </r>
  <r>
    <x v="5"/>
    <x v="1"/>
    <x v="78"/>
    <x v="2"/>
    <x v="41"/>
    <x v="3"/>
    <x v="22"/>
    <x v="103"/>
    <x v="122"/>
    <x v="99"/>
    <x v="16"/>
    <x v="58"/>
    <x v="76"/>
    <x v="5"/>
    <x v="0"/>
    <x v="0"/>
    <x v="0"/>
    <x v="1"/>
  </r>
  <r>
    <x v="5"/>
    <x v="605"/>
    <x v="42"/>
    <x v="2"/>
    <x v="81"/>
    <x v="3"/>
    <x v="22"/>
    <x v="45"/>
    <x v="19"/>
    <x v="41"/>
    <x v="90"/>
    <x v="15"/>
    <x v="83"/>
    <x v="5"/>
    <x v="0"/>
    <x v="0"/>
    <x v="0"/>
    <x v="1"/>
  </r>
  <r>
    <x v="5"/>
    <x v="617"/>
    <x v="77"/>
    <x v="2"/>
    <x v="78"/>
    <x v="3"/>
    <x v="21"/>
    <x v="52"/>
    <x v="90"/>
    <x v="51"/>
    <x v="80"/>
    <x v="102"/>
    <x v="0"/>
    <x v="5"/>
    <x v="0"/>
    <x v="0"/>
    <x v="0"/>
    <x v="2"/>
  </r>
  <r>
    <x v="5"/>
    <x v="2"/>
    <x v="9"/>
    <x v="2"/>
    <x v="49"/>
    <x v="1"/>
    <x v="10"/>
    <x v="12"/>
    <x v="63"/>
    <x v="17"/>
    <x v="74"/>
    <x v="3"/>
    <x v="6"/>
    <x v="5"/>
    <x v="0"/>
    <x v="0"/>
    <x v="0"/>
    <x v="2"/>
  </r>
  <r>
    <x v="5"/>
    <x v="3"/>
    <x v="8"/>
    <x v="2"/>
    <x v="48"/>
    <x v="0"/>
    <x v="22"/>
    <x v="126"/>
    <x v="41"/>
    <x v="122"/>
    <x v="14"/>
    <x v="56"/>
    <x v="15"/>
    <x v="5"/>
    <x v="0"/>
    <x v="0"/>
    <x v="0"/>
    <x v="1"/>
  </r>
  <r>
    <x v="5"/>
    <x v="4"/>
    <x v="41"/>
    <x v="2"/>
    <x v="22"/>
    <x v="0"/>
    <x v="22"/>
    <x v="100"/>
    <x v="140"/>
    <x v="94"/>
    <x v="77"/>
    <x v="193"/>
    <x v="16"/>
    <x v="5"/>
    <x v="0"/>
    <x v="0"/>
    <x v="0"/>
    <x v="1"/>
  </r>
  <r>
    <x v="5"/>
    <x v="5"/>
    <x v="36"/>
    <x v="2"/>
    <x v="40"/>
    <x v="0"/>
    <x v="22"/>
    <x v="86"/>
    <x v="80"/>
    <x v="82"/>
    <x v="10"/>
    <x v="51"/>
    <x v="17"/>
    <x v="5"/>
    <x v="0"/>
    <x v="0"/>
    <x v="0"/>
    <x v="2"/>
  </r>
  <r>
    <x v="5"/>
    <x v="6"/>
    <x v="62"/>
    <x v="2"/>
    <x v="92"/>
    <x v="0"/>
    <x v="13"/>
    <x v="35"/>
    <x v="40"/>
    <x v="38"/>
    <x v="64"/>
    <x v="199"/>
    <x v="26"/>
    <x v="5"/>
    <x v="0"/>
    <x v="0"/>
    <x v="0"/>
    <x v="2"/>
  </r>
  <r>
    <x v="5"/>
    <x v="550"/>
    <x v="93"/>
    <x v="2"/>
    <x v="77"/>
    <x v="1"/>
    <x v="17"/>
    <x v="78"/>
    <x v="72"/>
    <x v="79"/>
    <x v="32"/>
    <x v="81"/>
    <x v="27"/>
    <x v="5"/>
    <x v="0"/>
    <x v="0"/>
    <x v="0"/>
    <x v="1"/>
  </r>
  <r>
    <x v="5"/>
    <x v="7"/>
    <x v="46"/>
    <x v="2"/>
    <x v="76"/>
    <x v="0"/>
    <x v="16"/>
    <x v="21"/>
    <x v="106"/>
    <x v="33"/>
    <x v="52"/>
    <x v="178"/>
    <x v="29"/>
    <x v="5"/>
    <x v="0"/>
    <x v="0"/>
    <x v="0"/>
    <x v="2"/>
  </r>
  <r>
    <x v="5"/>
    <x v="8"/>
    <x v="63"/>
    <x v="2"/>
    <x v="43"/>
    <x v="0"/>
    <x v="17"/>
    <x v="142"/>
    <x v="95"/>
    <x v="141"/>
    <x v="95"/>
    <x v="203"/>
    <x v="32"/>
    <x v="5"/>
    <x v="0"/>
    <x v="0"/>
    <x v="0"/>
    <x v="1"/>
  </r>
  <r>
    <x v="5"/>
    <x v="9"/>
    <x v="11"/>
    <x v="2"/>
    <x v="95"/>
    <x v="0"/>
    <x v="22"/>
    <x v="89"/>
    <x v="126"/>
    <x v="111"/>
    <x v="84"/>
    <x v="188"/>
    <x v="34"/>
    <x v="5"/>
    <x v="0"/>
    <x v="0"/>
    <x v="0"/>
    <x v="1"/>
  </r>
  <r>
    <x v="5"/>
    <x v="10"/>
    <x v="12"/>
    <x v="2"/>
    <x v="5"/>
    <x v="0"/>
    <x v="22"/>
    <x v="94"/>
    <x v="137"/>
    <x v="93"/>
    <x v="22"/>
    <x v="76"/>
    <x v="40"/>
    <x v="5"/>
    <x v="0"/>
    <x v="0"/>
    <x v="0"/>
    <x v="2"/>
  </r>
  <r>
    <x v="5"/>
    <x v="11"/>
    <x v="44"/>
    <x v="2"/>
    <x v="88"/>
    <x v="0"/>
    <x v="3"/>
    <x v="98"/>
    <x v="110"/>
    <x v="98"/>
    <x v="67"/>
    <x v="179"/>
    <x v="41"/>
    <x v="5"/>
    <x v="0"/>
    <x v="0"/>
    <x v="0"/>
    <x v="1"/>
  </r>
  <r>
    <x v="5"/>
    <x v="12"/>
    <x v="31"/>
    <x v="2"/>
    <x v="82"/>
    <x v="0"/>
    <x v="22"/>
    <x v="125"/>
    <x v="87"/>
    <x v="30"/>
    <x v="30"/>
    <x v="111"/>
    <x v="42"/>
    <x v="5"/>
    <x v="0"/>
    <x v="0"/>
    <x v="0"/>
    <x v="2"/>
  </r>
  <r>
    <x v="5"/>
    <x v="13"/>
    <x v="24"/>
    <x v="2"/>
    <x v="52"/>
    <x v="0"/>
    <x v="22"/>
    <x v="102"/>
    <x v="58"/>
    <x v="90"/>
    <x v="38"/>
    <x v="132"/>
    <x v="45"/>
    <x v="5"/>
    <x v="0"/>
    <x v="0"/>
    <x v="0"/>
    <x v="1"/>
  </r>
  <r>
    <x v="5"/>
    <x v="14"/>
    <x v="43"/>
    <x v="2"/>
    <x v="3"/>
    <x v="0"/>
    <x v="13"/>
    <x v="5"/>
    <x v="123"/>
    <x v="4"/>
    <x v="43"/>
    <x v="141"/>
    <x v="55"/>
    <x v="5"/>
    <x v="0"/>
    <x v="0"/>
    <x v="0"/>
    <x v="2"/>
  </r>
  <r>
    <x v="5"/>
    <x v="15"/>
    <x v="10"/>
    <x v="2"/>
    <x v="12"/>
    <x v="0"/>
    <x v="22"/>
    <x v="36"/>
    <x v="16"/>
    <x v="29"/>
    <x v="87"/>
    <x v="196"/>
    <x v="57"/>
    <x v="5"/>
    <x v="0"/>
    <x v="0"/>
    <x v="0"/>
    <x v="2"/>
  </r>
  <r>
    <x v="5"/>
    <x v="571"/>
    <x v="83"/>
    <x v="2"/>
    <x v="73"/>
    <x v="3"/>
    <x v="7"/>
    <x v="106"/>
    <x v="131"/>
    <x v="102"/>
    <x v="55"/>
    <x v="157"/>
    <x v="60"/>
    <x v="5"/>
    <x v="0"/>
    <x v="0"/>
    <x v="0"/>
    <x v="2"/>
  </r>
  <r>
    <x v="5"/>
    <x v="576"/>
    <x v="75"/>
    <x v="2"/>
    <x v="71"/>
    <x v="1"/>
    <x v="12"/>
    <x v="28"/>
    <x v="130"/>
    <x v="32"/>
    <x v="94"/>
    <x v="9"/>
    <x v="63"/>
    <x v="5"/>
    <x v="0"/>
    <x v="0"/>
    <x v="0"/>
    <x v="2"/>
  </r>
  <r>
    <x v="5"/>
    <x v="16"/>
    <x v="40"/>
    <x v="2"/>
    <x v="32"/>
    <x v="0"/>
    <x v="13"/>
    <x v="15"/>
    <x v="83"/>
    <x v="16"/>
    <x v="48"/>
    <x v="147"/>
    <x v="68"/>
    <x v="5"/>
    <x v="0"/>
    <x v="0"/>
    <x v="0"/>
    <x v="2"/>
  </r>
  <r>
    <x v="5"/>
    <x v="17"/>
    <x v="35"/>
    <x v="2"/>
    <x v="18"/>
    <x v="0"/>
    <x v="22"/>
    <x v="47"/>
    <x v="61"/>
    <x v="47"/>
    <x v="59"/>
    <x v="166"/>
    <x v="70"/>
    <x v="5"/>
    <x v="0"/>
    <x v="0"/>
    <x v="0"/>
    <x v="2"/>
  </r>
  <r>
    <x v="5"/>
    <x v="580"/>
    <x v="38"/>
    <x v="2"/>
    <x v="84"/>
    <x v="2"/>
    <x v="22"/>
    <x v="117"/>
    <x v="50"/>
    <x v="49"/>
    <x v="40"/>
    <x v="137"/>
    <x v="71"/>
    <x v="5"/>
    <x v="0"/>
    <x v="0"/>
    <x v="0"/>
    <x v="2"/>
  </r>
  <r>
    <x v="5"/>
    <x v="18"/>
    <x v="68"/>
    <x v="2"/>
    <x v="17"/>
    <x v="0"/>
    <x v="22"/>
    <x v="27"/>
    <x v="84"/>
    <x v="31"/>
    <x v="2"/>
    <x v="18"/>
    <x v="94"/>
    <x v="5"/>
    <x v="0"/>
    <x v="0"/>
    <x v="0"/>
    <x v="2"/>
  </r>
  <r>
    <x v="5"/>
    <x v="19"/>
    <x v="52"/>
    <x v="2"/>
    <x v="55"/>
    <x v="1"/>
    <x v="22"/>
    <x v="33"/>
    <x v="119"/>
    <x v="37"/>
    <x v="1"/>
    <x v="11"/>
    <x v="33"/>
    <x v="5"/>
    <x v="0"/>
    <x v="0"/>
    <x v="0"/>
    <x v="1"/>
  </r>
  <r>
    <x v="5"/>
    <x v="631"/>
    <x v="97"/>
    <x v="3"/>
    <x v="97"/>
    <x v="25"/>
    <x v="23"/>
    <x v="145"/>
    <x v="145"/>
    <x v="143"/>
    <x v="97"/>
    <x v="204"/>
    <x v="96"/>
    <x v="10"/>
    <x v="0"/>
    <x v="0"/>
    <x v="2"/>
    <x v="3"/>
  </r>
  <r>
    <x v="5"/>
    <x v="20"/>
    <x v="7"/>
    <x v="3"/>
    <x v="14"/>
    <x v="0"/>
    <x v="17"/>
    <x v="144"/>
    <x v="15"/>
    <x v="131"/>
    <x v="33"/>
    <x v="114"/>
    <x v="81"/>
    <x v="5"/>
    <x v="0"/>
    <x v="0"/>
    <x v="2"/>
    <x v="1"/>
  </r>
  <r>
    <x v="5"/>
    <x v="587"/>
    <x v="82"/>
    <x v="3"/>
    <x v="74"/>
    <x v="5"/>
    <x v="2"/>
    <x v="127"/>
    <x v="85"/>
    <x v="123"/>
    <x v="5"/>
    <x v="21"/>
    <x v="2"/>
    <x v="7"/>
    <x v="0"/>
    <x v="0"/>
    <x v="2"/>
    <x v="2"/>
  </r>
  <r>
    <x v="5"/>
    <x v="21"/>
    <x v="15"/>
    <x v="3"/>
    <x v="51"/>
    <x v="0"/>
    <x v="17"/>
    <x v="19"/>
    <x v="55"/>
    <x v="44"/>
    <x v="44"/>
    <x v="142"/>
    <x v="25"/>
    <x v="5"/>
    <x v="0"/>
    <x v="0"/>
    <x v="2"/>
    <x v="1"/>
  </r>
  <r>
    <x v="5"/>
    <x v="22"/>
    <x v="92"/>
    <x v="3"/>
    <x v="39"/>
    <x v="0"/>
    <x v="10"/>
    <x v="65"/>
    <x v="134"/>
    <x v="66"/>
    <x v="86"/>
    <x v="189"/>
    <x v="39"/>
    <x v="5"/>
    <x v="0"/>
    <x v="0"/>
    <x v="2"/>
    <x v="2"/>
  </r>
  <r>
    <x v="5"/>
    <x v="592"/>
    <x v="77"/>
    <x v="3"/>
    <x v="78"/>
    <x v="2"/>
    <x v="21"/>
    <x v="51"/>
    <x v="90"/>
    <x v="51"/>
    <x v="80"/>
    <x v="103"/>
    <x v="0"/>
    <x v="5"/>
    <x v="0"/>
    <x v="0"/>
    <x v="2"/>
    <x v="2"/>
  </r>
  <r>
    <x v="5"/>
    <x v="23"/>
    <x v="71"/>
    <x v="3"/>
    <x v="25"/>
    <x v="0"/>
    <x v="11"/>
    <x v="56"/>
    <x v="114"/>
    <x v="55"/>
    <x v="91"/>
    <x v="195"/>
    <x v="1"/>
    <x v="5"/>
    <x v="0"/>
    <x v="0"/>
    <x v="2"/>
    <x v="2"/>
  </r>
  <r>
    <x v="5"/>
    <x v="24"/>
    <x v="85"/>
    <x v="3"/>
    <x v="29"/>
    <x v="0"/>
    <x v="13"/>
    <x v="140"/>
    <x v="31"/>
    <x v="139"/>
    <x v="88"/>
    <x v="190"/>
    <x v="9"/>
    <x v="5"/>
    <x v="0"/>
    <x v="0"/>
    <x v="2"/>
    <x v="2"/>
  </r>
  <r>
    <x v="5"/>
    <x v="596"/>
    <x v="32"/>
    <x v="3"/>
    <x v="23"/>
    <x v="1"/>
    <x v="22"/>
    <x v="8"/>
    <x v="48"/>
    <x v="6"/>
    <x v="73"/>
    <x v="70"/>
    <x v="13"/>
    <x v="5"/>
    <x v="0"/>
    <x v="0"/>
    <x v="2"/>
    <x v="1"/>
  </r>
  <r>
    <x v="5"/>
    <x v="25"/>
    <x v="36"/>
    <x v="3"/>
    <x v="40"/>
    <x v="0"/>
    <x v="22"/>
    <x v="86"/>
    <x v="80"/>
    <x v="82"/>
    <x v="10"/>
    <x v="51"/>
    <x v="17"/>
    <x v="5"/>
    <x v="0"/>
    <x v="0"/>
    <x v="2"/>
    <x v="2"/>
  </r>
  <r>
    <x v="5"/>
    <x v="26"/>
    <x v="66"/>
    <x v="3"/>
    <x v="10"/>
    <x v="0"/>
    <x v="13"/>
    <x v="136"/>
    <x v="47"/>
    <x v="129"/>
    <x v="19"/>
    <x v="64"/>
    <x v="18"/>
    <x v="5"/>
    <x v="0"/>
    <x v="0"/>
    <x v="2"/>
    <x v="2"/>
  </r>
  <r>
    <x v="5"/>
    <x v="27"/>
    <x v="25"/>
    <x v="3"/>
    <x v="60"/>
    <x v="1"/>
    <x v="10"/>
    <x v="18"/>
    <x v="25"/>
    <x v="11"/>
    <x v="83"/>
    <x v="46"/>
    <x v="19"/>
    <x v="5"/>
    <x v="0"/>
    <x v="0"/>
    <x v="2"/>
    <x v="2"/>
  </r>
  <r>
    <x v="5"/>
    <x v="28"/>
    <x v="86"/>
    <x v="3"/>
    <x v="67"/>
    <x v="0"/>
    <x v="22"/>
    <x v="32"/>
    <x v="143"/>
    <x v="27"/>
    <x v="15"/>
    <x v="57"/>
    <x v="24"/>
    <x v="5"/>
    <x v="0"/>
    <x v="0"/>
    <x v="2"/>
    <x v="2"/>
  </r>
  <r>
    <x v="5"/>
    <x v="604"/>
    <x v="93"/>
    <x v="3"/>
    <x v="77"/>
    <x v="2"/>
    <x v="17"/>
    <x v="79"/>
    <x v="73"/>
    <x v="80"/>
    <x v="32"/>
    <x v="82"/>
    <x v="27"/>
    <x v="5"/>
    <x v="0"/>
    <x v="0"/>
    <x v="2"/>
    <x v="1"/>
  </r>
  <r>
    <x v="5"/>
    <x v="29"/>
    <x v="73"/>
    <x v="3"/>
    <x v="53"/>
    <x v="0"/>
    <x v="0"/>
    <x v="141"/>
    <x v="111"/>
    <x v="140"/>
    <x v="68"/>
    <x v="176"/>
    <x v="28"/>
    <x v="5"/>
    <x v="0"/>
    <x v="0"/>
    <x v="2"/>
    <x v="1"/>
  </r>
  <r>
    <x v="5"/>
    <x v="30"/>
    <x v="46"/>
    <x v="3"/>
    <x v="76"/>
    <x v="0"/>
    <x v="16"/>
    <x v="21"/>
    <x v="106"/>
    <x v="33"/>
    <x v="52"/>
    <x v="178"/>
    <x v="29"/>
    <x v="5"/>
    <x v="0"/>
    <x v="0"/>
    <x v="2"/>
    <x v="2"/>
  </r>
  <r>
    <x v="5"/>
    <x v="31"/>
    <x v="69"/>
    <x v="3"/>
    <x v="6"/>
    <x v="0"/>
    <x v="22"/>
    <x v="49"/>
    <x v="22"/>
    <x v="57"/>
    <x v="3"/>
    <x v="201"/>
    <x v="30"/>
    <x v="5"/>
    <x v="0"/>
    <x v="0"/>
    <x v="2"/>
    <x v="1"/>
  </r>
  <r>
    <x v="5"/>
    <x v="32"/>
    <x v="11"/>
    <x v="3"/>
    <x v="95"/>
    <x v="0"/>
    <x v="22"/>
    <x v="89"/>
    <x v="126"/>
    <x v="111"/>
    <x v="84"/>
    <x v="188"/>
    <x v="34"/>
    <x v="5"/>
    <x v="0"/>
    <x v="0"/>
    <x v="2"/>
    <x v="1"/>
  </r>
  <r>
    <x v="5"/>
    <x v="33"/>
    <x v="2"/>
    <x v="3"/>
    <x v="35"/>
    <x v="0"/>
    <x v="22"/>
    <x v="75"/>
    <x v="121"/>
    <x v="74"/>
    <x v="22"/>
    <x v="77"/>
    <x v="43"/>
    <x v="5"/>
    <x v="0"/>
    <x v="0"/>
    <x v="2"/>
    <x v="1"/>
  </r>
  <r>
    <x v="5"/>
    <x v="34"/>
    <x v="20"/>
    <x v="3"/>
    <x v="80"/>
    <x v="0"/>
    <x v="13"/>
    <x v="22"/>
    <x v="93"/>
    <x v="19"/>
    <x v="92"/>
    <x v="198"/>
    <x v="46"/>
    <x v="5"/>
    <x v="0"/>
    <x v="0"/>
    <x v="2"/>
    <x v="2"/>
  </r>
  <r>
    <x v="5"/>
    <x v="35"/>
    <x v="13"/>
    <x v="3"/>
    <x v="64"/>
    <x v="0"/>
    <x v="22"/>
    <x v="6"/>
    <x v="82"/>
    <x v="10"/>
    <x v="28"/>
    <x v="109"/>
    <x v="48"/>
    <x v="5"/>
    <x v="0"/>
    <x v="0"/>
    <x v="2"/>
    <x v="1"/>
  </r>
  <r>
    <x v="5"/>
    <x v="36"/>
    <x v="61"/>
    <x v="3"/>
    <x v="96"/>
    <x v="1"/>
    <x v="22"/>
    <x v="107"/>
    <x v="76"/>
    <x v="106"/>
    <x v="25"/>
    <x v="96"/>
    <x v="51"/>
    <x v="5"/>
    <x v="0"/>
    <x v="0"/>
    <x v="2"/>
    <x v="1"/>
  </r>
  <r>
    <x v="5"/>
    <x v="37"/>
    <x v="64"/>
    <x v="3"/>
    <x v="21"/>
    <x v="0"/>
    <x v="10"/>
    <x v="108"/>
    <x v="35"/>
    <x v="107"/>
    <x v="57"/>
    <x v="163"/>
    <x v="56"/>
    <x v="5"/>
    <x v="0"/>
    <x v="0"/>
    <x v="2"/>
    <x v="1"/>
  </r>
  <r>
    <x v="5"/>
    <x v="38"/>
    <x v="72"/>
    <x v="3"/>
    <x v="47"/>
    <x v="0"/>
    <x v="17"/>
    <x v="11"/>
    <x v="17"/>
    <x v="8"/>
    <x v="50"/>
    <x v="150"/>
    <x v="58"/>
    <x v="5"/>
    <x v="0"/>
    <x v="0"/>
    <x v="2"/>
    <x v="1"/>
  </r>
  <r>
    <x v="5"/>
    <x v="39"/>
    <x v="80"/>
    <x v="3"/>
    <x v="4"/>
    <x v="0"/>
    <x v="10"/>
    <x v="72"/>
    <x v="118"/>
    <x v="70"/>
    <x v="76"/>
    <x v="172"/>
    <x v="61"/>
    <x v="5"/>
    <x v="0"/>
    <x v="0"/>
    <x v="2"/>
    <x v="2"/>
  </r>
  <r>
    <x v="5"/>
    <x v="40"/>
    <x v="60"/>
    <x v="3"/>
    <x v="93"/>
    <x v="1"/>
    <x v="14"/>
    <x v="61"/>
    <x v="139"/>
    <x v="63"/>
    <x v="53"/>
    <x v="152"/>
    <x v="62"/>
    <x v="5"/>
    <x v="0"/>
    <x v="0"/>
    <x v="2"/>
    <x v="2"/>
  </r>
  <r>
    <x v="5"/>
    <x v="41"/>
    <x v="75"/>
    <x v="3"/>
    <x v="71"/>
    <x v="0"/>
    <x v="12"/>
    <x v="28"/>
    <x v="130"/>
    <x v="32"/>
    <x v="94"/>
    <x v="4"/>
    <x v="63"/>
    <x v="5"/>
    <x v="0"/>
    <x v="0"/>
    <x v="2"/>
    <x v="2"/>
  </r>
  <r>
    <x v="5"/>
    <x v="42"/>
    <x v="45"/>
    <x v="3"/>
    <x v="90"/>
    <x v="0"/>
    <x v="5"/>
    <x v="91"/>
    <x v="102"/>
    <x v="84"/>
    <x v="20"/>
    <x v="72"/>
    <x v="64"/>
    <x v="5"/>
    <x v="0"/>
    <x v="0"/>
    <x v="2"/>
    <x v="2"/>
  </r>
  <r>
    <x v="5"/>
    <x v="619"/>
    <x v="58"/>
    <x v="3"/>
    <x v="75"/>
    <x v="7"/>
    <x v="13"/>
    <x v="25"/>
    <x v="30"/>
    <x v="22"/>
    <x v="54"/>
    <x v="120"/>
    <x v="66"/>
    <x v="5"/>
    <x v="0"/>
    <x v="0"/>
    <x v="2"/>
    <x v="1"/>
  </r>
  <r>
    <x v="5"/>
    <x v="43"/>
    <x v="96"/>
    <x v="3"/>
    <x v="46"/>
    <x v="0"/>
    <x v="10"/>
    <x v="93"/>
    <x v="79"/>
    <x v="86"/>
    <x v="8"/>
    <x v="42"/>
    <x v="69"/>
    <x v="5"/>
    <x v="0"/>
    <x v="0"/>
    <x v="2"/>
    <x v="2"/>
  </r>
  <r>
    <x v="5"/>
    <x v="44"/>
    <x v="49"/>
    <x v="3"/>
    <x v="0"/>
    <x v="0"/>
    <x v="22"/>
    <x v="63"/>
    <x v="100"/>
    <x v="62"/>
    <x v="47"/>
    <x v="145"/>
    <x v="73"/>
    <x v="5"/>
    <x v="0"/>
    <x v="0"/>
    <x v="2"/>
    <x v="1"/>
  </r>
  <r>
    <x v="5"/>
    <x v="45"/>
    <x v="26"/>
    <x v="3"/>
    <x v="58"/>
    <x v="0"/>
    <x v="13"/>
    <x v="60"/>
    <x v="65"/>
    <x v="61"/>
    <x v="45"/>
    <x v="144"/>
    <x v="74"/>
    <x v="5"/>
    <x v="0"/>
    <x v="0"/>
    <x v="2"/>
    <x v="2"/>
  </r>
  <r>
    <x v="5"/>
    <x v="622"/>
    <x v="59"/>
    <x v="3"/>
    <x v="70"/>
    <x v="3"/>
    <x v="10"/>
    <x v="135"/>
    <x v="11"/>
    <x v="138"/>
    <x v="63"/>
    <x v="31"/>
    <x v="77"/>
    <x v="5"/>
    <x v="0"/>
    <x v="0"/>
    <x v="2"/>
    <x v="1"/>
  </r>
  <r>
    <x v="5"/>
    <x v="46"/>
    <x v="94"/>
    <x v="3"/>
    <x v="26"/>
    <x v="1"/>
    <x v="10"/>
    <x v="9"/>
    <x v="37"/>
    <x v="7"/>
    <x v="6"/>
    <x v="36"/>
    <x v="79"/>
    <x v="5"/>
    <x v="0"/>
    <x v="0"/>
    <x v="2"/>
    <x v="1"/>
  </r>
  <r>
    <x v="5"/>
    <x v="47"/>
    <x v="28"/>
    <x v="3"/>
    <x v="37"/>
    <x v="0"/>
    <x v="13"/>
    <x v="138"/>
    <x v="0"/>
    <x v="127"/>
    <x v="82"/>
    <x v="2"/>
    <x v="85"/>
    <x v="5"/>
    <x v="0"/>
    <x v="0"/>
    <x v="2"/>
    <x v="2"/>
  </r>
  <r>
    <x v="5"/>
    <x v="48"/>
    <x v="48"/>
    <x v="3"/>
    <x v="13"/>
    <x v="0"/>
    <x v="10"/>
    <x v="85"/>
    <x v="64"/>
    <x v="81"/>
    <x v="75"/>
    <x v="79"/>
    <x v="86"/>
    <x v="5"/>
    <x v="0"/>
    <x v="0"/>
    <x v="2"/>
    <x v="1"/>
  </r>
  <r>
    <x v="5"/>
    <x v="49"/>
    <x v="55"/>
    <x v="3"/>
    <x v="2"/>
    <x v="0"/>
    <x v="22"/>
    <x v="43"/>
    <x v="124"/>
    <x v="43"/>
    <x v="18"/>
    <x v="60"/>
    <x v="87"/>
    <x v="5"/>
    <x v="0"/>
    <x v="0"/>
    <x v="2"/>
    <x v="2"/>
  </r>
  <r>
    <x v="5"/>
    <x v="50"/>
    <x v="27"/>
    <x v="3"/>
    <x v="65"/>
    <x v="2"/>
    <x v="10"/>
    <x v="39"/>
    <x v="105"/>
    <x v="34"/>
    <x v="9"/>
    <x v="45"/>
    <x v="88"/>
    <x v="5"/>
    <x v="0"/>
    <x v="0"/>
    <x v="2"/>
    <x v="1"/>
  </r>
  <r>
    <x v="5"/>
    <x v="51"/>
    <x v="65"/>
    <x v="3"/>
    <x v="83"/>
    <x v="0"/>
    <x v="13"/>
    <x v="23"/>
    <x v="133"/>
    <x v="20"/>
    <x v="49"/>
    <x v="148"/>
    <x v="89"/>
    <x v="5"/>
    <x v="0"/>
    <x v="0"/>
    <x v="2"/>
    <x v="2"/>
  </r>
  <r>
    <x v="5"/>
    <x v="52"/>
    <x v="21"/>
    <x v="3"/>
    <x v="11"/>
    <x v="0"/>
    <x v="10"/>
    <x v="55"/>
    <x v="117"/>
    <x v="54"/>
    <x v="85"/>
    <x v="191"/>
    <x v="92"/>
    <x v="5"/>
    <x v="0"/>
    <x v="0"/>
    <x v="2"/>
    <x v="2"/>
  </r>
  <r>
    <x v="5"/>
    <x v="53"/>
    <x v="88"/>
    <x v="3"/>
    <x v="45"/>
    <x v="0"/>
    <x v="17"/>
    <x v="37"/>
    <x v="60"/>
    <x v="35"/>
    <x v="35"/>
    <x v="115"/>
    <x v="93"/>
    <x v="5"/>
    <x v="0"/>
    <x v="0"/>
    <x v="2"/>
    <x v="1"/>
  </r>
  <r>
    <x v="5"/>
    <x v="54"/>
    <x v="84"/>
    <x v="3"/>
    <x v="72"/>
    <x v="1"/>
    <x v="22"/>
    <x v="113"/>
    <x v="88"/>
    <x v="113"/>
    <x v="17"/>
    <x v="59"/>
    <x v="36"/>
    <x v="5"/>
    <x v="0"/>
    <x v="0"/>
    <x v="2"/>
    <x v="1"/>
  </r>
  <r>
    <x v="5"/>
    <x v="631"/>
    <x v="97"/>
    <x v="4"/>
    <x v="97"/>
    <x v="26"/>
    <x v="23"/>
    <x v="145"/>
    <x v="145"/>
    <x v="143"/>
    <x v="97"/>
    <x v="204"/>
    <x v="96"/>
    <x v="10"/>
    <x v="0"/>
    <x v="0"/>
    <x v="0"/>
    <x v="3"/>
  </r>
  <r>
    <x v="5"/>
    <x v="623"/>
    <x v="82"/>
    <x v="4"/>
    <x v="74"/>
    <x v="2"/>
    <x v="2"/>
    <x v="127"/>
    <x v="85"/>
    <x v="123"/>
    <x v="5"/>
    <x v="20"/>
    <x v="2"/>
    <x v="5"/>
    <x v="0"/>
    <x v="0"/>
    <x v="0"/>
    <x v="2"/>
  </r>
  <r>
    <x v="5"/>
    <x v="55"/>
    <x v="19"/>
    <x v="4"/>
    <x v="24"/>
    <x v="1"/>
    <x v="22"/>
    <x v="96"/>
    <x v="125"/>
    <x v="97"/>
    <x v="46"/>
    <x v="146"/>
    <x v="75"/>
    <x v="5"/>
    <x v="0"/>
    <x v="0"/>
    <x v="0"/>
    <x v="1"/>
  </r>
  <r>
    <x v="5"/>
    <x v="56"/>
    <x v="78"/>
    <x v="4"/>
    <x v="41"/>
    <x v="7"/>
    <x v="22"/>
    <x v="103"/>
    <x v="122"/>
    <x v="99"/>
    <x v="16"/>
    <x v="58"/>
    <x v="76"/>
    <x v="5"/>
    <x v="0"/>
    <x v="0"/>
    <x v="0"/>
    <x v="1"/>
  </r>
  <r>
    <x v="5"/>
    <x v="57"/>
    <x v="1"/>
    <x v="4"/>
    <x v="30"/>
    <x v="0"/>
    <x v="22"/>
    <x v="92"/>
    <x v="112"/>
    <x v="85"/>
    <x v="66"/>
    <x v="39"/>
    <x v="4"/>
    <x v="5"/>
    <x v="0"/>
    <x v="0"/>
    <x v="0"/>
    <x v="2"/>
  </r>
  <r>
    <x v="5"/>
    <x v="58"/>
    <x v="70"/>
    <x v="4"/>
    <x v="89"/>
    <x v="0"/>
    <x v="8"/>
    <x v="105"/>
    <x v="128"/>
    <x v="101"/>
    <x v="42"/>
    <x v="170"/>
    <x v="7"/>
    <x v="5"/>
    <x v="0"/>
    <x v="0"/>
    <x v="0"/>
    <x v="1"/>
  </r>
  <r>
    <x v="5"/>
    <x v="59"/>
    <x v="81"/>
    <x v="4"/>
    <x v="56"/>
    <x v="0"/>
    <x v="22"/>
    <x v="112"/>
    <x v="77"/>
    <x v="112"/>
    <x v="60"/>
    <x v="168"/>
    <x v="8"/>
    <x v="5"/>
    <x v="0"/>
    <x v="0"/>
    <x v="0"/>
    <x v="2"/>
  </r>
  <r>
    <x v="5"/>
    <x v="60"/>
    <x v="89"/>
    <x v="4"/>
    <x v="66"/>
    <x v="0"/>
    <x v="17"/>
    <x v="38"/>
    <x v="99"/>
    <x v="36"/>
    <x v="34"/>
    <x v="128"/>
    <x v="11"/>
    <x v="5"/>
    <x v="0"/>
    <x v="0"/>
    <x v="0"/>
    <x v="1"/>
  </r>
  <r>
    <x v="5"/>
    <x v="61"/>
    <x v="41"/>
    <x v="4"/>
    <x v="22"/>
    <x v="0"/>
    <x v="22"/>
    <x v="29"/>
    <x v="142"/>
    <x v="1"/>
    <x v="77"/>
    <x v="19"/>
    <x v="16"/>
    <x v="5"/>
    <x v="0"/>
    <x v="0"/>
    <x v="0"/>
    <x v="1"/>
  </r>
  <r>
    <x v="5"/>
    <x v="62"/>
    <x v="51"/>
    <x v="4"/>
    <x v="15"/>
    <x v="0"/>
    <x v="22"/>
    <x v="97"/>
    <x v="115"/>
    <x v="89"/>
    <x v="21"/>
    <x v="74"/>
    <x v="20"/>
    <x v="5"/>
    <x v="0"/>
    <x v="0"/>
    <x v="0"/>
    <x v="1"/>
  </r>
  <r>
    <x v="5"/>
    <x v="63"/>
    <x v="4"/>
    <x v="4"/>
    <x v="20"/>
    <x v="0"/>
    <x v="22"/>
    <x v="66"/>
    <x v="53"/>
    <x v="67"/>
    <x v="71"/>
    <x v="89"/>
    <x v="22"/>
    <x v="5"/>
    <x v="0"/>
    <x v="0"/>
    <x v="0"/>
    <x v="2"/>
  </r>
  <r>
    <x v="5"/>
    <x v="64"/>
    <x v="86"/>
    <x v="4"/>
    <x v="67"/>
    <x v="0"/>
    <x v="22"/>
    <x v="48"/>
    <x v="138"/>
    <x v="46"/>
    <x v="15"/>
    <x v="122"/>
    <x v="24"/>
    <x v="5"/>
    <x v="0"/>
    <x v="0"/>
    <x v="0"/>
    <x v="2"/>
  </r>
  <r>
    <x v="5"/>
    <x v="624"/>
    <x v="93"/>
    <x v="4"/>
    <x v="77"/>
    <x v="2"/>
    <x v="17"/>
    <x v="59"/>
    <x v="75"/>
    <x v="59"/>
    <x v="32"/>
    <x v="127"/>
    <x v="27"/>
    <x v="5"/>
    <x v="0"/>
    <x v="0"/>
    <x v="0"/>
    <x v="1"/>
  </r>
  <r>
    <x v="5"/>
    <x v="65"/>
    <x v="73"/>
    <x v="4"/>
    <x v="53"/>
    <x v="1"/>
    <x v="0"/>
    <x v="141"/>
    <x v="111"/>
    <x v="140"/>
    <x v="68"/>
    <x v="174"/>
    <x v="28"/>
    <x v="5"/>
    <x v="0"/>
    <x v="0"/>
    <x v="0"/>
    <x v="1"/>
  </r>
  <r>
    <x v="5"/>
    <x v="66"/>
    <x v="46"/>
    <x v="4"/>
    <x v="76"/>
    <x v="9"/>
    <x v="16"/>
    <x v="21"/>
    <x v="106"/>
    <x v="33"/>
    <x v="52"/>
    <x v="160"/>
    <x v="29"/>
    <x v="5"/>
    <x v="0"/>
    <x v="0"/>
    <x v="0"/>
    <x v="2"/>
  </r>
  <r>
    <x v="5"/>
    <x v="67"/>
    <x v="69"/>
    <x v="4"/>
    <x v="6"/>
    <x v="1"/>
    <x v="22"/>
    <x v="49"/>
    <x v="22"/>
    <x v="57"/>
    <x v="3"/>
    <x v="201"/>
    <x v="30"/>
    <x v="5"/>
    <x v="0"/>
    <x v="0"/>
    <x v="0"/>
    <x v="1"/>
  </r>
  <r>
    <x v="5"/>
    <x v="625"/>
    <x v="17"/>
    <x v="4"/>
    <x v="63"/>
    <x v="0"/>
    <x v="22"/>
    <x v="67"/>
    <x v="44"/>
    <x v="68"/>
    <x v="61"/>
    <x v="90"/>
    <x v="37"/>
    <x v="5"/>
    <x v="0"/>
    <x v="0"/>
    <x v="0"/>
    <x v="2"/>
  </r>
  <r>
    <x v="5"/>
    <x v="68"/>
    <x v="29"/>
    <x v="4"/>
    <x v="61"/>
    <x v="1"/>
    <x v="13"/>
    <x v="121"/>
    <x v="66"/>
    <x v="121"/>
    <x v="12"/>
    <x v="53"/>
    <x v="44"/>
    <x v="5"/>
    <x v="0"/>
    <x v="0"/>
    <x v="0"/>
    <x v="1"/>
  </r>
  <r>
    <x v="5"/>
    <x v="69"/>
    <x v="24"/>
    <x v="4"/>
    <x v="52"/>
    <x v="0"/>
    <x v="22"/>
    <x v="102"/>
    <x v="58"/>
    <x v="90"/>
    <x v="39"/>
    <x v="133"/>
    <x v="45"/>
    <x v="5"/>
    <x v="0"/>
    <x v="0"/>
    <x v="0"/>
    <x v="1"/>
  </r>
  <r>
    <x v="5"/>
    <x v="70"/>
    <x v="13"/>
    <x v="4"/>
    <x v="64"/>
    <x v="0"/>
    <x v="22"/>
    <x v="6"/>
    <x v="82"/>
    <x v="10"/>
    <x v="28"/>
    <x v="109"/>
    <x v="48"/>
    <x v="5"/>
    <x v="0"/>
    <x v="0"/>
    <x v="0"/>
    <x v="1"/>
  </r>
  <r>
    <x v="5"/>
    <x v="71"/>
    <x v="34"/>
    <x v="4"/>
    <x v="54"/>
    <x v="0"/>
    <x v="15"/>
    <x v="44"/>
    <x v="107"/>
    <x v="120"/>
    <x v="0"/>
    <x v="140"/>
    <x v="49"/>
    <x v="5"/>
    <x v="0"/>
    <x v="0"/>
    <x v="0"/>
    <x v="1"/>
  </r>
  <r>
    <x v="5"/>
    <x v="626"/>
    <x v="61"/>
    <x v="4"/>
    <x v="96"/>
    <x v="2"/>
    <x v="22"/>
    <x v="107"/>
    <x v="76"/>
    <x v="106"/>
    <x v="25"/>
    <x v="98"/>
    <x v="51"/>
    <x v="5"/>
    <x v="0"/>
    <x v="0"/>
    <x v="0"/>
    <x v="1"/>
  </r>
  <r>
    <x v="5"/>
    <x v="72"/>
    <x v="3"/>
    <x v="4"/>
    <x v="8"/>
    <x v="0"/>
    <x v="10"/>
    <x v="20"/>
    <x v="135"/>
    <x v="18"/>
    <x v="58"/>
    <x v="165"/>
    <x v="53"/>
    <x v="5"/>
    <x v="0"/>
    <x v="0"/>
    <x v="0"/>
    <x v="1"/>
  </r>
  <r>
    <x v="5"/>
    <x v="73"/>
    <x v="33"/>
    <x v="4"/>
    <x v="31"/>
    <x v="0"/>
    <x v="10"/>
    <x v="143"/>
    <x v="59"/>
    <x v="142"/>
    <x v="78"/>
    <x v="180"/>
    <x v="59"/>
    <x v="5"/>
    <x v="0"/>
    <x v="0"/>
    <x v="0"/>
    <x v="2"/>
  </r>
  <r>
    <x v="5"/>
    <x v="74"/>
    <x v="80"/>
    <x v="4"/>
    <x v="4"/>
    <x v="0"/>
    <x v="10"/>
    <x v="72"/>
    <x v="118"/>
    <x v="70"/>
    <x v="76"/>
    <x v="73"/>
    <x v="61"/>
    <x v="5"/>
    <x v="0"/>
    <x v="0"/>
    <x v="0"/>
    <x v="2"/>
  </r>
  <r>
    <x v="5"/>
    <x v="627"/>
    <x v="75"/>
    <x v="4"/>
    <x v="71"/>
    <x v="5"/>
    <x v="12"/>
    <x v="28"/>
    <x v="130"/>
    <x v="32"/>
    <x v="94"/>
    <x v="7"/>
    <x v="63"/>
    <x v="5"/>
    <x v="0"/>
    <x v="0"/>
    <x v="0"/>
    <x v="2"/>
  </r>
  <r>
    <x v="5"/>
    <x v="628"/>
    <x v="58"/>
    <x v="4"/>
    <x v="75"/>
    <x v="5"/>
    <x v="13"/>
    <x v="70"/>
    <x v="33"/>
    <x v="103"/>
    <x v="54"/>
    <x v="88"/>
    <x v="66"/>
    <x v="5"/>
    <x v="0"/>
    <x v="0"/>
    <x v="0"/>
    <x v="1"/>
  </r>
  <r>
    <x v="5"/>
    <x v="75"/>
    <x v="96"/>
    <x v="4"/>
    <x v="46"/>
    <x v="0"/>
    <x v="10"/>
    <x v="93"/>
    <x v="79"/>
    <x v="86"/>
    <x v="8"/>
    <x v="42"/>
    <x v="69"/>
    <x v="5"/>
    <x v="0"/>
    <x v="0"/>
    <x v="0"/>
    <x v="2"/>
  </r>
  <r>
    <x v="5"/>
    <x v="629"/>
    <x v="59"/>
    <x v="4"/>
    <x v="70"/>
    <x v="3"/>
    <x v="10"/>
    <x v="130"/>
    <x v="7"/>
    <x v="133"/>
    <x v="63"/>
    <x v="27"/>
    <x v="77"/>
    <x v="5"/>
    <x v="0"/>
    <x v="0"/>
    <x v="0"/>
    <x v="1"/>
  </r>
  <r>
    <x v="5"/>
    <x v="76"/>
    <x v="23"/>
    <x v="4"/>
    <x v="16"/>
    <x v="0"/>
    <x v="17"/>
    <x v="4"/>
    <x v="46"/>
    <x v="2"/>
    <x v="24"/>
    <x v="92"/>
    <x v="78"/>
    <x v="5"/>
    <x v="0"/>
    <x v="0"/>
    <x v="0"/>
    <x v="1"/>
  </r>
  <r>
    <x v="5"/>
    <x v="77"/>
    <x v="94"/>
    <x v="4"/>
    <x v="26"/>
    <x v="0"/>
    <x v="10"/>
    <x v="114"/>
    <x v="38"/>
    <x v="114"/>
    <x v="6"/>
    <x v="12"/>
    <x v="79"/>
    <x v="5"/>
    <x v="0"/>
    <x v="0"/>
    <x v="0"/>
    <x v="1"/>
  </r>
  <r>
    <x v="5"/>
    <x v="78"/>
    <x v="30"/>
    <x v="4"/>
    <x v="27"/>
    <x v="0"/>
    <x v="4"/>
    <x v="31"/>
    <x v="101"/>
    <x v="26"/>
    <x v="31"/>
    <x v="113"/>
    <x v="82"/>
    <x v="5"/>
    <x v="0"/>
    <x v="0"/>
    <x v="0"/>
    <x v="2"/>
  </r>
  <r>
    <x v="5"/>
    <x v="630"/>
    <x v="37"/>
    <x v="4"/>
    <x v="34"/>
    <x v="0"/>
    <x v="22"/>
    <x v="13"/>
    <x v="103"/>
    <x v="12"/>
    <x v="72"/>
    <x v="67"/>
    <x v="84"/>
    <x v="5"/>
    <x v="0"/>
    <x v="0"/>
    <x v="0"/>
    <x v="2"/>
  </r>
  <r>
    <x v="5"/>
    <x v="79"/>
    <x v="65"/>
    <x v="4"/>
    <x v="83"/>
    <x v="0"/>
    <x v="13"/>
    <x v="23"/>
    <x v="133"/>
    <x v="20"/>
    <x v="49"/>
    <x v="148"/>
    <x v="89"/>
    <x v="5"/>
    <x v="0"/>
    <x v="0"/>
    <x v="0"/>
    <x v="2"/>
  </r>
  <r>
    <x v="5"/>
    <x v="80"/>
    <x v="14"/>
    <x v="4"/>
    <x v="50"/>
    <x v="1"/>
    <x v="13"/>
    <x v="137"/>
    <x v="104"/>
    <x v="130"/>
    <x v="4"/>
    <x v="121"/>
    <x v="91"/>
    <x v="5"/>
    <x v="0"/>
    <x v="0"/>
    <x v="0"/>
    <x v="2"/>
  </r>
  <r>
    <x v="5"/>
    <x v="81"/>
    <x v="50"/>
    <x v="4"/>
    <x v="68"/>
    <x v="1"/>
    <x v="22"/>
    <x v="74"/>
    <x v="98"/>
    <x v="73"/>
    <x v="28"/>
    <x v="109"/>
    <x v="95"/>
    <x v="5"/>
    <x v="0"/>
    <x v="0"/>
    <x v="0"/>
    <x v="2"/>
  </r>
  <r>
    <x v="5"/>
    <x v="82"/>
    <x v="84"/>
    <x v="4"/>
    <x v="72"/>
    <x v="2"/>
    <x v="22"/>
    <x v="113"/>
    <x v="88"/>
    <x v="113"/>
    <x v="17"/>
    <x v="59"/>
    <x v="36"/>
    <x v="5"/>
    <x v="0"/>
    <x v="0"/>
    <x v="0"/>
    <x v="1"/>
  </r>
  <r>
    <x v="5"/>
    <x v="631"/>
    <x v="97"/>
    <x v="5"/>
    <x v="97"/>
    <x v="29"/>
    <x v="23"/>
    <x v="145"/>
    <x v="145"/>
    <x v="143"/>
    <x v="97"/>
    <x v="204"/>
    <x v="96"/>
    <x v="10"/>
    <x v="0"/>
    <x v="0"/>
    <x v="1"/>
    <x v="3"/>
  </r>
  <r>
    <x v="5"/>
    <x v="547"/>
    <x v="82"/>
    <x v="5"/>
    <x v="74"/>
    <x v="3"/>
    <x v="2"/>
    <x v="127"/>
    <x v="85"/>
    <x v="123"/>
    <x v="5"/>
    <x v="35"/>
    <x v="2"/>
    <x v="7"/>
    <x v="0"/>
    <x v="0"/>
    <x v="1"/>
    <x v="2"/>
  </r>
  <r>
    <x v="5"/>
    <x v="83"/>
    <x v="92"/>
    <x v="5"/>
    <x v="39"/>
    <x v="0"/>
    <x v="10"/>
    <x v="65"/>
    <x v="134"/>
    <x v="66"/>
    <x v="86"/>
    <x v="189"/>
    <x v="39"/>
    <x v="4"/>
    <x v="0"/>
    <x v="0"/>
    <x v="1"/>
    <x v="2"/>
  </r>
  <r>
    <x v="5"/>
    <x v="548"/>
    <x v="42"/>
    <x v="5"/>
    <x v="81"/>
    <x v="4"/>
    <x v="22"/>
    <x v="42"/>
    <x v="21"/>
    <x v="42"/>
    <x v="90"/>
    <x v="80"/>
    <x v="83"/>
    <x v="4"/>
    <x v="0"/>
    <x v="0"/>
    <x v="1"/>
    <x v="1"/>
  </r>
  <r>
    <x v="5"/>
    <x v="549"/>
    <x v="77"/>
    <x v="5"/>
    <x v="78"/>
    <x v="1"/>
    <x v="21"/>
    <x v="54"/>
    <x v="92"/>
    <x v="53"/>
    <x v="80"/>
    <x v="104"/>
    <x v="0"/>
    <x v="4"/>
    <x v="0"/>
    <x v="0"/>
    <x v="1"/>
    <x v="2"/>
  </r>
  <r>
    <x v="5"/>
    <x v="84"/>
    <x v="90"/>
    <x v="5"/>
    <x v="87"/>
    <x v="0"/>
    <x v="6"/>
    <x v="87"/>
    <x v="24"/>
    <x v="91"/>
    <x v="23"/>
    <x v="85"/>
    <x v="3"/>
    <x v="4"/>
    <x v="0"/>
    <x v="0"/>
    <x v="1"/>
    <x v="1"/>
  </r>
  <r>
    <x v="5"/>
    <x v="85"/>
    <x v="1"/>
    <x v="5"/>
    <x v="30"/>
    <x v="0"/>
    <x v="22"/>
    <x v="92"/>
    <x v="112"/>
    <x v="85"/>
    <x v="66"/>
    <x v="10"/>
    <x v="4"/>
    <x v="4"/>
    <x v="0"/>
    <x v="0"/>
    <x v="1"/>
    <x v="2"/>
  </r>
  <r>
    <x v="5"/>
    <x v="86"/>
    <x v="9"/>
    <x v="5"/>
    <x v="49"/>
    <x v="0"/>
    <x v="10"/>
    <x v="12"/>
    <x v="63"/>
    <x v="17"/>
    <x v="74"/>
    <x v="75"/>
    <x v="6"/>
    <x v="4"/>
    <x v="0"/>
    <x v="0"/>
    <x v="1"/>
    <x v="2"/>
  </r>
  <r>
    <x v="5"/>
    <x v="87"/>
    <x v="81"/>
    <x v="5"/>
    <x v="56"/>
    <x v="0"/>
    <x v="22"/>
    <x v="112"/>
    <x v="77"/>
    <x v="112"/>
    <x v="60"/>
    <x v="168"/>
    <x v="8"/>
    <x v="4"/>
    <x v="0"/>
    <x v="0"/>
    <x v="1"/>
    <x v="2"/>
  </r>
  <r>
    <x v="5"/>
    <x v="88"/>
    <x v="91"/>
    <x v="5"/>
    <x v="86"/>
    <x v="0"/>
    <x v="20"/>
    <x v="46"/>
    <x v="57"/>
    <x v="45"/>
    <x v="96"/>
    <x v="14"/>
    <x v="12"/>
    <x v="4"/>
    <x v="0"/>
    <x v="0"/>
    <x v="1"/>
    <x v="2"/>
  </r>
  <r>
    <x v="5"/>
    <x v="89"/>
    <x v="8"/>
    <x v="5"/>
    <x v="48"/>
    <x v="1"/>
    <x v="22"/>
    <x v="126"/>
    <x v="41"/>
    <x v="122"/>
    <x v="14"/>
    <x v="56"/>
    <x v="15"/>
    <x v="4"/>
    <x v="0"/>
    <x v="0"/>
    <x v="1"/>
    <x v="1"/>
  </r>
  <r>
    <x v="5"/>
    <x v="90"/>
    <x v="25"/>
    <x v="5"/>
    <x v="60"/>
    <x v="0"/>
    <x v="10"/>
    <x v="18"/>
    <x v="25"/>
    <x v="11"/>
    <x v="83"/>
    <x v="143"/>
    <x v="19"/>
    <x v="4"/>
    <x v="0"/>
    <x v="0"/>
    <x v="1"/>
    <x v="2"/>
  </r>
  <r>
    <x v="5"/>
    <x v="91"/>
    <x v="86"/>
    <x v="5"/>
    <x v="67"/>
    <x v="1"/>
    <x v="22"/>
    <x v="32"/>
    <x v="143"/>
    <x v="27"/>
    <x v="15"/>
    <x v="57"/>
    <x v="24"/>
    <x v="4"/>
    <x v="0"/>
    <x v="0"/>
    <x v="1"/>
    <x v="2"/>
  </r>
  <r>
    <x v="5"/>
    <x v="551"/>
    <x v="93"/>
    <x v="5"/>
    <x v="77"/>
    <x v="3"/>
    <x v="17"/>
    <x v="77"/>
    <x v="71"/>
    <x v="78"/>
    <x v="32"/>
    <x v="84"/>
    <x v="27"/>
    <x v="4"/>
    <x v="0"/>
    <x v="0"/>
    <x v="1"/>
    <x v="1"/>
  </r>
  <r>
    <x v="5"/>
    <x v="552"/>
    <x v="73"/>
    <x v="5"/>
    <x v="53"/>
    <x v="1"/>
    <x v="0"/>
    <x v="141"/>
    <x v="111"/>
    <x v="140"/>
    <x v="68"/>
    <x v="175"/>
    <x v="28"/>
    <x v="4"/>
    <x v="0"/>
    <x v="0"/>
    <x v="1"/>
    <x v="1"/>
  </r>
  <r>
    <x v="5"/>
    <x v="92"/>
    <x v="46"/>
    <x v="5"/>
    <x v="76"/>
    <x v="2"/>
    <x v="16"/>
    <x v="21"/>
    <x v="106"/>
    <x v="33"/>
    <x v="52"/>
    <x v="65"/>
    <x v="29"/>
    <x v="4"/>
    <x v="0"/>
    <x v="0"/>
    <x v="1"/>
    <x v="2"/>
  </r>
  <r>
    <x v="5"/>
    <x v="93"/>
    <x v="63"/>
    <x v="5"/>
    <x v="43"/>
    <x v="0"/>
    <x v="17"/>
    <x v="142"/>
    <x v="95"/>
    <x v="141"/>
    <x v="95"/>
    <x v="203"/>
    <x v="32"/>
    <x v="4"/>
    <x v="0"/>
    <x v="0"/>
    <x v="1"/>
    <x v="1"/>
  </r>
  <r>
    <x v="5"/>
    <x v="94"/>
    <x v="11"/>
    <x v="5"/>
    <x v="95"/>
    <x v="0"/>
    <x v="22"/>
    <x v="89"/>
    <x v="126"/>
    <x v="111"/>
    <x v="84"/>
    <x v="188"/>
    <x v="34"/>
    <x v="4"/>
    <x v="0"/>
    <x v="0"/>
    <x v="1"/>
    <x v="1"/>
  </r>
  <r>
    <x v="5"/>
    <x v="95"/>
    <x v="2"/>
    <x v="5"/>
    <x v="35"/>
    <x v="0"/>
    <x v="22"/>
    <x v="75"/>
    <x v="121"/>
    <x v="74"/>
    <x v="22"/>
    <x v="77"/>
    <x v="43"/>
    <x v="4"/>
    <x v="0"/>
    <x v="0"/>
    <x v="1"/>
    <x v="1"/>
  </r>
  <r>
    <x v="5"/>
    <x v="96"/>
    <x v="24"/>
    <x v="5"/>
    <x v="52"/>
    <x v="0"/>
    <x v="22"/>
    <x v="102"/>
    <x v="58"/>
    <x v="90"/>
    <x v="38"/>
    <x v="132"/>
    <x v="45"/>
    <x v="4"/>
    <x v="0"/>
    <x v="0"/>
    <x v="1"/>
    <x v="1"/>
  </r>
  <r>
    <x v="5"/>
    <x v="97"/>
    <x v="34"/>
    <x v="5"/>
    <x v="54"/>
    <x v="0"/>
    <x v="15"/>
    <x v="44"/>
    <x v="107"/>
    <x v="120"/>
    <x v="0"/>
    <x v="140"/>
    <x v="49"/>
    <x v="4"/>
    <x v="0"/>
    <x v="0"/>
    <x v="1"/>
    <x v="1"/>
  </r>
  <r>
    <x v="5"/>
    <x v="98"/>
    <x v="54"/>
    <x v="5"/>
    <x v="44"/>
    <x v="0"/>
    <x v="22"/>
    <x v="128"/>
    <x v="18"/>
    <x v="126"/>
    <x v="89"/>
    <x v="192"/>
    <x v="50"/>
    <x v="4"/>
    <x v="0"/>
    <x v="0"/>
    <x v="1"/>
    <x v="2"/>
  </r>
  <r>
    <x v="5"/>
    <x v="553"/>
    <x v="61"/>
    <x v="5"/>
    <x v="96"/>
    <x v="1"/>
    <x v="22"/>
    <x v="107"/>
    <x v="76"/>
    <x v="106"/>
    <x v="25"/>
    <x v="97"/>
    <x v="51"/>
    <x v="4"/>
    <x v="0"/>
    <x v="0"/>
    <x v="1"/>
    <x v="1"/>
  </r>
  <r>
    <x v="5"/>
    <x v="99"/>
    <x v="3"/>
    <x v="5"/>
    <x v="8"/>
    <x v="0"/>
    <x v="10"/>
    <x v="20"/>
    <x v="135"/>
    <x v="18"/>
    <x v="58"/>
    <x v="165"/>
    <x v="53"/>
    <x v="4"/>
    <x v="0"/>
    <x v="0"/>
    <x v="1"/>
    <x v="1"/>
  </r>
  <r>
    <x v="5"/>
    <x v="100"/>
    <x v="64"/>
    <x v="5"/>
    <x v="21"/>
    <x v="0"/>
    <x v="10"/>
    <x v="108"/>
    <x v="35"/>
    <x v="107"/>
    <x v="57"/>
    <x v="163"/>
    <x v="56"/>
    <x v="4"/>
    <x v="0"/>
    <x v="0"/>
    <x v="1"/>
    <x v="1"/>
  </r>
  <r>
    <x v="5"/>
    <x v="101"/>
    <x v="10"/>
    <x v="5"/>
    <x v="12"/>
    <x v="2"/>
    <x v="22"/>
    <x v="36"/>
    <x v="16"/>
    <x v="29"/>
    <x v="87"/>
    <x v="95"/>
    <x v="57"/>
    <x v="4"/>
    <x v="0"/>
    <x v="0"/>
    <x v="1"/>
    <x v="2"/>
  </r>
  <r>
    <x v="5"/>
    <x v="554"/>
    <x v="72"/>
    <x v="5"/>
    <x v="47"/>
    <x v="0"/>
    <x v="17"/>
    <x v="11"/>
    <x v="17"/>
    <x v="8"/>
    <x v="50"/>
    <x v="151"/>
    <x v="58"/>
    <x v="4"/>
    <x v="0"/>
    <x v="0"/>
    <x v="1"/>
    <x v="1"/>
  </r>
  <r>
    <x v="5"/>
    <x v="102"/>
    <x v="80"/>
    <x v="5"/>
    <x v="4"/>
    <x v="0"/>
    <x v="10"/>
    <x v="72"/>
    <x v="118"/>
    <x v="70"/>
    <x v="76"/>
    <x v="73"/>
    <x v="61"/>
    <x v="4"/>
    <x v="0"/>
    <x v="0"/>
    <x v="1"/>
    <x v="2"/>
  </r>
  <r>
    <x v="5"/>
    <x v="555"/>
    <x v="75"/>
    <x v="5"/>
    <x v="71"/>
    <x v="5"/>
    <x v="12"/>
    <x v="28"/>
    <x v="130"/>
    <x v="32"/>
    <x v="94"/>
    <x v="5"/>
    <x v="63"/>
    <x v="4"/>
    <x v="0"/>
    <x v="0"/>
    <x v="1"/>
    <x v="2"/>
  </r>
  <r>
    <x v="5"/>
    <x v="103"/>
    <x v="45"/>
    <x v="5"/>
    <x v="90"/>
    <x v="0"/>
    <x v="5"/>
    <x v="91"/>
    <x v="102"/>
    <x v="84"/>
    <x v="20"/>
    <x v="72"/>
    <x v="64"/>
    <x v="4"/>
    <x v="0"/>
    <x v="0"/>
    <x v="1"/>
    <x v="2"/>
  </r>
  <r>
    <x v="5"/>
    <x v="556"/>
    <x v="58"/>
    <x v="5"/>
    <x v="75"/>
    <x v="6"/>
    <x v="13"/>
    <x v="71"/>
    <x v="34"/>
    <x v="104"/>
    <x v="54"/>
    <x v="86"/>
    <x v="66"/>
    <x v="4"/>
    <x v="0"/>
    <x v="0"/>
    <x v="1"/>
    <x v="1"/>
  </r>
  <r>
    <x v="5"/>
    <x v="104"/>
    <x v="40"/>
    <x v="5"/>
    <x v="32"/>
    <x v="0"/>
    <x v="13"/>
    <x v="15"/>
    <x v="83"/>
    <x v="16"/>
    <x v="48"/>
    <x v="147"/>
    <x v="68"/>
    <x v="4"/>
    <x v="0"/>
    <x v="0"/>
    <x v="1"/>
    <x v="2"/>
  </r>
  <r>
    <x v="5"/>
    <x v="105"/>
    <x v="96"/>
    <x v="5"/>
    <x v="46"/>
    <x v="0"/>
    <x v="10"/>
    <x v="93"/>
    <x v="79"/>
    <x v="86"/>
    <x v="8"/>
    <x v="200"/>
    <x v="69"/>
    <x v="4"/>
    <x v="0"/>
    <x v="0"/>
    <x v="1"/>
    <x v="2"/>
  </r>
  <r>
    <x v="5"/>
    <x v="106"/>
    <x v="35"/>
    <x v="5"/>
    <x v="18"/>
    <x v="0"/>
    <x v="22"/>
    <x v="47"/>
    <x v="61"/>
    <x v="47"/>
    <x v="59"/>
    <x v="167"/>
    <x v="70"/>
    <x v="4"/>
    <x v="0"/>
    <x v="0"/>
    <x v="1"/>
    <x v="2"/>
  </r>
  <r>
    <x v="5"/>
    <x v="107"/>
    <x v="49"/>
    <x v="5"/>
    <x v="0"/>
    <x v="5"/>
    <x v="22"/>
    <x v="63"/>
    <x v="100"/>
    <x v="62"/>
    <x v="47"/>
    <x v="145"/>
    <x v="73"/>
    <x v="4"/>
    <x v="0"/>
    <x v="0"/>
    <x v="1"/>
    <x v="1"/>
  </r>
  <r>
    <x v="5"/>
    <x v="557"/>
    <x v="59"/>
    <x v="5"/>
    <x v="70"/>
    <x v="4"/>
    <x v="10"/>
    <x v="83"/>
    <x v="13"/>
    <x v="88"/>
    <x v="63"/>
    <x v="28"/>
    <x v="77"/>
    <x v="4"/>
    <x v="0"/>
    <x v="0"/>
    <x v="1"/>
    <x v="1"/>
  </r>
  <r>
    <x v="5"/>
    <x v="108"/>
    <x v="94"/>
    <x v="5"/>
    <x v="26"/>
    <x v="0"/>
    <x v="10"/>
    <x v="9"/>
    <x v="37"/>
    <x v="7"/>
    <x v="6"/>
    <x v="24"/>
    <x v="79"/>
    <x v="4"/>
    <x v="0"/>
    <x v="0"/>
    <x v="1"/>
    <x v="1"/>
  </r>
  <r>
    <x v="5"/>
    <x v="109"/>
    <x v="30"/>
    <x v="5"/>
    <x v="27"/>
    <x v="7"/>
    <x v="4"/>
    <x v="31"/>
    <x v="101"/>
    <x v="26"/>
    <x v="31"/>
    <x v="113"/>
    <x v="82"/>
    <x v="4"/>
    <x v="0"/>
    <x v="0"/>
    <x v="1"/>
    <x v="2"/>
  </r>
  <r>
    <x v="5"/>
    <x v="110"/>
    <x v="65"/>
    <x v="5"/>
    <x v="83"/>
    <x v="0"/>
    <x v="13"/>
    <x v="23"/>
    <x v="133"/>
    <x v="20"/>
    <x v="49"/>
    <x v="148"/>
    <x v="89"/>
    <x v="4"/>
    <x v="0"/>
    <x v="0"/>
    <x v="1"/>
    <x v="2"/>
  </r>
  <r>
    <x v="5"/>
    <x v="111"/>
    <x v="50"/>
    <x v="5"/>
    <x v="68"/>
    <x v="0"/>
    <x v="22"/>
    <x v="74"/>
    <x v="98"/>
    <x v="73"/>
    <x v="28"/>
    <x v="109"/>
    <x v="95"/>
    <x v="4"/>
    <x v="0"/>
    <x v="0"/>
    <x v="1"/>
    <x v="2"/>
  </r>
  <r>
    <x v="5"/>
    <x v="112"/>
    <x v="52"/>
    <x v="5"/>
    <x v="55"/>
    <x v="0"/>
    <x v="22"/>
    <x v="33"/>
    <x v="119"/>
    <x v="37"/>
    <x v="1"/>
    <x v="11"/>
    <x v="33"/>
    <x v="4"/>
    <x v="0"/>
    <x v="0"/>
    <x v="1"/>
    <x v="1"/>
  </r>
  <r>
    <x v="5"/>
    <x v="113"/>
    <x v="84"/>
    <x v="5"/>
    <x v="72"/>
    <x v="0"/>
    <x v="22"/>
    <x v="113"/>
    <x v="88"/>
    <x v="113"/>
    <x v="17"/>
    <x v="59"/>
    <x v="36"/>
    <x v="4"/>
    <x v="0"/>
    <x v="0"/>
    <x v="1"/>
    <x v="1"/>
  </r>
  <r>
    <x v="5"/>
    <x v="114"/>
    <x v="39"/>
    <x v="5"/>
    <x v="57"/>
    <x v="0"/>
    <x v="22"/>
    <x v="14"/>
    <x v="120"/>
    <x v="15"/>
    <x v="65"/>
    <x v="100"/>
    <x v="96"/>
    <x v="4"/>
    <x v="0"/>
    <x v="0"/>
    <x v="1"/>
    <x v="0"/>
  </r>
  <r>
    <x v="5"/>
    <x v="631"/>
    <x v="97"/>
    <x v="0"/>
    <x v="97"/>
    <x v="1"/>
    <x v="23"/>
    <x v="145"/>
    <x v="145"/>
    <x v="143"/>
    <x v="97"/>
    <x v="204"/>
    <x v="96"/>
    <x v="10"/>
    <x v="0"/>
    <x v="0"/>
    <x v="0"/>
    <x v="3"/>
  </r>
  <r>
    <x v="5"/>
    <x v="115"/>
    <x v="78"/>
    <x v="0"/>
    <x v="41"/>
    <x v="0"/>
    <x v="22"/>
    <x v="103"/>
    <x v="122"/>
    <x v="99"/>
    <x v="16"/>
    <x v="58"/>
    <x v="76"/>
    <x v="9"/>
    <x v="0"/>
    <x v="0"/>
    <x v="0"/>
    <x v="1"/>
  </r>
  <r>
    <x v="5"/>
    <x v="116"/>
    <x v="75"/>
    <x v="0"/>
    <x v="71"/>
    <x v="0"/>
    <x v="12"/>
    <x v="28"/>
    <x v="130"/>
    <x v="32"/>
    <x v="94"/>
    <x v="8"/>
    <x v="63"/>
    <x v="9"/>
    <x v="0"/>
    <x v="0"/>
    <x v="0"/>
    <x v="2"/>
  </r>
  <r>
    <x v="5"/>
    <x v="631"/>
    <x v="97"/>
    <x v="8"/>
    <x v="97"/>
    <x v="27"/>
    <x v="23"/>
    <x v="145"/>
    <x v="145"/>
    <x v="143"/>
    <x v="97"/>
    <x v="204"/>
    <x v="96"/>
    <x v="10"/>
    <x v="0"/>
    <x v="0"/>
    <x v="1"/>
    <x v="3"/>
  </r>
  <r>
    <x v="5"/>
    <x v="117"/>
    <x v="7"/>
    <x v="8"/>
    <x v="14"/>
    <x v="1"/>
    <x v="17"/>
    <x v="144"/>
    <x v="15"/>
    <x v="131"/>
    <x v="33"/>
    <x v="114"/>
    <x v="81"/>
    <x v="3"/>
    <x v="0"/>
    <x v="0"/>
    <x v="1"/>
    <x v="3"/>
  </r>
  <r>
    <x v="5"/>
    <x v="118"/>
    <x v="82"/>
    <x v="8"/>
    <x v="74"/>
    <x v="4"/>
    <x v="2"/>
    <x v="127"/>
    <x v="85"/>
    <x v="123"/>
    <x v="5"/>
    <x v="34"/>
    <x v="2"/>
    <x v="8"/>
    <x v="0"/>
    <x v="0"/>
    <x v="1"/>
    <x v="3"/>
  </r>
  <r>
    <x v="5"/>
    <x v="119"/>
    <x v="9"/>
    <x v="8"/>
    <x v="49"/>
    <x v="1"/>
    <x v="10"/>
    <x v="12"/>
    <x v="63"/>
    <x v="17"/>
    <x v="74"/>
    <x v="75"/>
    <x v="6"/>
    <x v="3"/>
    <x v="0"/>
    <x v="0"/>
    <x v="1"/>
    <x v="3"/>
  </r>
  <r>
    <x v="5"/>
    <x v="558"/>
    <x v="41"/>
    <x v="8"/>
    <x v="22"/>
    <x v="1"/>
    <x v="22"/>
    <x v="29"/>
    <x v="142"/>
    <x v="1"/>
    <x v="77"/>
    <x v="17"/>
    <x v="16"/>
    <x v="3"/>
    <x v="0"/>
    <x v="0"/>
    <x v="1"/>
    <x v="3"/>
  </r>
  <r>
    <x v="5"/>
    <x v="120"/>
    <x v="51"/>
    <x v="8"/>
    <x v="15"/>
    <x v="0"/>
    <x v="22"/>
    <x v="97"/>
    <x v="115"/>
    <x v="89"/>
    <x v="21"/>
    <x v="74"/>
    <x v="20"/>
    <x v="3"/>
    <x v="0"/>
    <x v="0"/>
    <x v="1"/>
    <x v="3"/>
  </r>
  <r>
    <x v="5"/>
    <x v="559"/>
    <x v="93"/>
    <x v="8"/>
    <x v="77"/>
    <x v="1"/>
    <x v="17"/>
    <x v="109"/>
    <x v="67"/>
    <x v="108"/>
    <x v="32"/>
    <x v="123"/>
    <x v="27"/>
    <x v="3"/>
    <x v="0"/>
    <x v="0"/>
    <x v="1"/>
    <x v="3"/>
  </r>
  <r>
    <x v="5"/>
    <x v="121"/>
    <x v="31"/>
    <x v="8"/>
    <x v="82"/>
    <x v="0"/>
    <x v="22"/>
    <x v="118"/>
    <x v="51"/>
    <x v="117"/>
    <x v="30"/>
    <x v="134"/>
    <x v="42"/>
    <x v="3"/>
    <x v="0"/>
    <x v="0"/>
    <x v="1"/>
    <x v="3"/>
  </r>
  <r>
    <x v="5"/>
    <x v="122"/>
    <x v="2"/>
    <x v="8"/>
    <x v="35"/>
    <x v="2"/>
    <x v="22"/>
    <x v="75"/>
    <x v="121"/>
    <x v="74"/>
    <x v="22"/>
    <x v="77"/>
    <x v="43"/>
    <x v="8"/>
    <x v="0"/>
    <x v="0"/>
    <x v="1"/>
    <x v="3"/>
  </r>
  <r>
    <x v="5"/>
    <x v="123"/>
    <x v="29"/>
    <x v="8"/>
    <x v="61"/>
    <x v="1"/>
    <x v="13"/>
    <x v="121"/>
    <x v="66"/>
    <x v="121"/>
    <x v="12"/>
    <x v="53"/>
    <x v="44"/>
    <x v="3"/>
    <x v="0"/>
    <x v="0"/>
    <x v="1"/>
    <x v="3"/>
  </r>
  <r>
    <x v="5"/>
    <x v="124"/>
    <x v="24"/>
    <x v="8"/>
    <x v="52"/>
    <x v="2"/>
    <x v="22"/>
    <x v="102"/>
    <x v="58"/>
    <x v="90"/>
    <x v="37"/>
    <x v="131"/>
    <x v="45"/>
    <x v="3"/>
    <x v="0"/>
    <x v="0"/>
    <x v="1"/>
    <x v="3"/>
  </r>
  <r>
    <x v="5"/>
    <x v="125"/>
    <x v="79"/>
    <x v="8"/>
    <x v="94"/>
    <x v="0"/>
    <x v="19"/>
    <x v="41"/>
    <x v="113"/>
    <x v="40"/>
    <x v="79"/>
    <x v="93"/>
    <x v="47"/>
    <x v="8"/>
    <x v="0"/>
    <x v="0"/>
    <x v="1"/>
    <x v="3"/>
  </r>
  <r>
    <x v="5"/>
    <x v="126"/>
    <x v="34"/>
    <x v="8"/>
    <x v="54"/>
    <x v="1"/>
    <x v="15"/>
    <x v="44"/>
    <x v="107"/>
    <x v="120"/>
    <x v="0"/>
    <x v="140"/>
    <x v="49"/>
    <x v="8"/>
    <x v="0"/>
    <x v="0"/>
    <x v="1"/>
    <x v="3"/>
  </r>
  <r>
    <x v="5"/>
    <x v="127"/>
    <x v="43"/>
    <x v="8"/>
    <x v="3"/>
    <x v="3"/>
    <x v="13"/>
    <x v="5"/>
    <x v="123"/>
    <x v="4"/>
    <x v="43"/>
    <x v="141"/>
    <x v="55"/>
    <x v="3"/>
    <x v="0"/>
    <x v="0"/>
    <x v="1"/>
    <x v="3"/>
  </r>
  <r>
    <x v="5"/>
    <x v="128"/>
    <x v="64"/>
    <x v="8"/>
    <x v="21"/>
    <x v="0"/>
    <x v="10"/>
    <x v="108"/>
    <x v="35"/>
    <x v="107"/>
    <x v="57"/>
    <x v="163"/>
    <x v="56"/>
    <x v="3"/>
    <x v="0"/>
    <x v="0"/>
    <x v="1"/>
    <x v="3"/>
  </r>
  <r>
    <x v="5"/>
    <x v="560"/>
    <x v="83"/>
    <x v="8"/>
    <x v="73"/>
    <x v="13"/>
    <x v="7"/>
    <x v="106"/>
    <x v="131"/>
    <x v="102"/>
    <x v="55"/>
    <x v="155"/>
    <x v="60"/>
    <x v="3"/>
    <x v="0"/>
    <x v="0"/>
    <x v="1"/>
    <x v="3"/>
  </r>
  <r>
    <x v="5"/>
    <x v="561"/>
    <x v="45"/>
    <x v="8"/>
    <x v="90"/>
    <x v="5"/>
    <x v="5"/>
    <x v="91"/>
    <x v="102"/>
    <x v="84"/>
    <x v="20"/>
    <x v="71"/>
    <x v="64"/>
    <x v="3"/>
    <x v="0"/>
    <x v="0"/>
    <x v="1"/>
    <x v="3"/>
  </r>
  <r>
    <x v="5"/>
    <x v="129"/>
    <x v="22"/>
    <x v="8"/>
    <x v="38"/>
    <x v="11"/>
    <x v="22"/>
    <x v="120"/>
    <x v="81"/>
    <x v="116"/>
    <x v="22"/>
    <x v="78"/>
    <x v="65"/>
    <x v="3"/>
    <x v="0"/>
    <x v="0"/>
    <x v="1"/>
    <x v="3"/>
  </r>
  <r>
    <x v="5"/>
    <x v="562"/>
    <x v="58"/>
    <x v="8"/>
    <x v="75"/>
    <x v="5"/>
    <x v="13"/>
    <x v="70"/>
    <x v="33"/>
    <x v="103"/>
    <x v="54"/>
    <x v="87"/>
    <x v="66"/>
    <x v="8"/>
    <x v="0"/>
    <x v="0"/>
    <x v="1"/>
    <x v="3"/>
  </r>
  <r>
    <x v="5"/>
    <x v="563"/>
    <x v="96"/>
    <x v="8"/>
    <x v="46"/>
    <x v="1"/>
    <x v="10"/>
    <x v="93"/>
    <x v="79"/>
    <x v="86"/>
    <x v="8"/>
    <x v="44"/>
    <x v="69"/>
    <x v="8"/>
    <x v="0"/>
    <x v="0"/>
    <x v="1"/>
    <x v="3"/>
  </r>
  <r>
    <x v="5"/>
    <x v="130"/>
    <x v="35"/>
    <x v="8"/>
    <x v="18"/>
    <x v="0"/>
    <x v="22"/>
    <x v="47"/>
    <x v="61"/>
    <x v="47"/>
    <x v="59"/>
    <x v="166"/>
    <x v="70"/>
    <x v="3"/>
    <x v="0"/>
    <x v="0"/>
    <x v="1"/>
    <x v="3"/>
  </r>
  <r>
    <x v="5"/>
    <x v="131"/>
    <x v="49"/>
    <x v="8"/>
    <x v="0"/>
    <x v="0"/>
    <x v="22"/>
    <x v="63"/>
    <x v="100"/>
    <x v="62"/>
    <x v="47"/>
    <x v="145"/>
    <x v="73"/>
    <x v="3"/>
    <x v="0"/>
    <x v="0"/>
    <x v="1"/>
    <x v="3"/>
  </r>
  <r>
    <x v="5"/>
    <x v="132"/>
    <x v="26"/>
    <x v="8"/>
    <x v="58"/>
    <x v="3"/>
    <x v="13"/>
    <x v="60"/>
    <x v="65"/>
    <x v="61"/>
    <x v="45"/>
    <x v="144"/>
    <x v="74"/>
    <x v="3"/>
    <x v="0"/>
    <x v="0"/>
    <x v="1"/>
    <x v="3"/>
  </r>
  <r>
    <x v="5"/>
    <x v="133"/>
    <x v="59"/>
    <x v="8"/>
    <x v="70"/>
    <x v="3"/>
    <x v="10"/>
    <x v="133"/>
    <x v="2"/>
    <x v="136"/>
    <x v="63"/>
    <x v="33"/>
    <x v="77"/>
    <x v="8"/>
    <x v="0"/>
    <x v="0"/>
    <x v="1"/>
    <x v="3"/>
  </r>
  <r>
    <x v="5"/>
    <x v="134"/>
    <x v="94"/>
    <x v="8"/>
    <x v="26"/>
    <x v="0"/>
    <x v="10"/>
    <x v="9"/>
    <x v="37"/>
    <x v="7"/>
    <x v="6"/>
    <x v="36"/>
    <x v="79"/>
    <x v="8"/>
    <x v="0"/>
    <x v="0"/>
    <x v="1"/>
    <x v="3"/>
  </r>
  <r>
    <x v="5"/>
    <x v="135"/>
    <x v="28"/>
    <x v="8"/>
    <x v="37"/>
    <x v="0"/>
    <x v="13"/>
    <x v="40"/>
    <x v="78"/>
    <x v="39"/>
    <x v="82"/>
    <x v="182"/>
    <x v="85"/>
    <x v="8"/>
    <x v="0"/>
    <x v="0"/>
    <x v="1"/>
    <x v="3"/>
  </r>
  <r>
    <x v="5"/>
    <x v="136"/>
    <x v="21"/>
    <x v="8"/>
    <x v="11"/>
    <x v="0"/>
    <x v="10"/>
    <x v="55"/>
    <x v="117"/>
    <x v="54"/>
    <x v="85"/>
    <x v="191"/>
    <x v="92"/>
    <x v="3"/>
    <x v="0"/>
    <x v="0"/>
    <x v="1"/>
    <x v="3"/>
  </r>
  <r>
    <x v="5"/>
    <x v="631"/>
    <x v="97"/>
    <x v="9"/>
    <x v="97"/>
    <x v="34"/>
    <x v="23"/>
    <x v="145"/>
    <x v="145"/>
    <x v="143"/>
    <x v="97"/>
    <x v="204"/>
    <x v="96"/>
    <x v="10"/>
    <x v="0"/>
    <x v="0"/>
    <x v="1"/>
    <x v="3"/>
  </r>
  <r>
    <x v="5"/>
    <x v="137"/>
    <x v="7"/>
    <x v="9"/>
    <x v="14"/>
    <x v="2"/>
    <x v="17"/>
    <x v="144"/>
    <x v="15"/>
    <x v="131"/>
    <x v="33"/>
    <x v="114"/>
    <x v="81"/>
    <x v="3"/>
    <x v="0"/>
    <x v="0"/>
    <x v="1"/>
    <x v="3"/>
  </r>
  <r>
    <x v="5"/>
    <x v="138"/>
    <x v="82"/>
    <x v="9"/>
    <x v="74"/>
    <x v="4"/>
    <x v="2"/>
    <x v="127"/>
    <x v="85"/>
    <x v="123"/>
    <x v="5"/>
    <x v="34"/>
    <x v="2"/>
    <x v="8"/>
    <x v="0"/>
    <x v="0"/>
    <x v="1"/>
    <x v="3"/>
  </r>
  <r>
    <x v="5"/>
    <x v="139"/>
    <x v="5"/>
    <x v="9"/>
    <x v="19"/>
    <x v="4"/>
    <x v="18"/>
    <x v="84"/>
    <x v="94"/>
    <x v="71"/>
    <x v="27"/>
    <x v="181"/>
    <x v="10"/>
    <x v="8"/>
    <x v="0"/>
    <x v="0"/>
    <x v="1"/>
    <x v="3"/>
  </r>
  <r>
    <x v="5"/>
    <x v="140"/>
    <x v="15"/>
    <x v="9"/>
    <x v="51"/>
    <x v="3"/>
    <x v="17"/>
    <x v="19"/>
    <x v="55"/>
    <x v="44"/>
    <x v="44"/>
    <x v="142"/>
    <x v="25"/>
    <x v="8"/>
    <x v="0"/>
    <x v="0"/>
    <x v="1"/>
    <x v="3"/>
  </r>
  <r>
    <x v="5"/>
    <x v="141"/>
    <x v="6"/>
    <x v="9"/>
    <x v="62"/>
    <x v="2"/>
    <x v="17"/>
    <x v="64"/>
    <x v="132"/>
    <x v="64"/>
    <x v="70"/>
    <x v="40"/>
    <x v="31"/>
    <x v="8"/>
    <x v="0"/>
    <x v="0"/>
    <x v="1"/>
    <x v="3"/>
  </r>
  <r>
    <x v="5"/>
    <x v="142"/>
    <x v="92"/>
    <x v="9"/>
    <x v="39"/>
    <x v="1"/>
    <x v="10"/>
    <x v="65"/>
    <x v="134"/>
    <x v="66"/>
    <x v="86"/>
    <x v="189"/>
    <x v="39"/>
    <x v="8"/>
    <x v="0"/>
    <x v="0"/>
    <x v="1"/>
    <x v="3"/>
  </r>
  <r>
    <x v="5"/>
    <x v="143"/>
    <x v="78"/>
    <x v="9"/>
    <x v="41"/>
    <x v="14"/>
    <x v="22"/>
    <x v="103"/>
    <x v="122"/>
    <x v="99"/>
    <x v="16"/>
    <x v="58"/>
    <x v="76"/>
    <x v="8"/>
    <x v="0"/>
    <x v="0"/>
    <x v="1"/>
    <x v="3"/>
  </r>
  <r>
    <x v="5"/>
    <x v="564"/>
    <x v="77"/>
    <x v="9"/>
    <x v="78"/>
    <x v="7"/>
    <x v="21"/>
    <x v="53"/>
    <x v="91"/>
    <x v="52"/>
    <x v="80"/>
    <x v="105"/>
    <x v="0"/>
    <x v="8"/>
    <x v="0"/>
    <x v="0"/>
    <x v="1"/>
    <x v="3"/>
  </r>
  <r>
    <x v="5"/>
    <x v="144"/>
    <x v="71"/>
    <x v="9"/>
    <x v="25"/>
    <x v="0"/>
    <x v="11"/>
    <x v="56"/>
    <x v="114"/>
    <x v="55"/>
    <x v="91"/>
    <x v="195"/>
    <x v="1"/>
    <x v="8"/>
    <x v="0"/>
    <x v="0"/>
    <x v="1"/>
    <x v="3"/>
  </r>
  <r>
    <x v="5"/>
    <x v="145"/>
    <x v="47"/>
    <x v="9"/>
    <x v="36"/>
    <x v="0"/>
    <x v="18"/>
    <x v="30"/>
    <x v="42"/>
    <x v="25"/>
    <x v="13"/>
    <x v="55"/>
    <x v="5"/>
    <x v="8"/>
    <x v="0"/>
    <x v="0"/>
    <x v="1"/>
    <x v="3"/>
  </r>
  <r>
    <x v="5"/>
    <x v="146"/>
    <x v="9"/>
    <x v="9"/>
    <x v="49"/>
    <x v="0"/>
    <x v="10"/>
    <x v="12"/>
    <x v="63"/>
    <x v="17"/>
    <x v="74"/>
    <x v="75"/>
    <x v="6"/>
    <x v="8"/>
    <x v="0"/>
    <x v="0"/>
    <x v="1"/>
    <x v="3"/>
  </r>
  <r>
    <x v="5"/>
    <x v="565"/>
    <x v="70"/>
    <x v="9"/>
    <x v="89"/>
    <x v="0"/>
    <x v="8"/>
    <x v="105"/>
    <x v="128"/>
    <x v="101"/>
    <x v="42"/>
    <x v="170"/>
    <x v="7"/>
    <x v="8"/>
    <x v="0"/>
    <x v="0"/>
    <x v="1"/>
    <x v="3"/>
  </r>
  <r>
    <x v="5"/>
    <x v="147"/>
    <x v="81"/>
    <x v="9"/>
    <x v="56"/>
    <x v="2"/>
    <x v="22"/>
    <x v="112"/>
    <x v="77"/>
    <x v="112"/>
    <x v="60"/>
    <x v="168"/>
    <x v="8"/>
    <x v="8"/>
    <x v="0"/>
    <x v="0"/>
    <x v="1"/>
    <x v="3"/>
  </r>
  <r>
    <x v="5"/>
    <x v="148"/>
    <x v="89"/>
    <x v="9"/>
    <x v="66"/>
    <x v="8"/>
    <x v="17"/>
    <x v="38"/>
    <x v="99"/>
    <x v="36"/>
    <x v="34"/>
    <x v="128"/>
    <x v="11"/>
    <x v="8"/>
    <x v="0"/>
    <x v="0"/>
    <x v="1"/>
    <x v="3"/>
  </r>
  <r>
    <x v="5"/>
    <x v="149"/>
    <x v="8"/>
    <x v="9"/>
    <x v="48"/>
    <x v="7"/>
    <x v="22"/>
    <x v="126"/>
    <x v="41"/>
    <x v="122"/>
    <x v="14"/>
    <x v="56"/>
    <x v="15"/>
    <x v="8"/>
    <x v="0"/>
    <x v="0"/>
    <x v="1"/>
    <x v="3"/>
  </r>
  <r>
    <x v="5"/>
    <x v="566"/>
    <x v="41"/>
    <x v="9"/>
    <x v="22"/>
    <x v="9"/>
    <x v="22"/>
    <x v="101"/>
    <x v="141"/>
    <x v="95"/>
    <x v="77"/>
    <x v="194"/>
    <x v="16"/>
    <x v="3"/>
    <x v="0"/>
    <x v="0"/>
    <x v="1"/>
    <x v="3"/>
  </r>
  <r>
    <x v="5"/>
    <x v="150"/>
    <x v="36"/>
    <x v="9"/>
    <x v="40"/>
    <x v="0"/>
    <x v="22"/>
    <x v="86"/>
    <x v="80"/>
    <x v="82"/>
    <x v="10"/>
    <x v="51"/>
    <x v="17"/>
    <x v="8"/>
    <x v="0"/>
    <x v="0"/>
    <x v="1"/>
    <x v="3"/>
  </r>
  <r>
    <x v="5"/>
    <x v="151"/>
    <x v="66"/>
    <x v="9"/>
    <x v="10"/>
    <x v="0"/>
    <x v="13"/>
    <x v="136"/>
    <x v="47"/>
    <x v="129"/>
    <x v="19"/>
    <x v="64"/>
    <x v="18"/>
    <x v="8"/>
    <x v="0"/>
    <x v="0"/>
    <x v="1"/>
    <x v="3"/>
  </r>
  <r>
    <x v="5"/>
    <x v="152"/>
    <x v="25"/>
    <x v="9"/>
    <x v="60"/>
    <x v="1"/>
    <x v="10"/>
    <x v="18"/>
    <x v="25"/>
    <x v="11"/>
    <x v="83"/>
    <x v="173"/>
    <x v="19"/>
    <x v="8"/>
    <x v="0"/>
    <x v="0"/>
    <x v="1"/>
    <x v="3"/>
  </r>
  <r>
    <x v="5"/>
    <x v="153"/>
    <x v="51"/>
    <x v="9"/>
    <x v="15"/>
    <x v="0"/>
    <x v="22"/>
    <x v="97"/>
    <x v="115"/>
    <x v="89"/>
    <x v="21"/>
    <x v="74"/>
    <x v="20"/>
    <x v="3"/>
    <x v="0"/>
    <x v="0"/>
    <x v="1"/>
    <x v="3"/>
  </r>
  <r>
    <x v="5"/>
    <x v="154"/>
    <x v="4"/>
    <x v="9"/>
    <x v="20"/>
    <x v="0"/>
    <x v="22"/>
    <x v="66"/>
    <x v="53"/>
    <x v="67"/>
    <x v="71"/>
    <x v="89"/>
    <x v="22"/>
    <x v="8"/>
    <x v="0"/>
    <x v="0"/>
    <x v="1"/>
    <x v="3"/>
  </r>
  <r>
    <x v="5"/>
    <x v="155"/>
    <x v="86"/>
    <x v="9"/>
    <x v="67"/>
    <x v="2"/>
    <x v="22"/>
    <x v="32"/>
    <x v="143"/>
    <x v="27"/>
    <x v="15"/>
    <x v="57"/>
    <x v="24"/>
    <x v="8"/>
    <x v="0"/>
    <x v="0"/>
    <x v="1"/>
    <x v="3"/>
  </r>
  <r>
    <x v="5"/>
    <x v="567"/>
    <x v="93"/>
    <x v="9"/>
    <x v="77"/>
    <x v="15"/>
    <x v="17"/>
    <x v="88"/>
    <x v="86"/>
    <x v="92"/>
    <x v="32"/>
    <x v="129"/>
    <x v="27"/>
    <x v="3"/>
    <x v="0"/>
    <x v="0"/>
    <x v="1"/>
    <x v="3"/>
  </r>
  <r>
    <x v="5"/>
    <x v="156"/>
    <x v="46"/>
    <x v="9"/>
    <x v="76"/>
    <x v="0"/>
    <x v="16"/>
    <x v="21"/>
    <x v="106"/>
    <x v="33"/>
    <x v="52"/>
    <x v="0"/>
    <x v="29"/>
    <x v="8"/>
    <x v="0"/>
    <x v="0"/>
    <x v="1"/>
    <x v="3"/>
  </r>
  <r>
    <x v="5"/>
    <x v="157"/>
    <x v="63"/>
    <x v="9"/>
    <x v="43"/>
    <x v="8"/>
    <x v="17"/>
    <x v="142"/>
    <x v="95"/>
    <x v="141"/>
    <x v="95"/>
    <x v="203"/>
    <x v="32"/>
    <x v="8"/>
    <x v="0"/>
    <x v="0"/>
    <x v="1"/>
    <x v="3"/>
  </r>
  <r>
    <x v="5"/>
    <x v="158"/>
    <x v="11"/>
    <x v="9"/>
    <x v="95"/>
    <x v="1"/>
    <x v="22"/>
    <x v="89"/>
    <x v="126"/>
    <x v="111"/>
    <x v="84"/>
    <x v="188"/>
    <x v="34"/>
    <x v="8"/>
    <x v="0"/>
    <x v="0"/>
    <x v="1"/>
    <x v="3"/>
  </r>
  <r>
    <x v="5"/>
    <x v="568"/>
    <x v="57"/>
    <x v="9"/>
    <x v="79"/>
    <x v="4"/>
    <x v="22"/>
    <x v="123"/>
    <x v="97"/>
    <x v="125"/>
    <x v="61"/>
    <x v="186"/>
    <x v="35"/>
    <x v="8"/>
    <x v="0"/>
    <x v="0"/>
    <x v="1"/>
    <x v="3"/>
  </r>
  <r>
    <x v="5"/>
    <x v="569"/>
    <x v="17"/>
    <x v="9"/>
    <x v="63"/>
    <x v="14"/>
    <x v="22"/>
    <x v="67"/>
    <x v="44"/>
    <x v="68"/>
    <x v="61"/>
    <x v="91"/>
    <x v="37"/>
    <x v="8"/>
    <x v="0"/>
    <x v="0"/>
    <x v="1"/>
    <x v="3"/>
  </r>
  <r>
    <x v="5"/>
    <x v="159"/>
    <x v="74"/>
    <x v="9"/>
    <x v="85"/>
    <x v="0"/>
    <x v="17"/>
    <x v="16"/>
    <x v="56"/>
    <x v="14"/>
    <x v="93"/>
    <x v="202"/>
    <x v="38"/>
    <x v="8"/>
    <x v="0"/>
    <x v="0"/>
    <x v="1"/>
    <x v="3"/>
  </r>
  <r>
    <x v="5"/>
    <x v="160"/>
    <x v="12"/>
    <x v="9"/>
    <x v="5"/>
    <x v="1"/>
    <x v="22"/>
    <x v="0"/>
    <x v="1"/>
    <x v="0"/>
    <x v="22"/>
    <x v="49"/>
    <x v="40"/>
    <x v="8"/>
    <x v="0"/>
    <x v="0"/>
    <x v="1"/>
    <x v="3"/>
  </r>
  <r>
    <x v="5"/>
    <x v="570"/>
    <x v="31"/>
    <x v="9"/>
    <x v="82"/>
    <x v="2"/>
    <x v="22"/>
    <x v="1"/>
    <x v="45"/>
    <x v="9"/>
    <x v="30"/>
    <x v="54"/>
    <x v="42"/>
    <x v="3"/>
    <x v="0"/>
    <x v="0"/>
    <x v="1"/>
    <x v="3"/>
  </r>
  <r>
    <x v="5"/>
    <x v="161"/>
    <x v="29"/>
    <x v="9"/>
    <x v="61"/>
    <x v="2"/>
    <x v="13"/>
    <x v="121"/>
    <x v="66"/>
    <x v="121"/>
    <x v="12"/>
    <x v="53"/>
    <x v="44"/>
    <x v="3"/>
    <x v="0"/>
    <x v="0"/>
    <x v="1"/>
    <x v="3"/>
  </r>
  <r>
    <x v="5"/>
    <x v="162"/>
    <x v="24"/>
    <x v="9"/>
    <x v="52"/>
    <x v="0"/>
    <x v="22"/>
    <x v="102"/>
    <x v="58"/>
    <x v="90"/>
    <x v="37"/>
    <x v="131"/>
    <x v="45"/>
    <x v="3"/>
    <x v="0"/>
    <x v="0"/>
    <x v="1"/>
    <x v="3"/>
  </r>
  <r>
    <x v="5"/>
    <x v="163"/>
    <x v="20"/>
    <x v="9"/>
    <x v="80"/>
    <x v="4"/>
    <x v="13"/>
    <x v="22"/>
    <x v="93"/>
    <x v="19"/>
    <x v="92"/>
    <x v="198"/>
    <x v="46"/>
    <x v="8"/>
    <x v="0"/>
    <x v="0"/>
    <x v="1"/>
    <x v="3"/>
  </r>
  <r>
    <x v="5"/>
    <x v="164"/>
    <x v="79"/>
    <x v="9"/>
    <x v="94"/>
    <x v="1"/>
    <x v="19"/>
    <x v="41"/>
    <x v="113"/>
    <x v="40"/>
    <x v="79"/>
    <x v="93"/>
    <x v="47"/>
    <x v="8"/>
    <x v="0"/>
    <x v="0"/>
    <x v="1"/>
    <x v="3"/>
  </r>
  <r>
    <x v="5"/>
    <x v="165"/>
    <x v="34"/>
    <x v="9"/>
    <x v="54"/>
    <x v="1"/>
    <x v="15"/>
    <x v="44"/>
    <x v="107"/>
    <x v="120"/>
    <x v="0"/>
    <x v="140"/>
    <x v="49"/>
    <x v="8"/>
    <x v="0"/>
    <x v="0"/>
    <x v="1"/>
    <x v="3"/>
  </r>
  <r>
    <x v="5"/>
    <x v="166"/>
    <x v="54"/>
    <x v="9"/>
    <x v="44"/>
    <x v="0"/>
    <x v="22"/>
    <x v="128"/>
    <x v="18"/>
    <x v="126"/>
    <x v="89"/>
    <x v="192"/>
    <x v="50"/>
    <x v="8"/>
    <x v="0"/>
    <x v="0"/>
    <x v="1"/>
    <x v="3"/>
  </r>
  <r>
    <x v="5"/>
    <x v="572"/>
    <x v="61"/>
    <x v="9"/>
    <x v="96"/>
    <x v="8"/>
    <x v="22"/>
    <x v="107"/>
    <x v="76"/>
    <x v="106"/>
    <x v="25"/>
    <x v="99"/>
    <x v="51"/>
    <x v="8"/>
    <x v="0"/>
    <x v="0"/>
    <x v="1"/>
    <x v="3"/>
  </r>
  <r>
    <x v="5"/>
    <x v="167"/>
    <x v="56"/>
    <x v="9"/>
    <x v="1"/>
    <x v="1"/>
    <x v="22"/>
    <x v="57"/>
    <x v="108"/>
    <x v="56"/>
    <x v="62"/>
    <x v="50"/>
    <x v="52"/>
    <x v="8"/>
    <x v="0"/>
    <x v="0"/>
    <x v="1"/>
    <x v="3"/>
  </r>
  <r>
    <x v="5"/>
    <x v="168"/>
    <x v="64"/>
    <x v="9"/>
    <x v="21"/>
    <x v="0"/>
    <x v="10"/>
    <x v="108"/>
    <x v="35"/>
    <x v="107"/>
    <x v="57"/>
    <x v="163"/>
    <x v="56"/>
    <x v="3"/>
    <x v="0"/>
    <x v="0"/>
    <x v="1"/>
    <x v="3"/>
  </r>
  <r>
    <x v="5"/>
    <x v="169"/>
    <x v="10"/>
    <x v="9"/>
    <x v="12"/>
    <x v="0"/>
    <x v="22"/>
    <x v="36"/>
    <x v="16"/>
    <x v="29"/>
    <x v="87"/>
    <x v="197"/>
    <x v="57"/>
    <x v="8"/>
    <x v="0"/>
    <x v="0"/>
    <x v="1"/>
    <x v="3"/>
  </r>
  <r>
    <x v="5"/>
    <x v="573"/>
    <x v="72"/>
    <x v="9"/>
    <x v="47"/>
    <x v="3"/>
    <x v="17"/>
    <x v="11"/>
    <x v="17"/>
    <x v="8"/>
    <x v="51"/>
    <x v="151"/>
    <x v="58"/>
    <x v="8"/>
    <x v="0"/>
    <x v="0"/>
    <x v="1"/>
    <x v="3"/>
  </r>
  <r>
    <x v="5"/>
    <x v="574"/>
    <x v="83"/>
    <x v="9"/>
    <x v="73"/>
    <x v="17"/>
    <x v="7"/>
    <x v="106"/>
    <x v="131"/>
    <x v="102"/>
    <x v="55"/>
    <x v="154"/>
    <x v="60"/>
    <x v="8"/>
    <x v="0"/>
    <x v="0"/>
    <x v="1"/>
    <x v="3"/>
  </r>
  <r>
    <x v="5"/>
    <x v="170"/>
    <x v="60"/>
    <x v="9"/>
    <x v="93"/>
    <x v="0"/>
    <x v="14"/>
    <x v="61"/>
    <x v="139"/>
    <x v="63"/>
    <x v="53"/>
    <x v="152"/>
    <x v="62"/>
    <x v="8"/>
    <x v="0"/>
    <x v="0"/>
    <x v="1"/>
    <x v="3"/>
  </r>
  <r>
    <x v="5"/>
    <x v="575"/>
    <x v="75"/>
    <x v="9"/>
    <x v="71"/>
    <x v="13"/>
    <x v="12"/>
    <x v="28"/>
    <x v="130"/>
    <x v="32"/>
    <x v="94"/>
    <x v="6"/>
    <x v="63"/>
    <x v="8"/>
    <x v="0"/>
    <x v="0"/>
    <x v="1"/>
    <x v="3"/>
  </r>
  <r>
    <x v="5"/>
    <x v="171"/>
    <x v="45"/>
    <x v="9"/>
    <x v="90"/>
    <x v="2"/>
    <x v="5"/>
    <x v="91"/>
    <x v="102"/>
    <x v="84"/>
    <x v="20"/>
    <x v="72"/>
    <x v="64"/>
    <x v="3"/>
    <x v="0"/>
    <x v="0"/>
    <x v="1"/>
    <x v="3"/>
  </r>
  <r>
    <x v="5"/>
    <x v="172"/>
    <x v="22"/>
    <x v="9"/>
    <x v="38"/>
    <x v="5"/>
    <x v="22"/>
    <x v="120"/>
    <x v="81"/>
    <x v="116"/>
    <x v="22"/>
    <x v="78"/>
    <x v="65"/>
    <x v="3"/>
    <x v="0"/>
    <x v="0"/>
    <x v="1"/>
    <x v="3"/>
  </r>
  <r>
    <x v="5"/>
    <x v="173"/>
    <x v="58"/>
    <x v="9"/>
    <x v="75"/>
    <x v="9"/>
    <x v="13"/>
    <x v="23"/>
    <x v="28"/>
    <x v="20"/>
    <x v="54"/>
    <x v="117"/>
    <x v="66"/>
    <x v="8"/>
    <x v="0"/>
    <x v="0"/>
    <x v="1"/>
    <x v="3"/>
  </r>
  <r>
    <x v="5"/>
    <x v="174"/>
    <x v="16"/>
    <x v="9"/>
    <x v="69"/>
    <x v="0"/>
    <x v="22"/>
    <x v="26"/>
    <x v="43"/>
    <x v="24"/>
    <x v="11"/>
    <x v="52"/>
    <x v="67"/>
    <x v="8"/>
    <x v="0"/>
    <x v="0"/>
    <x v="1"/>
    <x v="3"/>
  </r>
  <r>
    <x v="5"/>
    <x v="175"/>
    <x v="96"/>
    <x v="9"/>
    <x v="46"/>
    <x v="0"/>
    <x v="10"/>
    <x v="93"/>
    <x v="79"/>
    <x v="86"/>
    <x v="8"/>
    <x v="42"/>
    <x v="69"/>
    <x v="8"/>
    <x v="0"/>
    <x v="0"/>
    <x v="1"/>
    <x v="3"/>
  </r>
  <r>
    <x v="5"/>
    <x v="176"/>
    <x v="0"/>
    <x v="9"/>
    <x v="91"/>
    <x v="4"/>
    <x v="9"/>
    <x v="7"/>
    <x v="26"/>
    <x v="5"/>
    <x v="81"/>
    <x v="94"/>
    <x v="72"/>
    <x v="8"/>
    <x v="0"/>
    <x v="0"/>
    <x v="1"/>
    <x v="3"/>
  </r>
  <r>
    <x v="5"/>
    <x v="577"/>
    <x v="59"/>
    <x v="9"/>
    <x v="70"/>
    <x v="4"/>
    <x v="10"/>
    <x v="83"/>
    <x v="13"/>
    <x v="88"/>
    <x v="63"/>
    <x v="32"/>
    <x v="77"/>
    <x v="8"/>
    <x v="0"/>
    <x v="0"/>
    <x v="1"/>
    <x v="3"/>
  </r>
  <r>
    <x v="5"/>
    <x v="177"/>
    <x v="23"/>
    <x v="9"/>
    <x v="16"/>
    <x v="0"/>
    <x v="17"/>
    <x v="4"/>
    <x v="46"/>
    <x v="2"/>
    <x v="24"/>
    <x v="92"/>
    <x v="78"/>
    <x v="8"/>
    <x v="0"/>
    <x v="0"/>
    <x v="1"/>
    <x v="3"/>
  </r>
  <r>
    <x v="5"/>
    <x v="178"/>
    <x v="67"/>
    <x v="9"/>
    <x v="9"/>
    <x v="0"/>
    <x v="17"/>
    <x v="10"/>
    <x v="14"/>
    <x v="23"/>
    <x v="7"/>
    <x v="38"/>
    <x v="80"/>
    <x v="8"/>
    <x v="0"/>
    <x v="0"/>
    <x v="1"/>
    <x v="3"/>
  </r>
  <r>
    <x v="5"/>
    <x v="179"/>
    <x v="30"/>
    <x v="9"/>
    <x v="27"/>
    <x v="0"/>
    <x v="4"/>
    <x v="31"/>
    <x v="101"/>
    <x v="26"/>
    <x v="31"/>
    <x v="113"/>
    <x v="82"/>
    <x v="8"/>
    <x v="0"/>
    <x v="0"/>
    <x v="1"/>
    <x v="3"/>
  </r>
  <r>
    <x v="5"/>
    <x v="578"/>
    <x v="37"/>
    <x v="9"/>
    <x v="34"/>
    <x v="18"/>
    <x v="22"/>
    <x v="13"/>
    <x v="103"/>
    <x v="12"/>
    <x v="72"/>
    <x v="68"/>
    <x v="84"/>
    <x v="3"/>
    <x v="0"/>
    <x v="0"/>
    <x v="1"/>
    <x v="3"/>
  </r>
  <r>
    <x v="5"/>
    <x v="180"/>
    <x v="28"/>
    <x v="9"/>
    <x v="37"/>
    <x v="0"/>
    <x v="13"/>
    <x v="40"/>
    <x v="78"/>
    <x v="39"/>
    <x v="82"/>
    <x v="182"/>
    <x v="85"/>
    <x v="8"/>
    <x v="0"/>
    <x v="0"/>
    <x v="1"/>
    <x v="3"/>
  </r>
  <r>
    <x v="5"/>
    <x v="181"/>
    <x v="48"/>
    <x v="9"/>
    <x v="13"/>
    <x v="0"/>
    <x v="10"/>
    <x v="85"/>
    <x v="64"/>
    <x v="81"/>
    <x v="75"/>
    <x v="23"/>
    <x v="86"/>
    <x v="8"/>
    <x v="0"/>
    <x v="0"/>
    <x v="1"/>
    <x v="3"/>
  </r>
  <r>
    <x v="5"/>
    <x v="182"/>
    <x v="55"/>
    <x v="9"/>
    <x v="2"/>
    <x v="0"/>
    <x v="22"/>
    <x v="43"/>
    <x v="124"/>
    <x v="43"/>
    <x v="18"/>
    <x v="60"/>
    <x v="87"/>
    <x v="8"/>
    <x v="0"/>
    <x v="0"/>
    <x v="1"/>
    <x v="3"/>
  </r>
  <r>
    <x v="5"/>
    <x v="183"/>
    <x v="27"/>
    <x v="9"/>
    <x v="65"/>
    <x v="0"/>
    <x v="10"/>
    <x v="39"/>
    <x v="105"/>
    <x v="34"/>
    <x v="9"/>
    <x v="45"/>
    <x v="88"/>
    <x v="8"/>
    <x v="0"/>
    <x v="0"/>
    <x v="1"/>
    <x v="3"/>
  </r>
  <r>
    <x v="5"/>
    <x v="184"/>
    <x v="65"/>
    <x v="9"/>
    <x v="83"/>
    <x v="0"/>
    <x v="13"/>
    <x v="23"/>
    <x v="133"/>
    <x v="20"/>
    <x v="49"/>
    <x v="148"/>
    <x v="89"/>
    <x v="8"/>
    <x v="0"/>
    <x v="0"/>
    <x v="1"/>
    <x v="3"/>
  </r>
  <r>
    <x v="5"/>
    <x v="185"/>
    <x v="95"/>
    <x v="9"/>
    <x v="33"/>
    <x v="8"/>
    <x v="17"/>
    <x v="124"/>
    <x v="23"/>
    <x v="119"/>
    <x v="29"/>
    <x v="110"/>
    <x v="90"/>
    <x v="3"/>
    <x v="0"/>
    <x v="0"/>
    <x v="1"/>
    <x v="3"/>
  </r>
  <r>
    <x v="5"/>
    <x v="186"/>
    <x v="14"/>
    <x v="9"/>
    <x v="50"/>
    <x v="0"/>
    <x v="13"/>
    <x v="137"/>
    <x v="104"/>
    <x v="130"/>
    <x v="4"/>
    <x v="121"/>
    <x v="91"/>
    <x v="8"/>
    <x v="0"/>
    <x v="0"/>
    <x v="1"/>
    <x v="3"/>
  </r>
  <r>
    <x v="5"/>
    <x v="187"/>
    <x v="21"/>
    <x v="9"/>
    <x v="11"/>
    <x v="0"/>
    <x v="10"/>
    <x v="55"/>
    <x v="117"/>
    <x v="54"/>
    <x v="85"/>
    <x v="191"/>
    <x v="92"/>
    <x v="3"/>
    <x v="0"/>
    <x v="0"/>
    <x v="1"/>
    <x v="3"/>
  </r>
  <r>
    <x v="5"/>
    <x v="188"/>
    <x v="88"/>
    <x v="9"/>
    <x v="45"/>
    <x v="6"/>
    <x v="17"/>
    <x v="37"/>
    <x v="60"/>
    <x v="35"/>
    <x v="35"/>
    <x v="115"/>
    <x v="93"/>
    <x v="8"/>
    <x v="0"/>
    <x v="0"/>
    <x v="1"/>
    <x v="3"/>
  </r>
  <r>
    <x v="5"/>
    <x v="189"/>
    <x v="52"/>
    <x v="9"/>
    <x v="55"/>
    <x v="17"/>
    <x v="22"/>
    <x v="33"/>
    <x v="119"/>
    <x v="37"/>
    <x v="1"/>
    <x v="11"/>
    <x v="33"/>
    <x v="3"/>
    <x v="0"/>
    <x v="0"/>
    <x v="1"/>
    <x v="3"/>
  </r>
  <r>
    <x v="5"/>
    <x v="190"/>
    <x v="84"/>
    <x v="9"/>
    <x v="72"/>
    <x v="1"/>
    <x v="22"/>
    <x v="113"/>
    <x v="88"/>
    <x v="113"/>
    <x v="17"/>
    <x v="59"/>
    <x v="36"/>
    <x v="8"/>
    <x v="0"/>
    <x v="0"/>
    <x v="1"/>
    <x v="3"/>
  </r>
  <r>
    <x v="5"/>
    <x v="191"/>
    <x v="39"/>
    <x v="9"/>
    <x v="57"/>
    <x v="2"/>
    <x v="22"/>
    <x v="14"/>
    <x v="120"/>
    <x v="15"/>
    <x v="65"/>
    <x v="100"/>
    <x v="96"/>
    <x v="3"/>
    <x v="0"/>
    <x v="0"/>
    <x v="1"/>
    <x v="3"/>
  </r>
  <r>
    <x v="5"/>
    <x v="631"/>
    <x v="97"/>
    <x v="11"/>
    <x v="97"/>
    <x v="33"/>
    <x v="23"/>
    <x v="145"/>
    <x v="145"/>
    <x v="143"/>
    <x v="97"/>
    <x v="204"/>
    <x v="96"/>
    <x v="10"/>
    <x v="0"/>
    <x v="0"/>
    <x v="1"/>
    <x v="3"/>
  </r>
  <r>
    <x v="5"/>
    <x v="192"/>
    <x v="7"/>
    <x v="11"/>
    <x v="14"/>
    <x v="4"/>
    <x v="17"/>
    <x v="144"/>
    <x v="15"/>
    <x v="131"/>
    <x v="33"/>
    <x v="114"/>
    <x v="81"/>
    <x v="5"/>
    <x v="0"/>
    <x v="0"/>
    <x v="1"/>
    <x v="3"/>
  </r>
  <r>
    <x v="5"/>
    <x v="193"/>
    <x v="82"/>
    <x v="11"/>
    <x v="74"/>
    <x v="9"/>
    <x v="2"/>
    <x v="127"/>
    <x v="85"/>
    <x v="123"/>
    <x v="5"/>
    <x v="34"/>
    <x v="2"/>
    <x v="7"/>
    <x v="0"/>
    <x v="0"/>
    <x v="1"/>
    <x v="3"/>
  </r>
  <r>
    <x v="5"/>
    <x v="194"/>
    <x v="5"/>
    <x v="11"/>
    <x v="19"/>
    <x v="4"/>
    <x v="18"/>
    <x v="84"/>
    <x v="94"/>
    <x v="71"/>
    <x v="27"/>
    <x v="181"/>
    <x v="10"/>
    <x v="5"/>
    <x v="0"/>
    <x v="0"/>
    <x v="1"/>
    <x v="3"/>
  </r>
  <r>
    <x v="5"/>
    <x v="195"/>
    <x v="15"/>
    <x v="11"/>
    <x v="51"/>
    <x v="1"/>
    <x v="17"/>
    <x v="19"/>
    <x v="55"/>
    <x v="44"/>
    <x v="44"/>
    <x v="142"/>
    <x v="25"/>
    <x v="5"/>
    <x v="0"/>
    <x v="0"/>
    <x v="1"/>
    <x v="3"/>
  </r>
  <r>
    <x v="5"/>
    <x v="196"/>
    <x v="92"/>
    <x v="11"/>
    <x v="39"/>
    <x v="1"/>
    <x v="10"/>
    <x v="65"/>
    <x v="134"/>
    <x v="66"/>
    <x v="86"/>
    <x v="189"/>
    <x v="39"/>
    <x v="5"/>
    <x v="0"/>
    <x v="0"/>
    <x v="1"/>
    <x v="3"/>
  </r>
  <r>
    <x v="5"/>
    <x v="197"/>
    <x v="78"/>
    <x v="11"/>
    <x v="41"/>
    <x v="14"/>
    <x v="22"/>
    <x v="103"/>
    <x v="122"/>
    <x v="99"/>
    <x v="16"/>
    <x v="58"/>
    <x v="76"/>
    <x v="5"/>
    <x v="0"/>
    <x v="0"/>
    <x v="1"/>
    <x v="3"/>
  </r>
  <r>
    <x v="5"/>
    <x v="579"/>
    <x v="77"/>
    <x v="11"/>
    <x v="78"/>
    <x v="7"/>
    <x v="21"/>
    <x v="53"/>
    <x v="91"/>
    <x v="52"/>
    <x v="80"/>
    <x v="105"/>
    <x v="0"/>
    <x v="5"/>
    <x v="0"/>
    <x v="0"/>
    <x v="1"/>
    <x v="3"/>
  </r>
  <r>
    <x v="5"/>
    <x v="198"/>
    <x v="71"/>
    <x v="11"/>
    <x v="25"/>
    <x v="0"/>
    <x v="11"/>
    <x v="56"/>
    <x v="114"/>
    <x v="55"/>
    <x v="91"/>
    <x v="195"/>
    <x v="1"/>
    <x v="5"/>
    <x v="0"/>
    <x v="0"/>
    <x v="1"/>
    <x v="3"/>
  </r>
  <r>
    <x v="5"/>
    <x v="199"/>
    <x v="9"/>
    <x v="11"/>
    <x v="49"/>
    <x v="2"/>
    <x v="10"/>
    <x v="12"/>
    <x v="63"/>
    <x v="17"/>
    <x v="74"/>
    <x v="75"/>
    <x v="6"/>
    <x v="5"/>
    <x v="0"/>
    <x v="0"/>
    <x v="1"/>
    <x v="3"/>
  </r>
  <r>
    <x v="5"/>
    <x v="200"/>
    <x v="81"/>
    <x v="11"/>
    <x v="56"/>
    <x v="2"/>
    <x v="22"/>
    <x v="112"/>
    <x v="77"/>
    <x v="112"/>
    <x v="60"/>
    <x v="168"/>
    <x v="8"/>
    <x v="5"/>
    <x v="0"/>
    <x v="0"/>
    <x v="1"/>
    <x v="3"/>
  </r>
  <r>
    <x v="5"/>
    <x v="201"/>
    <x v="91"/>
    <x v="11"/>
    <x v="86"/>
    <x v="0"/>
    <x v="20"/>
    <x v="46"/>
    <x v="57"/>
    <x v="45"/>
    <x v="96"/>
    <x v="14"/>
    <x v="12"/>
    <x v="5"/>
    <x v="0"/>
    <x v="0"/>
    <x v="1"/>
    <x v="3"/>
  </r>
  <r>
    <x v="5"/>
    <x v="202"/>
    <x v="8"/>
    <x v="11"/>
    <x v="48"/>
    <x v="7"/>
    <x v="22"/>
    <x v="126"/>
    <x v="41"/>
    <x v="122"/>
    <x v="14"/>
    <x v="56"/>
    <x v="15"/>
    <x v="5"/>
    <x v="0"/>
    <x v="0"/>
    <x v="1"/>
    <x v="3"/>
  </r>
  <r>
    <x v="5"/>
    <x v="203"/>
    <x v="51"/>
    <x v="11"/>
    <x v="15"/>
    <x v="1"/>
    <x v="22"/>
    <x v="97"/>
    <x v="115"/>
    <x v="89"/>
    <x v="21"/>
    <x v="74"/>
    <x v="20"/>
    <x v="5"/>
    <x v="0"/>
    <x v="0"/>
    <x v="1"/>
    <x v="3"/>
  </r>
  <r>
    <x v="5"/>
    <x v="204"/>
    <x v="4"/>
    <x v="11"/>
    <x v="20"/>
    <x v="0"/>
    <x v="22"/>
    <x v="66"/>
    <x v="53"/>
    <x v="67"/>
    <x v="71"/>
    <x v="89"/>
    <x v="22"/>
    <x v="5"/>
    <x v="0"/>
    <x v="0"/>
    <x v="1"/>
    <x v="3"/>
  </r>
  <r>
    <x v="5"/>
    <x v="205"/>
    <x v="86"/>
    <x v="11"/>
    <x v="67"/>
    <x v="1"/>
    <x v="22"/>
    <x v="32"/>
    <x v="143"/>
    <x v="27"/>
    <x v="15"/>
    <x v="57"/>
    <x v="24"/>
    <x v="5"/>
    <x v="0"/>
    <x v="0"/>
    <x v="1"/>
    <x v="3"/>
  </r>
  <r>
    <x v="5"/>
    <x v="581"/>
    <x v="93"/>
    <x v="11"/>
    <x v="77"/>
    <x v="16"/>
    <x v="17"/>
    <x v="111"/>
    <x v="69"/>
    <x v="110"/>
    <x v="32"/>
    <x v="124"/>
    <x v="27"/>
    <x v="5"/>
    <x v="0"/>
    <x v="0"/>
    <x v="1"/>
    <x v="3"/>
  </r>
  <r>
    <x v="5"/>
    <x v="206"/>
    <x v="46"/>
    <x v="11"/>
    <x v="76"/>
    <x v="0"/>
    <x v="16"/>
    <x v="21"/>
    <x v="106"/>
    <x v="33"/>
    <x v="52"/>
    <x v="0"/>
    <x v="29"/>
    <x v="5"/>
    <x v="0"/>
    <x v="0"/>
    <x v="1"/>
    <x v="3"/>
  </r>
  <r>
    <x v="5"/>
    <x v="207"/>
    <x v="63"/>
    <x v="11"/>
    <x v="43"/>
    <x v="8"/>
    <x v="17"/>
    <x v="142"/>
    <x v="95"/>
    <x v="141"/>
    <x v="95"/>
    <x v="203"/>
    <x v="32"/>
    <x v="5"/>
    <x v="0"/>
    <x v="0"/>
    <x v="1"/>
    <x v="3"/>
  </r>
  <r>
    <x v="5"/>
    <x v="208"/>
    <x v="11"/>
    <x v="11"/>
    <x v="95"/>
    <x v="0"/>
    <x v="22"/>
    <x v="89"/>
    <x v="126"/>
    <x v="111"/>
    <x v="84"/>
    <x v="188"/>
    <x v="34"/>
    <x v="5"/>
    <x v="0"/>
    <x v="0"/>
    <x v="1"/>
    <x v="3"/>
  </r>
  <r>
    <x v="5"/>
    <x v="582"/>
    <x v="57"/>
    <x v="11"/>
    <x v="79"/>
    <x v="10"/>
    <x v="22"/>
    <x v="123"/>
    <x v="97"/>
    <x v="125"/>
    <x v="61"/>
    <x v="187"/>
    <x v="35"/>
    <x v="5"/>
    <x v="0"/>
    <x v="0"/>
    <x v="1"/>
    <x v="3"/>
  </r>
  <r>
    <x v="5"/>
    <x v="583"/>
    <x v="17"/>
    <x v="11"/>
    <x v="63"/>
    <x v="14"/>
    <x v="22"/>
    <x v="67"/>
    <x v="44"/>
    <x v="68"/>
    <x v="61"/>
    <x v="91"/>
    <x v="37"/>
    <x v="5"/>
    <x v="0"/>
    <x v="0"/>
    <x v="1"/>
    <x v="3"/>
  </r>
  <r>
    <x v="5"/>
    <x v="209"/>
    <x v="74"/>
    <x v="11"/>
    <x v="85"/>
    <x v="0"/>
    <x v="17"/>
    <x v="16"/>
    <x v="56"/>
    <x v="14"/>
    <x v="93"/>
    <x v="202"/>
    <x v="38"/>
    <x v="5"/>
    <x v="0"/>
    <x v="0"/>
    <x v="1"/>
    <x v="3"/>
  </r>
  <r>
    <x v="5"/>
    <x v="210"/>
    <x v="12"/>
    <x v="11"/>
    <x v="5"/>
    <x v="2"/>
    <x v="22"/>
    <x v="94"/>
    <x v="137"/>
    <x v="93"/>
    <x v="22"/>
    <x v="76"/>
    <x v="40"/>
    <x v="5"/>
    <x v="0"/>
    <x v="0"/>
    <x v="1"/>
    <x v="3"/>
  </r>
  <r>
    <x v="5"/>
    <x v="584"/>
    <x v="31"/>
    <x v="11"/>
    <x v="82"/>
    <x v="3"/>
    <x v="22"/>
    <x v="119"/>
    <x v="52"/>
    <x v="118"/>
    <x v="30"/>
    <x v="135"/>
    <x v="42"/>
    <x v="5"/>
    <x v="0"/>
    <x v="0"/>
    <x v="1"/>
    <x v="3"/>
  </r>
  <r>
    <x v="5"/>
    <x v="211"/>
    <x v="2"/>
    <x v="11"/>
    <x v="35"/>
    <x v="2"/>
    <x v="22"/>
    <x v="75"/>
    <x v="121"/>
    <x v="74"/>
    <x v="22"/>
    <x v="77"/>
    <x v="43"/>
    <x v="5"/>
    <x v="0"/>
    <x v="0"/>
    <x v="1"/>
    <x v="3"/>
  </r>
  <r>
    <x v="5"/>
    <x v="212"/>
    <x v="29"/>
    <x v="11"/>
    <x v="61"/>
    <x v="4"/>
    <x v="13"/>
    <x v="121"/>
    <x v="66"/>
    <x v="121"/>
    <x v="12"/>
    <x v="53"/>
    <x v="44"/>
    <x v="5"/>
    <x v="0"/>
    <x v="0"/>
    <x v="1"/>
    <x v="3"/>
  </r>
  <r>
    <x v="5"/>
    <x v="213"/>
    <x v="24"/>
    <x v="11"/>
    <x v="52"/>
    <x v="0"/>
    <x v="22"/>
    <x v="102"/>
    <x v="58"/>
    <x v="90"/>
    <x v="37"/>
    <x v="131"/>
    <x v="45"/>
    <x v="5"/>
    <x v="0"/>
    <x v="0"/>
    <x v="1"/>
    <x v="3"/>
  </r>
  <r>
    <x v="5"/>
    <x v="214"/>
    <x v="20"/>
    <x v="11"/>
    <x v="80"/>
    <x v="1"/>
    <x v="13"/>
    <x v="22"/>
    <x v="93"/>
    <x v="19"/>
    <x v="92"/>
    <x v="198"/>
    <x v="46"/>
    <x v="5"/>
    <x v="0"/>
    <x v="0"/>
    <x v="1"/>
    <x v="3"/>
  </r>
  <r>
    <x v="5"/>
    <x v="215"/>
    <x v="79"/>
    <x v="11"/>
    <x v="94"/>
    <x v="1"/>
    <x v="19"/>
    <x v="41"/>
    <x v="113"/>
    <x v="40"/>
    <x v="79"/>
    <x v="93"/>
    <x v="47"/>
    <x v="5"/>
    <x v="0"/>
    <x v="0"/>
    <x v="1"/>
    <x v="3"/>
  </r>
  <r>
    <x v="5"/>
    <x v="216"/>
    <x v="34"/>
    <x v="11"/>
    <x v="54"/>
    <x v="3"/>
    <x v="15"/>
    <x v="44"/>
    <x v="107"/>
    <x v="120"/>
    <x v="0"/>
    <x v="140"/>
    <x v="49"/>
    <x v="5"/>
    <x v="0"/>
    <x v="0"/>
    <x v="1"/>
    <x v="3"/>
  </r>
  <r>
    <x v="5"/>
    <x v="217"/>
    <x v="54"/>
    <x v="11"/>
    <x v="44"/>
    <x v="0"/>
    <x v="22"/>
    <x v="128"/>
    <x v="18"/>
    <x v="126"/>
    <x v="89"/>
    <x v="192"/>
    <x v="50"/>
    <x v="5"/>
    <x v="0"/>
    <x v="0"/>
    <x v="1"/>
    <x v="3"/>
  </r>
  <r>
    <x v="5"/>
    <x v="585"/>
    <x v="61"/>
    <x v="11"/>
    <x v="96"/>
    <x v="8"/>
    <x v="22"/>
    <x v="107"/>
    <x v="76"/>
    <x v="106"/>
    <x v="25"/>
    <x v="99"/>
    <x v="51"/>
    <x v="5"/>
    <x v="0"/>
    <x v="0"/>
    <x v="1"/>
    <x v="3"/>
  </r>
  <r>
    <x v="5"/>
    <x v="218"/>
    <x v="43"/>
    <x v="11"/>
    <x v="3"/>
    <x v="3"/>
    <x v="13"/>
    <x v="5"/>
    <x v="123"/>
    <x v="4"/>
    <x v="43"/>
    <x v="141"/>
    <x v="55"/>
    <x v="5"/>
    <x v="0"/>
    <x v="0"/>
    <x v="1"/>
    <x v="3"/>
  </r>
  <r>
    <x v="5"/>
    <x v="219"/>
    <x v="64"/>
    <x v="11"/>
    <x v="21"/>
    <x v="1"/>
    <x v="10"/>
    <x v="108"/>
    <x v="35"/>
    <x v="107"/>
    <x v="57"/>
    <x v="163"/>
    <x v="56"/>
    <x v="5"/>
    <x v="0"/>
    <x v="0"/>
    <x v="1"/>
    <x v="3"/>
  </r>
  <r>
    <x v="5"/>
    <x v="220"/>
    <x v="10"/>
    <x v="11"/>
    <x v="12"/>
    <x v="0"/>
    <x v="22"/>
    <x v="36"/>
    <x v="16"/>
    <x v="29"/>
    <x v="87"/>
    <x v="197"/>
    <x v="57"/>
    <x v="5"/>
    <x v="0"/>
    <x v="0"/>
    <x v="1"/>
    <x v="3"/>
  </r>
  <r>
    <x v="5"/>
    <x v="221"/>
    <x v="72"/>
    <x v="11"/>
    <x v="47"/>
    <x v="3"/>
    <x v="17"/>
    <x v="11"/>
    <x v="17"/>
    <x v="8"/>
    <x v="51"/>
    <x v="149"/>
    <x v="58"/>
    <x v="5"/>
    <x v="0"/>
    <x v="0"/>
    <x v="1"/>
    <x v="3"/>
  </r>
  <r>
    <x v="5"/>
    <x v="222"/>
    <x v="83"/>
    <x v="11"/>
    <x v="73"/>
    <x v="10"/>
    <x v="7"/>
    <x v="17"/>
    <x v="39"/>
    <x v="13"/>
    <x v="55"/>
    <x v="177"/>
    <x v="60"/>
    <x v="5"/>
    <x v="0"/>
    <x v="0"/>
    <x v="1"/>
    <x v="3"/>
  </r>
  <r>
    <x v="5"/>
    <x v="223"/>
    <x v="22"/>
    <x v="11"/>
    <x v="38"/>
    <x v="15"/>
    <x v="22"/>
    <x v="120"/>
    <x v="81"/>
    <x v="116"/>
    <x v="22"/>
    <x v="78"/>
    <x v="65"/>
    <x v="5"/>
    <x v="0"/>
    <x v="0"/>
    <x v="1"/>
    <x v="3"/>
  </r>
  <r>
    <x v="5"/>
    <x v="224"/>
    <x v="58"/>
    <x v="11"/>
    <x v="75"/>
    <x v="12"/>
    <x v="13"/>
    <x v="90"/>
    <x v="27"/>
    <x v="83"/>
    <x v="54"/>
    <x v="117"/>
    <x v="66"/>
    <x v="5"/>
    <x v="0"/>
    <x v="0"/>
    <x v="1"/>
    <x v="3"/>
  </r>
  <r>
    <x v="5"/>
    <x v="225"/>
    <x v="96"/>
    <x v="11"/>
    <x v="46"/>
    <x v="1"/>
    <x v="10"/>
    <x v="93"/>
    <x v="79"/>
    <x v="86"/>
    <x v="8"/>
    <x v="43"/>
    <x v="69"/>
    <x v="5"/>
    <x v="0"/>
    <x v="0"/>
    <x v="1"/>
    <x v="3"/>
  </r>
  <r>
    <x v="5"/>
    <x v="226"/>
    <x v="35"/>
    <x v="11"/>
    <x v="18"/>
    <x v="0"/>
    <x v="22"/>
    <x v="47"/>
    <x v="61"/>
    <x v="47"/>
    <x v="59"/>
    <x v="167"/>
    <x v="70"/>
    <x v="5"/>
    <x v="0"/>
    <x v="0"/>
    <x v="1"/>
    <x v="3"/>
  </r>
  <r>
    <x v="5"/>
    <x v="227"/>
    <x v="0"/>
    <x v="11"/>
    <x v="91"/>
    <x v="4"/>
    <x v="9"/>
    <x v="7"/>
    <x v="26"/>
    <x v="5"/>
    <x v="81"/>
    <x v="94"/>
    <x v="72"/>
    <x v="5"/>
    <x v="0"/>
    <x v="0"/>
    <x v="1"/>
    <x v="3"/>
  </r>
  <r>
    <x v="5"/>
    <x v="228"/>
    <x v="26"/>
    <x v="11"/>
    <x v="58"/>
    <x v="3"/>
    <x v="13"/>
    <x v="60"/>
    <x v="65"/>
    <x v="61"/>
    <x v="45"/>
    <x v="144"/>
    <x v="74"/>
    <x v="5"/>
    <x v="0"/>
    <x v="0"/>
    <x v="1"/>
    <x v="3"/>
  </r>
  <r>
    <x v="5"/>
    <x v="586"/>
    <x v="59"/>
    <x v="11"/>
    <x v="70"/>
    <x v="4"/>
    <x v="10"/>
    <x v="134"/>
    <x v="10"/>
    <x v="137"/>
    <x v="63"/>
    <x v="26"/>
    <x v="77"/>
    <x v="5"/>
    <x v="0"/>
    <x v="0"/>
    <x v="1"/>
    <x v="3"/>
  </r>
  <r>
    <x v="5"/>
    <x v="229"/>
    <x v="23"/>
    <x v="11"/>
    <x v="16"/>
    <x v="0"/>
    <x v="17"/>
    <x v="4"/>
    <x v="46"/>
    <x v="2"/>
    <x v="24"/>
    <x v="92"/>
    <x v="78"/>
    <x v="5"/>
    <x v="0"/>
    <x v="0"/>
    <x v="1"/>
    <x v="3"/>
  </r>
  <r>
    <x v="5"/>
    <x v="230"/>
    <x v="94"/>
    <x v="11"/>
    <x v="26"/>
    <x v="0"/>
    <x v="10"/>
    <x v="9"/>
    <x v="37"/>
    <x v="7"/>
    <x v="6"/>
    <x v="37"/>
    <x v="79"/>
    <x v="5"/>
    <x v="0"/>
    <x v="0"/>
    <x v="1"/>
    <x v="3"/>
  </r>
  <r>
    <x v="5"/>
    <x v="231"/>
    <x v="67"/>
    <x v="11"/>
    <x v="9"/>
    <x v="0"/>
    <x v="17"/>
    <x v="10"/>
    <x v="14"/>
    <x v="23"/>
    <x v="7"/>
    <x v="38"/>
    <x v="80"/>
    <x v="5"/>
    <x v="0"/>
    <x v="0"/>
    <x v="1"/>
    <x v="3"/>
  </r>
  <r>
    <x v="5"/>
    <x v="232"/>
    <x v="30"/>
    <x v="11"/>
    <x v="27"/>
    <x v="0"/>
    <x v="4"/>
    <x v="31"/>
    <x v="101"/>
    <x v="26"/>
    <x v="31"/>
    <x v="113"/>
    <x v="82"/>
    <x v="5"/>
    <x v="0"/>
    <x v="0"/>
    <x v="1"/>
    <x v="3"/>
  </r>
  <r>
    <x v="5"/>
    <x v="233"/>
    <x v="28"/>
    <x v="11"/>
    <x v="37"/>
    <x v="1"/>
    <x v="13"/>
    <x v="40"/>
    <x v="78"/>
    <x v="39"/>
    <x v="82"/>
    <x v="182"/>
    <x v="85"/>
    <x v="5"/>
    <x v="0"/>
    <x v="0"/>
    <x v="1"/>
    <x v="3"/>
  </r>
  <r>
    <x v="5"/>
    <x v="234"/>
    <x v="48"/>
    <x v="11"/>
    <x v="13"/>
    <x v="0"/>
    <x v="10"/>
    <x v="85"/>
    <x v="64"/>
    <x v="81"/>
    <x v="75"/>
    <x v="23"/>
    <x v="86"/>
    <x v="5"/>
    <x v="0"/>
    <x v="0"/>
    <x v="1"/>
    <x v="3"/>
  </r>
  <r>
    <x v="5"/>
    <x v="235"/>
    <x v="55"/>
    <x v="11"/>
    <x v="2"/>
    <x v="0"/>
    <x v="22"/>
    <x v="43"/>
    <x v="124"/>
    <x v="43"/>
    <x v="18"/>
    <x v="60"/>
    <x v="87"/>
    <x v="5"/>
    <x v="0"/>
    <x v="0"/>
    <x v="1"/>
    <x v="3"/>
  </r>
  <r>
    <x v="5"/>
    <x v="236"/>
    <x v="27"/>
    <x v="11"/>
    <x v="65"/>
    <x v="0"/>
    <x v="10"/>
    <x v="39"/>
    <x v="105"/>
    <x v="34"/>
    <x v="9"/>
    <x v="45"/>
    <x v="88"/>
    <x v="5"/>
    <x v="0"/>
    <x v="0"/>
    <x v="1"/>
    <x v="3"/>
  </r>
  <r>
    <x v="5"/>
    <x v="237"/>
    <x v="65"/>
    <x v="11"/>
    <x v="83"/>
    <x v="0"/>
    <x v="13"/>
    <x v="23"/>
    <x v="133"/>
    <x v="20"/>
    <x v="49"/>
    <x v="148"/>
    <x v="89"/>
    <x v="5"/>
    <x v="0"/>
    <x v="0"/>
    <x v="1"/>
    <x v="3"/>
  </r>
  <r>
    <x v="5"/>
    <x v="238"/>
    <x v="95"/>
    <x v="11"/>
    <x v="33"/>
    <x v="2"/>
    <x v="17"/>
    <x v="124"/>
    <x v="23"/>
    <x v="119"/>
    <x v="29"/>
    <x v="110"/>
    <x v="90"/>
    <x v="5"/>
    <x v="0"/>
    <x v="0"/>
    <x v="1"/>
    <x v="3"/>
  </r>
  <r>
    <x v="5"/>
    <x v="239"/>
    <x v="21"/>
    <x v="11"/>
    <x v="11"/>
    <x v="1"/>
    <x v="10"/>
    <x v="55"/>
    <x v="117"/>
    <x v="54"/>
    <x v="85"/>
    <x v="191"/>
    <x v="92"/>
    <x v="5"/>
    <x v="0"/>
    <x v="0"/>
    <x v="1"/>
    <x v="3"/>
  </r>
  <r>
    <x v="5"/>
    <x v="240"/>
    <x v="88"/>
    <x v="11"/>
    <x v="45"/>
    <x v="6"/>
    <x v="17"/>
    <x v="37"/>
    <x v="60"/>
    <x v="35"/>
    <x v="35"/>
    <x v="115"/>
    <x v="93"/>
    <x v="5"/>
    <x v="0"/>
    <x v="0"/>
    <x v="1"/>
    <x v="3"/>
  </r>
  <r>
    <x v="5"/>
    <x v="241"/>
    <x v="52"/>
    <x v="11"/>
    <x v="55"/>
    <x v="17"/>
    <x v="22"/>
    <x v="33"/>
    <x v="119"/>
    <x v="37"/>
    <x v="1"/>
    <x v="11"/>
    <x v="33"/>
    <x v="5"/>
    <x v="0"/>
    <x v="0"/>
    <x v="1"/>
    <x v="3"/>
  </r>
  <r>
    <x v="5"/>
    <x v="242"/>
    <x v="84"/>
    <x v="11"/>
    <x v="72"/>
    <x v="0"/>
    <x v="22"/>
    <x v="113"/>
    <x v="88"/>
    <x v="113"/>
    <x v="17"/>
    <x v="59"/>
    <x v="36"/>
    <x v="5"/>
    <x v="0"/>
    <x v="0"/>
    <x v="1"/>
    <x v="3"/>
  </r>
  <r>
    <x v="5"/>
    <x v="243"/>
    <x v="39"/>
    <x v="11"/>
    <x v="57"/>
    <x v="3"/>
    <x v="22"/>
    <x v="14"/>
    <x v="120"/>
    <x v="15"/>
    <x v="65"/>
    <x v="100"/>
    <x v="96"/>
    <x v="5"/>
    <x v="0"/>
    <x v="0"/>
    <x v="1"/>
    <x v="3"/>
  </r>
  <r>
    <x v="5"/>
    <x v="631"/>
    <x v="97"/>
    <x v="10"/>
    <x v="97"/>
    <x v="31"/>
    <x v="23"/>
    <x v="145"/>
    <x v="145"/>
    <x v="143"/>
    <x v="97"/>
    <x v="204"/>
    <x v="96"/>
    <x v="10"/>
    <x v="0"/>
    <x v="0"/>
    <x v="1"/>
    <x v="3"/>
  </r>
  <r>
    <x v="5"/>
    <x v="244"/>
    <x v="7"/>
    <x v="10"/>
    <x v="14"/>
    <x v="4"/>
    <x v="17"/>
    <x v="144"/>
    <x v="15"/>
    <x v="131"/>
    <x v="33"/>
    <x v="114"/>
    <x v="81"/>
    <x v="0"/>
    <x v="0"/>
    <x v="0"/>
    <x v="1"/>
    <x v="1"/>
  </r>
  <r>
    <x v="5"/>
    <x v="245"/>
    <x v="82"/>
    <x v="10"/>
    <x v="74"/>
    <x v="13"/>
    <x v="2"/>
    <x v="127"/>
    <x v="85"/>
    <x v="123"/>
    <x v="5"/>
    <x v="34"/>
    <x v="2"/>
    <x v="7"/>
    <x v="0"/>
    <x v="0"/>
    <x v="1"/>
    <x v="2"/>
  </r>
  <r>
    <x v="5"/>
    <x v="246"/>
    <x v="5"/>
    <x v="10"/>
    <x v="19"/>
    <x v="4"/>
    <x v="18"/>
    <x v="84"/>
    <x v="94"/>
    <x v="71"/>
    <x v="27"/>
    <x v="181"/>
    <x v="10"/>
    <x v="4"/>
    <x v="0"/>
    <x v="0"/>
    <x v="1"/>
    <x v="1"/>
  </r>
  <r>
    <x v="5"/>
    <x v="247"/>
    <x v="15"/>
    <x v="10"/>
    <x v="51"/>
    <x v="1"/>
    <x v="17"/>
    <x v="19"/>
    <x v="55"/>
    <x v="44"/>
    <x v="44"/>
    <x v="142"/>
    <x v="25"/>
    <x v="0"/>
    <x v="0"/>
    <x v="0"/>
    <x v="1"/>
    <x v="1"/>
  </r>
  <r>
    <x v="0"/>
    <x v="248"/>
    <x v="92"/>
    <x v="10"/>
    <x v="39"/>
    <x v="2"/>
    <x v="10"/>
    <x v="65"/>
    <x v="134"/>
    <x v="66"/>
    <x v="86"/>
    <x v="189"/>
    <x v="39"/>
    <x v="0"/>
    <x v="0"/>
    <x v="0"/>
    <x v="1"/>
    <x v="2"/>
  </r>
  <r>
    <x v="0"/>
    <x v="249"/>
    <x v="78"/>
    <x v="10"/>
    <x v="41"/>
    <x v="14"/>
    <x v="22"/>
    <x v="103"/>
    <x v="122"/>
    <x v="99"/>
    <x v="16"/>
    <x v="58"/>
    <x v="76"/>
    <x v="0"/>
    <x v="0"/>
    <x v="0"/>
    <x v="1"/>
    <x v="1"/>
  </r>
  <r>
    <x v="0"/>
    <x v="588"/>
    <x v="77"/>
    <x v="10"/>
    <x v="78"/>
    <x v="7"/>
    <x v="21"/>
    <x v="53"/>
    <x v="91"/>
    <x v="52"/>
    <x v="80"/>
    <x v="106"/>
    <x v="0"/>
    <x v="0"/>
    <x v="0"/>
    <x v="0"/>
    <x v="1"/>
    <x v="2"/>
  </r>
  <r>
    <x v="0"/>
    <x v="250"/>
    <x v="70"/>
    <x v="10"/>
    <x v="89"/>
    <x v="1"/>
    <x v="8"/>
    <x v="104"/>
    <x v="127"/>
    <x v="100"/>
    <x v="42"/>
    <x v="170"/>
    <x v="7"/>
    <x v="0"/>
    <x v="0"/>
    <x v="0"/>
    <x v="1"/>
    <x v="1"/>
  </r>
  <r>
    <x v="0"/>
    <x v="251"/>
    <x v="81"/>
    <x v="10"/>
    <x v="56"/>
    <x v="2"/>
    <x v="22"/>
    <x v="112"/>
    <x v="77"/>
    <x v="112"/>
    <x v="60"/>
    <x v="168"/>
    <x v="8"/>
    <x v="0"/>
    <x v="0"/>
    <x v="0"/>
    <x v="1"/>
    <x v="2"/>
  </r>
  <r>
    <x v="0"/>
    <x v="252"/>
    <x v="66"/>
    <x v="10"/>
    <x v="10"/>
    <x v="0"/>
    <x v="13"/>
    <x v="136"/>
    <x v="47"/>
    <x v="129"/>
    <x v="19"/>
    <x v="64"/>
    <x v="18"/>
    <x v="0"/>
    <x v="0"/>
    <x v="0"/>
    <x v="1"/>
    <x v="2"/>
  </r>
  <r>
    <x v="0"/>
    <x v="253"/>
    <x v="25"/>
    <x v="10"/>
    <x v="60"/>
    <x v="1"/>
    <x v="10"/>
    <x v="18"/>
    <x v="25"/>
    <x v="11"/>
    <x v="83"/>
    <x v="173"/>
    <x v="19"/>
    <x v="0"/>
    <x v="0"/>
    <x v="0"/>
    <x v="1"/>
    <x v="2"/>
  </r>
  <r>
    <x v="0"/>
    <x v="254"/>
    <x v="4"/>
    <x v="10"/>
    <x v="20"/>
    <x v="0"/>
    <x v="22"/>
    <x v="66"/>
    <x v="53"/>
    <x v="67"/>
    <x v="71"/>
    <x v="89"/>
    <x v="22"/>
    <x v="0"/>
    <x v="0"/>
    <x v="0"/>
    <x v="1"/>
    <x v="2"/>
  </r>
  <r>
    <x v="0"/>
    <x v="255"/>
    <x v="86"/>
    <x v="10"/>
    <x v="67"/>
    <x v="0"/>
    <x v="22"/>
    <x v="32"/>
    <x v="143"/>
    <x v="27"/>
    <x v="15"/>
    <x v="57"/>
    <x v="24"/>
    <x v="0"/>
    <x v="0"/>
    <x v="0"/>
    <x v="1"/>
    <x v="2"/>
  </r>
  <r>
    <x v="5"/>
    <x v="589"/>
    <x v="93"/>
    <x v="10"/>
    <x v="77"/>
    <x v="5"/>
    <x v="17"/>
    <x v="110"/>
    <x v="68"/>
    <x v="109"/>
    <x v="32"/>
    <x v="125"/>
    <x v="27"/>
    <x v="0"/>
    <x v="0"/>
    <x v="0"/>
    <x v="1"/>
    <x v="1"/>
  </r>
  <r>
    <x v="0"/>
    <x v="256"/>
    <x v="46"/>
    <x v="10"/>
    <x v="76"/>
    <x v="0"/>
    <x v="16"/>
    <x v="21"/>
    <x v="106"/>
    <x v="33"/>
    <x v="52"/>
    <x v="0"/>
    <x v="29"/>
    <x v="0"/>
    <x v="0"/>
    <x v="0"/>
    <x v="1"/>
    <x v="2"/>
  </r>
  <r>
    <x v="0"/>
    <x v="257"/>
    <x v="11"/>
    <x v="10"/>
    <x v="95"/>
    <x v="0"/>
    <x v="22"/>
    <x v="89"/>
    <x v="126"/>
    <x v="111"/>
    <x v="84"/>
    <x v="188"/>
    <x v="34"/>
    <x v="0"/>
    <x v="0"/>
    <x v="0"/>
    <x v="1"/>
    <x v="1"/>
  </r>
  <r>
    <x v="1"/>
    <x v="590"/>
    <x v="57"/>
    <x v="10"/>
    <x v="79"/>
    <x v="4"/>
    <x v="22"/>
    <x v="123"/>
    <x v="97"/>
    <x v="125"/>
    <x v="61"/>
    <x v="186"/>
    <x v="35"/>
    <x v="0"/>
    <x v="0"/>
    <x v="0"/>
    <x v="1"/>
    <x v="2"/>
  </r>
  <r>
    <x v="5"/>
    <x v="591"/>
    <x v="17"/>
    <x v="10"/>
    <x v="63"/>
    <x v="14"/>
    <x v="22"/>
    <x v="67"/>
    <x v="44"/>
    <x v="68"/>
    <x v="61"/>
    <x v="91"/>
    <x v="37"/>
    <x v="0"/>
    <x v="0"/>
    <x v="0"/>
    <x v="1"/>
    <x v="2"/>
  </r>
  <r>
    <x v="5"/>
    <x v="258"/>
    <x v="74"/>
    <x v="10"/>
    <x v="85"/>
    <x v="0"/>
    <x v="17"/>
    <x v="16"/>
    <x v="56"/>
    <x v="14"/>
    <x v="93"/>
    <x v="202"/>
    <x v="38"/>
    <x v="0"/>
    <x v="0"/>
    <x v="0"/>
    <x v="1"/>
    <x v="1"/>
  </r>
  <r>
    <x v="0"/>
    <x v="259"/>
    <x v="12"/>
    <x v="10"/>
    <x v="5"/>
    <x v="0"/>
    <x v="22"/>
    <x v="94"/>
    <x v="137"/>
    <x v="93"/>
    <x v="22"/>
    <x v="76"/>
    <x v="40"/>
    <x v="0"/>
    <x v="0"/>
    <x v="0"/>
    <x v="1"/>
    <x v="2"/>
  </r>
  <r>
    <x v="0"/>
    <x v="260"/>
    <x v="2"/>
    <x v="10"/>
    <x v="35"/>
    <x v="2"/>
    <x v="22"/>
    <x v="75"/>
    <x v="121"/>
    <x v="74"/>
    <x v="22"/>
    <x v="77"/>
    <x v="43"/>
    <x v="0"/>
    <x v="0"/>
    <x v="0"/>
    <x v="1"/>
    <x v="1"/>
  </r>
  <r>
    <x v="0"/>
    <x v="261"/>
    <x v="29"/>
    <x v="10"/>
    <x v="61"/>
    <x v="4"/>
    <x v="13"/>
    <x v="121"/>
    <x v="66"/>
    <x v="121"/>
    <x v="12"/>
    <x v="53"/>
    <x v="44"/>
    <x v="0"/>
    <x v="0"/>
    <x v="0"/>
    <x v="1"/>
    <x v="1"/>
  </r>
  <r>
    <x v="0"/>
    <x v="262"/>
    <x v="24"/>
    <x v="10"/>
    <x v="52"/>
    <x v="3"/>
    <x v="22"/>
    <x v="102"/>
    <x v="58"/>
    <x v="90"/>
    <x v="37"/>
    <x v="131"/>
    <x v="45"/>
    <x v="0"/>
    <x v="0"/>
    <x v="0"/>
    <x v="1"/>
    <x v="1"/>
  </r>
  <r>
    <x v="0"/>
    <x v="263"/>
    <x v="79"/>
    <x v="10"/>
    <x v="94"/>
    <x v="1"/>
    <x v="19"/>
    <x v="41"/>
    <x v="113"/>
    <x v="40"/>
    <x v="79"/>
    <x v="93"/>
    <x v="47"/>
    <x v="0"/>
    <x v="0"/>
    <x v="0"/>
    <x v="1"/>
    <x v="2"/>
  </r>
  <r>
    <x v="0"/>
    <x v="264"/>
    <x v="34"/>
    <x v="10"/>
    <x v="54"/>
    <x v="0"/>
    <x v="15"/>
    <x v="44"/>
    <x v="107"/>
    <x v="120"/>
    <x v="0"/>
    <x v="140"/>
    <x v="49"/>
    <x v="0"/>
    <x v="0"/>
    <x v="0"/>
    <x v="1"/>
    <x v="1"/>
  </r>
  <r>
    <x v="0"/>
    <x v="265"/>
    <x v="43"/>
    <x v="10"/>
    <x v="3"/>
    <x v="1"/>
    <x v="13"/>
    <x v="5"/>
    <x v="123"/>
    <x v="4"/>
    <x v="43"/>
    <x v="141"/>
    <x v="55"/>
    <x v="0"/>
    <x v="0"/>
    <x v="0"/>
    <x v="1"/>
    <x v="2"/>
  </r>
  <r>
    <x v="0"/>
    <x v="266"/>
    <x v="64"/>
    <x v="10"/>
    <x v="21"/>
    <x v="0"/>
    <x v="10"/>
    <x v="108"/>
    <x v="35"/>
    <x v="107"/>
    <x v="57"/>
    <x v="163"/>
    <x v="56"/>
    <x v="0"/>
    <x v="0"/>
    <x v="0"/>
    <x v="1"/>
    <x v="1"/>
  </r>
  <r>
    <x v="0"/>
    <x v="267"/>
    <x v="10"/>
    <x v="10"/>
    <x v="12"/>
    <x v="0"/>
    <x v="22"/>
    <x v="36"/>
    <x v="16"/>
    <x v="29"/>
    <x v="87"/>
    <x v="196"/>
    <x v="57"/>
    <x v="0"/>
    <x v="0"/>
    <x v="0"/>
    <x v="1"/>
    <x v="2"/>
  </r>
  <r>
    <x v="0"/>
    <x v="268"/>
    <x v="83"/>
    <x v="10"/>
    <x v="73"/>
    <x v="9"/>
    <x v="7"/>
    <x v="17"/>
    <x v="39"/>
    <x v="13"/>
    <x v="55"/>
    <x v="177"/>
    <x v="60"/>
    <x v="0"/>
    <x v="0"/>
    <x v="0"/>
    <x v="1"/>
    <x v="2"/>
  </r>
  <r>
    <x v="0"/>
    <x v="593"/>
    <x v="75"/>
    <x v="10"/>
    <x v="71"/>
    <x v="13"/>
    <x v="12"/>
    <x v="28"/>
    <x v="130"/>
    <x v="32"/>
    <x v="94"/>
    <x v="6"/>
    <x v="63"/>
    <x v="0"/>
    <x v="0"/>
    <x v="0"/>
    <x v="1"/>
    <x v="2"/>
  </r>
  <r>
    <x v="0"/>
    <x v="269"/>
    <x v="22"/>
    <x v="10"/>
    <x v="38"/>
    <x v="13"/>
    <x v="22"/>
    <x v="120"/>
    <x v="81"/>
    <x v="116"/>
    <x v="22"/>
    <x v="78"/>
    <x v="65"/>
    <x v="0"/>
    <x v="0"/>
    <x v="0"/>
    <x v="1"/>
    <x v="1"/>
  </r>
  <r>
    <x v="2"/>
    <x v="594"/>
    <x v="58"/>
    <x v="10"/>
    <x v="75"/>
    <x v="13"/>
    <x v="13"/>
    <x v="3"/>
    <x v="116"/>
    <x v="3"/>
    <x v="54"/>
    <x v="116"/>
    <x v="66"/>
    <x v="0"/>
    <x v="0"/>
    <x v="0"/>
    <x v="1"/>
    <x v="1"/>
  </r>
  <r>
    <x v="0"/>
    <x v="270"/>
    <x v="16"/>
    <x v="10"/>
    <x v="69"/>
    <x v="0"/>
    <x v="22"/>
    <x v="26"/>
    <x v="43"/>
    <x v="24"/>
    <x v="11"/>
    <x v="52"/>
    <x v="67"/>
    <x v="0"/>
    <x v="0"/>
    <x v="0"/>
    <x v="1"/>
    <x v="2"/>
  </r>
  <r>
    <x v="0"/>
    <x v="271"/>
    <x v="96"/>
    <x v="10"/>
    <x v="46"/>
    <x v="1"/>
    <x v="10"/>
    <x v="93"/>
    <x v="79"/>
    <x v="86"/>
    <x v="8"/>
    <x v="42"/>
    <x v="69"/>
    <x v="0"/>
    <x v="0"/>
    <x v="0"/>
    <x v="1"/>
    <x v="2"/>
  </r>
  <r>
    <x v="0"/>
    <x v="595"/>
    <x v="59"/>
    <x v="10"/>
    <x v="70"/>
    <x v="8"/>
    <x v="10"/>
    <x v="131"/>
    <x v="9"/>
    <x v="134"/>
    <x v="63"/>
    <x v="30"/>
    <x v="77"/>
    <x v="0"/>
    <x v="0"/>
    <x v="0"/>
    <x v="1"/>
    <x v="1"/>
  </r>
  <r>
    <x v="5"/>
    <x v="272"/>
    <x v="23"/>
    <x v="10"/>
    <x v="16"/>
    <x v="0"/>
    <x v="17"/>
    <x v="4"/>
    <x v="46"/>
    <x v="2"/>
    <x v="24"/>
    <x v="92"/>
    <x v="78"/>
    <x v="0"/>
    <x v="0"/>
    <x v="0"/>
    <x v="1"/>
    <x v="1"/>
  </r>
  <r>
    <x v="0"/>
    <x v="273"/>
    <x v="94"/>
    <x v="10"/>
    <x v="26"/>
    <x v="0"/>
    <x v="10"/>
    <x v="9"/>
    <x v="37"/>
    <x v="7"/>
    <x v="6"/>
    <x v="36"/>
    <x v="79"/>
    <x v="0"/>
    <x v="0"/>
    <x v="0"/>
    <x v="1"/>
    <x v="1"/>
  </r>
  <r>
    <x v="5"/>
    <x v="274"/>
    <x v="67"/>
    <x v="10"/>
    <x v="9"/>
    <x v="1"/>
    <x v="17"/>
    <x v="10"/>
    <x v="14"/>
    <x v="23"/>
    <x v="7"/>
    <x v="38"/>
    <x v="80"/>
    <x v="0"/>
    <x v="0"/>
    <x v="0"/>
    <x v="1"/>
    <x v="1"/>
  </r>
  <r>
    <x v="0"/>
    <x v="275"/>
    <x v="30"/>
    <x v="10"/>
    <x v="27"/>
    <x v="2"/>
    <x v="4"/>
    <x v="31"/>
    <x v="101"/>
    <x v="26"/>
    <x v="31"/>
    <x v="113"/>
    <x v="82"/>
    <x v="0"/>
    <x v="0"/>
    <x v="0"/>
    <x v="1"/>
    <x v="2"/>
  </r>
  <r>
    <x v="0"/>
    <x v="276"/>
    <x v="28"/>
    <x v="10"/>
    <x v="37"/>
    <x v="1"/>
    <x v="13"/>
    <x v="40"/>
    <x v="78"/>
    <x v="39"/>
    <x v="82"/>
    <x v="182"/>
    <x v="85"/>
    <x v="0"/>
    <x v="0"/>
    <x v="0"/>
    <x v="1"/>
    <x v="2"/>
  </r>
  <r>
    <x v="0"/>
    <x v="277"/>
    <x v="55"/>
    <x v="10"/>
    <x v="2"/>
    <x v="1"/>
    <x v="22"/>
    <x v="43"/>
    <x v="124"/>
    <x v="43"/>
    <x v="18"/>
    <x v="60"/>
    <x v="87"/>
    <x v="0"/>
    <x v="0"/>
    <x v="0"/>
    <x v="1"/>
    <x v="2"/>
  </r>
  <r>
    <x v="0"/>
    <x v="278"/>
    <x v="65"/>
    <x v="10"/>
    <x v="83"/>
    <x v="1"/>
    <x v="13"/>
    <x v="23"/>
    <x v="133"/>
    <x v="20"/>
    <x v="49"/>
    <x v="148"/>
    <x v="89"/>
    <x v="0"/>
    <x v="0"/>
    <x v="0"/>
    <x v="1"/>
    <x v="2"/>
  </r>
  <r>
    <x v="5"/>
    <x v="279"/>
    <x v="95"/>
    <x v="10"/>
    <x v="33"/>
    <x v="9"/>
    <x v="17"/>
    <x v="124"/>
    <x v="23"/>
    <x v="119"/>
    <x v="29"/>
    <x v="110"/>
    <x v="90"/>
    <x v="0"/>
    <x v="0"/>
    <x v="0"/>
    <x v="1"/>
    <x v="1"/>
  </r>
  <r>
    <x v="0"/>
    <x v="280"/>
    <x v="21"/>
    <x v="10"/>
    <x v="11"/>
    <x v="0"/>
    <x v="10"/>
    <x v="55"/>
    <x v="117"/>
    <x v="54"/>
    <x v="85"/>
    <x v="191"/>
    <x v="92"/>
    <x v="0"/>
    <x v="0"/>
    <x v="0"/>
    <x v="1"/>
    <x v="2"/>
  </r>
  <r>
    <x v="0"/>
    <x v="281"/>
    <x v="52"/>
    <x v="10"/>
    <x v="55"/>
    <x v="17"/>
    <x v="22"/>
    <x v="33"/>
    <x v="119"/>
    <x v="37"/>
    <x v="1"/>
    <x v="11"/>
    <x v="33"/>
    <x v="0"/>
    <x v="0"/>
    <x v="0"/>
    <x v="1"/>
    <x v="1"/>
  </r>
  <r>
    <x v="0"/>
    <x v="282"/>
    <x v="84"/>
    <x v="10"/>
    <x v="72"/>
    <x v="0"/>
    <x v="22"/>
    <x v="113"/>
    <x v="88"/>
    <x v="113"/>
    <x v="17"/>
    <x v="59"/>
    <x v="36"/>
    <x v="0"/>
    <x v="0"/>
    <x v="0"/>
    <x v="1"/>
    <x v="1"/>
  </r>
  <r>
    <x v="0"/>
    <x v="283"/>
    <x v="39"/>
    <x v="10"/>
    <x v="57"/>
    <x v="3"/>
    <x v="22"/>
    <x v="14"/>
    <x v="120"/>
    <x v="15"/>
    <x v="65"/>
    <x v="100"/>
    <x v="96"/>
    <x v="0"/>
    <x v="0"/>
    <x v="0"/>
    <x v="1"/>
    <x v="0"/>
  </r>
  <r>
    <x v="5"/>
    <x v="631"/>
    <x v="97"/>
    <x v="12"/>
    <x v="97"/>
    <x v="30"/>
    <x v="23"/>
    <x v="145"/>
    <x v="145"/>
    <x v="143"/>
    <x v="97"/>
    <x v="204"/>
    <x v="96"/>
    <x v="10"/>
    <x v="0"/>
    <x v="0"/>
    <x v="1"/>
    <x v="3"/>
  </r>
  <r>
    <x v="5"/>
    <x v="284"/>
    <x v="7"/>
    <x v="12"/>
    <x v="14"/>
    <x v="0"/>
    <x v="17"/>
    <x v="144"/>
    <x v="15"/>
    <x v="131"/>
    <x v="33"/>
    <x v="114"/>
    <x v="81"/>
    <x v="0"/>
    <x v="0"/>
    <x v="0"/>
    <x v="1"/>
    <x v="1"/>
  </r>
  <r>
    <x v="5"/>
    <x v="285"/>
    <x v="82"/>
    <x v="12"/>
    <x v="74"/>
    <x v="9"/>
    <x v="2"/>
    <x v="127"/>
    <x v="85"/>
    <x v="123"/>
    <x v="5"/>
    <x v="34"/>
    <x v="2"/>
    <x v="7"/>
    <x v="0"/>
    <x v="0"/>
    <x v="1"/>
    <x v="2"/>
  </r>
  <r>
    <x v="0"/>
    <x v="597"/>
    <x v="5"/>
    <x v="12"/>
    <x v="19"/>
    <x v="1"/>
    <x v="18"/>
    <x v="84"/>
    <x v="94"/>
    <x v="71"/>
    <x v="27"/>
    <x v="107"/>
    <x v="10"/>
    <x v="0"/>
    <x v="0"/>
    <x v="0"/>
    <x v="1"/>
    <x v="1"/>
  </r>
  <r>
    <x v="5"/>
    <x v="286"/>
    <x v="15"/>
    <x v="12"/>
    <x v="51"/>
    <x v="3"/>
    <x v="17"/>
    <x v="19"/>
    <x v="55"/>
    <x v="44"/>
    <x v="44"/>
    <x v="142"/>
    <x v="25"/>
    <x v="0"/>
    <x v="0"/>
    <x v="0"/>
    <x v="1"/>
    <x v="1"/>
  </r>
  <r>
    <x v="0"/>
    <x v="287"/>
    <x v="92"/>
    <x v="12"/>
    <x v="39"/>
    <x v="0"/>
    <x v="10"/>
    <x v="65"/>
    <x v="134"/>
    <x v="66"/>
    <x v="86"/>
    <x v="189"/>
    <x v="39"/>
    <x v="0"/>
    <x v="0"/>
    <x v="0"/>
    <x v="1"/>
    <x v="2"/>
  </r>
  <r>
    <x v="0"/>
    <x v="288"/>
    <x v="19"/>
    <x v="12"/>
    <x v="24"/>
    <x v="0"/>
    <x v="22"/>
    <x v="96"/>
    <x v="125"/>
    <x v="97"/>
    <x v="46"/>
    <x v="146"/>
    <x v="75"/>
    <x v="0"/>
    <x v="0"/>
    <x v="0"/>
    <x v="1"/>
    <x v="1"/>
  </r>
  <r>
    <x v="0"/>
    <x v="289"/>
    <x v="71"/>
    <x v="12"/>
    <x v="25"/>
    <x v="1"/>
    <x v="11"/>
    <x v="56"/>
    <x v="114"/>
    <x v="55"/>
    <x v="91"/>
    <x v="195"/>
    <x v="1"/>
    <x v="0"/>
    <x v="0"/>
    <x v="0"/>
    <x v="1"/>
    <x v="2"/>
  </r>
  <r>
    <x v="0"/>
    <x v="290"/>
    <x v="1"/>
    <x v="12"/>
    <x v="30"/>
    <x v="1"/>
    <x v="22"/>
    <x v="92"/>
    <x v="112"/>
    <x v="85"/>
    <x v="66"/>
    <x v="139"/>
    <x v="4"/>
    <x v="0"/>
    <x v="0"/>
    <x v="0"/>
    <x v="1"/>
    <x v="2"/>
  </r>
  <r>
    <x v="5"/>
    <x v="291"/>
    <x v="81"/>
    <x v="12"/>
    <x v="56"/>
    <x v="1"/>
    <x v="22"/>
    <x v="112"/>
    <x v="77"/>
    <x v="112"/>
    <x v="60"/>
    <x v="168"/>
    <x v="8"/>
    <x v="0"/>
    <x v="0"/>
    <x v="0"/>
    <x v="1"/>
    <x v="2"/>
  </r>
  <r>
    <x v="5"/>
    <x v="292"/>
    <x v="89"/>
    <x v="12"/>
    <x v="66"/>
    <x v="5"/>
    <x v="17"/>
    <x v="38"/>
    <x v="99"/>
    <x v="36"/>
    <x v="34"/>
    <x v="128"/>
    <x v="11"/>
    <x v="0"/>
    <x v="0"/>
    <x v="0"/>
    <x v="1"/>
    <x v="1"/>
  </r>
  <r>
    <x v="0"/>
    <x v="293"/>
    <x v="91"/>
    <x v="12"/>
    <x v="86"/>
    <x v="0"/>
    <x v="20"/>
    <x v="46"/>
    <x v="57"/>
    <x v="45"/>
    <x v="96"/>
    <x v="14"/>
    <x v="12"/>
    <x v="0"/>
    <x v="0"/>
    <x v="0"/>
    <x v="1"/>
    <x v="2"/>
  </r>
  <r>
    <x v="0"/>
    <x v="294"/>
    <x v="41"/>
    <x v="12"/>
    <x v="22"/>
    <x v="0"/>
    <x v="22"/>
    <x v="29"/>
    <x v="142"/>
    <x v="1"/>
    <x v="77"/>
    <x v="16"/>
    <x v="16"/>
    <x v="0"/>
    <x v="0"/>
    <x v="0"/>
    <x v="1"/>
    <x v="1"/>
  </r>
  <r>
    <x v="0"/>
    <x v="295"/>
    <x v="51"/>
    <x v="12"/>
    <x v="15"/>
    <x v="0"/>
    <x v="22"/>
    <x v="97"/>
    <x v="115"/>
    <x v="89"/>
    <x v="21"/>
    <x v="74"/>
    <x v="20"/>
    <x v="0"/>
    <x v="0"/>
    <x v="0"/>
    <x v="1"/>
    <x v="1"/>
  </r>
  <r>
    <x v="3"/>
    <x v="598"/>
    <x v="93"/>
    <x v="12"/>
    <x v="77"/>
    <x v="8"/>
    <x v="17"/>
    <x v="76"/>
    <x v="70"/>
    <x v="77"/>
    <x v="32"/>
    <x v="83"/>
    <x v="27"/>
    <x v="0"/>
    <x v="0"/>
    <x v="0"/>
    <x v="1"/>
    <x v="1"/>
  </r>
  <r>
    <x v="5"/>
    <x v="599"/>
    <x v="46"/>
    <x v="12"/>
    <x v="76"/>
    <x v="15"/>
    <x v="16"/>
    <x v="21"/>
    <x v="106"/>
    <x v="33"/>
    <x v="52"/>
    <x v="161"/>
    <x v="29"/>
    <x v="0"/>
    <x v="0"/>
    <x v="0"/>
    <x v="1"/>
    <x v="2"/>
  </r>
  <r>
    <x v="0"/>
    <x v="296"/>
    <x v="69"/>
    <x v="12"/>
    <x v="6"/>
    <x v="1"/>
    <x v="22"/>
    <x v="49"/>
    <x v="22"/>
    <x v="57"/>
    <x v="3"/>
    <x v="201"/>
    <x v="30"/>
    <x v="0"/>
    <x v="0"/>
    <x v="0"/>
    <x v="1"/>
    <x v="1"/>
  </r>
  <r>
    <x v="5"/>
    <x v="297"/>
    <x v="57"/>
    <x v="12"/>
    <x v="79"/>
    <x v="1"/>
    <x v="22"/>
    <x v="81"/>
    <x v="54"/>
    <x v="76"/>
    <x v="61"/>
    <x v="41"/>
    <x v="35"/>
    <x v="0"/>
    <x v="0"/>
    <x v="0"/>
    <x v="1"/>
    <x v="2"/>
  </r>
  <r>
    <x v="5"/>
    <x v="298"/>
    <x v="74"/>
    <x v="12"/>
    <x v="85"/>
    <x v="0"/>
    <x v="17"/>
    <x v="16"/>
    <x v="56"/>
    <x v="14"/>
    <x v="93"/>
    <x v="202"/>
    <x v="38"/>
    <x v="0"/>
    <x v="0"/>
    <x v="0"/>
    <x v="1"/>
    <x v="1"/>
  </r>
  <r>
    <x v="0"/>
    <x v="299"/>
    <x v="12"/>
    <x v="12"/>
    <x v="5"/>
    <x v="1"/>
    <x v="22"/>
    <x v="94"/>
    <x v="137"/>
    <x v="93"/>
    <x v="22"/>
    <x v="76"/>
    <x v="40"/>
    <x v="0"/>
    <x v="0"/>
    <x v="0"/>
    <x v="1"/>
    <x v="2"/>
  </r>
  <r>
    <x v="5"/>
    <x v="300"/>
    <x v="13"/>
    <x v="12"/>
    <x v="64"/>
    <x v="6"/>
    <x v="22"/>
    <x v="6"/>
    <x v="82"/>
    <x v="10"/>
    <x v="28"/>
    <x v="109"/>
    <x v="48"/>
    <x v="0"/>
    <x v="0"/>
    <x v="0"/>
    <x v="1"/>
    <x v="1"/>
  </r>
  <r>
    <x v="5"/>
    <x v="301"/>
    <x v="34"/>
    <x v="12"/>
    <x v="54"/>
    <x v="0"/>
    <x v="15"/>
    <x v="44"/>
    <x v="107"/>
    <x v="120"/>
    <x v="0"/>
    <x v="140"/>
    <x v="49"/>
    <x v="0"/>
    <x v="0"/>
    <x v="0"/>
    <x v="1"/>
    <x v="1"/>
  </r>
  <r>
    <x v="0"/>
    <x v="302"/>
    <x v="54"/>
    <x v="12"/>
    <x v="44"/>
    <x v="0"/>
    <x v="22"/>
    <x v="128"/>
    <x v="18"/>
    <x v="126"/>
    <x v="89"/>
    <x v="192"/>
    <x v="50"/>
    <x v="0"/>
    <x v="0"/>
    <x v="0"/>
    <x v="1"/>
    <x v="2"/>
  </r>
  <r>
    <x v="0"/>
    <x v="303"/>
    <x v="3"/>
    <x v="12"/>
    <x v="8"/>
    <x v="0"/>
    <x v="10"/>
    <x v="20"/>
    <x v="135"/>
    <x v="18"/>
    <x v="58"/>
    <x v="165"/>
    <x v="53"/>
    <x v="0"/>
    <x v="0"/>
    <x v="0"/>
    <x v="1"/>
    <x v="1"/>
  </r>
  <r>
    <x v="0"/>
    <x v="304"/>
    <x v="43"/>
    <x v="12"/>
    <x v="3"/>
    <x v="0"/>
    <x v="13"/>
    <x v="5"/>
    <x v="123"/>
    <x v="4"/>
    <x v="43"/>
    <x v="141"/>
    <x v="55"/>
    <x v="0"/>
    <x v="0"/>
    <x v="0"/>
    <x v="1"/>
    <x v="2"/>
  </r>
  <r>
    <x v="5"/>
    <x v="305"/>
    <x v="72"/>
    <x v="12"/>
    <x v="47"/>
    <x v="0"/>
    <x v="17"/>
    <x v="11"/>
    <x v="17"/>
    <x v="8"/>
    <x v="50"/>
    <x v="149"/>
    <x v="58"/>
    <x v="0"/>
    <x v="0"/>
    <x v="0"/>
    <x v="1"/>
    <x v="1"/>
  </r>
  <r>
    <x v="0"/>
    <x v="600"/>
    <x v="83"/>
    <x v="12"/>
    <x v="73"/>
    <x v="9"/>
    <x v="7"/>
    <x v="106"/>
    <x v="131"/>
    <x v="102"/>
    <x v="55"/>
    <x v="159"/>
    <x v="60"/>
    <x v="0"/>
    <x v="0"/>
    <x v="0"/>
    <x v="1"/>
    <x v="2"/>
  </r>
  <r>
    <x v="0"/>
    <x v="306"/>
    <x v="60"/>
    <x v="12"/>
    <x v="93"/>
    <x v="0"/>
    <x v="14"/>
    <x v="61"/>
    <x v="139"/>
    <x v="63"/>
    <x v="53"/>
    <x v="152"/>
    <x v="62"/>
    <x v="0"/>
    <x v="0"/>
    <x v="0"/>
    <x v="1"/>
    <x v="2"/>
  </r>
  <r>
    <x v="0"/>
    <x v="601"/>
    <x v="75"/>
    <x v="12"/>
    <x v="71"/>
    <x v="5"/>
    <x v="12"/>
    <x v="28"/>
    <x v="130"/>
    <x v="32"/>
    <x v="94"/>
    <x v="5"/>
    <x v="63"/>
    <x v="0"/>
    <x v="0"/>
    <x v="0"/>
    <x v="1"/>
    <x v="2"/>
  </r>
  <r>
    <x v="5"/>
    <x v="307"/>
    <x v="58"/>
    <x v="12"/>
    <x v="75"/>
    <x v="9"/>
    <x v="13"/>
    <x v="90"/>
    <x v="27"/>
    <x v="83"/>
    <x v="54"/>
    <x v="118"/>
    <x v="66"/>
    <x v="0"/>
    <x v="0"/>
    <x v="0"/>
    <x v="1"/>
    <x v="1"/>
  </r>
  <r>
    <x v="0"/>
    <x v="308"/>
    <x v="40"/>
    <x v="12"/>
    <x v="32"/>
    <x v="3"/>
    <x v="13"/>
    <x v="15"/>
    <x v="83"/>
    <x v="16"/>
    <x v="48"/>
    <x v="147"/>
    <x v="68"/>
    <x v="0"/>
    <x v="0"/>
    <x v="0"/>
    <x v="1"/>
    <x v="2"/>
  </r>
  <r>
    <x v="0"/>
    <x v="309"/>
    <x v="0"/>
    <x v="12"/>
    <x v="91"/>
    <x v="0"/>
    <x v="9"/>
    <x v="7"/>
    <x v="26"/>
    <x v="5"/>
    <x v="81"/>
    <x v="94"/>
    <x v="72"/>
    <x v="0"/>
    <x v="0"/>
    <x v="0"/>
    <x v="1"/>
    <x v="1"/>
  </r>
  <r>
    <x v="4"/>
    <x v="602"/>
    <x v="59"/>
    <x v="12"/>
    <x v="70"/>
    <x v="2"/>
    <x v="10"/>
    <x v="132"/>
    <x v="8"/>
    <x v="135"/>
    <x v="63"/>
    <x v="29"/>
    <x v="77"/>
    <x v="0"/>
    <x v="0"/>
    <x v="0"/>
    <x v="1"/>
    <x v="1"/>
  </r>
  <r>
    <x v="0"/>
    <x v="310"/>
    <x v="94"/>
    <x v="12"/>
    <x v="26"/>
    <x v="0"/>
    <x v="10"/>
    <x v="9"/>
    <x v="37"/>
    <x v="7"/>
    <x v="6"/>
    <x v="24"/>
    <x v="79"/>
    <x v="0"/>
    <x v="0"/>
    <x v="0"/>
    <x v="1"/>
    <x v="1"/>
  </r>
  <r>
    <x v="0"/>
    <x v="311"/>
    <x v="67"/>
    <x v="12"/>
    <x v="9"/>
    <x v="0"/>
    <x v="17"/>
    <x v="10"/>
    <x v="14"/>
    <x v="23"/>
    <x v="7"/>
    <x v="38"/>
    <x v="80"/>
    <x v="0"/>
    <x v="0"/>
    <x v="0"/>
    <x v="1"/>
    <x v="1"/>
  </r>
  <r>
    <x v="0"/>
    <x v="312"/>
    <x v="37"/>
    <x v="12"/>
    <x v="34"/>
    <x v="0"/>
    <x v="22"/>
    <x v="13"/>
    <x v="103"/>
    <x v="12"/>
    <x v="72"/>
    <x v="66"/>
    <x v="84"/>
    <x v="0"/>
    <x v="0"/>
    <x v="0"/>
    <x v="1"/>
    <x v="2"/>
  </r>
  <r>
    <x v="0"/>
    <x v="603"/>
    <x v="55"/>
    <x v="12"/>
    <x v="2"/>
    <x v="6"/>
    <x v="22"/>
    <x v="43"/>
    <x v="124"/>
    <x v="43"/>
    <x v="18"/>
    <x v="62"/>
    <x v="87"/>
    <x v="0"/>
    <x v="0"/>
    <x v="0"/>
    <x v="1"/>
    <x v="2"/>
  </r>
  <r>
    <x v="5"/>
    <x v="313"/>
    <x v="95"/>
    <x v="12"/>
    <x v="33"/>
    <x v="12"/>
    <x v="17"/>
    <x v="124"/>
    <x v="23"/>
    <x v="119"/>
    <x v="29"/>
    <x v="110"/>
    <x v="90"/>
    <x v="0"/>
    <x v="0"/>
    <x v="0"/>
    <x v="1"/>
    <x v="1"/>
  </r>
  <r>
    <x v="0"/>
    <x v="314"/>
    <x v="21"/>
    <x v="12"/>
    <x v="11"/>
    <x v="0"/>
    <x v="10"/>
    <x v="55"/>
    <x v="117"/>
    <x v="54"/>
    <x v="85"/>
    <x v="191"/>
    <x v="92"/>
    <x v="0"/>
    <x v="0"/>
    <x v="0"/>
    <x v="1"/>
    <x v="2"/>
  </r>
  <r>
    <x v="5"/>
    <x v="315"/>
    <x v="88"/>
    <x v="12"/>
    <x v="45"/>
    <x v="4"/>
    <x v="17"/>
    <x v="37"/>
    <x v="60"/>
    <x v="35"/>
    <x v="35"/>
    <x v="115"/>
    <x v="93"/>
    <x v="0"/>
    <x v="0"/>
    <x v="0"/>
    <x v="1"/>
    <x v="1"/>
  </r>
  <r>
    <x v="0"/>
    <x v="316"/>
    <x v="52"/>
    <x v="12"/>
    <x v="55"/>
    <x v="13"/>
    <x v="22"/>
    <x v="33"/>
    <x v="119"/>
    <x v="37"/>
    <x v="1"/>
    <x v="11"/>
    <x v="33"/>
    <x v="0"/>
    <x v="0"/>
    <x v="0"/>
    <x v="1"/>
    <x v="1"/>
  </r>
  <r>
    <x v="0"/>
    <x v="317"/>
    <x v="84"/>
    <x v="12"/>
    <x v="72"/>
    <x v="0"/>
    <x v="22"/>
    <x v="113"/>
    <x v="88"/>
    <x v="113"/>
    <x v="17"/>
    <x v="89"/>
    <x v="36"/>
    <x v="0"/>
    <x v="0"/>
    <x v="0"/>
    <x v="1"/>
    <x v="1"/>
  </r>
  <r>
    <x v="5"/>
    <x v="631"/>
    <x v="97"/>
    <x v="16"/>
    <x v="97"/>
    <x v="32"/>
    <x v="23"/>
    <x v="145"/>
    <x v="145"/>
    <x v="143"/>
    <x v="97"/>
    <x v="204"/>
    <x v="96"/>
    <x v="10"/>
    <x v="0"/>
    <x v="0"/>
    <x v="3"/>
    <x v="3"/>
  </r>
  <r>
    <x v="5"/>
    <x v="318"/>
    <x v="7"/>
    <x v="16"/>
    <x v="14"/>
    <x v="1"/>
    <x v="17"/>
    <x v="144"/>
    <x v="15"/>
    <x v="131"/>
    <x v="33"/>
    <x v="114"/>
    <x v="81"/>
    <x v="2"/>
    <x v="0"/>
    <x v="0"/>
    <x v="3"/>
    <x v="3"/>
  </r>
  <r>
    <x v="5"/>
    <x v="319"/>
    <x v="82"/>
    <x v="16"/>
    <x v="74"/>
    <x v="21"/>
    <x v="2"/>
    <x v="127"/>
    <x v="85"/>
    <x v="123"/>
    <x v="5"/>
    <x v="34"/>
    <x v="2"/>
    <x v="2"/>
    <x v="0"/>
    <x v="0"/>
    <x v="3"/>
    <x v="3"/>
  </r>
  <r>
    <x v="5"/>
    <x v="320"/>
    <x v="5"/>
    <x v="16"/>
    <x v="19"/>
    <x v="5"/>
    <x v="18"/>
    <x v="84"/>
    <x v="94"/>
    <x v="71"/>
    <x v="27"/>
    <x v="107"/>
    <x v="10"/>
    <x v="2"/>
    <x v="0"/>
    <x v="0"/>
    <x v="3"/>
    <x v="3"/>
  </r>
  <r>
    <x v="5"/>
    <x v="321"/>
    <x v="15"/>
    <x v="16"/>
    <x v="51"/>
    <x v="5"/>
    <x v="17"/>
    <x v="19"/>
    <x v="55"/>
    <x v="44"/>
    <x v="44"/>
    <x v="142"/>
    <x v="25"/>
    <x v="2"/>
    <x v="0"/>
    <x v="0"/>
    <x v="3"/>
    <x v="3"/>
  </r>
  <r>
    <x v="5"/>
    <x v="322"/>
    <x v="6"/>
    <x v="16"/>
    <x v="62"/>
    <x v="2"/>
    <x v="17"/>
    <x v="64"/>
    <x v="132"/>
    <x v="64"/>
    <x v="70"/>
    <x v="40"/>
    <x v="31"/>
    <x v="2"/>
    <x v="0"/>
    <x v="0"/>
    <x v="3"/>
    <x v="3"/>
  </r>
  <r>
    <x v="5"/>
    <x v="323"/>
    <x v="53"/>
    <x v="16"/>
    <x v="42"/>
    <x v="0"/>
    <x v="1"/>
    <x v="80"/>
    <x v="36"/>
    <x v="75"/>
    <x v="26"/>
    <x v="108"/>
    <x v="54"/>
    <x v="2"/>
    <x v="0"/>
    <x v="0"/>
    <x v="3"/>
    <x v="3"/>
  </r>
  <r>
    <x v="5"/>
    <x v="324"/>
    <x v="78"/>
    <x v="16"/>
    <x v="41"/>
    <x v="17"/>
    <x v="22"/>
    <x v="103"/>
    <x v="122"/>
    <x v="99"/>
    <x v="16"/>
    <x v="58"/>
    <x v="76"/>
    <x v="2"/>
    <x v="0"/>
    <x v="0"/>
    <x v="3"/>
    <x v="3"/>
  </r>
  <r>
    <x v="5"/>
    <x v="325"/>
    <x v="77"/>
    <x v="16"/>
    <x v="78"/>
    <x v="9"/>
    <x v="21"/>
    <x v="50"/>
    <x v="89"/>
    <x v="50"/>
    <x v="80"/>
    <x v="101"/>
    <x v="0"/>
    <x v="2"/>
    <x v="0"/>
    <x v="0"/>
    <x v="3"/>
    <x v="3"/>
  </r>
  <r>
    <x v="5"/>
    <x v="326"/>
    <x v="71"/>
    <x v="16"/>
    <x v="25"/>
    <x v="0"/>
    <x v="11"/>
    <x v="56"/>
    <x v="114"/>
    <x v="55"/>
    <x v="91"/>
    <x v="195"/>
    <x v="1"/>
    <x v="2"/>
    <x v="0"/>
    <x v="0"/>
    <x v="3"/>
    <x v="3"/>
  </r>
  <r>
    <x v="5"/>
    <x v="327"/>
    <x v="90"/>
    <x v="16"/>
    <x v="87"/>
    <x v="0"/>
    <x v="6"/>
    <x v="87"/>
    <x v="24"/>
    <x v="91"/>
    <x v="23"/>
    <x v="85"/>
    <x v="3"/>
    <x v="2"/>
    <x v="0"/>
    <x v="0"/>
    <x v="3"/>
    <x v="3"/>
  </r>
  <r>
    <x v="5"/>
    <x v="328"/>
    <x v="9"/>
    <x v="16"/>
    <x v="49"/>
    <x v="3"/>
    <x v="10"/>
    <x v="12"/>
    <x v="63"/>
    <x v="17"/>
    <x v="74"/>
    <x v="75"/>
    <x v="6"/>
    <x v="2"/>
    <x v="0"/>
    <x v="0"/>
    <x v="3"/>
    <x v="3"/>
  </r>
  <r>
    <x v="5"/>
    <x v="329"/>
    <x v="81"/>
    <x v="16"/>
    <x v="56"/>
    <x v="6"/>
    <x v="22"/>
    <x v="112"/>
    <x v="77"/>
    <x v="112"/>
    <x v="60"/>
    <x v="168"/>
    <x v="8"/>
    <x v="2"/>
    <x v="0"/>
    <x v="0"/>
    <x v="3"/>
    <x v="3"/>
  </r>
  <r>
    <x v="5"/>
    <x v="330"/>
    <x v="85"/>
    <x v="16"/>
    <x v="29"/>
    <x v="0"/>
    <x v="13"/>
    <x v="140"/>
    <x v="31"/>
    <x v="139"/>
    <x v="88"/>
    <x v="190"/>
    <x v="9"/>
    <x v="2"/>
    <x v="0"/>
    <x v="0"/>
    <x v="3"/>
    <x v="3"/>
  </r>
  <r>
    <x v="5"/>
    <x v="331"/>
    <x v="91"/>
    <x v="16"/>
    <x v="86"/>
    <x v="1"/>
    <x v="20"/>
    <x v="46"/>
    <x v="57"/>
    <x v="45"/>
    <x v="96"/>
    <x v="14"/>
    <x v="12"/>
    <x v="2"/>
    <x v="0"/>
    <x v="0"/>
    <x v="3"/>
    <x v="3"/>
  </r>
  <r>
    <x v="5"/>
    <x v="332"/>
    <x v="87"/>
    <x v="16"/>
    <x v="59"/>
    <x v="1"/>
    <x v="17"/>
    <x v="115"/>
    <x v="32"/>
    <x v="115"/>
    <x v="36"/>
    <x v="130"/>
    <x v="14"/>
    <x v="2"/>
    <x v="0"/>
    <x v="0"/>
    <x v="3"/>
    <x v="3"/>
  </r>
  <r>
    <x v="5"/>
    <x v="333"/>
    <x v="41"/>
    <x v="16"/>
    <x v="22"/>
    <x v="0"/>
    <x v="22"/>
    <x v="29"/>
    <x v="142"/>
    <x v="1"/>
    <x v="77"/>
    <x v="16"/>
    <x v="16"/>
    <x v="2"/>
    <x v="0"/>
    <x v="0"/>
    <x v="3"/>
    <x v="3"/>
  </r>
  <r>
    <x v="5"/>
    <x v="334"/>
    <x v="36"/>
    <x v="16"/>
    <x v="40"/>
    <x v="0"/>
    <x v="22"/>
    <x v="86"/>
    <x v="80"/>
    <x v="82"/>
    <x v="10"/>
    <x v="51"/>
    <x v="17"/>
    <x v="2"/>
    <x v="0"/>
    <x v="0"/>
    <x v="3"/>
    <x v="3"/>
  </r>
  <r>
    <x v="5"/>
    <x v="335"/>
    <x v="25"/>
    <x v="16"/>
    <x v="60"/>
    <x v="0"/>
    <x v="10"/>
    <x v="18"/>
    <x v="25"/>
    <x v="11"/>
    <x v="83"/>
    <x v="143"/>
    <x v="19"/>
    <x v="2"/>
    <x v="0"/>
    <x v="0"/>
    <x v="3"/>
    <x v="3"/>
  </r>
  <r>
    <x v="5"/>
    <x v="336"/>
    <x v="18"/>
    <x v="16"/>
    <x v="7"/>
    <x v="6"/>
    <x v="22"/>
    <x v="34"/>
    <x v="109"/>
    <x v="28"/>
    <x v="56"/>
    <x v="162"/>
    <x v="21"/>
    <x v="2"/>
    <x v="0"/>
    <x v="0"/>
    <x v="3"/>
    <x v="3"/>
  </r>
  <r>
    <x v="5"/>
    <x v="337"/>
    <x v="4"/>
    <x v="16"/>
    <x v="20"/>
    <x v="0"/>
    <x v="22"/>
    <x v="66"/>
    <x v="53"/>
    <x v="67"/>
    <x v="71"/>
    <x v="89"/>
    <x v="22"/>
    <x v="2"/>
    <x v="0"/>
    <x v="0"/>
    <x v="3"/>
    <x v="3"/>
  </r>
  <r>
    <x v="5"/>
    <x v="338"/>
    <x v="76"/>
    <x v="16"/>
    <x v="28"/>
    <x v="0"/>
    <x v="10"/>
    <x v="69"/>
    <x v="129"/>
    <x v="65"/>
    <x v="69"/>
    <x v="22"/>
    <x v="23"/>
    <x v="2"/>
    <x v="0"/>
    <x v="0"/>
    <x v="3"/>
    <x v="3"/>
  </r>
  <r>
    <x v="5"/>
    <x v="339"/>
    <x v="86"/>
    <x v="16"/>
    <x v="67"/>
    <x v="0"/>
    <x v="22"/>
    <x v="68"/>
    <x v="136"/>
    <x v="69"/>
    <x v="15"/>
    <x v="13"/>
    <x v="24"/>
    <x v="2"/>
    <x v="0"/>
    <x v="0"/>
    <x v="3"/>
    <x v="3"/>
  </r>
  <r>
    <x v="5"/>
    <x v="606"/>
    <x v="93"/>
    <x v="16"/>
    <x v="77"/>
    <x v="3"/>
    <x v="17"/>
    <x v="58"/>
    <x v="74"/>
    <x v="58"/>
    <x v="32"/>
    <x v="126"/>
    <x v="27"/>
    <x v="2"/>
    <x v="0"/>
    <x v="0"/>
    <x v="3"/>
    <x v="3"/>
  </r>
  <r>
    <x v="5"/>
    <x v="340"/>
    <x v="46"/>
    <x v="16"/>
    <x v="76"/>
    <x v="9"/>
    <x v="16"/>
    <x v="21"/>
    <x v="106"/>
    <x v="33"/>
    <x v="52"/>
    <x v="178"/>
    <x v="29"/>
    <x v="2"/>
    <x v="0"/>
    <x v="0"/>
    <x v="3"/>
    <x v="3"/>
  </r>
  <r>
    <x v="5"/>
    <x v="341"/>
    <x v="69"/>
    <x v="16"/>
    <x v="6"/>
    <x v="1"/>
    <x v="22"/>
    <x v="49"/>
    <x v="22"/>
    <x v="57"/>
    <x v="3"/>
    <x v="201"/>
    <x v="30"/>
    <x v="2"/>
    <x v="0"/>
    <x v="0"/>
    <x v="3"/>
    <x v="3"/>
  </r>
  <r>
    <x v="5"/>
    <x v="342"/>
    <x v="63"/>
    <x v="16"/>
    <x v="43"/>
    <x v="0"/>
    <x v="17"/>
    <x v="142"/>
    <x v="95"/>
    <x v="141"/>
    <x v="95"/>
    <x v="203"/>
    <x v="32"/>
    <x v="2"/>
    <x v="0"/>
    <x v="0"/>
    <x v="3"/>
    <x v="3"/>
  </r>
  <r>
    <x v="5"/>
    <x v="607"/>
    <x v="57"/>
    <x v="16"/>
    <x v="79"/>
    <x v="1"/>
    <x v="22"/>
    <x v="123"/>
    <x v="97"/>
    <x v="125"/>
    <x v="61"/>
    <x v="184"/>
    <x v="35"/>
    <x v="2"/>
    <x v="0"/>
    <x v="0"/>
    <x v="3"/>
    <x v="3"/>
  </r>
  <r>
    <x v="5"/>
    <x v="343"/>
    <x v="74"/>
    <x v="16"/>
    <x v="85"/>
    <x v="0"/>
    <x v="17"/>
    <x v="16"/>
    <x v="56"/>
    <x v="14"/>
    <x v="93"/>
    <x v="47"/>
    <x v="38"/>
    <x v="2"/>
    <x v="0"/>
    <x v="0"/>
    <x v="3"/>
    <x v="3"/>
  </r>
  <r>
    <x v="5"/>
    <x v="344"/>
    <x v="12"/>
    <x v="16"/>
    <x v="5"/>
    <x v="0"/>
    <x v="22"/>
    <x v="94"/>
    <x v="137"/>
    <x v="93"/>
    <x v="22"/>
    <x v="76"/>
    <x v="40"/>
    <x v="2"/>
    <x v="0"/>
    <x v="0"/>
    <x v="3"/>
    <x v="3"/>
  </r>
  <r>
    <x v="5"/>
    <x v="345"/>
    <x v="44"/>
    <x v="16"/>
    <x v="88"/>
    <x v="0"/>
    <x v="3"/>
    <x v="98"/>
    <x v="110"/>
    <x v="98"/>
    <x v="67"/>
    <x v="179"/>
    <x v="41"/>
    <x v="2"/>
    <x v="0"/>
    <x v="0"/>
    <x v="3"/>
    <x v="3"/>
  </r>
  <r>
    <x v="5"/>
    <x v="346"/>
    <x v="2"/>
    <x v="16"/>
    <x v="35"/>
    <x v="1"/>
    <x v="22"/>
    <x v="75"/>
    <x v="121"/>
    <x v="74"/>
    <x v="22"/>
    <x v="77"/>
    <x v="43"/>
    <x v="2"/>
    <x v="0"/>
    <x v="0"/>
    <x v="3"/>
    <x v="3"/>
  </r>
  <r>
    <x v="5"/>
    <x v="347"/>
    <x v="29"/>
    <x v="16"/>
    <x v="61"/>
    <x v="1"/>
    <x v="13"/>
    <x v="121"/>
    <x v="66"/>
    <x v="121"/>
    <x v="12"/>
    <x v="53"/>
    <x v="44"/>
    <x v="2"/>
    <x v="0"/>
    <x v="0"/>
    <x v="3"/>
    <x v="3"/>
  </r>
  <r>
    <x v="5"/>
    <x v="348"/>
    <x v="20"/>
    <x v="16"/>
    <x v="80"/>
    <x v="2"/>
    <x v="13"/>
    <x v="22"/>
    <x v="93"/>
    <x v="19"/>
    <x v="92"/>
    <x v="198"/>
    <x v="46"/>
    <x v="2"/>
    <x v="0"/>
    <x v="0"/>
    <x v="3"/>
    <x v="3"/>
  </r>
  <r>
    <x v="5"/>
    <x v="349"/>
    <x v="79"/>
    <x v="16"/>
    <x v="94"/>
    <x v="0"/>
    <x v="19"/>
    <x v="41"/>
    <x v="113"/>
    <x v="40"/>
    <x v="79"/>
    <x v="93"/>
    <x v="47"/>
    <x v="2"/>
    <x v="0"/>
    <x v="0"/>
    <x v="3"/>
    <x v="3"/>
  </r>
  <r>
    <x v="5"/>
    <x v="350"/>
    <x v="54"/>
    <x v="16"/>
    <x v="44"/>
    <x v="0"/>
    <x v="22"/>
    <x v="128"/>
    <x v="18"/>
    <x v="126"/>
    <x v="89"/>
    <x v="192"/>
    <x v="50"/>
    <x v="2"/>
    <x v="0"/>
    <x v="0"/>
    <x v="3"/>
    <x v="3"/>
  </r>
  <r>
    <x v="5"/>
    <x v="351"/>
    <x v="3"/>
    <x v="16"/>
    <x v="8"/>
    <x v="0"/>
    <x v="10"/>
    <x v="20"/>
    <x v="135"/>
    <x v="18"/>
    <x v="58"/>
    <x v="165"/>
    <x v="53"/>
    <x v="2"/>
    <x v="0"/>
    <x v="0"/>
    <x v="3"/>
    <x v="3"/>
  </r>
  <r>
    <x v="5"/>
    <x v="352"/>
    <x v="43"/>
    <x v="16"/>
    <x v="3"/>
    <x v="0"/>
    <x v="13"/>
    <x v="5"/>
    <x v="123"/>
    <x v="4"/>
    <x v="43"/>
    <x v="141"/>
    <x v="55"/>
    <x v="2"/>
    <x v="0"/>
    <x v="0"/>
    <x v="3"/>
    <x v="3"/>
  </r>
  <r>
    <x v="5"/>
    <x v="353"/>
    <x v="64"/>
    <x v="16"/>
    <x v="21"/>
    <x v="2"/>
    <x v="10"/>
    <x v="108"/>
    <x v="35"/>
    <x v="107"/>
    <x v="57"/>
    <x v="163"/>
    <x v="56"/>
    <x v="2"/>
    <x v="0"/>
    <x v="0"/>
    <x v="3"/>
    <x v="3"/>
  </r>
  <r>
    <x v="5"/>
    <x v="354"/>
    <x v="72"/>
    <x v="16"/>
    <x v="47"/>
    <x v="3"/>
    <x v="17"/>
    <x v="11"/>
    <x v="17"/>
    <x v="8"/>
    <x v="50"/>
    <x v="149"/>
    <x v="58"/>
    <x v="2"/>
    <x v="0"/>
    <x v="0"/>
    <x v="3"/>
    <x v="3"/>
  </r>
  <r>
    <x v="5"/>
    <x v="355"/>
    <x v="33"/>
    <x v="16"/>
    <x v="31"/>
    <x v="1"/>
    <x v="10"/>
    <x v="143"/>
    <x v="59"/>
    <x v="142"/>
    <x v="78"/>
    <x v="180"/>
    <x v="59"/>
    <x v="2"/>
    <x v="0"/>
    <x v="0"/>
    <x v="3"/>
    <x v="3"/>
  </r>
  <r>
    <x v="5"/>
    <x v="608"/>
    <x v="83"/>
    <x v="16"/>
    <x v="73"/>
    <x v="13"/>
    <x v="7"/>
    <x v="106"/>
    <x v="131"/>
    <x v="102"/>
    <x v="55"/>
    <x v="158"/>
    <x v="60"/>
    <x v="2"/>
    <x v="0"/>
    <x v="0"/>
    <x v="3"/>
    <x v="3"/>
  </r>
  <r>
    <x v="5"/>
    <x v="356"/>
    <x v="80"/>
    <x v="16"/>
    <x v="4"/>
    <x v="0"/>
    <x v="10"/>
    <x v="72"/>
    <x v="118"/>
    <x v="70"/>
    <x v="76"/>
    <x v="73"/>
    <x v="61"/>
    <x v="2"/>
    <x v="0"/>
    <x v="0"/>
    <x v="3"/>
    <x v="3"/>
  </r>
  <r>
    <x v="5"/>
    <x v="357"/>
    <x v="75"/>
    <x v="16"/>
    <x v="71"/>
    <x v="2"/>
    <x v="12"/>
    <x v="28"/>
    <x v="130"/>
    <x v="32"/>
    <x v="94"/>
    <x v="4"/>
    <x v="63"/>
    <x v="2"/>
    <x v="0"/>
    <x v="0"/>
    <x v="3"/>
    <x v="3"/>
  </r>
  <r>
    <x v="5"/>
    <x v="358"/>
    <x v="22"/>
    <x v="16"/>
    <x v="38"/>
    <x v="0"/>
    <x v="22"/>
    <x v="120"/>
    <x v="81"/>
    <x v="116"/>
    <x v="22"/>
    <x v="78"/>
    <x v="65"/>
    <x v="2"/>
    <x v="0"/>
    <x v="0"/>
    <x v="3"/>
    <x v="3"/>
  </r>
  <r>
    <x v="5"/>
    <x v="609"/>
    <x v="58"/>
    <x v="16"/>
    <x v="75"/>
    <x v="4"/>
    <x v="13"/>
    <x v="24"/>
    <x v="29"/>
    <x v="21"/>
    <x v="54"/>
    <x v="119"/>
    <x v="66"/>
    <x v="2"/>
    <x v="0"/>
    <x v="0"/>
    <x v="3"/>
    <x v="3"/>
  </r>
  <r>
    <x v="5"/>
    <x v="359"/>
    <x v="40"/>
    <x v="16"/>
    <x v="32"/>
    <x v="0"/>
    <x v="13"/>
    <x v="15"/>
    <x v="83"/>
    <x v="16"/>
    <x v="48"/>
    <x v="147"/>
    <x v="68"/>
    <x v="2"/>
    <x v="0"/>
    <x v="0"/>
    <x v="3"/>
    <x v="3"/>
  </r>
  <r>
    <x v="5"/>
    <x v="360"/>
    <x v="96"/>
    <x v="16"/>
    <x v="46"/>
    <x v="0"/>
    <x v="10"/>
    <x v="93"/>
    <x v="79"/>
    <x v="86"/>
    <x v="8"/>
    <x v="42"/>
    <x v="69"/>
    <x v="2"/>
    <x v="0"/>
    <x v="0"/>
    <x v="3"/>
    <x v="3"/>
  </r>
  <r>
    <x v="5"/>
    <x v="610"/>
    <x v="38"/>
    <x v="16"/>
    <x v="84"/>
    <x v="2"/>
    <x v="22"/>
    <x v="117"/>
    <x v="50"/>
    <x v="49"/>
    <x v="40"/>
    <x v="138"/>
    <x v="71"/>
    <x v="2"/>
    <x v="0"/>
    <x v="0"/>
    <x v="3"/>
    <x v="3"/>
  </r>
  <r>
    <x v="5"/>
    <x v="361"/>
    <x v="0"/>
    <x v="16"/>
    <x v="91"/>
    <x v="3"/>
    <x v="9"/>
    <x v="7"/>
    <x v="26"/>
    <x v="5"/>
    <x v="81"/>
    <x v="94"/>
    <x v="72"/>
    <x v="2"/>
    <x v="0"/>
    <x v="0"/>
    <x v="3"/>
    <x v="3"/>
  </r>
  <r>
    <x v="5"/>
    <x v="362"/>
    <x v="26"/>
    <x v="16"/>
    <x v="58"/>
    <x v="1"/>
    <x v="13"/>
    <x v="60"/>
    <x v="65"/>
    <x v="61"/>
    <x v="45"/>
    <x v="144"/>
    <x v="74"/>
    <x v="2"/>
    <x v="0"/>
    <x v="0"/>
    <x v="3"/>
    <x v="3"/>
  </r>
  <r>
    <x v="5"/>
    <x v="611"/>
    <x v="59"/>
    <x v="16"/>
    <x v="70"/>
    <x v="6"/>
    <x v="10"/>
    <x v="139"/>
    <x v="5"/>
    <x v="128"/>
    <x v="63"/>
    <x v="1"/>
    <x v="77"/>
    <x v="2"/>
    <x v="0"/>
    <x v="0"/>
    <x v="3"/>
    <x v="3"/>
  </r>
  <r>
    <x v="5"/>
    <x v="363"/>
    <x v="23"/>
    <x v="16"/>
    <x v="16"/>
    <x v="4"/>
    <x v="17"/>
    <x v="4"/>
    <x v="46"/>
    <x v="2"/>
    <x v="24"/>
    <x v="171"/>
    <x v="78"/>
    <x v="2"/>
    <x v="0"/>
    <x v="0"/>
    <x v="3"/>
    <x v="3"/>
  </r>
  <r>
    <x v="5"/>
    <x v="364"/>
    <x v="67"/>
    <x v="16"/>
    <x v="9"/>
    <x v="0"/>
    <x v="17"/>
    <x v="10"/>
    <x v="14"/>
    <x v="23"/>
    <x v="7"/>
    <x v="25"/>
    <x v="80"/>
    <x v="2"/>
    <x v="0"/>
    <x v="0"/>
    <x v="3"/>
    <x v="3"/>
  </r>
  <r>
    <x v="5"/>
    <x v="365"/>
    <x v="30"/>
    <x v="16"/>
    <x v="27"/>
    <x v="1"/>
    <x v="4"/>
    <x v="31"/>
    <x v="101"/>
    <x v="26"/>
    <x v="31"/>
    <x v="171"/>
    <x v="82"/>
    <x v="2"/>
    <x v="0"/>
    <x v="0"/>
    <x v="3"/>
    <x v="3"/>
  </r>
  <r>
    <x v="5"/>
    <x v="366"/>
    <x v="28"/>
    <x v="16"/>
    <x v="37"/>
    <x v="0"/>
    <x v="13"/>
    <x v="40"/>
    <x v="78"/>
    <x v="39"/>
    <x v="82"/>
    <x v="164"/>
    <x v="85"/>
    <x v="2"/>
    <x v="0"/>
    <x v="0"/>
    <x v="3"/>
    <x v="3"/>
  </r>
  <r>
    <x v="5"/>
    <x v="367"/>
    <x v="48"/>
    <x v="15"/>
    <x v="13"/>
    <x v="2"/>
    <x v="10"/>
    <x v="85"/>
    <x v="64"/>
    <x v="81"/>
    <x v="75"/>
    <x v="23"/>
    <x v="86"/>
    <x v="2"/>
    <x v="0"/>
    <x v="0"/>
    <x v="3"/>
    <x v="3"/>
  </r>
  <r>
    <x v="5"/>
    <x v="612"/>
    <x v="55"/>
    <x v="16"/>
    <x v="2"/>
    <x v="7"/>
    <x v="22"/>
    <x v="43"/>
    <x v="124"/>
    <x v="43"/>
    <x v="18"/>
    <x v="61"/>
    <x v="87"/>
    <x v="2"/>
    <x v="0"/>
    <x v="0"/>
    <x v="3"/>
    <x v="3"/>
  </r>
  <r>
    <x v="5"/>
    <x v="368"/>
    <x v="27"/>
    <x v="16"/>
    <x v="65"/>
    <x v="0"/>
    <x v="10"/>
    <x v="39"/>
    <x v="105"/>
    <x v="34"/>
    <x v="9"/>
    <x v="45"/>
    <x v="88"/>
    <x v="2"/>
    <x v="0"/>
    <x v="0"/>
    <x v="3"/>
    <x v="3"/>
  </r>
  <r>
    <x v="5"/>
    <x v="369"/>
    <x v="65"/>
    <x v="16"/>
    <x v="83"/>
    <x v="2"/>
    <x v="13"/>
    <x v="23"/>
    <x v="133"/>
    <x v="20"/>
    <x v="49"/>
    <x v="148"/>
    <x v="89"/>
    <x v="2"/>
    <x v="0"/>
    <x v="0"/>
    <x v="3"/>
    <x v="3"/>
  </r>
  <r>
    <x v="5"/>
    <x v="370"/>
    <x v="95"/>
    <x v="16"/>
    <x v="33"/>
    <x v="0"/>
    <x v="17"/>
    <x v="124"/>
    <x v="23"/>
    <x v="119"/>
    <x v="29"/>
    <x v="110"/>
    <x v="90"/>
    <x v="2"/>
    <x v="0"/>
    <x v="0"/>
    <x v="3"/>
    <x v="3"/>
  </r>
  <r>
    <x v="5"/>
    <x v="371"/>
    <x v="14"/>
    <x v="16"/>
    <x v="50"/>
    <x v="0"/>
    <x v="13"/>
    <x v="137"/>
    <x v="104"/>
    <x v="130"/>
    <x v="4"/>
    <x v="121"/>
    <x v="91"/>
    <x v="2"/>
    <x v="0"/>
    <x v="0"/>
    <x v="3"/>
    <x v="3"/>
  </r>
  <r>
    <x v="5"/>
    <x v="372"/>
    <x v="68"/>
    <x v="16"/>
    <x v="17"/>
    <x v="1"/>
    <x v="22"/>
    <x v="27"/>
    <x v="84"/>
    <x v="31"/>
    <x v="2"/>
    <x v="18"/>
    <x v="94"/>
    <x v="2"/>
    <x v="0"/>
    <x v="0"/>
    <x v="3"/>
    <x v="3"/>
  </r>
  <r>
    <x v="5"/>
    <x v="373"/>
    <x v="50"/>
    <x v="16"/>
    <x v="68"/>
    <x v="0"/>
    <x v="22"/>
    <x v="74"/>
    <x v="98"/>
    <x v="73"/>
    <x v="28"/>
    <x v="109"/>
    <x v="95"/>
    <x v="2"/>
    <x v="0"/>
    <x v="0"/>
    <x v="3"/>
    <x v="3"/>
  </r>
  <r>
    <x v="5"/>
    <x v="374"/>
    <x v="52"/>
    <x v="16"/>
    <x v="55"/>
    <x v="0"/>
    <x v="22"/>
    <x v="33"/>
    <x v="119"/>
    <x v="37"/>
    <x v="1"/>
    <x v="11"/>
    <x v="33"/>
    <x v="2"/>
    <x v="0"/>
    <x v="0"/>
    <x v="3"/>
    <x v="3"/>
  </r>
  <r>
    <x v="5"/>
    <x v="375"/>
    <x v="84"/>
    <x v="16"/>
    <x v="72"/>
    <x v="0"/>
    <x v="22"/>
    <x v="113"/>
    <x v="88"/>
    <x v="113"/>
    <x v="17"/>
    <x v="59"/>
    <x v="36"/>
    <x v="2"/>
    <x v="0"/>
    <x v="0"/>
    <x v="3"/>
    <x v="3"/>
  </r>
  <r>
    <x v="5"/>
    <x v="376"/>
    <x v="39"/>
    <x v="16"/>
    <x v="57"/>
    <x v="1"/>
    <x v="22"/>
    <x v="14"/>
    <x v="120"/>
    <x v="15"/>
    <x v="65"/>
    <x v="100"/>
    <x v="96"/>
    <x v="2"/>
    <x v="0"/>
    <x v="0"/>
    <x v="3"/>
    <x v="3"/>
  </r>
  <r>
    <x v="5"/>
    <x v="631"/>
    <x v="97"/>
    <x v="6"/>
    <x v="97"/>
    <x v="28"/>
    <x v="23"/>
    <x v="145"/>
    <x v="145"/>
    <x v="143"/>
    <x v="97"/>
    <x v="204"/>
    <x v="96"/>
    <x v="10"/>
    <x v="0"/>
    <x v="0"/>
    <x v="3"/>
    <x v="3"/>
  </r>
  <r>
    <x v="5"/>
    <x v="377"/>
    <x v="82"/>
    <x v="6"/>
    <x v="74"/>
    <x v="5"/>
    <x v="2"/>
    <x v="127"/>
    <x v="85"/>
    <x v="123"/>
    <x v="5"/>
    <x v="34"/>
    <x v="2"/>
    <x v="7"/>
    <x v="0"/>
    <x v="0"/>
    <x v="3"/>
    <x v="3"/>
  </r>
  <r>
    <x v="5"/>
    <x v="378"/>
    <x v="5"/>
    <x v="6"/>
    <x v="19"/>
    <x v="0"/>
    <x v="18"/>
    <x v="84"/>
    <x v="94"/>
    <x v="71"/>
    <x v="27"/>
    <x v="181"/>
    <x v="10"/>
    <x v="7"/>
    <x v="0"/>
    <x v="0"/>
    <x v="3"/>
    <x v="3"/>
  </r>
  <r>
    <x v="5"/>
    <x v="379"/>
    <x v="15"/>
    <x v="6"/>
    <x v="51"/>
    <x v="2"/>
    <x v="17"/>
    <x v="19"/>
    <x v="55"/>
    <x v="44"/>
    <x v="44"/>
    <x v="142"/>
    <x v="25"/>
    <x v="7"/>
    <x v="0"/>
    <x v="0"/>
    <x v="3"/>
    <x v="3"/>
  </r>
  <r>
    <x v="5"/>
    <x v="380"/>
    <x v="6"/>
    <x v="6"/>
    <x v="62"/>
    <x v="5"/>
    <x v="17"/>
    <x v="64"/>
    <x v="132"/>
    <x v="64"/>
    <x v="70"/>
    <x v="40"/>
    <x v="31"/>
    <x v="7"/>
    <x v="0"/>
    <x v="0"/>
    <x v="3"/>
    <x v="3"/>
  </r>
  <r>
    <x v="5"/>
    <x v="381"/>
    <x v="53"/>
    <x v="6"/>
    <x v="42"/>
    <x v="0"/>
    <x v="1"/>
    <x v="80"/>
    <x v="36"/>
    <x v="75"/>
    <x v="26"/>
    <x v="108"/>
    <x v="54"/>
    <x v="7"/>
    <x v="0"/>
    <x v="0"/>
    <x v="3"/>
    <x v="3"/>
  </r>
  <r>
    <x v="5"/>
    <x v="382"/>
    <x v="78"/>
    <x v="6"/>
    <x v="41"/>
    <x v="1"/>
    <x v="22"/>
    <x v="103"/>
    <x v="122"/>
    <x v="99"/>
    <x v="16"/>
    <x v="58"/>
    <x v="76"/>
    <x v="7"/>
    <x v="0"/>
    <x v="0"/>
    <x v="3"/>
    <x v="3"/>
  </r>
  <r>
    <x v="5"/>
    <x v="383"/>
    <x v="77"/>
    <x v="6"/>
    <x v="78"/>
    <x v="3"/>
    <x v="21"/>
    <x v="50"/>
    <x v="89"/>
    <x v="50"/>
    <x v="80"/>
    <x v="101"/>
    <x v="0"/>
    <x v="7"/>
    <x v="0"/>
    <x v="0"/>
    <x v="3"/>
    <x v="3"/>
  </r>
  <r>
    <x v="5"/>
    <x v="384"/>
    <x v="90"/>
    <x v="6"/>
    <x v="87"/>
    <x v="0"/>
    <x v="6"/>
    <x v="87"/>
    <x v="24"/>
    <x v="91"/>
    <x v="23"/>
    <x v="85"/>
    <x v="3"/>
    <x v="7"/>
    <x v="0"/>
    <x v="0"/>
    <x v="3"/>
    <x v="3"/>
  </r>
  <r>
    <x v="5"/>
    <x v="385"/>
    <x v="89"/>
    <x v="6"/>
    <x v="66"/>
    <x v="0"/>
    <x v="17"/>
    <x v="38"/>
    <x v="99"/>
    <x v="36"/>
    <x v="34"/>
    <x v="128"/>
    <x v="11"/>
    <x v="7"/>
    <x v="0"/>
    <x v="0"/>
    <x v="3"/>
    <x v="3"/>
  </r>
  <r>
    <x v="5"/>
    <x v="386"/>
    <x v="91"/>
    <x v="6"/>
    <x v="86"/>
    <x v="0"/>
    <x v="20"/>
    <x v="46"/>
    <x v="57"/>
    <x v="45"/>
    <x v="96"/>
    <x v="14"/>
    <x v="12"/>
    <x v="7"/>
    <x v="0"/>
    <x v="0"/>
    <x v="3"/>
    <x v="3"/>
  </r>
  <r>
    <x v="5"/>
    <x v="387"/>
    <x v="87"/>
    <x v="6"/>
    <x v="59"/>
    <x v="1"/>
    <x v="17"/>
    <x v="115"/>
    <x v="32"/>
    <x v="115"/>
    <x v="36"/>
    <x v="130"/>
    <x v="14"/>
    <x v="7"/>
    <x v="0"/>
    <x v="0"/>
    <x v="3"/>
    <x v="3"/>
  </r>
  <r>
    <x v="5"/>
    <x v="388"/>
    <x v="41"/>
    <x v="6"/>
    <x v="22"/>
    <x v="0"/>
    <x v="22"/>
    <x v="29"/>
    <x v="142"/>
    <x v="1"/>
    <x v="77"/>
    <x v="16"/>
    <x v="16"/>
    <x v="7"/>
    <x v="0"/>
    <x v="0"/>
    <x v="3"/>
    <x v="3"/>
  </r>
  <r>
    <x v="5"/>
    <x v="389"/>
    <x v="51"/>
    <x v="6"/>
    <x v="15"/>
    <x v="1"/>
    <x v="22"/>
    <x v="97"/>
    <x v="115"/>
    <x v="89"/>
    <x v="21"/>
    <x v="74"/>
    <x v="20"/>
    <x v="7"/>
    <x v="0"/>
    <x v="0"/>
    <x v="3"/>
    <x v="3"/>
  </r>
  <r>
    <x v="5"/>
    <x v="390"/>
    <x v="4"/>
    <x v="6"/>
    <x v="20"/>
    <x v="2"/>
    <x v="22"/>
    <x v="66"/>
    <x v="53"/>
    <x v="67"/>
    <x v="71"/>
    <x v="89"/>
    <x v="22"/>
    <x v="7"/>
    <x v="0"/>
    <x v="0"/>
    <x v="3"/>
    <x v="3"/>
  </r>
  <r>
    <x v="5"/>
    <x v="391"/>
    <x v="76"/>
    <x v="6"/>
    <x v="28"/>
    <x v="1"/>
    <x v="10"/>
    <x v="69"/>
    <x v="129"/>
    <x v="65"/>
    <x v="69"/>
    <x v="22"/>
    <x v="23"/>
    <x v="7"/>
    <x v="0"/>
    <x v="0"/>
    <x v="3"/>
    <x v="3"/>
  </r>
  <r>
    <x v="5"/>
    <x v="392"/>
    <x v="86"/>
    <x v="6"/>
    <x v="67"/>
    <x v="1"/>
    <x v="22"/>
    <x v="32"/>
    <x v="143"/>
    <x v="27"/>
    <x v="15"/>
    <x v="57"/>
    <x v="24"/>
    <x v="7"/>
    <x v="0"/>
    <x v="0"/>
    <x v="3"/>
    <x v="3"/>
  </r>
  <r>
    <x v="5"/>
    <x v="393"/>
    <x v="93"/>
    <x v="6"/>
    <x v="77"/>
    <x v="0"/>
    <x v="17"/>
    <x v="73"/>
    <x v="62"/>
    <x v="72"/>
    <x v="32"/>
    <x v="130"/>
    <x v="27"/>
    <x v="7"/>
    <x v="0"/>
    <x v="0"/>
    <x v="3"/>
    <x v="3"/>
  </r>
  <r>
    <x v="5"/>
    <x v="394"/>
    <x v="46"/>
    <x v="6"/>
    <x v="76"/>
    <x v="0"/>
    <x v="16"/>
    <x v="21"/>
    <x v="106"/>
    <x v="33"/>
    <x v="52"/>
    <x v="178"/>
    <x v="29"/>
    <x v="7"/>
    <x v="0"/>
    <x v="0"/>
    <x v="3"/>
    <x v="3"/>
  </r>
  <r>
    <x v="5"/>
    <x v="395"/>
    <x v="11"/>
    <x v="6"/>
    <x v="95"/>
    <x v="0"/>
    <x v="22"/>
    <x v="89"/>
    <x v="126"/>
    <x v="111"/>
    <x v="84"/>
    <x v="188"/>
    <x v="34"/>
    <x v="7"/>
    <x v="0"/>
    <x v="0"/>
    <x v="3"/>
    <x v="3"/>
  </r>
  <r>
    <x v="5"/>
    <x v="613"/>
    <x v="57"/>
    <x v="6"/>
    <x v="79"/>
    <x v="3"/>
    <x v="22"/>
    <x v="123"/>
    <x v="97"/>
    <x v="125"/>
    <x v="61"/>
    <x v="185"/>
    <x v="35"/>
    <x v="7"/>
    <x v="0"/>
    <x v="0"/>
    <x v="3"/>
    <x v="3"/>
  </r>
  <r>
    <x v="5"/>
    <x v="396"/>
    <x v="74"/>
    <x v="6"/>
    <x v="85"/>
    <x v="0"/>
    <x v="17"/>
    <x v="16"/>
    <x v="56"/>
    <x v="14"/>
    <x v="93"/>
    <x v="47"/>
    <x v="38"/>
    <x v="7"/>
    <x v="0"/>
    <x v="0"/>
    <x v="3"/>
    <x v="3"/>
  </r>
  <r>
    <x v="5"/>
    <x v="397"/>
    <x v="12"/>
    <x v="6"/>
    <x v="5"/>
    <x v="0"/>
    <x v="22"/>
    <x v="94"/>
    <x v="137"/>
    <x v="93"/>
    <x v="22"/>
    <x v="76"/>
    <x v="40"/>
    <x v="7"/>
    <x v="0"/>
    <x v="0"/>
    <x v="3"/>
    <x v="3"/>
  </r>
  <r>
    <x v="5"/>
    <x v="398"/>
    <x v="31"/>
    <x v="6"/>
    <x v="82"/>
    <x v="0"/>
    <x v="22"/>
    <x v="125"/>
    <x v="87"/>
    <x v="30"/>
    <x v="30"/>
    <x v="112"/>
    <x v="42"/>
    <x v="7"/>
    <x v="0"/>
    <x v="0"/>
    <x v="3"/>
    <x v="3"/>
  </r>
  <r>
    <x v="5"/>
    <x v="399"/>
    <x v="2"/>
    <x v="6"/>
    <x v="35"/>
    <x v="1"/>
    <x v="22"/>
    <x v="75"/>
    <x v="121"/>
    <x v="74"/>
    <x v="22"/>
    <x v="77"/>
    <x v="43"/>
    <x v="7"/>
    <x v="0"/>
    <x v="0"/>
    <x v="3"/>
    <x v="3"/>
  </r>
  <r>
    <x v="5"/>
    <x v="400"/>
    <x v="29"/>
    <x v="6"/>
    <x v="61"/>
    <x v="0"/>
    <x v="13"/>
    <x v="121"/>
    <x v="66"/>
    <x v="121"/>
    <x v="12"/>
    <x v="53"/>
    <x v="44"/>
    <x v="7"/>
    <x v="0"/>
    <x v="0"/>
    <x v="3"/>
    <x v="3"/>
  </r>
  <r>
    <x v="5"/>
    <x v="401"/>
    <x v="24"/>
    <x v="6"/>
    <x v="52"/>
    <x v="0"/>
    <x v="22"/>
    <x v="102"/>
    <x v="58"/>
    <x v="90"/>
    <x v="37"/>
    <x v="131"/>
    <x v="45"/>
    <x v="7"/>
    <x v="0"/>
    <x v="0"/>
    <x v="3"/>
    <x v="3"/>
  </r>
  <r>
    <x v="5"/>
    <x v="402"/>
    <x v="79"/>
    <x v="6"/>
    <x v="94"/>
    <x v="0"/>
    <x v="19"/>
    <x v="41"/>
    <x v="113"/>
    <x v="40"/>
    <x v="79"/>
    <x v="93"/>
    <x v="47"/>
    <x v="7"/>
    <x v="0"/>
    <x v="0"/>
    <x v="3"/>
    <x v="3"/>
  </r>
  <r>
    <x v="5"/>
    <x v="403"/>
    <x v="61"/>
    <x v="6"/>
    <x v="96"/>
    <x v="0"/>
    <x v="22"/>
    <x v="107"/>
    <x v="76"/>
    <x v="106"/>
    <x v="25"/>
    <x v="96"/>
    <x v="51"/>
    <x v="7"/>
    <x v="0"/>
    <x v="0"/>
    <x v="3"/>
    <x v="3"/>
  </r>
  <r>
    <x v="5"/>
    <x v="614"/>
    <x v="56"/>
    <x v="6"/>
    <x v="1"/>
    <x v="0"/>
    <x v="22"/>
    <x v="57"/>
    <x v="108"/>
    <x v="56"/>
    <x v="62"/>
    <x v="169"/>
    <x v="52"/>
    <x v="7"/>
    <x v="0"/>
    <x v="0"/>
    <x v="3"/>
    <x v="3"/>
  </r>
  <r>
    <x v="5"/>
    <x v="404"/>
    <x v="3"/>
    <x v="6"/>
    <x v="8"/>
    <x v="0"/>
    <x v="10"/>
    <x v="20"/>
    <x v="135"/>
    <x v="18"/>
    <x v="58"/>
    <x v="165"/>
    <x v="53"/>
    <x v="7"/>
    <x v="0"/>
    <x v="0"/>
    <x v="3"/>
    <x v="3"/>
  </r>
  <r>
    <x v="5"/>
    <x v="405"/>
    <x v="43"/>
    <x v="6"/>
    <x v="3"/>
    <x v="0"/>
    <x v="13"/>
    <x v="5"/>
    <x v="123"/>
    <x v="4"/>
    <x v="43"/>
    <x v="141"/>
    <x v="55"/>
    <x v="7"/>
    <x v="0"/>
    <x v="0"/>
    <x v="3"/>
    <x v="3"/>
  </r>
  <r>
    <x v="5"/>
    <x v="406"/>
    <x v="64"/>
    <x v="6"/>
    <x v="21"/>
    <x v="0"/>
    <x v="10"/>
    <x v="108"/>
    <x v="35"/>
    <x v="107"/>
    <x v="57"/>
    <x v="163"/>
    <x v="56"/>
    <x v="7"/>
    <x v="0"/>
    <x v="0"/>
    <x v="3"/>
    <x v="3"/>
  </r>
  <r>
    <x v="5"/>
    <x v="615"/>
    <x v="72"/>
    <x v="6"/>
    <x v="47"/>
    <x v="0"/>
    <x v="17"/>
    <x v="11"/>
    <x v="17"/>
    <x v="8"/>
    <x v="50"/>
    <x v="149"/>
    <x v="58"/>
    <x v="7"/>
    <x v="0"/>
    <x v="0"/>
    <x v="3"/>
    <x v="3"/>
  </r>
  <r>
    <x v="5"/>
    <x v="407"/>
    <x v="33"/>
    <x v="6"/>
    <x v="31"/>
    <x v="0"/>
    <x v="10"/>
    <x v="143"/>
    <x v="59"/>
    <x v="142"/>
    <x v="78"/>
    <x v="180"/>
    <x v="59"/>
    <x v="7"/>
    <x v="0"/>
    <x v="0"/>
    <x v="3"/>
    <x v="3"/>
  </r>
  <r>
    <x v="5"/>
    <x v="616"/>
    <x v="83"/>
    <x v="6"/>
    <x v="73"/>
    <x v="2"/>
    <x v="7"/>
    <x v="106"/>
    <x v="131"/>
    <x v="102"/>
    <x v="55"/>
    <x v="156"/>
    <x v="60"/>
    <x v="7"/>
    <x v="0"/>
    <x v="0"/>
    <x v="3"/>
    <x v="3"/>
  </r>
  <r>
    <x v="5"/>
    <x v="408"/>
    <x v="80"/>
    <x v="6"/>
    <x v="4"/>
    <x v="0"/>
    <x v="10"/>
    <x v="72"/>
    <x v="118"/>
    <x v="70"/>
    <x v="76"/>
    <x v="73"/>
    <x v="61"/>
    <x v="7"/>
    <x v="0"/>
    <x v="0"/>
    <x v="3"/>
    <x v="3"/>
  </r>
  <r>
    <x v="5"/>
    <x v="409"/>
    <x v="75"/>
    <x v="6"/>
    <x v="71"/>
    <x v="0"/>
    <x v="12"/>
    <x v="28"/>
    <x v="130"/>
    <x v="32"/>
    <x v="94"/>
    <x v="4"/>
    <x v="63"/>
    <x v="7"/>
    <x v="0"/>
    <x v="0"/>
    <x v="3"/>
    <x v="3"/>
  </r>
  <r>
    <x v="5"/>
    <x v="410"/>
    <x v="22"/>
    <x v="6"/>
    <x v="38"/>
    <x v="0"/>
    <x v="22"/>
    <x v="120"/>
    <x v="81"/>
    <x v="116"/>
    <x v="22"/>
    <x v="78"/>
    <x v="65"/>
    <x v="7"/>
    <x v="0"/>
    <x v="0"/>
    <x v="3"/>
    <x v="3"/>
  </r>
  <r>
    <x v="5"/>
    <x v="411"/>
    <x v="58"/>
    <x v="6"/>
    <x v="75"/>
    <x v="1"/>
    <x v="13"/>
    <x v="90"/>
    <x v="27"/>
    <x v="83"/>
    <x v="54"/>
    <x v="117"/>
    <x v="66"/>
    <x v="7"/>
    <x v="0"/>
    <x v="0"/>
    <x v="3"/>
    <x v="3"/>
  </r>
  <r>
    <x v="5"/>
    <x v="412"/>
    <x v="16"/>
    <x v="6"/>
    <x v="69"/>
    <x v="0"/>
    <x v="22"/>
    <x v="26"/>
    <x v="43"/>
    <x v="24"/>
    <x v="11"/>
    <x v="52"/>
    <x v="67"/>
    <x v="7"/>
    <x v="0"/>
    <x v="0"/>
    <x v="3"/>
    <x v="3"/>
  </r>
  <r>
    <x v="5"/>
    <x v="413"/>
    <x v="38"/>
    <x v="6"/>
    <x v="84"/>
    <x v="0"/>
    <x v="22"/>
    <x v="116"/>
    <x v="49"/>
    <x v="48"/>
    <x v="41"/>
    <x v="136"/>
    <x v="71"/>
    <x v="7"/>
    <x v="0"/>
    <x v="0"/>
    <x v="3"/>
    <x v="3"/>
  </r>
  <r>
    <x v="5"/>
    <x v="414"/>
    <x v="59"/>
    <x v="6"/>
    <x v="70"/>
    <x v="1"/>
    <x v="10"/>
    <x v="2"/>
    <x v="3"/>
    <x v="105"/>
    <x v="63"/>
    <x v="171"/>
    <x v="77"/>
    <x v="7"/>
    <x v="0"/>
    <x v="0"/>
    <x v="3"/>
    <x v="3"/>
  </r>
  <r>
    <x v="5"/>
    <x v="415"/>
    <x v="67"/>
    <x v="6"/>
    <x v="9"/>
    <x v="0"/>
    <x v="17"/>
    <x v="10"/>
    <x v="14"/>
    <x v="23"/>
    <x v="7"/>
    <x v="38"/>
    <x v="80"/>
    <x v="7"/>
    <x v="0"/>
    <x v="0"/>
    <x v="3"/>
    <x v="3"/>
  </r>
  <r>
    <x v="5"/>
    <x v="416"/>
    <x v="37"/>
    <x v="6"/>
    <x v="34"/>
    <x v="0"/>
    <x v="22"/>
    <x v="13"/>
    <x v="103"/>
    <x v="12"/>
    <x v="72"/>
    <x v="69"/>
    <x v="84"/>
    <x v="7"/>
    <x v="0"/>
    <x v="0"/>
    <x v="3"/>
    <x v="3"/>
  </r>
  <r>
    <x v="5"/>
    <x v="417"/>
    <x v="48"/>
    <x v="6"/>
    <x v="13"/>
    <x v="0"/>
    <x v="10"/>
    <x v="85"/>
    <x v="64"/>
    <x v="81"/>
    <x v="75"/>
    <x v="23"/>
    <x v="86"/>
    <x v="7"/>
    <x v="0"/>
    <x v="0"/>
    <x v="3"/>
    <x v="3"/>
  </r>
  <r>
    <x v="5"/>
    <x v="618"/>
    <x v="55"/>
    <x v="6"/>
    <x v="2"/>
    <x v="5"/>
    <x v="22"/>
    <x v="43"/>
    <x v="124"/>
    <x v="43"/>
    <x v="18"/>
    <x v="63"/>
    <x v="87"/>
    <x v="7"/>
    <x v="0"/>
    <x v="0"/>
    <x v="3"/>
    <x v="3"/>
  </r>
  <r>
    <x v="5"/>
    <x v="418"/>
    <x v="14"/>
    <x v="6"/>
    <x v="50"/>
    <x v="0"/>
    <x v="13"/>
    <x v="137"/>
    <x v="104"/>
    <x v="130"/>
    <x v="4"/>
    <x v="121"/>
    <x v="91"/>
    <x v="7"/>
    <x v="0"/>
    <x v="0"/>
    <x v="3"/>
    <x v="3"/>
  </r>
  <r>
    <x v="5"/>
    <x v="419"/>
    <x v="21"/>
    <x v="6"/>
    <x v="11"/>
    <x v="0"/>
    <x v="10"/>
    <x v="55"/>
    <x v="117"/>
    <x v="54"/>
    <x v="85"/>
    <x v="191"/>
    <x v="92"/>
    <x v="7"/>
    <x v="0"/>
    <x v="0"/>
    <x v="3"/>
    <x v="3"/>
  </r>
  <r>
    <x v="5"/>
    <x v="420"/>
    <x v="68"/>
    <x v="6"/>
    <x v="17"/>
    <x v="0"/>
    <x v="22"/>
    <x v="27"/>
    <x v="84"/>
    <x v="31"/>
    <x v="2"/>
    <x v="18"/>
    <x v="94"/>
    <x v="7"/>
    <x v="0"/>
    <x v="0"/>
    <x v="3"/>
    <x v="3"/>
  </r>
  <r>
    <x v="5"/>
    <x v="421"/>
    <x v="39"/>
    <x v="6"/>
    <x v="57"/>
    <x v="1"/>
    <x v="22"/>
    <x v="14"/>
    <x v="120"/>
    <x v="15"/>
    <x v="65"/>
    <x v="100"/>
    <x v="96"/>
    <x v="7"/>
    <x v="0"/>
    <x v="0"/>
    <x v="3"/>
    <x v="3"/>
  </r>
  <r>
    <x v="5"/>
    <x v="631"/>
    <x v="97"/>
    <x v="7"/>
    <x v="97"/>
    <x v="24"/>
    <x v="23"/>
    <x v="145"/>
    <x v="145"/>
    <x v="143"/>
    <x v="97"/>
    <x v="204"/>
    <x v="96"/>
    <x v="10"/>
    <x v="0"/>
    <x v="0"/>
    <x v="3"/>
    <x v="3"/>
  </r>
  <r>
    <x v="5"/>
    <x v="422"/>
    <x v="15"/>
    <x v="7"/>
    <x v="51"/>
    <x v="1"/>
    <x v="17"/>
    <x v="19"/>
    <x v="55"/>
    <x v="44"/>
    <x v="44"/>
    <x v="142"/>
    <x v="25"/>
    <x v="3"/>
    <x v="0"/>
    <x v="0"/>
    <x v="3"/>
    <x v="3"/>
  </r>
  <r>
    <x v="5"/>
    <x v="423"/>
    <x v="53"/>
    <x v="7"/>
    <x v="42"/>
    <x v="0"/>
    <x v="1"/>
    <x v="80"/>
    <x v="36"/>
    <x v="75"/>
    <x v="26"/>
    <x v="108"/>
    <x v="54"/>
    <x v="3"/>
    <x v="0"/>
    <x v="0"/>
    <x v="3"/>
    <x v="3"/>
  </r>
  <r>
    <x v="5"/>
    <x v="424"/>
    <x v="78"/>
    <x v="7"/>
    <x v="41"/>
    <x v="7"/>
    <x v="22"/>
    <x v="103"/>
    <x v="122"/>
    <x v="99"/>
    <x v="16"/>
    <x v="58"/>
    <x v="76"/>
    <x v="3"/>
    <x v="0"/>
    <x v="0"/>
    <x v="3"/>
    <x v="3"/>
  </r>
  <r>
    <x v="5"/>
    <x v="425"/>
    <x v="85"/>
    <x v="7"/>
    <x v="29"/>
    <x v="0"/>
    <x v="13"/>
    <x v="140"/>
    <x v="31"/>
    <x v="139"/>
    <x v="88"/>
    <x v="190"/>
    <x v="9"/>
    <x v="3"/>
    <x v="0"/>
    <x v="0"/>
    <x v="3"/>
    <x v="3"/>
  </r>
  <r>
    <x v="5"/>
    <x v="426"/>
    <x v="91"/>
    <x v="7"/>
    <x v="86"/>
    <x v="0"/>
    <x v="20"/>
    <x v="46"/>
    <x v="57"/>
    <x v="45"/>
    <x v="96"/>
    <x v="14"/>
    <x v="12"/>
    <x v="3"/>
    <x v="0"/>
    <x v="0"/>
    <x v="3"/>
    <x v="3"/>
  </r>
  <r>
    <x v="5"/>
    <x v="427"/>
    <x v="87"/>
    <x v="7"/>
    <x v="59"/>
    <x v="0"/>
    <x v="17"/>
    <x v="115"/>
    <x v="32"/>
    <x v="115"/>
    <x v="36"/>
    <x v="130"/>
    <x v="14"/>
    <x v="3"/>
    <x v="0"/>
    <x v="0"/>
    <x v="3"/>
    <x v="3"/>
  </r>
  <r>
    <x v="5"/>
    <x v="428"/>
    <x v="41"/>
    <x v="7"/>
    <x v="22"/>
    <x v="0"/>
    <x v="22"/>
    <x v="29"/>
    <x v="142"/>
    <x v="1"/>
    <x v="77"/>
    <x v="16"/>
    <x v="16"/>
    <x v="3"/>
    <x v="0"/>
    <x v="0"/>
    <x v="3"/>
    <x v="3"/>
  </r>
  <r>
    <x v="5"/>
    <x v="429"/>
    <x v="36"/>
    <x v="7"/>
    <x v="40"/>
    <x v="0"/>
    <x v="22"/>
    <x v="86"/>
    <x v="80"/>
    <x v="82"/>
    <x v="10"/>
    <x v="51"/>
    <x v="17"/>
    <x v="3"/>
    <x v="0"/>
    <x v="0"/>
    <x v="3"/>
    <x v="3"/>
  </r>
  <r>
    <x v="5"/>
    <x v="430"/>
    <x v="51"/>
    <x v="7"/>
    <x v="15"/>
    <x v="0"/>
    <x v="22"/>
    <x v="97"/>
    <x v="115"/>
    <x v="89"/>
    <x v="21"/>
    <x v="74"/>
    <x v="20"/>
    <x v="3"/>
    <x v="0"/>
    <x v="0"/>
    <x v="3"/>
    <x v="3"/>
  </r>
  <r>
    <x v="5"/>
    <x v="431"/>
    <x v="4"/>
    <x v="7"/>
    <x v="20"/>
    <x v="0"/>
    <x v="22"/>
    <x v="66"/>
    <x v="53"/>
    <x v="67"/>
    <x v="71"/>
    <x v="89"/>
    <x v="22"/>
    <x v="3"/>
    <x v="0"/>
    <x v="0"/>
    <x v="3"/>
    <x v="3"/>
  </r>
  <r>
    <x v="5"/>
    <x v="432"/>
    <x v="76"/>
    <x v="7"/>
    <x v="28"/>
    <x v="0"/>
    <x v="10"/>
    <x v="69"/>
    <x v="129"/>
    <x v="65"/>
    <x v="69"/>
    <x v="22"/>
    <x v="23"/>
    <x v="3"/>
    <x v="0"/>
    <x v="0"/>
    <x v="3"/>
    <x v="3"/>
  </r>
  <r>
    <x v="5"/>
    <x v="433"/>
    <x v="86"/>
    <x v="7"/>
    <x v="67"/>
    <x v="1"/>
    <x v="22"/>
    <x v="32"/>
    <x v="143"/>
    <x v="27"/>
    <x v="15"/>
    <x v="57"/>
    <x v="24"/>
    <x v="3"/>
    <x v="0"/>
    <x v="0"/>
    <x v="3"/>
    <x v="3"/>
  </r>
  <r>
    <x v="5"/>
    <x v="434"/>
    <x v="62"/>
    <x v="7"/>
    <x v="92"/>
    <x v="0"/>
    <x v="13"/>
    <x v="35"/>
    <x v="40"/>
    <x v="38"/>
    <x v="64"/>
    <x v="199"/>
    <x v="26"/>
    <x v="3"/>
    <x v="0"/>
    <x v="0"/>
    <x v="3"/>
    <x v="3"/>
  </r>
  <r>
    <x v="5"/>
    <x v="435"/>
    <x v="93"/>
    <x v="7"/>
    <x v="77"/>
    <x v="0"/>
    <x v="17"/>
    <x v="99"/>
    <x v="144"/>
    <x v="96"/>
    <x v="32"/>
    <x v="48"/>
    <x v="27"/>
    <x v="3"/>
    <x v="0"/>
    <x v="0"/>
    <x v="3"/>
    <x v="3"/>
  </r>
  <r>
    <x v="5"/>
    <x v="436"/>
    <x v="46"/>
    <x v="7"/>
    <x v="76"/>
    <x v="0"/>
    <x v="16"/>
    <x v="21"/>
    <x v="106"/>
    <x v="33"/>
    <x v="52"/>
    <x v="178"/>
    <x v="29"/>
    <x v="3"/>
    <x v="0"/>
    <x v="0"/>
    <x v="3"/>
    <x v="3"/>
  </r>
  <r>
    <x v="5"/>
    <x v="437"/>
    <x v="63"/>
    <x v="7"/>
    <x v="43"/>
    <x v="0"/>
    <x v="17"/>
    <x v="142"/>
    <x v="95"/>
    <x v="141"/>
    <x v="95"/>
    <x v="203"/>
    <x v="32"/>
    <x v="3"/>
    <x v="0"/>
    <x v="0"/>
    <x v="3"/>
    <x v="3"/>
  </r>
  <r>
    <x v="5"/>
    <x v="438"/>
    <x v="11"/>
    <x v="7"/>
    <x v="95"/>
    <x v="0"/>
    <x v="22"/>
    <x v="89"/>
    <x v="126"/>
    <x v="111"/>
    <x v="84"/>
    <x v="188"/>
    <x v="34"/>
    <x v="3"/>
    <x v="0"/>
    <x v="0"/>
    <x v="3"/>
    <x v="3"/>
  </r>
  <r>
    <x v="5"/>
    <x v="439"/>
    <x v="57"/>
    <x v="7"/>
    <x v="79"/>
    <x v="1"/>
    <x v="22"/>
    <x v="122"/>
    <x v="96"/>
    <x v="124"/>
    <x v="61"/>
    <x v="183"/>
    <x v="35"/>
    <x v="3"/>
    <x v="0"/>
    <x v="0"/>
    <x v="3"/>
    <x v="3"/>
  </r>
  <r>
    <x v="5"/>
    <x v="440"/>
    <x v="12"/>
    <x v="7"/>
    <x v="5"/>
    <x v="0"/>
    <x v="22"/>
    <x v="94"/>
    <x v="137"/>
    <x v="93"/>
    <x v="22"/>
    <x v="76"/>
    <x v="40"/>
    <x v="3"/>
    <x v="0"/>
    <x v="0"/>
    <x v="3"/>
    <x v="3"/>
  </r>
  <r>
    <x v="5"/>
    <x v="441"/>
    <x v="2"/>
    <x v="7"/>
    <x v="35"/>
    <x v="0"/>
    <x v="22"/>
    <x v="75"/>
    <x v="121"/>
    <x v="74"/>
    <x v="22"/>
    <x v="77"/>
    <x v="43"/>
    <x v="3"/>
    <x v="0"/>
    <x v="0"/>
    <x v="3"/>
    <x v="3"/>
  </r>
  <r>
    <x v="5"/>
    <x v="442"/>
    <x v="24"/>
    <x v="7"/>
    <x v="52"/>
    <x v="0"/>
    <x v="22"/>
    <x v="102"/>
    <x v="58"/>
    <x v="90"/>
    <x v="37"/>
    <x v="131"/>
    <x v="45"/>
    <x v="3"/>
    <x v="0"/>
    <x v="0"/>
    <x v="3"/>
    <x v="3"/>
  </r>
  <r>
    <x v="5"/>
    <x v="443"/>
    <x v="61"/>
    <x v="7"/>
    <x v="96"/>
    <x v="1"/>
    <x v="22"/>
    <x v="107"/>
    <x v="76"/>
    <x v="106"/>
    <x v="25"/>
    <x v="96"/>
    <x v="51"/>
    <x v="3"/>
    <x v="0"/>
    <x v="0"/>
    <x v="3"/>
    <x v="3"/>
  </r>
  <r>
    <x v="5"/>
    <x v="444"/>
    <x v="3"/>
    <x v="7"/>
    <x v="8"/>
    <x v="0"/>
    <x v="10"/>
    <x v="20"/>
    <x v="135"/>
    <x v="18"/>
    <x v="58"/>
    <x v="165"/>
    <x v="53"/>
    <x v="3"/>
    <x v="0"/>
    <x v="0"/>
    <x v="3"/>
    <x v="3"/>
  </r>
  <r>
    <x v="5"/>
    <x v="445"/>
    <x v="64"/>
    <x v="7"/>
    <x v="21"/>
    <x v="0"/>
    <x v="10"/>
    <x v="108"/>
    <x v="35"/>
    <x v="107"/>
    <x v="57"/>
    <x v="163"/>
    <x v="56"/>
    <x v="3"/>
    <x v="0"/>
    <x v="0"/>
    <x v="3"/>
    <x v="3"/>
  </r>
  <r>
    <x v="5"/>
    <x v="446"/>
    <x v="10"/>
    <x v="7"/>
    <x v="12"/>
    <x v="1"/>
    <x v="22"/>
    <x v="36"/>
    <x v="16"/>
    <x v="29"/>
    <x v="87"/>
    <x v="196"/>
    <x v="57"/>
    <x v="3"/>
    <x v="0"/>
    <x v="0"/>
    <x v="3"/>
    <x v="3"/>
  </r>
  <r>
    <x v="5"/>
    <x v="447"/>
    <x v="33"/>
    <x v="7"/>
    <x v="31"/>
    <x v="0"/>
    <x v="10"/>
    <x v="143"/>
    <x v="59"/>
    <x v="142"/>
    <x v="78"/>
    <x v="180"/>
    <x v="59"/>
    <x v="3"/>
    <x v="0"/>
    <x v="0"/>
    <x v="3"/>
    <x v="3"/>
  </r>
  <r>
    <x v="5"/>
    <x v="448"/>
    <x v="83"/>
    <x v="7"/>
    <x v="73"/>
    <x v="1"/>
    <x v="7"/>
    <x v="17"/>
    <x v="39"/>
    <x v="13"/>
    <x v="55"/>
    <x v="177"/>
    <x v="60"/>
    <x v="3"/>
    <x v="0"/>
    <x v="0"/>
    <x v="3"/>
    <x v="3"/>
  </r>
  <r>
    <x v="5"/>
    <x v="449"/>
    <x v="75"/>
    <x v="7"/>
    <x v="71"/>
    <x v="1"/>
    <x v="12"/>
    <x v="28"/>
    <x v="130"/>
    <x v="32"/>
    <x v="94"/>
    <x v="4"/>
    <x v="63"/>
    <x v="3"/>
    <x v="0"/>
    <x v="0"/>
    <x v="3"/>
    <x v="3"/>
  </r>
  <r>
    <x v="5"/>
    <x v="450"/>
    <x v="22"/>
    <x v="7"/>
    <x v="38"/>
    <x v="0"/>
    <x v="22"/>
    <x v="120"/>
    <x v="81"/>
    <x v="116"/>
    <x v="22"/>
    <x v="78"/>
    <x v="65"/>
    <x v="3"/>
    <x v="0"/>
    <x v="0"/>
    <x v="3"/>
    <x v="3"/>
  </r>
  <r>
    <x v="5"/>
    <x v="451"/>
    <x v="58"/>
    <x v="7"/>
    <x v="75"/>
    <x v="0"/>
    <x v="13"/>
    <x v="90"/>
    <x v="27"/>
    <x v="83"/>
    <x v="54"/>
    <x v="117"/>
    <x v="66"/>
    <x v="3"/>
    <x v="0"/>
    <x v="0"/>
    <x v="3"/>
    <x v="3"/>
  </r>
  <r>
    <x v="5"/>
    <x v="452"/>
    <x v="16"/>
    <x v="7"/>
    <x v="69"/>
    <x v="2"/>
    <x v="22"/>
    <x v="26"/>
    <x v="43"/>
    <x v="24"/>
    <x v="11"/>
    <x v="52"/>
    <x v="67"/>
    <x v="3"/>
    <x v="0"/>
    <x v="0"/>
    <x v="3"/>
    <x v="3"/>
  </r>
  <r>
    <x v="5"/>
    <x v="453"/>
    <x v="96"/>
    <x v="7"/>
    <x v="46"/>
    <x v="0"/>
    <x v="10"/>
    <x v="93"/>
    <x v="79"/>
    <x v="86"/>
    <x v="8"/>
    <x v="42"/>
    <x v="69"/>
    <x v="3"/>
    <x v="0"/>
    <x v="0"/>
    <x v="3"/>
    <x v="3"/>
  </r>
  <r>
    <x v="5"/>
    <x v="454"/>
    <x v="59"/>
    <x v="7"/>
    <x v="70"/>
    <x v="0"/>
    <x v="10"/>
    <x v="129"/>
    <x v="6"/>
    <x v="132"/>
    <x v="63"/>
    <x v="25"/>
    <x v="77"/>
    <x v="3"/>
    <x v="0"/>
    <x v="0"/>
    <x v="3"/>
    <x v="3"/>
  </r>
  <r>
    <x v="5"/>
    <x v="455"/>
    <x v="94"/>
    <x v="7"/>
    <x v="26"/>
    <x v="0"/>
    <x v="10"/>
    <x v="9"/>
    <x v="37"/>
    <x v="7"/>
    <x v="6"/>
    <x v="36"/>
    <x v="79"/>
    <x v="3"/>
    <x v="0"/>
    <x v="0"/>
    <x v="3"/>
    <x v="3"/>
  </r>
  <r>
    <x v="5"/>
    <x v="456"/>
    <x v="30"/>
    <x v="7"/>
    <x v="27"/>
    <x v="1"/>
    <x v="4"/>
    <x v="31"/>
    <x v="101"/>
    <x v="26"/>
    <x v="31"/>
    <x v="113"/>
    <x v="82"/>
    <x v="3"/>
    <x v="0"/>
    <x v="0"/>
    <x v="3"/>
    <x v="3"/>
  </r>
  <r>
    <x v="5"/>
    <x v="457"/>
    <x v="95"/>
    <x v="7"/>
    <x v="33"/>
    <x v="0"/>
    <x v="17"/>
    <x v="124"/>
    <x v="23"/>
    <x v="119"/>
    <x v="29"/>
    <x v="110"/>
    <x v="90"/>
    <x v="3"/>
    <x v="0"/>
    <x v="0"/>
    <x v="3"/>
    <x v="3"/>
  </r>
  <r>
    <x v="5"/>
    <x v="458"/>
    <x v="14"/>
    <x v="7"/>
    <x v="50"/>
    <x v="0"/>
    <x v="13"/>
    <x v="137"/>
    <x v="104"/>
    <x v="130"/>
    <x v="4"/>
    <x v="121"/>
    <x v="91"/>
    <x v="3"/>
    <x v="0"/>
    <x v="0"/>
    <x v="3"/>
    <x v="3"/>
  </r>
  <r>
    <x v="5"/>
    <x v="459"/>
    <x v="68"/>
    <x v="7"/>
    <x v="17"/>
    <x v="0"/>
    <x v="22"/>
    <x v="27"/>
    <x v="84"/>
    <x v="31"/>
    <x v="2"/>
    <x v="18"/>
    <x v="94"/>
    <x v="3"/>
    <x v="0"/>
    <x v="0"/>
    <x v="3"/>
    <x v="3"/>
  </r>
  <r>
    <x v="5"/>
    <x v="460"/>
    <x v="50"/>
    <x v="7"/>
    <x v="68"/>
    <x v="0"/>
    <x v="22"/>
    <x v="74"/>
    <x v="98"/>
    <x v="73"/>
    <x v="28"/>
    <x v="109"/>
    <x v="95"/>
    <x v="3"/>
    <x v="0"/>
    <x v="0"/>
    <x v="3"/>
    <x v="3"/>
  </r>
  <r>
    <x v="5"/>
    <x v="461"/>
    <x v="52"/>
    <x v="7"/>
    <x v="55"/>
    <x v="0"/>
    <x v="22"/>
    <x v="33"/>
    <x v="119"/>
    <x v="37"/>
    <x v="1"/>
    <x v="11"/>
    <x v="33"/>
    <x v="3"/>
    <x v="0"/>
    <x v="0"/>
    <x v="3"/>
    <x v="3"/>
  </r>
  <r>
    <x v="5"/>
    <x v="631"/>
    <x v="97"/>
    <x v="14"/>
    <x v="97"/>
    <x v="23"/>
    <x v="23"/>
    <x v="145"/>
    <x v="145"/>
    <x v="143"/>
    <x v="97"/>
    <x v="204"/>
    <x v="96"/>
    <x v="10"/>
    <x v="0"/>
    <x v="0"/>
    <x v="3"/>
    <x v="3"/>
  </r>
  <r>
    <x v="5"/>
    <x v="462"/>
    <x v="82"/>
    <x v="14"/>
    <x v="74"/>
    <x v="1"/>
    <x v="2"/>
    <x v="127"/>
    <x v="85"/>
    <x v="123"/>
    <x v="5"/>
    <x v="34"/>
    <x v="2"/>
    <x v="3"/>
    <x v="0"/>
    <x v="0"/>
    <x v="3"/>
    <x v="3"/>
  </r>
  <r>
    <x v="5"/>
    <x v="463"/>
    <x v="15"/>
    <x v="14"/>
    <x v="51"/>
    <x v="1"/>
    <x v="17"/>
    <x v="19"/>
    <x v="55"/>
    <x v="44"/>
    <x v="44"/>
    <x v="142"/>
    <x v="25"/>
    <x v="3"/>
    <x v="0"/>
    <x v="0"/>
    <x v="3"/>
    <x v="3"/>
  </r>
  <r>
    <x v="5"/>
    <x v="464"/>
    <x v="6"/>
    <x v="14"/>
    <x v="62"/>
    <x v="5"/>
    <x v="17"/>
    <x v="64"/>
    <x v="132"/>
    <x v="64"/>
    <x v="70"/>
    <x v="40"/>
    <x v="31"/>
    <x v="3"/>
    <x v="0"/>
    <x v="0"/>
    <x v="3"/>
    <x v="3"/>
  </r>
  <r>
    <x v="5"/>
    <x v="465"/>
    <x v="53"/>
    <x v="14"/>
    <x v="42"/>
    <x v="0"/>
    <x v="1"/>
    <x v="80"/>
    <x v="36"/>
    <x v="75"/>
    <x v="26"/>
    <x v="108"/>
    <x v="54"/>
    <x v="2"/>
    <x v="0"/>
    <x v="0"/>
    <x v="3"/>
    <x v="3"/>
  </r>
  <r>
    <x v="5"/>
    <x v="466"/>
    <x v="78"/>
    <x v="14"/>
    <x v="41"/>
    <x v="3"/>
    <x v="22"/>
    <x v="103"/>
    <x v="122"/>
    <x v="99"/>
    <x v="16"/>
    <x v="58"/>
    <x v="76"/>
    <x v="2"/>
    <x v="0"/>
    <x v="0"/>
    <x v="3"/>
    <x v="3"/>
  </r>
  <r>
    <x v="5"/>
    <x v="467"/>
    <x v="77"/>
    <x v="14"/>
    <x v="78"/>
    <x v="0"/>
    <x v="21"/>
    <x v="50"/>
    <x v="89"/>
    <x v="50"/>
    <x v="80"/>
    <x v="101"/>
    <x v="0"/>
    <x v="2"/>
    <x v="0"/>
    <x v="0"/>
    <x v="3"/>
    <x v="3"/>
  </r>
  <r>
    <x v="5"/>
    <x v="468"/>
    <x v="89"/>
    <x v="14"/>
    <x v="66"/>
    <x v="0"/>
    <x v="17"/>
    <x v="38"/>
    <x v="99"/>
    <x v="36"/>
    <x v="34"/>
    <x v="128"/>
    <x v="11"/>
    <x v="3"/>
    <x v="0"/>
    <x v="0"/>
    <x v="3"/>
    <x v="3"/>
  </r>
  <r>
    <x v="5"/>
    <x v="469"/>
    <x v="91"/>
    <x v="14"/>
    <x v="86"/>
    <x v="0"/>
    <x v="20"/>
    <x v="46"/>
    <x v="57"/>
    <x v="45"/>
    <x v="96"/>
    <x v="14"/>
    <x v="12"/>
    <x v="2"/>
    <x v="0"/>
    <x v="0"/>
    <x v="3"/>
    <x v="3"/>
  </r>
  <r>
    <x v="5"/>
    <x v="470"/>
    <x v="87"/>
    <x v="14"/>
    <x v="59"/>
    <x v="0"/>
    <x v="17"/>
    <x v="115"/>
    <x v="32"/>
    <x v="115"/>
    <x v="36"/>
    <x v="130"/>
    <x v="14"/>
    <x v="3"/>
    <x v="0"/>
    <x v="0"/>
    <x v="3"/>
    <x v="3"/>
  </r>
  <r>
    <x v="5"/>
    <x v="471"/>
    <x v="41"/>
    <x v="14"/>
    <x v="22"/>
    <x v="0"/>
    <x v="22"/>
    <x v="29"/>
    <x v="142"/>
    <x v="1"/>
    <x v="77"/>
    <x v="16"/>
    <x v="16"/>
    <x v="2"/>
    <x v="0"/>
    <x v="0"/>
    <x v="3"/>
    <x v="3"/>
  </r>
  <r>
    <x v="5"/>
    <x v="472"/>
    <x v="36"/>
    <x v="14"/>
    <x v="40"/>
    <x v="0"/>
    <x v="22"/>
    <x v="86"/>
    <x v="80"/>
    <x v="82"/>
    <x v="10"/>
    <x v="51"/>
    <x v="17"/>
    <x v="2"/>
    <x v="0"/>
    <x v="0"/>
    <x v="3"/>
    <x v="3"/>
  </r>
  <r>
    <x v="5"/>
    <x v="473"/>
    <x v="51"/>
    <x v="14"/>
    <x v="15"/>
    <x v="0"/>
    <x v="22"/>
    <x v="97"/>
    <x v="115"/>
    <x v="89"/>
    <x v="21"/>
    <x v="74"/>
    <x v="20"/>
    <x v="2"/>
    <x v="0"/>
    <x v="0"/>
    <x v="3"/>
    <x v="3"/>
  </r>
  <r>
    <x v="5"/>
    <x v="474"/>
    <x v="4"/>
    <x v="14"/>
    <x v="20"/>
    <x v="1"/>
    <x v="22"/>
    <x v="66"/>
    <x v="53"/>
    <x v="67"/>
    <x v="71"/>
    <x v="89"/>
    <x v="22"/>
    <x v="2"/>
    <x v="0"/>
    <x v="0"/>
    <x v="3"/>
    <x v="3"/>
  </r>
  <r>
    <x v="5"/>
    <x v="475"/>
    <x v="76"/>
    <x v="14"/>
    <x v="28"/>
    <x v="0"/>
    <x v="10"/>
    <x v="69"/>
    <x v="129"/>
    <x v="65"/>
    <x v="69"/>
    <x v="22"/>
    <x v="23"/>
    <x v="2"/>
    <x v="0"/>
    <x v="0"/>
    <x v="3"/>
    <x v="3"/>
  </r>
  <r>
    <x v="5"/>
    <x v="476"/>
    <x v="86"/>
    <x v="14"/>
    <x v="67"/>
    <x v="1"/>
    <x v="22"/>
    <x v="32"/>
    <x v="143"/>
    <x v="27"/>
    <x v="15"/>
    <x v="57"/>
    <x v="24"/>
    <x v="2"/>
    <x v="0"/>
    <x v="0"/>
    <x v="3"/>
    <x v="3"/>
  </r>
  <r>
    <x v="5"/>
    <x v="477"/>
    <x v="46"/>
    <x v="14"/>
    <x v="76"/>
    <x v="0"/>
    <x v="16"/>
    <x v="21"/>
    <x v="106"/>
    <x v="33"/>
    <x v="52"/>
    <x v="178"/>
    <x v="29"/>
    <x v="2"/>
    <x v="0"/>
    <x v="0"/>
    <x v="3"/>
    <x v="3"/>
  </r>
  <r>
    <x v="5"/>
    <x v="478"/>
    <x v="11"/>
    <x v="14"/>
    <x v="95"/>
    <x v="0"/>
    <x v="22"/>
    <x v="89"/>
    <x v="126"/>
    <x v="111"/>
    <x v="84"/>
    <x v="188"/>
    <x v="34"/>
    <x v="2"/>
    <x v="0"/>
    <x v="0"/>
    <x v="3"/>
    <x v="3"/>
  </r>
  <r>
    <x v="5"/>
    <x v="479"/>
    <x v="57"/>
    <x v="14"/>
    <x v="79"/>
    <x v="1"/>
    <x v="22"/>
    <x v="122"/>
    <x v="96"/>
    <x v="124"/>
    <x v="61"/>
    <x v="183"/>
    <x v="35"/>
    <x v="2"/>
    <x v="0"/>
    <x v="0"/>
    <x v="3"/>
    <x v="3"/>
  </r>
  <r>
    <x v="5"/>
    <x v="480"/>
    <x v="12"/>
    <x v="14"/>
    <x v="5"/>
    <x v="1"/>
    <x v="22"/>
    <x v="94"/>
    <x v="137"/>
    <x v="93"/>
    <x v="22"/>
    <x v="76"/>
    <x v="40"/>
    <x v="2"/>
    <x v="0"/>
    <x v="0"/>
    <x v="3"/>
    <x v="3"/>
  </r>
  <r>
    <x v="5"/>
    <x v="481"/>
    <x v="2"/>
    <x v="14"/>
    <x v="35"/>
    <x v="0"/>
    <x v="22"/>
    <x v="75"/>
    <x v="121"/>
    <x v="74"/>
    <x v="22"/>
    <x v="77"/>
    <x v="43"/>
    <x v="2"/>
    <x v="0"/>
    <x v="0"/>
    <x v="3"/>
    <x v="3"/>
  </r>
  <r>
    <x v="5"/>
    <x v="482"/>
    <x v="29"/>
    <x v="14"/>
    <x v="61"/>
    <x v="0"/>
    <x v="13"/>
    <x v="121"/>
    <x v="66"/>
    <x v="121"/>
    <x v="12"/>
    <x v="53"/>
    <x v="44"/>
    <x v="2"/>
    <x v="0"/>
    <x v="0"/>
    <x v="3"/>
    <x v="3"/>
  </r>
  <r>
    <x v="5"/>
    <x v="483"/>
    <x v="24"/>
    <x v="14"/>
    <x v="52"/>
    <x v="0"/>
    <x v="22"/>
    <x v="102"/>
    <x v="58"/>
    <x v="90"/>
    <x v="37"/>
    <x v="131"/>
    <x v="45"/>
    <x v="2"/>
    <x v="0"/>
    <x v="0"/>
    <x v="3"/>
    <x v="3"/>
  </r>
  <r>
    <x v="5"/>
    <x v="484"/>
    <x v="61"/>
    <x v="14"/>
    <x v="96"/>
    <x v="0"/>
    <x v="22"/>
    <x v="107"/>
    <x v="76"/>
    <x v="106"/>
    <x v="25"/>
    <x v="96"/>
    <x v="51"/>
    <x v="2"/>
    <x v="0"/>
    <x v="0"/>
    <x v="3"/>
    <x v="3"/>
  </r>
  <r>
    <x v="5"/>
    <x v="620"/>
    <x v="56"/>
    <x v="14"/>
    <x v="1"/>
    <x v="1"/>
    <x v="22"/>
    <x v="57"/>
    <x v="108"/>
    <x v="56"/>
    <x v="62"/>
    <x v="169"/>
    <x v="52"/>
    <x v="2"/>
    <x v="0"/>
    <x v="0"/>
    <x v="3"/>
    <x v="3"/>
  </r>
  <r>
    <x v="5"/>
    <x v="485"/>
    <x v="3"/>
    <x v="14"/>
    <x v="8"/>
    <x v="0"/>
    <x v="10"/>
    <x v="20"/>
    <x v="135"/>
    <x v="18"/>
    <x v="58"/>
    <x v="165"/>
    <x v="53"/>
    <x v="2"/>
    <x v="0"/>
    <x v="0"/>
    <x v="3"/>
    <x v="3"/>
  </r>
  <r>
    <x v="5"/>
    <x v="486"/>
    <x v="72"/>
    <x v="14"/>
    <x v="47"/>
    <x v="0"/>
    <x v="17"/>
    <x v="11"/>
    <x v="17"/>
    <x v="8"/>
    <x v="50"/>
    <x v="149"/>
    <x v="58"/>
    <x v="3"/>
    <x v="0"/>
    <x v="0"/>
    <x v="3"/>
    <x v="3"/>
  </r>
  <r>
    <x v="5"/>
    <x v="487"/>
    <x v="33"/>
    <x v="14"/>
    <x v="31"/>
    <x v="0"/>
    <x v="10"/>
    <x v="143"/>
    <x v="59"/>
    <x v="142"/>
    <x v="78"/>
    <x v="180"/>
    <x v="59"/>
    <x v="2"/>
    <x v="0"/>
    <x v="0"/>
    <x v="3"/>
    <x v="3"/>
  </r>
  <r>
    <x v="5"/>
    <x v="621"/>
    <x v="83"/>
    <x v="14"/>
    <x v="73"/>
    <x v="2"/>
    <x v="7"/>
    <x v="106"/>
    <x v="131"/>
    <x v="102"/>
    <x v="55"/>
    <x v="156"/>
    <x v="60"/>
    <x v="2"/>
    <x v="0"/>
    <x v="0"/>
    <x v="3"/>
    <x v="3"/>
  </r>
  <r>
    <x v="5"/>
    <x v="488"/>
    <x v="58"/>
    <x v="14"/>
    <x v="75"/>
    <x v="0"/>
    <x v="13"/>
    <x v="62"/>
    <x v="20"/>
    <x v="60"/>
    <x v="54"/>
    <x v="153"/>
    <x v="66"/>
    <x v="2"/>
    <x v="0"/>
    <x v="0"/>
    <x v="3"/>
    <x v="3"/>
  </r>
  <r>
    <x v="5"/>
    <x v="489"/>
    <x v="16"/>
    <x v="14"/>
    <x v="69"/>
    <x v="1"/>
    <x v="22"/>
    <x v="26"/>
    <x v="43"/>
    <x v="24"/>
    <x v="11"/>
    <x v="52"/>
    <x v="67"/>
    <x v="2"/>
    <x v="0"/>
    <x v="0"/>
    <x v="3"/>
    <x v="3"/>
  </r>
  <r>
    <x v="5"/>
    <x v="490"/>
    <x v="59"/>
    <x v="14"/>
    <x v="70"/>
    <x v="0"/>
    <x v="10"/>
    <x v="2"/>
    <x v="3"/>
    <x v="105"/>
    <x v="63"/>
    <x v="171"/>
    <x v="77"/>
    <x v="2"/>
    <x v="0"/>
    <x v="0"/>
    <x v="3"/>
    <x v="3"/>
  </r>
  <r>
    <x v="5"/>
    <x v="491"/>
    <x v="37"/>
    <x v="14"/>
    <x v="34"/>
    <x v="0"/>
    <x v="22"/>
    <x v="13"/>
    <x v="103"/>
    <x v="12"/>
    <x v="72"/>
    <x v="66"/>
    <x v="84"/>
    <x v="2"/>
    <x v="0"/>
    <x v="0"/>
    <x v="3"/>
    <x v="3"/>
  </r>
  <r>
    <x v="5"/>
    <x v="492"/>
    <x v="48"/>
    <x v="14"/>
    <x v="13"/>
    <x v="0"/>
    <x v="10"/>
    <x v="85"/>
    <x v="64"/>
    <x v="81"/>
    <x v="75"/>
    <x v="23"/>
    <x v="86"/>
    <x v="2"/>
    <x v="0"/>
    <x v="0"/>
    <x v="3"/>
    <x v="3"/>
  </r>
  <r>
    <x v="5"/>
    <x v="493"/>
    <x v="14"/>
    <x v="14"/>
    <x v="50"/>
    <x v="0"/>
    <x v="13"/>
    <x v="137"/>
    <x v="104"/>
    <x v="130"/>
    <x v="4"/>
    <x v="121"/>
    <x v="91"/>
    <x v="2"/>
    <x v="0"/>
    <x v="0"/>
    <x v="3"/>
    <x v="3"/>
  </r>
  <r>
    <x v="5"/>
    <x v="494"/>
    <x v="39"/>
    <x v="14"/>
    <x v="57"/>
    <x v="1"/>
    <x v="22"/>
    <x v="14"/>
    <x v="120"/>
    <x v="15"/>
    <x v="65"/>
    <x v="100"/>
    <x v="96"/>
    <x v="2"/>
    <x v="0"/>
    <x v="0"/>
    <x v="3"/>
    <x v="3"/>
  </r>
  <r>
    <x v="5"/>
    <x v="631"/>
    <x v="97"/>
    <x v="13"/>
    <x v="97"/>
    <x v="19"/>
    <x v="23"/>
    <x v="145"/>
    <x v="145"/>
    <x v="143"/>
    <x v="97"/>
    <x v="204"/>
    <x v="96"/>
    <x v="10"/>
    <x v="0"/>
    <x v="0"/>
    <x v="3"/>
    <x v="3"/>
  </r>
  <r>
    <x v="5"/>
    <x v="495"/>
    <x v="78"/>
    <x v="13"/>
    <x v="41"/>
    <x v="1"/>
    <x v="22"/>
    <x v="103"/>
    <x v="122"/>
    <x v="99"/>
    <x v="16"/>
    <x v="58"/>
    <x v="76"/>
    <x v="1"/>
    <x v="0"/>
    <x v="0"/>
    <x v="3"/>
    <x v="3"/>
  </r>
  <r>
    <x v="5"/>
    <x v="496"/>
    <x v="77"/>
    <x v="13"/>
    <x v="78"/>
    <x v="9"/>
    <x v="21"/>
    <x v="50"/>
    <x v="89"/>
    <x v="50"/>
    <x v="80"/>
    <x v="101"/>
    <x v="0"/>
    <x v="1"/>
    <x v="0"/>
    <x v="0"/>
    <x v="3"/>
    <x v="3"/>
  </r>
  <r>
    <x v="5"/>
    <x v="497"/>
    <x v="85"/>
    <x v="13"/>
    <x v="29"/>
    <x v="0"/>
    <x v="13"/>
    <x v="140"/>
    <x v="31"/>
    <x v="139"/>
    <x v="88"/>
    <x v="190"/>
    <x v="9"/>
    <x v="1"/>
    <x v="0"/>
    <x v="0"/>
    <x v="3"/>
    <x v="3"/>
  </r>
  <r>
    <x v="5"/>
    <x v="498"/>
    <x v="4"/>
    <x v="13"/>
    <x v="20"/>
    <x v="1"/>
    <x v="22"/>
    <x v="66"/>
    <x v="53"/>
    <x v="67"/>
    <x v="71"/>
    <x v="89"/>
    <x v="22"/>
    <x v="1"/>
    <x v="0"/>
    <x v="0"/>
    <x v="3"/>
    <x v="3"/>
  </r>
  <r>
    <x v="5"/>
    <x v="499"/>
    <x v="93"/>
    <x v="13"/>
    <x v="77"/>
    <x v="0"/>
    <x v="17"/>
    <x v="99"/>
    <x v="144"/>
    <x v="96"/>
    <x v="32"/>
    <x v="48"/>
    <x v="27"/>
    <x v="1"/>
    <x v="0"/>
    <x v="0"/>
    <x v="3"/>
    <x v="3"/>
  </r>
  <r>
    <x v="5"/>
    <x v="500"/>
    <x v="46"/>
    <x v="13"/>
    <x v="76"/>
    <x v="2"/>
    <x v="16"/>
    <x v="21"/>
    <x v="106"/>
    <x v="33"/>
    <x v="52"/>
    <x v="178"/>
    <x v="29"/>
    <x v="1"/>
    <x v="0"/>
    <x v="0"/>
    <x v="3"/>
    <x v="3"/>
  </r>
  <r>
    <x v="5"/>
    <x v="501"/>
    <x v="63"/>
    <x v="13"/>
    <x v="43"/>
    <x v="0"/>
    <x v="17"/>
    <x v="142"/>
    <x v="95"/>
    <x v="141"/>
    <x v="95"/>
    <x v="203"/>
    <x v="32"/>
    <x v="1"/>
    <x v="0"/>
    <x v="0"/>
    <x v="3"/>
    <x v="3"/>
  </r>
  <r>
    <x v="5"/>
    <x v="502"/>
    <x v="2"/>
    <x v="13"/>
    <x v="35"/>
    <x v="0"/>
    <x v="22"/>
    <x v="75"/>
    <x v="121"/>
    <x v="74"/>
    <x v="22"/>
    <x v="77"/>
    <x v="43"/>
    <x v="1"/>
    <x v="0"/>
    <x v="0"/>
    <x v="3"/>
    <x v="3"/>
  </r>
  <r>
    <x v="5"/>
    <x v="503"/>
    <x v="64"/>
    <x v="13"/>
    <x v="21"/>
    <x v="0"/>
    <x v="10"/>
    <x v="108"/>
    <x v="35"/>
    <x v="107"/>
    <x v="57"/>
    <x v="163"/>
    <x v="56"/>
    <x v="1"/>
    <x v="0"/>
    <x v="0"/>
    <x v="3"/>
    <x v="3"/>
  </r>
  <r>
    <x v="5"/>
    <x v="504"/>
    <x v="58"/>
    <x v="13"/>
    <x v="75"/>
    <x v="0"/>
    <x v="13"/>
    <x v="90"/>
    <x v="27"/>
    <x v="83"/>
    <x v="54"/>
    <x v="117"/>
    <x v="66"/>
    <x v="1"/>
    <x v="0"/>
    <x v="0"/>
    <x v="3"/>
    <x v="3"/>
  </r>
  <r>
    <x v="5"/>
    <x v="505"/>
    <x v="16"/>
    <x v="13"/>
    <x v="69"/>
    <x v="1"/>
    <x v="22"/>
    <x v="26"/>
    <x v="43"/>
    <x v="24"/>
    <x v="11"/>
    <x v="52"/>
    <x v="67"/>
    <x v="1"/>
    <x v="0"/>
    <x v="0"/>
    <x v="3"/>
    <x v="3"/>
  </r>
  <r>
    <x v="5"/>
    <x v="506"/>
    <x v="96"/>
    <x v="13"/>
    <x v="46"/>
    <x v="0"/>
    <x v="10"/>
    <x v="93"/>
    <x v="79"/>
    <x v="86"/>
    <x v="8"/>
    <x v="42"/>
    <x v="69"/>
    <x v="1"/>
    <x v="0"/>
    <x v="0"/>
    <x v="3"/>
    <x v="3"/>
  </r>
  <r>
    <x v="5"/>
    <x v="507"/>
    <x v="59"/>
    <x v="13"/>
    <x v="70"/>
    <x v="0"/>
    <x v="10"/>
    <x v="138"/>
    <x v="4"/>
    <x v="127"/>
    <x v="63"/>
    <x v="164"/>
    <x v="77"/>
    <x v="1"/>
    <x v="0"/>
    <x v="0"/>
    <x v="3"/>
    <x v="3"/>
  </r>
  <r>
    <x v="5"/>
    <x v="508"/>
    <x v="30"/>
    <x v="13"/>
    <x v="27"/>
    <x v="0"/>
    <x v="4"/>
    <x v="31"/>
    <x v="101"/>
    <x v="26"/>
    <x v="31"/>
    <x v="113"/>
    <x v="82"/>
    <x v="1"/>
    <x v="0"/>
    <x v="0"/>
    <x v="3"/>
    <x v="3"/>
  </r>
  <r>
    <x v="5"/>
    <x v="509"/>
    <x v="28"/>
    <x v="13"/>
    <x v="37"/>
    <x v="3"/>
    <x v="13"/>
    <x v="40"/>
    <x v="78"/>
    <x v="39"/>
    <x v="82"/>
    <x v="182"/>
    <x v="85"/>
    <x v="1"/>
    <x v="0"/>
    <x v="0"/>
    <x v="3"/>
    <x v="3"/>
  </r>
  <r>
    <x v="5"/>
    <x v="510"/>
    <x v="50"/>
    <x v="13"/>
    <x v="68"/>
    <x v="0"/>
    <x v="22"/>
    <x v="74"/>
    <x v="98"/>
    <x v="73"/>
    <x v="28"/>
    <x v="109"/>
    <x v="95"/>
    <x v="1"/>
    <x v="0"/>
    <x v="0"/>
    <x v="3"/>
    <x v="3"/>
  </r>
  <r>
    <x v="5"/>
    <x v="511"/>
    <x v="52"/>
    <x v="13"/>
    <x v="55"/>
    <x v="0"/>
    <x v="22"/>
    <x v="33"/>
    <x v="119"/>
    <x v="37"/>
    <x v="1"/>
    <x v="11"/>
    <x v="33"/>
    <x v="1"/>
    <x v="0"/>
    <x v="0"/>
    <x v="3"/>
    <x v="3"/>
  </r>
  <r>
    <x v="5"/>
    <x v="631"/>
    <x v="97"/>
    <x v="1"/>
    <x v="97"/>
    <x v="20"/>
    <x v="23"/>
    <x v="145"/>
    <x v="145"/>
    <x v="143"/>
    <x v="97"/>
    <x v="204"/>
    <x v="96"/>
    <x v="10"/>
    <x v="0"/>
    <x v="0"/>
    <x v="0"/>
    <x v="3"/>
  </r>
  <r>
    <x v="5"/>
    <x v="512"/>
    <x v="5"/>
    <x v="1"/>
    <x v="19"/>
    <x v="0"/>
    <x v="18"/>
    <x v="84"/>
    <x v="94"/>
    <x v="71"/>
    <x v="27"/>
    <x v="107"/>
    <x v="10"/>
    <x v="1"/>
    <x v="0"/>
    <x v="0"/>
    <x v="0"/>
    <x v="1"/>
  </r>
  <r>
    <x v="5"/>
    <x v="513"/>
    <x v="92"/>
    <x v="1"/>
    <x v="39"/>
    <x v="0"/>
    <x v="10"/>
    <x v="65"/>
    <x v="134"/>
    <x v="66"/>
    <x v="86"/>
    <x v="189"/>
    <x v="39"/>
    <x v="1"/>
    <x v="0"/>
    <x v="0"/>
    <x v="0"/>
    <x v="2"/>
  </r>
  <r>
    <x v="5"/>
    <x v="514"/>
    <x v="78"/>
    <x v="1"/>
    <x v="41"/>
    <x v="0"/>
    <x v="22"/>
    <x v="103"/>
    <x v="122"/>
    <x v="99"/>
    <x v="16"/>
    <x v="58"/>
    <x v="76"/>
    <x v="6"/>
    <x v="0"/>
    <x v="0"/>
    <x v="0"/>
    <x v="1"/>
  </r>
  <r>
    <x v="5"/>
    <x v="515"/>
    <x v="77"/>
    <x v="1"/>
    <x v="78"/>
    <x v="0"/>
    <x v="21"/>
    <x v="50"/>
    <x v="89"/>
    <x v="50"/>
    <x v="80"/>
    <x v="101"/>
    <x v="0"/>
    <x v="1"/>
    <x v="0"/>
    <x v="0"/>
    <x v="0"/>
    <x v="2"/>
  </r>
  <r>
    <x v="5"/>
    <x v="516"/>
    <x v="70"/>
    <x v="1"/>
    <x v="89"/>
    <x v="0"/>
    <x v="8"/>
    <x v="105"/>
    <x v="127"/>
    <x v="100"/>
    <x v="42"/>
    <x v="170"/>
    <x v="7"/>
    <x v="6"/>
    <x v="0"/>
    <x v="0"/>
    <x v="0"/>
    <x v="1"/>
  </r>
  <r>
    <x v="5"/>
    <x v="517"/>
    <x v="85"/>
    <x v="1"/>
    <x v="29"/>
    <x v="0"/>
    <x v="13"/>
    <x v="140"/>
    <x v="31"/>
    <x v="139"/>
    <x v="88"/>
    <x v="190"/>
    <x v="9"/>
    <x v="1"/>
    <x v="0"/>
    <x v="0"/>
    <x v="0"/>
    <x v="2"/>
  </r>
  <r>
    <x v="5"/>
    <x v="518"/>
    <x v="91"/>
    <x v="1"/>
    <x v="86"/>
    <x v="0"/>
    <x v="20"/>
    <x v="46"/>
    <x v="57"/>
    <x v="45"/>
    <x v="96"/>
    <x v="14"/>
    <x v="12"/>
    <x v="1"/>
    <x v="0"/>
    <x v="0"/>
    <x v="0"/>
    <x v="2"/>
  </r>
  <r>
    <x v="5"/>
    <x v="519"/>
    <x v="36"/>
    <x v="1"/>
    <x v="40"/>
    <x v="0"/>
    <x v="22"/>
    <x v="86"/>
    <x v="80"/>
    <x v="82"/>
    <x v="10"/>
    <x v="51"/>
    <x v="17"/>
    <x v="6"/>
    <x v="0"/>
    <x v="0"/>
    <x v="0"/>
    <x v="2"/>
  </r>
  <r>
    <x v="5"/>
    <x v="520"/>
    <x v="51"/>
    <x v="1"/>
    <x v="15"/>
    <x v="0"/>
    <x v="22"/>
    <x v="97"/>
    <x v="115"/>
    <x v="89"/>
    <x v="21"/>
    <x v="74"/>
    <x v="20"/>
    <x v="6"/>
    <x v="0"/>
    <x v="0"/>
    <x v="0"/>
    <x v="1"/>
  </r>
  <r>
    <x v="5"/>
    <x v="521"/>
    <x v="76"/>
    <x v="1"/>
    <x v="28"/>
    <x v="0"/>
    <x v="10"/>
    <x v="69"/>
    <x v="129"/>
    <x v="65"/>
    <x v="69"/>
    <x v="22"/>
    <x v="23"/>
    <x v="1"/>
    <x v="0"/>
    <x v="0"/>
    <x v="0"/>
    <x v="2"/>
  </r>
  <r>
    <x v="5"/>
    <x v="522"/>
    <x v="86"/>
    <x v="1"/>
    <x v="67"/>
    <x v="0"/>
    <x v="22"/>
    <x v="68"/>
    <x v="136"/>
    <x v="69"/>
    <x v="15"/>
    <x v="13"/>
    <x v="24"/>
    <x v="6"/>
    <x v="0"/>
    <x v="0"/>
    <x v="0"/>
    <x v="2"/>
  </r>
  <r>
    <x v="5"/>
    <x v="523"/>
    <x v="62"/>
    <x v="1"/>
    <x v="92"/>
    <x v="0"/>
    <x v="13"/>
    <x v="35"/>
    <x v="40"/>
    <x v="38"/>
    <x v="64"/>
    <x v="199"/>
    <x v="26"/>
    <x v="1"/>
    <x v="0"/>
    <x v="0"/>
    <x v="0"/>
    <x v="2"/>
  </r>
  <r>
    <x v="5"/>
    <x v="524"/>
    <x v="93"/>
    <x v="1"/>
    <x v="77"/>
    <x v="0"/>
    <x v="17"/>
    <x v="73"/>
    <x v="62"/>
    <x v="72"/>
    <x v="32"/>
    <x v="130"/>
    <x v="27"/>
    <x v="1"/>
    <x v="0"/>
    <x v="0"/>
    <x v="0"/>
    <x v="1"/>
  </r>
  <r>
    <x v="5"/>
    <x v="525"/>
    <x v="46"/>
    <x v="1"/>
    <x v="76"/>
    <x v="0"/>
    <x v="16"/>
    <x v="21"/>
    <x v="106"/>
    <x v="33"/>
    <x v="52"/>
    <x v="178"/>
    <x v="29"/>
    <x v="1"/>
    <x v="0"/>
    <x v="0"/>
    <x v="0"/>
    <x v="2"/>
  </r>
  <r>
    <x v="5"/>
    <x v="526"/>
    <x v="69"/>
    <x v="1"/>
    <x v="6"/>
    <x v="0"/>
    <x v="22"/>
    <x v="49"/>
    <x v="22"/>
    <x v="57"/>
    <x v="3"/>
    <x v="201"/>
    <x v="30"/>
    <x v="6"/>
    <x v="0"/>
    <x v="0"/>
    <x v="0"/>
    <x v="1"/>
  </r>
  <r>
    <x v="5"/>
    <x v="527"/>
    <x v="57"/>
    <x v="1"/>
    <x v="79"/>
    <x v="0"/>
    <x v="22"/>
    <x v="122"/>
    <x v="96"/>
    <x v="124"/>
    <x v="61"/>
    <x v="183"/>
    <x v="35"/>
    <x v="6"/>
    <x v="0"/>
    <x v="0"/>
    <x v="0"/>
    <x v="2"/>
  </r>
  <r>
    <x v="5"/>
    <x v="528"/>
    <x v="12"/>
    <x v="1"/>
    <x v="5"/>
    <x v="0"/>
    <x v="22"/>
    <x v="95"/>
    <x v="1"/>
    <x v="0"/>
    <x v="22"/>
    <x v="49"/>
    <x v="40"/>
    <x v="6"/>
    <x v="0"/>
    <x v="0"/>
    <x v="0"/>
    <x v="2"/>
  </r>
  <r>
    <x v="5"/>
    <x v="529"/>
    <x v="79"/>
    <x v="1"/>
    <x v="94"/>
    <x v="0"/>
    <x v="19"/>
    <x v="41"/>
    <x v="113"/>
    <x v="40"/>
    <x v="79"/>
    <x v="93"/>
    <x v="47"/>
    <x v="1"/>
    <x v="0"/>
    <x v="0"/>
    <x v="0"/>
    <x v="2"/>
  </r>
  <r>
    <x v="5"/>
    <x v="530"/>
    <x v="34"/>
    <x v="1"/>
    <x v="54"/>
    <x v="0"/>
    <x v="15"/>
    <x v="44"/>
    <x v="107"/>
    <x v="120"/>
    <x v="0"/>
    <x v="140"/>
    <x v="49"/>
    <x v="1"/>
    <x v="0"/>
    <x v="0"/>
    <x v="0"/>
    <x v="1"/>
  </r>
  <r>
    <x v="5"/>
    <x v="531"/>
    <x v="64"/>
    <x v="1"/>
    <x v="21"/>
    <x v="0"/>
    <x v="10"/>
    <x v="108"/>
    <x v="35"/>
    <x v="107"/>
    <x v="57"/>
    <x v="163"/>
    <x v="56"/>
    <x v="1"/>
    <x v="0"/>
    <x v="0"/>
    <x v="0"/>
    <x v="1"/>
  </r>
  <r>
    <x v="5"/>
    <x v="532"/>
    <x v="72"/>
    <x v="1"/>
    <x v="47"/>
    <x v="0"/>
    <x v="17"/>
    <x v="11"/>
    <x v="17"/>
    <x v="8"/>
    <x v="50"/>
    <x v="149"/>
    <x v="58"/>
    <x v="1"/>
    <x v="0"/>
    <x v="0"/>
    <x v="0"/>
    <x v="1"/>
  </r>
  <r>
    <x v="5"/>
    <x v="533"/>
    <x v="83"/>
    <x v="1"/>
    <x v="73"/>
    <x v="0"/>
    <x v="7"/>
    <x v="17"/>
    <x v="39"/>
    <x v="13"/>
    <x v="55"/>
    <x v="177"/>
    <x v="60"/>
    <x v="1"/>
    <x v="0"/>
    <x v="0"/>
    <x v="0"/>
    <x v="2"/>
  </r>
  <r>
    <x v="5"/>
    <x v="534"/>
    <x v="75"/>
    <x v="1"/>
    <x v="71"/>
    <x v="0"/>
    <x v="12"/>
    <x v="28"/>
    <x v="130"/>
    <x v="32"/>
    <x v="94"/>
    <x v="4"/>
    <x v="63"/>
    <x v="1"/>
    <x v="0"/>
    <x v="0"/>
    <x v="0"/>
    <x v="2"/>
  </r>
  <r>
    <x v="5"/>
    <x v="535"/>
    <x v="58"/>
    <x v="1"/>
    <x v="75"/>
    <x v="0"/>
    <x v="13"/>
    <x v="90"/>
    <x v="27"/>
    <x v="83"/>
    <x v="54"/>
    <x v="117"/>
    <x v="66"/>
    <x v="1"/>
    <x v="0"/>
    <x v="0"/>
    <x v="0"/>
    <x v="1"/>
  </r>
  <r>
    <x v="5"/>
    <x v="536"/>
    <x v="16"/>
    <x v="1"/>
    <x v="69"/>
    <x v="0"/>
    <x v="22"/>
    <x v="26"/>
    <x v="43"/>
    <x v="24"/>
    <x v="11"/>
    <x v="52"/>
    <x v="67"/>
    <x v="6"/>
    <x v="0"/>
    <x v="0"/>
    <x v="0"/>
    <x v="2"/>
  </r>
  <r>
    <x v="5"/>
    <x v="537"/>
    <x v="96"/>
    <x v="1"/>
    <x v="46"/>
    <x v="0"/>
    <x v="10"/>
    <x v="93"/>
    <x v="79"/>
    <x v="86"/>
    <x v="8"/>
    <x v="42"/>
    <x v="69"/>
    <x v="1"/>
    <x v="0"/>
    <x v="0"/>
    <x v="0"/>
    <x v="2"/>
  </r>
  <r>
    <x v="5"/>
    <x v="538"/>
    <x v="59"/>
    <x v="1"/>
    <x v="70"/>
    <x v="0"/>
    <x v="10"/>
    <x v="82"/>
    <x v="12"/>
    <x v="87"/>
    <x v="63"/>
    <x v="25"/>
    <x v="77"/>
    <x v="1"/>
    <x v="0"/>
    <x v="0"/>
    <x v="0"/>
    <x v="1"/>
  </r>
  <r>
    <x v="5"/>
    <x v="539"/>
    <x v="30"/>
    <x v="1"/>
    <x v="27"/>
    <x v="0"/>
    <x v="4"/>
    <x v="31"/>
    <x v="101"/>
    <x v="26"/>
    <x v="31"/>
    <x v="113"/>
    <x v="82"/>
    <x v="1"/>
    <x v="0"/>
    <x v="0"/>
    <x v="0"/>
    <x v="2"/>
  </r>
  <r>
    <x v="5"/>
    <x v="540"/>
    <x v="55"/>
    <x v="1"/>
    <x v="2"/>
    <x v="0"/>
    <x v="22"/>
    <x v="43"/>
    <x v="124"/>
    <x v="43"/>
    <x v="18"/>
    <x v="60"/>
    <x v="87"/>
    <x v="6"/>
    <x v="0"/>
    <x v="0"/>
    <x v="0"/>
    <x v="2"/>
  </r>
  <r>
    <x v="5"/>
    <x v="541"/>
    <x v="14"/>
    <x v="1"/>
    <x v="50"/>
    <x v="0"/>
    <x v="13"/>
    <x v="137"/>
    <x v="104"/>
    <x v="130"/>
    <x v="4"/>
    <x v="121"/>
    <x v="91"/>
    <x v="1"/>
    <x v="0"/>
    <x v="0"/>
    <x v="0"/>
    <x v="2"/>
  </r>
  <r>
    <x v="5"/>
    <x v="542"/>
    <x v="68"/>
    <x v="1"/>
    <x v="17"/>
    <x v="0"/>
    <x v="22"/>
    <x v="27"/>
    <x v="84"/>
    <x v="31"/>
    <x v="2"/>
    <x v="18"/>
    <x v="94"/>
    <x v="6"/>
    <x v="0"/>
    <x v="0"/>
    <x v="0"/>
    <x v="2"/>
  </r>
  <r>
    <x v="5"/>
    <x v="543"/>
    <x v="50"/>
    <x v="1"/>
    <x v="68"/>
    <x v="0"/>
    <x v="22"/>
    <x v="74"/>
    <x v="98"/>
    <x v="73"/>
    <x v="28"/>
    <x v="109"/>
    <x v="95"/>
    <x v="6"/>
    <x v="0"/>
    <x v="0"/>
    <x v="0"/>
    <x v="2"/>
  </r>
  <r>
    <x v="5"/>
    <x v="544"/>
    <x v="52"/>
    <x v="1"/>
    <x v="55"/>
    <x v="1"/>
    <x v="22"/>
    <x v="33"/>
    <x v="119"/>
    <x v="37"/>
    <x v="1"/>
    <x v="11"/>
    <x v="33"/>
    <x v="6"/>
    <x v="0"/>
    <x v="0"/>
    <x v="0"/>
    <x v="1"/>
  </r>
  <r>
    <x v="5"/>
    <x v="545"/>
    <x v="84"/>
    <x v="1"/>
    <x v="72"/>
    <x v="1"/>
    <x v="22"/>
    <x v="113"/>
    <x v="88"/>
    <x v="113"/>
    <x v="17"/>
    <x v="59"/>
    <x v="36"/>
    <x v="6"/>
    <x v="0"/>
    <x v="0"/>
    <x v="0"/>
    <x v="1"/>
  </r>
  <r>
    <x v="5"/>
    <x v="546"/>
    <x v="39"/>
    <x v="1"/>
    <x v="57"/>
    <x v="0"/>
    <x v="22"/>
    <x v="14"/>
    <x v="120"/>
    <x v="15"/>
    <x v="65"/>
    <x v="100"/>
    <x v="96"/>
    <x v="6"/>
    <x v="0"/>
    <x v="0"/>
    <x v="0"/>
    <x v="0"/>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0" dataCaption="Values" useAutoFormatting="0" itemPrintTitles="1" indent="0" outline="1" outlineData="1" compact="0" compactData="0">
  <location ref="A3:M127" firstHeaderRow="1" firstDataRow="2" firstDataCol="2" rowPageCount="1" colPageCount="1"/>
  <pivotFields count="18">
    <pivotField compact="0" showAll="0"/>
    <pivotField compact="0" showAll="0"/>
    <pivotField compact="0" showAll="0"/>
    <pivotField axis="axisPage"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dataField="1" compact="0" showAll="0"/>
    <pivotField axis="axisRow" compact="0" showAll="0">
      <items count="25">
        <item x="0"/>
        <item x="2"/>
        <item x="1"/>
        <item x="3"/>
        <item x="4"/>
        <item x="5"/>
        <item x="6"/>
        <item x="7"/>
        <item x="8"/>
        <item x="9"/>
        <item x="10"/>
        <item x="11"/>
        <item x="12"/>
        <item x="13"/>
        <item x="15"/>
        <item x="16"/>
        <item x="17"/>
        <item x="14"/>
        <item x="18"/>
        <item x="19"/>
        <item x="20"/>
        <item x="21"/>
        <item x="22"/>
        <item x="23"/>
        <item t="default"/>
      </items>
    </pivotField>
    <pivotField compact="0" showAll="0"/>
    <pivotField compact="0" showAll="0"/>
    <pivotField compact="0" showAll="0"/>
    <pivotField compact="0" showAll="0"/>
    <pivotField compact="0" showAll="0"/>
    <pivotField compact="0" showAll="0"/>
    <pivotField axis="axisCol" compact="0" showAll="0">
      <items count="11">
        <item x="0"/>
        <item x="1"/>
        <item x="2"/>
        <item x="3"/>
        <item x="4"/>
        <item x="5"/>
        <item x="6"/>
        <item x="9"/>
        <item x="7"/>
        <item x="8"/>
        <item t="default"/>
      </items>
    </pivotField>
    <pivotField compact="0" showAll="0"/>
    <pivotField compact="0" showAll="0"/>
    <pivotField compact="0" showAll="0"/>
    <pivotField compact="0" showAll="0"/>
  </pivotFields>
  <rowFields count="2">
    <field x="6"/>
    <field x="4"/>
  </rowFields>
  <colFields count="1">
    <field x="13"/>
  </colFields>
  <pageFields count="1">
    <pageField fld="3" hier="-1"/>
  </pageFields>
  <dataFields count="1">
    <dataField name="Sum of Kom." fld="5" subtotal="sum" numFmtId="167"/>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DataPilot1" cacheId="2" applyNumberFormats="0" applyBorderFormats="0" applyFontFormats="0" applyPatternFormats="0" applyAlignmentFormats="0" applyWidthHeightFormats="0" dataCaption="Values" useAutoFormatting="0" itemPrintTitles="1" indent="0" outline="1" outlineData="1" compact="0" compactData="0">
  <location ref="A3:N127" firstHeaderRow="1" firstDataRow="2" firstDataCol="2" rowPageCount="1" colPageCount="1"/>
  <pivotFields count="18">
    <pivotField compact="0" showAll="0"/>
    <pivotField compact="0" showAll="0"/>
    <pivotField compact="0" showAll="0"/>
    <pivotField axis="axisPage" compact="0" showAll="0">
      <items count="18">
        <item x="0"/>
        <item x="2"/>
        <item x="3"/>
        <item x="4"/>
        <item x="5"/>
        <item x="6"/>
        <item x="7"/>
        <item x="8"/>
        <item x="9"/>
        <item x="11"/>
        <item x="12"/>
        <item x="13"/>
        <item x="14"/>
        <item x="15"/>
        <item x="16"/>
        <item x="10"/>
        <item x="1"/>
        <item t="default"/>
      </items>
    </pivotField>
    <pivotField axis="axisRow"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dataField="1" compact="0" showAll="0"/>
    <pivotField axis="axisRow" compact="0" showAll="0">
      <items count="25">
        <item x="0"/>
        <item x="2"/>
        <item x="1"/>
        <item x="3"/>
        <item x="4"/>
        <item x="5"/>
        <item x="6"/>
        <item x="7"/>
        <item x="8"/>
        <item x="9"/>
        <item x="10"/>
        <item x="11"/>
        <item x="12"/>
        <item x="13"/>
        <item x="15"/>
        <item x="16"/>
        <item x="17"/>
        <item x="14"/>
        <item x="18"/>
        <item x="19"/>
        <item x="20"/>
        <item x="21"/>
        <item x="22"/>
        <item x="23"/>
        <item t="default"/>
      </items>
    </pivotField>
    <pivotField compact="0" showAll="0"/>
    <pivotField compact="0" showAll="0"/>
    <pivotField compact="0" showAll="0"/>
    <pivotField compact="0" showAll="0"/>
    <pivotField compact="0" showAll="0"/>
    <pivotField compact="0" showAll="0"/>
    <pivotField axis="axisCol" compact="0" showAll="0">
      <items count="12">
        <item x="0"/>
        <item x="1"/>
        <item x="2"/>
        <item x="3"/>
        <item x="4"/>
        <item x="5"/>
        <item x="6"/>
        <item x="7"/>
        <item x="10"/>
        <item x="9"/>
        <item x="8"/>
        <item t="default"/>
      </items>
    </pivotField>
    <pivotField compact="0" showAll="0"/>
    <pivotField compact="0" showAll="0"/>
    <pivotField compact="0" showAll="0"/>
    <pivotField compact="0" showAll="0"/>
  </pivotFields>
  <rowFields count="2">
    <field x="6"/>
    <field x="4"/>
  </rowFields>
  <colFields count="1">
    <field x="13"/>
  </colFields>
  <pageFields count="1">
    <pageField fld="3" hier="-1"/>
  </pageFields>
  <dataFields count="1">
    <dataField name="Sum of Kom." fld="5" subtotal="sum" numFmtId="167"/>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le10" displayName="Table10" ref="A3:R117" headerRowCount="1" totalsRowCount="1" totalsRowShown="1">
  <tableColumns count="18">
    <tableColumn id="1" name="PPZ"/>
    <tableColumn id="2" name="ELO"/>
    <tableColumn id="3" name="ID"/>
    <tableColumn id="4" name="Tip opreme "/>
    <tableColumn id="5" name="Ustanove"/>
    <tableColumn id="6" name="Kom."/>
    <tableColumn id="7" name="Lokacija"/>
    <tableColumn id="8" name="Ime i prezime"/>
    <tableColumn id="9" name="Kontakt broj"/>
    <tableColumn id="10" name="e-mail"/>
    <tableColumn id="11" name="Matična adresa"/>
    <tableColumn id="12" name="Adresa/e isporuke"/>
    <tableColumn id="13" name="OIB"/>
    <tableColumn id="14" name="Isporuka na lokaciju "/>
    <tableColumn id="15" name="Montaža&#10;start"/>
    <tableColumn id="16" name="Montaža&#10;finish"/>
    <tableColumn id="17" name="Instalacija "/>
    <tableColumn id="18" name="Održavanje "/>
  </tableColumns>
</table>
</file>

<file path=xl/tables/table2.xml><?xml version="1.0" encoding="utf-8"?>
<table xmlns="http://schemas.openxmlformats.org/spreadsheetml/2006/main" id="2" name="Table17" displayName="Table17" ref="A3:R82" headerRowCount="1" totalsRowCount="1" totalsRowShown="1">
  <autoFilter ref="A3:R82"/>
  <tableColumns count="18">
    <tableColumn id="1" name="PPZ"/>
    <tableColumn id="2" name="ELO"/>
    <tableColumn id="3" name="ID"/>
    <tableColumn id="4" name="Tip opreme "/>
    <tableColumn id="5" name="Ustanove"/>
    <tableColumn id="6" name="Kom."/>
    <tableColumn id="7" name="Lokacija"/>
    <tableColumn id="8" name="Ime i prezime"/>
    <tableColumn id="9" name="Kontakt broj"/>
    <tableColumn id="10" name="e-mail"/>
    <tableColumn id="11" name="Matična adresa"/>
    <tableColumn id="12" name="Adresa/e isporuke"/>
    <tableColumn id="13" name="OIB"/>
    <tableColumn id="14" name="Isporuka na lokaciju "/>
    <tableColumn id="15" name="Montaža&#10;start"/>
    <tableColumn id="16" name="Montaža&#10;finish"/>
    <tableColumn id="17" name="Instalacija "/>
    <tableColumn id="18" name="Održavanje "/>
  </tableColumns>
</table>
</file>

<file path=xl/tables/table3.xml><?xml version="1.0" encoding="utf-8"?>
<table xmlns="http://schemas.openxmlformats.org/spreadsheetml/2006/main" id="3" name="Table2" displayName="Table2" ref="A3:R114" headerRowCount="1" totalsRowCount="1" totalsRowShown="1">
  <autoFilter ref="A3:R114">
    <filterColumn colId="3">
      <customFilters and="true">
        <customFilter operator="equal" val="Multimedijska oprema - Profesionalna web kamera"/>
      </customFilters>
    </filterColumn>
  </autoFilter>
  <tableColumns count="18">
    <tableColumn id="1" name="PPZ"/>
    <tableColumn id="2" name="Evid. liste"/>
    <tableColumn id="3" name="ID"/>
    <tableColumn id="4" name="Tip opreme "/>
    <tableColumn id="5" name="Ustanove"/>
    <tableColumn id="6" name="Kom."/>
    <tableColumn id="7" name="Lokacija"/>
    <tableColumn id="8" name="Ime i prezime"/>
    <tableColumn id="9" name="Kontakt broj"/>
    <tableColumn id="10" name="e-mail"/>
    <tableColumn id="11" name="Matična adresa"/>
    <tableColumn id="12" name="Adresa/e isporuke"/>
    <tableColumn id="13" name="OIB"/>
    <tableColumn id="14" name="Isporuka na lokaciju "/>
    <tableColumn id="15" name="Montaža&#10;start"/>
    <tableColumn id="16" name="Montaža&#10;finish"/>
    <tableColumn id="17" name="Instalacija "/>
    <tableColumn id="18" name="Održavanje "/>
  </tableColumns>
</table>
</file>

<file path=xl/tables/table4.xml><?xml version="1.0" encoding="utf-8"?>
<table xmlns="http://schemas.openxmlformats.org/spreadsheetml/2006/main" id="4" name="Table3" displayName="Table3" ref="A3:T66" headerRowCount="1" totalsRowCount="1" totalsRowShown="1">
  <autoFilter ref="A3:T66"/>
  <tableColumns count="20">
    <tableColumn id="1" name="PPZ"/>
    <tableColumn id="2" name="Evid. liste"/>
    <tableColumn id="3" name="Otpremnica"/>
    <tableColumn id="4" name="ID"/>
    <tableColumn id="5" name="Ustanove"/>
    <tableColumn id="6" name="Tip opreme "/>
    <tableColumn id="7" name="Kom."/>
    <tableColumn id="8" name="Lokacija"/>
    <tableColumn id="9" name="Ime i prezime"/>
    <tableColumn id="10" name="Kontakt broj"/>
    <tableColumn id="11" name="e-mail"/>
    <tableColumn id="12" name="Matična adresa"/>
    <tableColumn id="13" name="Adresa/e isporuke"/>
    <tableColumn id="14" name="OIB"/>
    <tableColumn id="15" name="Isporuka status"/>
    <tableColumn id="16" name="Isporuka na lokaciju "/>
    <tableColumn id="17" name="Montaža&#10;start"/>
    <tableColumn id="18" name="Montaža&#10;finish"/>
    <tableColumn id="19" name="Instalacija "/>
    <tableColumn id="20" name="Održavanje "/>
  </tableColumns>
</table>
</file>

<file path=xl/tables/table5.xml><?xml version="1.0" encoding="utf-8"?>
<table xmlns="http://schemas.openxmlformats.org/spreadsheetml/2006/main" id="5" name="Table4" displayName="Table4" ref="A3:R89" headerRowCount="1" totalsRowCount="1" totalsRowShown="1">
  <autoFilter ref="A3:R89">
    <filterColumn colId="4">
      <customFilters and="true">
        <customFilter operator="equal" val="Multimedijska oprema - Prezentacijski ekran (s uključenim stalkom) "/>
      </customFilters>
    </filterColumn>
  </autoFilter>
  <tableColumns count="18">
    <tableColumn id="1" name="PPZ"/>
    <tableColumn id="2" name="Evid. liste"/>
    <tableColumn id="3" name="ID"/>
    <tableColumn id="4" name="Ustanove"/>
    <tableColumn id="5" name="Tip opreme "/>
    <tableColumn id="6" name="Kom."/>
    <tableColumn id="7" name="Lokacija"/>
    <tableColumn id="8" name="Ime i prezime"/>
    <tableColumn id="9" name="Kontakt broj"/>
    <tableColumn id="10" name="e-mail"/>
    <tableColumn id="11" name="Matična adresa"/>
    <tableColumn id="12" name="Adresa/e isporuke"/>
    <tableColumn id="13" name="OIB"/>
    <tableColumn id="14" name="Isporuka na lokaciju "/>
    <tableColumn id="15" name="Montaža&#10;start"/>
    <tableColumn id="16" name="Montaža&#10;finish"/>
    <tableColumn id="17" name="Instalacija "/>
    <tableColumn id="18" name="Održavanje "/>
  </tableColumns>
</table>
</file>

<file path=xl/tables/table6.xml><?xml version="1.0" encoding="utf-8"?>
<table xmlns="http://schemas.openxmlformats.org/spreadsheetml/2006/main" id="6" name="Table5" displayName="Table5" ref="A3:R89" headerRowCount="1" totalsRowCount="1" totalsRowShown="1">
  <autoFilter ref="A3:R89">
    <filterColumn colId="3">
      <customFilters and="true">
        <customFilter operator="equal" val="Multimedijska oprema - Motorizirani stalak za zaslone "/>
      </customFilters>
    </filterColumn>
  </autoFilter>
  <tableColumns count="18">
    <tableColumn id="1" name="PPZ"/>
    <tableColumn id="2" name="Evid. liste"/>
    <tableColumn id="3" name="ID"/>
    <tableColumn id="4" name="Tip opreme "/>
    <tableColumn id="5" name="Ustanove"/>
    <tableColumn id="6" name="Kom."/>
    <tableColumn id="7" name="Lokacija"/>
    <tableColumn id="8" name="Ime i prezime"/>
    <tableColumn id="9" name="Kontakt broj"/>
    <tableColumn id="10" name="e-mail"/>
    <tableColumn id="11" name="Matična adresa"/>
    <tableColumn id="12" name="Adresa/e isporuke"/>
    <tableColumn id="13" name="OIB"/>
    <tableColumn id="14" name="Isporuka na lokaciju "/>
    <tableColumn id="15" name="Montaža&#10;start"/>
    <tableColumn id="16" name="Montaža&#10;finish"/>
    <tableColumn id="17" name="Instalacija "/>
    <tableColumn id="18" name="Održavanje "/>
  </tableColumns>
</table>
</file>

<file path=xl/tables/table7.xml><?xml version="1.0" encoding="utf-8"?>
<table xmlns="http://schemas.openxmlformats.org/spreadsheetml/2006/main" id="7" name="Table6" displayName="Table6" ref="A3:R78" headerRowCount="1" totalsRowCount="0" totalsRowShown="0">
  <autoFilter ref="A3:R78"/>
  <tableColumns count="18">
    <tableColumn id="1" name="PPZ"/>
    <tableColumn id="2" name="ELO"/>
    <tableColumn id="3" name="ID"/>
    <tableColumn id="4" name="Tip opreme "/>
    <tableColumn id="5" name="Ustanove"/>
    <tableColumn id="6" name="Kom."/>
    <tableColumn id="7" name="Lokacija"/>
    <tableColumn id="8" name="Ime i prezime"/>
    <tableColumn id="9" name="Kontakt broj"/>
    <tableColumn id="10" name="e-mail"/>
    <tableColumn id="11" name="Matična adresa"/>
    <tableColumn id="12" name="Adresa/e isporuke"/>
    <tableColumn id="13" name="OIB"/>
    <tableColumn id="14" name="Isporuka na lokaciju "/>
    <tableColumn id="15" name="Montaža&#10;start"/>
    <tableColumn id="16" name="Montaža&#10;finish"/>
    <tableColumn id="17" name="Instalacija "/>
    <tableColumn id="18" name="Održavanje "/>
  </tableColumns>
</table>
</file>

<file path=xl/tables/table8.xml><?xml version="1.0" encoding="utf-8"?>
<table xmlns="http://schemas.openxmlformats.org/spreadsheetml/2006/main" id="8" name="Table7" displayName="Table7" ref="A3:R98" headerRowCount="1" totalsRowCount="0" totalsRowShown="0">
  <autoFilter ref="A3:R98"/>
  <tableColumns count="18">
    <tableColumn id="1" name="PPZ"/>
    <tableColumn id="2" name="ELO"/>
    <tableColumn id="3" name="ID"/>
    <tableColumn id="4" name="Tip opreme "/>
    <tableColumn id="5" name="Ustanove"/>
    <tableColumn id="6" name="Kom."/>
    <tableColumn id="7" name="Lokacija"/>
    <tableColumn id="8" name="Ime i prezime"/>
    <tableColumn id="9" name="Kontakt broj"/>
    <tableColumn id="10" name="e-mail"/>
    <tableColumn id="11" name="Matična adresa"/>
    <tableColumn id="12" name="Adresa/e isporuke"/>
    <tableColumn id="13" name="OIB"/>
    <tableColumn id="14" name="Isporuka na lokaciju "/>
    <tableColumn id="15" name="Montaža&#10;start"/>
    <tableColumn id="16" name="Montaža&#10;finish"/>
    <tableColumn id="17" name="Instalacija "/>
    <tableColumn id="18" name="Održavanje "/>
  </tableColumns>
</table>
</file>

<file path=xl/worksheets/_rels/sheet1.xml.rels><?xml version="1.0" encoding="UTF-8"?>
<Relationships xmlns="http://schemas.openxmlformats.org/package/2006/relationships"><Relationship Id="rId1" Type="http://schemas.openxmlformats.org/officeDocument/2006/relationships/table" Target="../tables/table4.xml"/>
</Relationships>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7.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pivotTable" Target="../pivotTables/pivotTable1.xml"/>
</Relationships>
</file>

<file path=xl/worksheets/_rels/sheet6.xml.rels><?xml version="1.0" encoding="UTF-8"?>
<Relationships xmlns="http://schemas.openxmlformats.org/package/2006/relationships"><Relationship Id="rId1" Type="http://schemas.openxmlformats.org/officeDocument/2006/relationships/hyperlink" Target="mailto:nmarijanovic@unin.hr" TargetMode="External"/><Relationship Id="rId2" Type="http://schemas.openxmlformats.org/officeDocument/2006/relationships/hyperlink" Target="mailto:marko.roza@uniri.hr" TargetMode="External"/><Relationship Id="rId3" Type="http://schemas.openxmlformats.org/officeDocument/2006/relationships/hyperlink" Target="mailto:danka.jurjevic@uniri.hr" TargetMode="External"/><Relationship Id="rId4" Type="http://schemas.openxmlformats.org/officeDocument/2006/relationships/hyperlink" Target="mailto:djani@ttf.hr%0A" TargetMode="External"/><Relationship Id="rId5" Type="http://schemas.openxmlformats.org/officeDocument/2006/relationships/hyperlink" Target="mailto:informatika.zagreb@ufzg.hr" TargetMode="External"/><Relationship Id="rId6" Type="http://schemas.openxmlformats.org/officeDocument/2006/relationships/hyperlink" Target="mailto:luka.cvenic@aukos.hr" TargetMode="External"/><Relationship Id="rId7" Type="http://schemas.openxmlformats.org/officeDocument/2006/relationships/hyperlink" Target="mailto:barbara.sestan@uniri.hr%0A" TargetMode="External"/><Relationship Id="rId8" Type="http://schemas.openxmlformats.org/officeDocument/2006/relationships/hyperlink" Target="mailto:informatika.zagreb@ufzg.hr" TargetMode="External"/><Relationship Id="rId9" Type="http://schemas.openxmlformats.org/officeDocument/2006/relationships/hyperlink" Target="mailto:denis.hernaut@fer.hr" TargetMode="External"/><Relationship Id="rId10" Type="http://schemas.openxmlformats.org/officeDocument/2006/relationships/hyperlink" Target="mailto:informatika.zagreb@ufzg.hr" TargetMode="External"/><Relationship Id="rId11" Type="http://schemas.openxmlformats.org/officeDocument/2006/relationships/hyperlink" Target="mailto:stjepan.salkovic@vhzk.hr" TargetMode="External"/><Relationship Id="rId12" Type="http://schemas.openxmlformats.org/officeDocument/2006/relationships/hyperlink" Target="mailto:krunoslav.fuckor@pravo.hr," TargetMode="External"/><Relationship Id="rId13" Type="http://schemas.openxmlformats.org/officeDocument/2006/relationships/hyperlink" Target="mailto:kreso@gfos.hr" TargetMode="External"/><Relationship Id="rId14" Type="http://schemas.openxmlformats.org/officeDocument/2006/relationships/hyperlink" Target="mailto:stjepan.salkovic@vhzk.hr" TargetMode="External"/><Relationship Id="rId15" Type="http://schemas.openxmlformats.org/officeDocument/2006/relationships/hyperlink" Target="mailto:informatika.zagreb@ufzg.hr" TargetMode="External"/><Relationship Id="rId16" Type="http://schemas.openxmlformats.org/officeDocument/2006/relationships/hyperlink" Target="mailto:broncevic@nsk.hr" TargetMode="External"/>
</Relationships>
</file>

<file path=xl/worksheets/_rels/sheet7.xml.rels><?xml version="1.0" encoding="UTF-8"?>
<Relationships xmlns="http://schemas.openxmlformats.org/package/2006/relationships"><Relationship Id="rId1" Type="http://schemas.openxmlformats.org/officeDocument/2006/relationships/table" Target="../tables/table5.xml"/>
</Relationships>
</file>

<file path=xl/worksheets/_rels/sheet8.xml.rels><?xml version="1.0" encoding="UTF-8"?>
<Relationships xmlns="http://schemas.openxmlformats.org/package/2006/relationships"><Relationship Id="rId1" Type="http://schemas.openxmlformats.org/officeDocument/2006/relationships/table" Target="../tables/table6.xml"/>
</Relationships>
</file>

<file path=xl/worksheets/_rels/sheet9.xml.rels><?xml version="1.0" encoding="UTF-8"?>
<Relationships xmlns="http://schemas.openxmlformats.org/package/2006/relationships"><Relationship Id="rId1" Type="http://schemas.openxmlformats.org/officeDocument/2006/relationships/table" Target="../tables/table8.xml"/>
</Relationships>
</file>

<file path=xl/worksheets/_rels/sheet10.xml.rels><?xml version="1.0" encoding="UTF-8"?>
<Relationships xmlns="http://schemas.openxmlformats.org/package/2006/relationships"><Relationship Id="rId1" Type="http://schemas.openxmlformats.org/officeDocument/2006/relationships/table" Target="../tables/table2.xml"/>
</Relationships>
</file>

<file path=xl/worksheets/_rels/sheet11.xml.rels><?xml version="1.0" encoding="UTF-8"?>
<Relationships xmlns="http://schemas.openxmlformats.org/package/2006/relationships"><Relationship Id="rId1" Type="http://schemas.openxmlformats.org/officeDocument/2006/relationships/pivotTable" Target="../pivotTables/pivotTable2.xml"/>
</Relationships>
</file>

<file path=xl/worksheets/_rels/sheet12.xml.rels><?xml version="1.0" encoding="UTF-8"?>
<Relationships xmlns="http://schemas.openxmlformats.org/package/2006/relationships"><Relationship Id="rId1" Type="http://schemas.openxmlformats.org/officeDocument/2006/relationships/hyperlink" Target="mailto:mprahin@arhitekt.hr%0A" TargetMode="External"/><Relationship Id="rId2" Type="http://schemas.openxmlformats.org/officeDocument/2006/relationships/hyperlink" Target="mailto:nikola.kaniski@vhzk.hr%0A" TargetMode="External"/><Relationship Id="rId3" Type="http://schemas.openxmlformats.org/officeDocument/2006/relationships/hyperlink" Target="mailto:krunoslav.fuckor@pravo.hr," TargetMode="External"/><Relationship Id="rId4" Type="http://schemas.openxmlformats.org/officeDocument/2006/relationships/hyperlink" Target="mailto:nikola.kaniski@vhzk.hr%0A" TargetMode="External"/><Relationship Id="rId5" Type="http://schemas.openxmlformats.org/officeDocument/2006/relationships/hyperlink" Target="mailto:krunoslav.fuckor@pravo.hr," TargetMode="External"/><Relationship Id="rId6" Type="http://schemas.openxmlformats.org/officeDocument/2006/relationships/hyperlink" Target="mailto:krunoslav.fuckor@pravo.hr," TargetMode="External"/><Relationship Id="rId7" Type="http://schemas.openxmlformats.org/officeDocument/2006/relationships/hyperlink" Target="mailto:krunoslav.fuckor@pravo.hr," TargetMode="External"/><Relationship Id="rId8" Type="http://schemas.openxmlformats.org/officeDocument/2006/relationships/hyperlink" Target="mailto:informatika.zagreb@ufzg.hr" TargetMode="External"/><Relationship Id="rId9" Type="http://schemas.openxmlformats.org/officeDocument/2006/relationships/hyperlink" Target="mailto:nikola.kaniski@vhzk.h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66"/>
  <sheetViews>
    <sheetView showFormulas="false" showGridLines="true" showRowColHeaders="true" showZeros="true" rightToLeft="false" tabSelected="false" showOutlineSymbols="true" defaultGridColor="true" view="normal" topLeftCell="A42" colorId="64" zoomScale="100" zoomScaleNormal="100" zoomScalePageLayoutView="100" workbookViewId="0">
      <selection pane="topLeft" activeCell="D66" activeCellId="0" sqref="D66"/>
    </sheetView>
  </sheetViews>
  <sheetFormatPr defaultColWidth="8.859375" defaultRowHeight="15" zeroHeight="false" outlineLevelRow="0" outlineLevelCol="0"/>
  <cols>
    <col collapsed="false" customWidth="true" hidden="false" outlineLevel="0" max="1" min="1" style="0" width="9.28"/>
    <col collapsed="false" customWidth="true" hidden="false" outlineLevel="0" max="2" min="2" style="0" width="12.14"/>
    <col collapsed="false" customWidth="true" hidden="false" outlineLevel="0" max="3" min="3" style="0" width="22.43"/>
    <col collapsed="false" customWidth="true" hidden="false" outlineLevel="0" max="4" min="4" style="0" width="9.28"/>
    <col collapsed="false" customWidth="true" hidden="false" outlineLevel="0" max="5" min="5" style="0" width="58.72"/>
    <col collapsed="false" customWidth="true" hidden="false" outlineLevel="0" max="6" min="6" style="0" width="54.15"/>
    <col collapsed="false" customWidth="true" hidden="false" outlineLevel="0" max="8" min="8" style="0" width="9.28"/>
    <col collapsed="false" customWidth="true" hidden="false" outlineLevel="0" max="9" min="9" style="0" width="14.14"/>
    <col collapsed="false" customWidth="true" hidden="false" outlineLevel="0" max="10" min="10" style="0" width="28"/>
    <col collapsed="false" customWidth="true" hidden="false" outlineLevel="0" max="11" min="11" style="0" width="24.15"/>
    <col collapsed="false" customWidth="true" hidden="false" outlineLevel="0" max="12" min="12" style="0" width="52"/>
    <col collapsed="false" customWidth="true" hidden="false" outlineLevel="0" max="13" min="13" style="0" width="26.42"/>
    <col collapsed="false" customWidth="true" hidden="false" outlineLevel="0" max="14" min="14" style="0" width="57.72"/>
    <col collapsed="false" customWidth="true" hidden="false" outlineLevel="0" max="15" min="15" style="0" width="12"/>
    <col collapsed="false" customWidth="true" hidden="false" outlineLevel="0" max="16" min="16" style="0" width="17.14"/>
    <col collapsed="false" customWidth="true" hidden="false" outlineLevel="0" max="17" min="17" style="0" width="21.71"/>
    <col collapsed="false" customWidth="true" hidden="false" outlineLevel="0" max="18" min="18" style="0" width="14.85"/>
    <col collapsed="false" customWidth="true" hidden="false" outlineLevel="0" max="19" min="19" style="0" width="15.85"/>
    <col collapsed="false" customWidth="true" hidden="false" outlineLevel="0" max="20" min="20" style="0" width="12.85"/>
    <col collapsed="false" customWidth="true" hidden="false" outlineLevel="0" max="21" min="21" style="0" width="13.71"/>
  </cols>
  <sheetData>
    <row r="1" customFormat="false" ht="15" hidden="false" customHeight="false" outlineLevel="0" collapsed="false">
      <c r="A1" s="1" t="s">
        <v>0</v>
      </c>
      <c r="B1" s="2"/>
    </row>
    <row r="2" customFormat="false" ht="15" hidden="false" customHeight="false" outlineLevel="0" collapsed="false">
      <c r="B2" s="2"/>
    </row>
    <row r="3" customFormat="false" ht="15" hidden="false" customHeight="false" outlineLevel="0" collapsed="false">
      <c r="A3" s="3" t="s">
        <v>1</v>
      </c>
      <c r="B3" s="4" t="s">
        <v>2</v>
      </c>
      <c r="C3" s="5" t="s">
        <v>3</v>
      </c>
      <c r="D3" s="3" t="s">
        <v>4</v>
      </c>
      <c r="E3" s="3" t="s">
        <v>5</v>
      </c>
      <c r="F3" s="3" t="s">
        <v>6</v>
      </c>
      <c r="G3" s="3" t="s">
        <v>7</v>
      </c>
      <c r="H3" s="3" t="s">
        <v>8</v>
      </c>
      <c r="I3" s="3" t="s">
        <v>9</v>
      </c>
      <c r="J3" s="3" t="s">
        <v>10</v>
      </c>
      <c r="K3" s="3" t="s">
        <v>11</v>
      </c>
      <c r="L3" s="3" t="s">
        <v>12</v>
      </c>
      <c r="M3" s="3" t="s">
        <v>13</v>
      </c>
      <c r="N3" s="3" t="s">
        <v>14</v>
      </c>
      <c r="O3" s="3" t="s">
        <v>15</v>
      </c>
      <c r="P3" s="3" t="s">
        <v>16</v>
      </c>
      <c r="Q3" s="4" t="s">
        <v>17</v>
      </c>
      <c r="R3" s="4" t="s">
        <v>18</v>
      </c>
      <c r="S3" s="3" t="s">
        <v>19</v>
      </c>
      <c r="T3" s="3" t="s">
        <v>20</v>
      </c>
    </row>
    <row r="4" customFormat="false" ht="15" hidden="false" customHeight="false" outlineLevel="0" collapsed="false">
      <c r="B4" s="2" t="n">
        <v>1</v>
      </c>
      <c r="C4" s="5" t="n">
        <v>80086774</v>
      </c>
      <c r="D4" s="0" t="s">
        <v>21</v>
      </c>
      <c r="E4" s="0" t="s">
        <v>22</v>
      </c>
      <c r="F4" s="0" t="s">
        <v>23</v>
      </c>
      <c r="G4" s="0" t="n">
        <v>1</v>
      </c>
      <c r="H4" s="0" t="s">
        <v>24</v>
      </c>
      <c r="I4" s="0" t="s">
        <v>25</v>
      </c>
      <c r="J4" s="0" t="s">
        <v>26</v>
      </c>
      <c r="K4" s="0" t="s">
        <v>27</v>
      </c>
      <c r="L4" s="0" t="s">
        <v>28</v>
      </c>
      <c r="M4" s="0" t="s">
        <v>29</v>
      </c>
      <c r="N4" s="0" t="s">
        <v>30</v>
      </c>
      <c r="P4" s="6" t="n">
        <v>46104</v>
      </c>
      <c r="S4" s="0" t="s">
        <v>31</v>
      </c>
      <c r="T4" s="0" t="s">
        <v>31</v>
      </c>
    </row>
    <row r="5" customFormat="false" ht="36" hidden="false" customHeight="true" outlineLevel="0" collapsed="false">
      <c r="B5" s="2" t="s">
        <v>32</v>
      </c>
      <c r="C5" s="7" t="s">
        <v>33</v>
      </c>
      <c r="D5" s="0" t="s">
        <v>34</v>
      </c>
      <c r="E5" s="0" t="s">
        <v>35</v>
      </c>
      <c r="F5" s="0" t="s">
        <v>23</v>
      </c>
      <c r="G5" s="0" t="n">
        <v>2</v>
      </c>
      <c r="H5" s="0" t="s">
        <v>36</v>
      </c>
      <c r="I5" s="0" t="s">
        <v>37</v>
      </c>
      <c r="J5" s="0" t="s">
        <v>38</v>
      </c>
      <c r="K5" s="0" t="s">
        <v>39</v>
      </c>
      <c r="L5" s="0" t="s">
        <v>40</v>
      </c>
      <c r="M5" s="2" t="s">
        <v>41</v>
      </c>
      <c r="N5" s="0" t="s">
        <v>42</v>
      </c>
      <c r="P5" s="6" t="n">
        <v>46104</v>
      </c>
      <c r="S5" s="0" t="s">
        <v>31</v>
      </c>
      <c r="T5" s="0" t="s">
        <v>31</v>
      </c>
    </row>
    <row r="6" customFormat="false" ht="15" hidden="false" customHeight="false" outlineLevel="0" collapsed="false">
      <c r="B6" s="2" t="n">
        <v>3</v>
      </c>
      <c r="C6" s="5" t="n">
        <v>80086777</v>
      </c>
      <c r="D6" s="0" t="s">
        <v>43</v>
      </c>
      <c r="E6" s="0" t="s">
        <v>44</v>
      </c>
      <c r="F6" s="0" t="s">
        <v>23</v>
      </c>
      <c r="G6" s="0" t="n">
        <v>1</v>
      </c>
      <c r="H6" s="0" t="s">
        <v>24</v>
      </c>
      <c r="I6" s="0" t="s">
        <v>45</v>
      </c>
      <c r="J6" s="0" t="s">
        <v>46</v>
      </c>
      <c r="K6" s="0" t="s">
        <v>47</v>
      </c>
      <c r="L6" s="0" t="s">
        <v>48</v>
      </c>
      <c r="M6" s="0" t="s">
        <v>49</v>
      </c>
      <c r="N6" s="0" t="s">
        <v>50</v>
      </c>
      <c r="P6" s="6" t="n">
        <v>46104</v>
      </c>
      <c r="S6" s="0" t="s">
        <v>31</v>
      </c>
      <c r="T6" s="0" t="s">
        <v>31</v>
      </c>
    </row>
    <row r="7" customFormat="false" ht="15" hidden="false" customHeight="false" outlineLevel="0" collapsed="false">
      <c r="B7" s="2" t="n">
        <v>4</v>
      </c>
      <c r="C7" s="5" t="n">
        <v>80086778</v>
      </c>
      <c r="D7" s="0" t="s">
        <v>51</v>
      </c>
      <c r="E7" s="0" t="s">
        <v>52</v>
      </c>
      <c r="F7" s="0" t="s">
        <v>23</v>
      </c>
      <c r="G7" s="0" t="n">
        <v>1</v>
      </c>
      <c r="H7" s="0" t="s">
        <v>24</v>
      </c>
      <c r="I7" s="0" t="s">
        <v>53</v>
      </c>
      <c r="J7" s="0" t="s">
        <v>54</v>
      </c>
      <c r="K7" s="0" t="s">
        <v>55</v>
      </c>
      <c r="L7" s="0" t="s">
        <v>56</v>
      </c>
      <c r="M7" s="0" t="s">
        <v>57</v>
      </c>
      <c r="N7" s="0" t="s">
        <v>58</v>
      </c>
      <c r="P7" s="6" t="n">
        <v>46104</v>
      </c>
      <c r="S7" s="0" t="s">
        <v>31</v>
      </c>
      <c r="T7" s="0" t="s">
        <v>31</v>
      </c>
    </row>
    <row r="8" customFormat="false" ht="15" hidden="false" customHeight="false" outlineLevel="0" collapsed="false">
      <c r="B8" s="2" t="n">
        <v>5</v>
      </c>
      <c r="C8" s="5" t="n">
        <v>80086779</v>
      </c>
      <c r="D8" s="0" t="s">
        <v>59</v>
      </c>
      <c r="E8" s="0" t="s">
        <v>60</v>
      </c>
      <c r="F8" s="0" t="s">
        <v>23</v>
      </c>
      <c r="G8" s="0" t="n">
        <v>1</v>
      </c>
      <c r="H8" s="0" t="s">
        <v>61</v>
      </c>
      <c r="I8" s="0" t="s">
        <v>62</v>
      </c>
      <c r="J8" s="0" t="s">
        <v>63</v>
      </c>
      <c r="K8" s="0" t="s">
        <v>64</v>
      </c>
      <c r="L8" s="0" t="s">
        <v>65</v>
      </c>
      <c r="M8" s="0" t="s">
        <v>66</v>
      </c>
      <c r="N8" s="0" t="s">
        <v>67</v>
      </c>
      <c r="P8" s="6" t="n">
        <v>46104</v>
      </c>
      <c r="S8" s="0" t="s">
        <v>31</v>
      </c>
      <c r="T8" s="0" t="s">
        <v>31</v>
      </c>
    </row>
    <row r="9" customFormat="false" ht="15" hidden="false" customHeight="false" outlineLevel="0" collapsed="false">
      <c r="B9" s="2" t="n">
        <v>6</v>
      </c>
      <c r="C9" s="5" t="n">
        <v>80086780</v>
      </c>
      <c r="D9" s="0" t="s">
        <v>68</v>
      </c>
      <c r="E9" s="0" t="s">
        <v>69</v>
      </c>
      <c r="F9" s="0" t="s">
        <v>23</v>
      </c>
      <c r="G9" s="0" t="n">
        <v>1</v>
      </c>
      <c r="H9" s="0" t="s">
        <v>61</v>
      </c>
      <c r="I9" s="0" t="s">
        <v>70</v>
      </c>
      <c r="J9" s="0" t="s">
        <v>71</v>
      </c>
      <c r="K9" s="0" t="s">
        <v>72</v>
      </c>
      <c r="L9" s="0" t="s">
        <v>73</v>
      </c>
      <c r="M9" s="0" t="s">
        <v>73</v>
      </c>
      <c r="N9" s="0" t="s">
        <v>74</v>
      </c>
      <c r="P9" s="6" t="n">
        <v>46104</v>
      </c>
      <c r="S9" s="0" t="s">
        <v>31</v>
      </c>
      <c r="T9" s="0" t="s">
        <v>31</v>
      </c>
    </row>
    <row r="10" customFormat="false" ht="15" hidden="false" customHeight="false" outlineLevel="0" collapsed="false">
      <c r="B10" s="2" t="n">
        <v>7</v>
      </c>
      <c r="C10" s="5" t="n">
        <v>80086782</v>
      </c>
      <c r="D10" s="0" t="s">
        <v>75</v>
      </c>
      <c r="E10" s="0" t="s">
        <v>76</v>
      </c>
      <c r="F10" s="0" t="s">
        <v>23</v>
      </c>
      <c r="G10" s="0" t="n">
        <v>1</v>
      </c>
      <c r="H10" s="0" t="s">
        <v>77</v>
      </c>
      <c r="I10" s="0" t="s">
        <v>78</v>
      </c>
      <c r="J10" s="0" t="s">
        <v>79</v>
      </c>
      <c r="K10" s="0" t="s">
        <v>80</v>
      </c>
      <c r="L10" s="0" t="s">
        <v>81</v>
      </c>
      <c r="M10" s="0" t="s">
        <v>82</v>
      </c>
      <c r="N10" s="0" t="s">
        <v>83</v>
      </c>
      <c r="P10" s="6" t="n">
        <v>46104</v>
      </c>
      <c r="S10" s="0" t="s">
        <v>31</v>
      </c>
      <c r="T10" s="0" t="s">
        <v>84</v>
      </c>
    </row>
    <row r="11" customFormat="false" ht="15" hidden="false" customHeight="false" outlineLevel="0" collapsed="false">
      <c r="B11" s="2" t="n">
        <v>8</v>
      </c>
      <c r="C11" s="5" t="n">
        <v>80086784</v>
      </c>
      <c r="D11" s="0" t="s">
        <v>85</v>
      </c>
      <c r="E11" s="0" t="s">
        <v>86</v>
      </c>
      <c r="F11" s="0" t="s">
        <v>23</v>
      </c>
      <c r="G11" s="0" t="n">
        <v>1</v>
      </c>
      <c r="H11" s="0" t="s">
        <v>87</v>
      </c>
      <c r="I11" s="0" t="s">
        <v>88</v>
      </c>
      <c r="J11" s="0" t="s">
        <v>89</v>
      </c>
      <c r="K11" s="0" t="s">
        <v>90</v>
      </c>
      <c r="L11" s="0" t="s">
        <v>91</v>
      </c>
      <c r="M11" s="0" t="s">
        <v>92</v>
      </c>
      <c r="N11" s="0" t="s">
        <v>93</v>
      </c>
      <c r="P11" s="6" t="n">
        <v>46104</v>
      </c>
      <c r="S11" s="0" t="s">
        <v>31</v>
      </c>
      <c r="T11" s="0" t="s">
        <v>84</v>
      </c>
    </row>
    <row r="12" customFormat="false" ht="15" hidden="false" customHeight="false" outlineLevel="0" collapsed="false">
      <c r="B12" s="2" t="n">
        <v>9</v>
      </c>
      <c r="C12" s="5" t="n">
        <v>80086785</v>
      </c>
      <c r="D12" s="0" t="s">
        <v>94</v>
      </c>
      <c r="E12" s="0" t="s">
        <v>95</v>
      </c>
      <c r="F12" s="0" t="s">
        <v>23</v>
      </c>
      <c r="G12" s="0" t="n">
        <v>1</v>
      </c>
      <c r="H12" s="0" t="s">
        <v>36</v>
      </c>
      <c r="I12" s="0" t="s">
        <v>96</v>
      </c>
      <c r="J12" s="0" t="s">
        <v>97</v>
      </c>
      <c r="K12" s="0" t="s">
        <v>98</v>
      </c>
      <c r="L12" s="0" t="s">
        <v>99</v>
      </c>
      <c r="M12" s="0" t="s">
        <v>100</v>
      </c>
      <c r="N12" s="0" t="s">
        <v>101</v>
      </c>
      <c r="P12" s="6" t="n">
        <v>46104</v>
      </c>
      <c r="S12" s="0" t="s">
        <v>31</v>
      </c>
      <c r="T12" s="0" t="s">
        <v>31</v>
      </c>
    </row>
    <row r="13" customFormat="false" ht="15" hidden="false" customHeight="false" outlineLevel="0" collapsed="false">
      <c r="B13" s="2" t="n">
        <v>10</v>
      </c>
      <c r="C13" s="5" t="n">
        <v>80086786</v>
      </c>
      <c r="D13" s="0" t="s">
        <v>102</v>
      </c>
      <c r="E13" s="0" t="s">
        <v>103</v>
      </c>
      <c r="F13" s="0" t="s">
        <v>23</v>
      </c>
      <c r="G13" s="0" t="n">
        <v>1</v>
      </c>
      <c r="H13" s="0" t="s">
        <v>61</v>
      </c>
      <c r="I13" s="0" t="s">
        <v>104</v>
      </c>
      <c r="J13" s="0" t="s">
        <v>105</v>
      </c>
      <c r="K13" s="0" t="s">
        <v>106</v>
      </c>
      <c r="L13" s="0" t="s">
        <v>107</v>
      </c>
      <c r="M13" s="0" t="s">
        <v>107</v>
      </c>
      <c r="N13" s="0" t="s">
        <v>108</v>
      </c>
      <c r="P13" s="6" t="n">
        <v>46104</v>
      </c>
      <c r="S13" s="0" t="s">
        <v>31</v>
      </c>
      <c r="T13" s="0" t="s">
        <v>84</v>
      </c>
    </row>
    <row r="14" customFormat="false" ht="15" hidden="false" customHeight="false" outlineLevel="0" collapsed="false">
      <c r="B14" s="2" t="n">
        <v>11</v>
      </c>
      <c r="C14" s="5" t="n">
        <v>80086791</v>
      </c>
      <c r="D14" s="0" t="s">
        <v>109</v>
      </c>
      <c r="E14" s="0" t="s">
        <v>110</v>
      </c>
      <c r="F14" s="0" t="s">
        <v>23</v>
      </c>
      <c r="G14" s="0" t="n">
        <v>1</v>
      </c>
      <c r="H14" s="0" t="s">
        <v>111</v>
      </c>
      <c r="I14" s="0" t="s">
        <v>112</v>
      </c>
      <c r="J14" s="0" t="s">
        <v>113</v>
      </c>
      <c r="K14" s="0" t="s">
        <v>114</v>
      </c>
      <c r="L14" s="0" t="s">
        <v>115</v>
      </c>
      <c r="M14" s="0" t="s">
        <v>115</v>
      </c>
      <c r="N14" s="0" t="s">
        <v>116</v>
      </c>
      <c r="P14" s="6" t="n">
        <v>46104</v>
      </c>
      <c r="S14" s="0" t="s">
        <v>31</v>
      </c>
      <c r="T14" s="0" t="s">
        <v>84</v>
      </c>
    </row>
    <row r="15" customFormat="false" ht="15" hidden="false" customHeight="false" outlineLevel="0" collapsed="false">
      <c r="B15" s="2" t="n">
        <v>12</v>
      </c>
      <c r="C15" s="5" t="n">
        <v>80086793</v>
      </c>
      <c r="D15" s="0" t="s">
        <v>117</v>
      </c>
      <c r="E15" s="0" t="s">
        <v>118</v>
      </c>
      <c r="F15" s="0" t="s">
        <v>23</v>
      </c>
      <c r="G15" s="0" t="n">
        <v>1</v>
      </c>
      <c r="H15" s="0" t="s">
        <v>24</v>
      </c>
      <c r="I15" s="0" t="s">
        <v>119</v>
      </c>
      <c r="J15" s="0" t="s">
        <v>120</v>
      </c>
      <c r="K15" s="0" t="s">
        <v>121</v>
      </c>
      <c r="L15" s="0" t="s">
        <v>122</v>
      </c>
      <c r="M15" s="0" t="s">
        <v>123</v>
      </c>
      <c r="N15" s="0" t="s">
        <v>124</v>
      </c>
      <c r="P15" s="6" t="n">
        <v>46104</v>
      </c>
      <c r="S15" s="0" t="s">
        <v>31</v>
      </c>
      <c r="T15" s="0" t="s">
        <v>31</v>
      </c>
    </row>
    <row r="16" customFormat="false" ht="15" hidden="false" customHeight="false" outlineLevel="0" collapsed="false">
      <c r="B16" s="2" t="n">
        <v>13</v>
      </c>
      <c r="C16" s="5" t="n">
        <v>80086794</v>
      </c>
      <c r="D16" s="0" t="s">
        <v>125</v>
      </c>
      <c r="E16" s="0" t="s">
        <v>126</v>
      </c>
      <c r="F16" s="0" t="s">
        <v>23</v>
      </c>
      <c r="G16" s="0" t="n">
        <v>1</v>
      </c>
      <c r="H16" s="0" t="s">
        <v>127</v>
      </c>
      <c r="I16" s="0" t="s">
        <v>128</v>
      </c>
      <c r="J16" s="0" t="s">
        <v>129</v>
      </c>
      <c r="K16" s="0" t="s">
        <v>130</v>
      </c>
      <c r="L16" s="0" t="s">
        <v>131</v>
      </c>
      <c r="M16" s="0" t="s">
        <v>132</v>
      </c>
      <c r="N16" s="0" t="s">
        <v>133</v>
      </c>
      <c r="P16" s="6" t="n">
        <v>46104</v>
      </c>
      <c r="S16" s="0" t="s">
        <v>31</v>
      </c>
      <c r="T16" s="0" t="s">
        <v>84</v>
      </c>
    </row>
    <row r="17" customFormat="false" ht="15" hidden="false" customHeight="false" outlineLevel="0" collapsed="false">
      <c r="B17" s="2" t="n">
        <v>14</v>
      </c>
      <c r="C17" s="5" t="n">
        <v>80086795</v>
      </c>
      <c r="D17" s="0" t="s">
        <v>134</v>
      </c>
      <c r="E17" s="0" t="s">
        <v>135</v>
      </c>
      <c r="F17" s="0" t="s">
        <v>23</v>
      </c>
      <c r="G17" s="0" t="n">
        <v>1</v>
      </c>
      <c r="H17" s="0" t="s">
        <v>24</v>
      </c>
      <c r="I17" s="0" t="s">
        <v>136</v>
      </c>
      <c r="J17" s="0" t="s">
        <v>137</v>
      </c>
      <c r="K17" s="0" t="s">
        <v>138</v>
      </c>
      <c r="L17" s="0" t="s">
        <v>139</v>
      </c>
      <c r="M17" s="0" t="s">
        <v>140</v>
      </c>
      <c r="N17" s="0" t="s">
        <v>141</v>
      </c>
      <c r="P17" s="6" t="n">
        <v>46104</v>
      </c>
      <c r="S17" s="0" t="s">
        <v>31</v>
      </c>
      <c r="T17" s="0" t="s">
        <v>31</v>
      </c>
    </row>
    <row r="18" customFormat="false" ht="15" hidden="false" customHeight="false" outlineLevel="0" collapsed="false">
      <c r="B18" s="2" t="n">
        <v>15</v>
      </c>
      <c r="C18" s="5" t="n">
        <v>80086796</v>
      </c>
      <c r="D18" s="0" t="s">
        <v>142</v>
      </c>
      <c r="E18" s="0" t="s">
        <v>143</v>
      </c>
      <c r="F18" s="0" t="s">
        <v>23</v>
      </c>
      <c r="G18" s="0" t="n">
        <v>1</v>
      </c>
      <c r="H18" s="0" t="s">
        <v>61</v>
      </c>
      <c r="I18" s="0" t="s">
        <v>144</v>
      </c>
      <c r="J18" s="0" t="s">
        <v>145</v>
      </c>
      <c r="K18" s="0" t="s">
        <v>146</v>
      </c>
      <c r="L18" s="0" t="s">
        <v>147</v>
      </c>
      <c r="M18" s="0" t="s">
        <v>148</v>
      </c>
      <c r="N18" s="0" t="s">
        <v>149</v>
      </c>
      <c r="P18" s="6" t="n">
        <v>46104</v>
      </c>
      <c r="S18" s="0" t="s">
        <v>31</v>
      </c>
      <c r="T18" s="0" t="s">
        <v>84</v>
      </c>
    </row>
    <row r="19" customFormat="false" ht="15" hidden="false" customHeight="false" outlineLevel="0" collapsed="false">
      <c r="B19" s="2" t="n">
        <v>16</v>
      </c>
      <c r="C19" s="5" t="n">
        <v>80086797</v>
      </c>
      <c r="D19" s="0" t="s">
        <v>150</v>
      </c>
      <c r="E19" s="0" t="s">
        <v>151</v>
      </c>
      <c r="F19" s="0" t="s">
        <v>23</v>
      </c>
      <c r="G19" s="0" t="n">
        <v>1</v>
      </c>
      <c r="H19" s="0" t="s">
        <v>152</v>
      </c>
      <c r="I19" s="0" t="s">
        <v>153</v>
      </c>
      <c r="J19" s="0" t="s">
        <v>154</v>
      </c>
      <c r="K19" s="0" t="s">
        <v>155</v>
      </c>
      <c r="L19" s="0" t="s">
        <v>156</v>
      </c>
      <c r="M19" s="0" t="s">
        <v>157</v>
      </c>
      <c r="N19" s="0" t="s">
        <v>158</v>
      </c>
      <c r="P19" s="6" t="n">
        <v>46104</v>
      </c>
      <c r="S19" s="0" t="s">
        <v>31</v>
      </c>
      <c r="T19" s="0" t="s">
        <v>84</v>
      </c>
    </row>
    <row r="20" customFormat="false" ht="15" hidden="false" customHeight="false" outlineLevel="0" collapsed="false">
      <c r="B20" s="2" t="n">
        <v>17</v>
      </c>
      <c r="C20" s="5" t="n">
        <v>80086798</v>
      </c>
      <c r="D20" s="0" t="s">
        <v>159</v>
      </c>
      <c r="E20" s="0" t="s">
        <v>160</v>
      </c>
      <c r="F20" s="0" t="s">
        <v>23</v>
      </c>
      <c r="G20" s="0" t="n">
        <v>1</v>
      </c>
      <c r="H20" s="0" t="s">
        <v>61</v>
      </c>
      <c r="I20" s="0" t="s">
        <v>161</v>
      </c>
      <c r="J20" s="0" t="s">
        <v>162</v>
      </c>
      <c r="K20" s="0" t="s">
        <v>163</v>
      </c>
      <c r="L20" s="0" t="s">
        <v>164</v>
      </c>
      <c r="M20" s="0" t="s">
        <v>164</v>
      </c>
      <c r="N20" s="0" t="s">
        <v>165</v>
      </c>
      <c r="P20" s="6" t="n">
        <v>46104</v>
      </c>
      <c r="S20" s="0" t="s">
        <v>31</v>
      </c>
      <c r="T20" s="0" t="s">
        <v>31</v>
      </c>
    </row>
    <row r="21" customFormat="false" ht="15" hidden="false" customHeight="false" outlineLevel="0" collapsed="false">
      <c r="B21" s="2" t="n">
        <v>18</v>
      </c>
      <c r="C21" s="5" t="n">
        <v>80086799</v>
      </c>
      <c r="D21" s="0" t="s">
        <v>166</v>
      </c>
      <c r="E21" s="0" t="s">
        <v>167</v>
      </c>
      <c r="F21" s="0" t="s">
        <v>23</v>
      </c>
      <c r="G21" s="0" t="n">
        <v>1</v>
      </c>
      <c r="H21" s="0" t="s">
        <v>61</v>
      </c>
      <c r="I21" s="0" t="s">
        <v>168</v>
      </c>
      <c r="J21" s="0" t="s">
        <v>169</v>
      </c>
      <c r="K21" s="0" t="s">
        <v>170</v>
      </c>
      <c r="L21" s="0" t="s">
        <v>171</v>
      </c>
      <c r="M21" s="0" t="s">
        <v>172</v>
      </c>
      <c r="N21" s="0" t="s">
        <v>173</v>
      </c>
      <c r="P21" s="6" t="n">
        <v>46104</v>
      </c>
      <c r="S21" s="0" t="s">
        <v>31</v>
      </c>
      <c r="T21" s="0" t="s">
        <v>84</v>
      </c>
    </row>
    <row r="22" customFormat="false" ht="15" hidden="false" customHeight="false" outlineLevel="0" collapsed="false">
      <c r="B22" s="2" t="n">
        <v>19</v>
      </c>
      <c r="C22" s="5" t="n">
        <v>80086800</v>
      </c>
      <c r="D22" s="0" t="s">
        <v>174</v>
      </c>
      <c r="E22" s="0" t="s">
        <v>175</v>
      </c>
      <c r="F22" s="0" t="s">
        <v>23</v>
      </c>
      <c r="G22" s="0" t="n">
        <v>1</v>
      </c>
      <c r="H22" s="0" t="s">
        <v>152</v>
      </c>
      <c r="I22" s="0" t="s">
        <v>176</v>
      </c>
      <c r="J22" s="0" t="s">
        <v>177</v>
      </c>
      <c r="K22" s="0" t="s">
        <v>178</v>
      </c>
      <c r="L22" s="0" t="s">
        <v>179</v>
      </c>
      <c r="M22" s="0" t="s">
        <v>180</v>
      </c>
      <c r="N22" s="0" t="s">
        <v>181</v>
      </c>
      <c r="P22" s="6" t="n">
        <v>46104</v>
      </c>
      <c r="S22" s="0" t="s">
        <v>31</v>
      </c>
      <c r="T22" s="0" t="s">
        <v>84</v>
      </c>
    </row>
    <row r="23" customFormat="false" ht="15" hidden="false" customHeight="false" outlineLevel="0" collapsed="false">
      <c r="B23" s="2" t="n">
        <v>20</v>
      </c>
      <c r="C23" s="5" t="n">
        <v>80086801</v>
      </c>
      <c r="D23" s="0" t="s">
        <v>182</v>
      </c>
      <c r="E23" s="0" t="s">
        <v>183</v>
      </c>
      <c r="F23" s="0" t="s">
        <v>23</v>
      </c>
      <c r="G23" s="0" t="n">
        <v>1</v>
      </c>
      <c r="H23" s="0" t="s">
        <v>111</v>
      </c>
      <c r="I23" s="0" t="s">
        <v>184</v>
      </c>
      <c r="J23" s="0" t="s">
        <v>185</v>
      </c>
      <c r="K23" s="0" t="s">
        <v>186</v>
      </c>
      <c r="L23" s="0" t="s">
        <v>187</v>
      </c>
      <c r="M23" s="0" t="s">
        <v>188</v>
      </c>
      <c r="N23" s="0" t="s">
        <v>189</v>
      </c>
      <c r="P23" s="6" t="n">
        <v>46104</v>
      </c>
      <c r="S23" s="0" t="s">
        <v>31</v>
      </c>
      <c r="T23" s="0" t="s">
        <v>84</v>
      </c>
    </row>
    <row r="24" customFormat="false" ht="15" hidden="false" customHeight="false" outlineLevel="0" collapsed="false">
      <c r="B24" s="2" t="n">
        <v>21</v>
      </c>
      <c r="C24" s="5" t="n">
        <v>80086802</v>
      </c>
      <c r="D24" s="0" t="s">
        <v>190</v>
      </c>
      <c r="E24" s="0" t="s">
        <v>191</v>
      </c>
      <c r="F24" s="0" t="s">
        <v>23</v>
      </c>
      <c r="G24" s="0" t="n">
        <v>1</v>
      </c>
      <c r="H24" s="0" t="s">
        <v>24</v>
      </c>
      <c r="I24" s="0" t="s">
        <v>192</v>
      </c>
      <c r="J24" s="0" t="s">
        <v>193</v>
      </c>
      <c r="K24" s="0" t="s">
        <v>194</v>
      </c>
      <c r="L24" s="0" t="s">
        <v>195</v>
      </c>
      <c r="M24" s="0" t="s">
        <v>196</v>
      </c>
      <c r="N24" s="0" t="s">
        <v>197</v>
      </c>
      <c r="P24" s="6" t="n">
        <v>46104</v>
      </c>
      <c r="S24" s="0" t="s">
        <v>31</v>
      </c>
      <c r="T24" s="0" t="s">
        <v>31</v>
      </c>
    </row>
    <row r="25" customFormat="false" ht="15" hidden="false" customHeight="false" outlineLevel="0" collapsed="false">
      <c r="B25" s="2" t="n">
        <v>22</v>
      </c>
      <c r="C25" s="5" t="n">
        <v>80086804</v>
      </c>
      <c r="D25" s="0" t="s">
        <v>198</v>
      </c>
      <c r="E25" s="0" t="s">
        <v>199</v>
      </c>
      <c r="F25" s="0" t="s">
        <v>23</v>
      </c>
      <c r="G25" s="0" t="n">
        <v>1</v>
      </c>
      <c r="H25" s="0" t="s">
        <v>200</v>
      </c>
      <c r="I25" s="0" t="s">
        <v>201</v>
      </c>
      <c r="J25" s="0" t="s">
        <v>202</v>
      </c>
      <c r="K25" s="0" t="s">
        <v>203</v>
      </c>
      <c r="L25" s="0" t="s">
        <v>204</v>
      </c>
      <c r="M25" s="0" t="s">
        <v>205</v>
      </c>
      <c r="N25" s="0" t="s">
        <v>206</v>
      </c>
      <c r="P25" s="6" t="n">
        <v>46104</v>
      </c>
      <c r="S25" s="0" t="s">
        <v>31</v>
      </c>
      <c r="T25" s="0" t="s">
        <v>84</v>
      </c>
    </row>
    <row r="26" customFormat="false" ht="15" hidden="false" customHeight="false" outlineLevel="0" collapsed="false">
      <c r="B26" s="2" t="n">
        <v>23</v>
      </c>
      <c r="C26" s="5" t="n">
        <v>80086805</v>
      </c>
      <c r="D26" s="0" t="s">
        <v>207</v>
      </c>
      <c r="E26" s="0" t="s">
        <v>208</v>
      </c>
      <c r="F26" s="0" t="s">
        <v>23</v>
      </c>
      <c r="G26" s="0" t="n">
        <v>1</v>
      </c>
      <c r="H26" s="0" t="s">
        <v>61</v>
      </c>
      <c r="I26" s="0" t="s">
        <v>209</v>
      </c>
      <c r="J26" s="0" t="s">
        <v>210</v>
      </c>
      <c r="K26" s="0" t="s">
        <v>211</v>
      </c>
      <c r="L26" s="0" t="s">
        <v>212</v>
      </c>
      <c r="M26" s="0" t="s">
        <v>213</v>
      </c>
      <c r="N26" s="0" t="s">
        <v>214</v>
      </c>
      <c r="P26" s="6" t="n">
        <v>46104</v>
      </c>
      <c r="S26" s="0" t="s">
        <v>31</v>
      </c>
      <c r="T26" s="0" t="s">
        <v>31</v>
      </c>
    </row>
    <row r="27" customFormat="false" ht="15" hidden="false" customHeight="false" outlineLevel="0" collapsed="false">
      <c r="B27" s="2" t="n">
        <v>24</v>
      </c>
      <c r="C27" s="5" t="n">
        <v>80086806</v>
      </c>
      <c r="D27" s="0" t="s">
        <v>215</v>
      </c>
      <c r="E27" s="0" t="s">
        <v>216</v>
      </c>
      <c r="F27" s="0" t="s">
        <v>23</v>
      </c>
      <c r="G27" s="0" t="n">
        <v>1</v>
      </c>
      <c r="H27" s="0" t="s">
        <v>24</v>
      </c>
      <c r="I27" s="0" t="s">
        <v>217</v>
      </c>
      <c r="J27" s="0" t="s">
        <v>218</v>
      </c>
      <c r="K27" s="0" t="s">
        <v>219</v>
      </c>
      <c r="L27" s="0" t="s">
        <v>220</v>
      </c>
      <c r="M27" s="0" t="s">
        <v>221</v>
      </c>
      <c r="N27" s="0" t="s">
        <v>222</v>
      </c>
      <c r="P27" s="6" t="n">
        <v>46104</v>
      </c>
      <c r="S27" s="0" t="s">
        <v>31</v>
      </c>
      <c r="T27" s="0" t="s">
        <v>31</v>
      </c>
    </row>
    <row r="28" customFormat="false" ht="15" hidden="false" customHeight="false" outlineLevel="0" collapsed="false">
      <c r="B28" s="2" t="n">
        <v>25</v>
      </c>
      <c r="C28" s="5" t="n">
        <v>80086807</v>
      </c>
      <c r="D28" s="0" t="s">
        <v>223</v>
      </c>
      <c r="E28" s="0" t="s">
        <v>224</v>
      </c>
      <c r="F28" s="0" t="s">
        <v>23</v>
      </c>
      <c r="G28" s="0" t="n">
        <v>1</v>
      </c>
      <c r="H28" s="0" t="s">
        <v>61</v>
      </c>
      <c r="I28" s="0" t="s">
        <v>225</v>
      </c>
      <c r="J28" s="0" t="s">
        <v>226</v>
      </c>
      <c r="K28" s="0" t="s">
        <v>227</v>
      </c>
      <c r="L28" s="0" t="s">
        <v>228</v>
      </c>
      <c r="M28" s="0" t="s">
        <v>229</v>
      </c>
      <c r="N28" s="0" t="s">
        <v>230</v>
      </c>
      <c r="P28" s="6" t="n">
        <v>46104</v>
      </c>
      <c r="S28" s="0" t="s">
        <v>31</v>
      </c>
      <c r="T28" s="0" t="s">
        <v>31</v>
      </c>
    </row>
    <row r="29" customFormat="false" ht="30" hidden="false" customHeight="true" outlineLevel="0" collapsed="false">
      <c r="B29" s="2" t="n">
        <v>26</v>
      </c>
      <c r="C29" s="5" t="n">
        <v>80086809</v>
      </c>
      <c r="D29" s="0" t="s">
        <v>231</v>
      </c>
      <c r="E29" s="0" t="s">
        <v>232</v>
      </c>
      <c r="F29" s="0" t="s">
        <v>23</v>
      </c>
      <c r="G29" s="0" t="n">
        <v>1</v>
      </c>
      <c r="H29" s="0" t="s">
        <v>61</v>
      </c>
      <c r="I29" s="2" t="s">
        <v>233</v>
      </c>
      <c r="J29" s="2" t="s">
        <v>234</v>
      </c>
      <c r="K29" s="2" t="s">
        <v>235</v>
      </c>
      <c r="L29" s="0" t="s">
        <v>236</v>
      </c>
      <c r="M29" s="2" t="s">
        <v>237</v>
      </c>
      <c r="N29" s="0" t="s">
        <v>238</v>
      </c>
      <c r="P29" s="6" t="n">
        <v>46104</v>
      </c>
      <c r="S29" s="0" t="s">
        <v>31</v>
      </c>
      <c r="T29" s="0" t="s">
        <v>84</v>
      </c>
    </row>
    <row r="30" customFormat="false" ht="15" hidden="false" customHeight="false" outlineLevel="0" collapsed="false">
      <c r="B30" s="2" t="n">
        <v>27</v>
      </c>
      <c r="C30" s="5" t="n">
        <v>80086810</v>
      </c>
      <c r="D30" s="0" t="s">
        <v>239</v>
      </c>
      <c r="E30" s="0" t="s">
        <v>240</v>
      </c>
      <c r="F30" s="0" t="s">
        <v>23</v>
      </c>
      <c r="G30" s="0" t="n">
        <v>1</v>
      </c>
      <c r="H30" s="0" t="s">
        <v>24</v>
      </c>
      <c r="I30" s="0" t="s">
        <v>241</v>
      </c>
      <c r="J30" s="0" t="s">
        <v>242</v>
      </c>
      <c r="K30" s="0" t="s">
        <v>243</v>
      </c>
      <c r="L30" s="0" t="s">
        <v>244</v>
      </c>
      <c r="M30" s="0" t="s">
        <v>245</v>
      </c>
      <c r="N30" s="0" t="s">
        <v>246</v>
      </c>
      <c r="P30" s="6" t="n">
        <v>46104</v>
      </c>
      <c r="S30" s="0" t="s">
        <v>31</v>
      </c>
      <c r="T30" s="0" t="s">
        <v>31</v>
      </c>
    </row>
    <row r="31" customFormat="false" ht="30" hidden="false" customHeight="true" outlineLevel="0" collapsed="false">
      <c r="B31" s="2" t="n">
        <v>28</v>
      </c>
      <c r="C31" s="5" t="n">
        <v>80086811</v>
      </c>
      <c r="D31" s="0" t="s">
        <v>247</v>
      </c>
      <c r="E31" s="0" t="s">
        <v>248</v>
      </c>
      <c r="F31" s="0" t="s">
        <v>23</v>
      </c>
      <c r="G31" s="0" t="n">
        <v>1</v>
      </c>
      <c r="H31" s="0" t="s">
        <v>61</v>
      </c>
      <c r="I31" s="2" t="s">
        <v>249</v>
      </c>
      <c r="J31" s="2" t="s">
        <v>250</v>
      </c>
      <c r="K31" s="2" t="s">
        <v>251</v>
      </c>
      <c r="L31" s="0" t="s">
        <v>252</v>
      </c>
      <c r="M31" s="2" t="s">
        <v>253</v>
      </c>
      <c r="N31" s="0" t="s">
        <v>254</v>
      </c>
      <c r="P31" s="6" t="n">
        <v>46104</v>
      </c>
      <c r="S31" s="0" t="s">
        <v>31</v>
      </c>
      <c r="T31" s="0" t="s">
        <v>84</v>
      </c>
    </row>
    <row r="32" customFormat="false" ht="30" hidden="false" customHeight="true" outlineLevel="0" collapsed="false">
      <c r="B32" s="2" t="n">
        <v>29</v>
      </c>
      <c r="C32" s="5" t="n">
        <v>80086812</v>
      </c>
      <c r="D32" s="0" t="s">
        <v>255</v>
      </c>
      <c r="E32" s="0" t="s">
        <v>256</v>
      </c>
      <c r="F32" s="0" t="s">
        <v>23</v>
      </c>
      <c r="G32" s="0" t="n">
        <v>1</v>
      </c>
      <c r="H32" s="0" t="s">
        <v>61</v>
      </c>
      <c r="I32" s="0" t="s">
        <v>257</v>
      </c>
      <c r="J32" s="2" t="s">
        <v>258</v>
      </c>
      <c r="K32" s="2" t="s">
        <v>259</v>
      </c>
      <c r="L32" s="0" t="s">
        <v>260</v>
      </c>
      <c r="M32" s="2" t="s">
        <v>261</v>
      </c>
      <c r="N32" s="0" t="s">
        <v>262</v>
      </c>
      <c r="P32" s="6" t="n">
        <v>46104</v>
      </c>
      <c r="S32" s="0" t="s">
        <v>31</v>
      </c>
      <c r="T32" s="0" t="s">
        <v>84</v>
      </c>
    </row>
    <row r="33" customFormat="false" ht="15" hidden="false" customHeight="false" outlineLevel="0" collapsed="false">
      <c r="B33" s="2" t="n">
        <v>30</v>
      </c>
      <c r="C33" s="5" t="n">
        <v>80086813</v>
      </c>
      <c r="D33" s="0" t="s">
        <v>263</v>
      </c>
      <c r="E33" s="0" t="s">
        <v>264</v>
      </c>
      <c r="F33" s="0" t="s">
        <v>23</v>
      </c>
      <c r="G33" s="0" t="n">
        <v>1</v>
      </c>
      <c r="H33" s="0" t="s">
        <v>61</v>
      </c>
      <c r="I33" s="0" t="s">
        <v>265</v>
      </c>
      <c r="J33" s="0" t="s">
        <v>266</v>
      </c>
      <c r="K33" s="0" t="s">
        <v>267</v>
      </c>
      <c r="L33" s="0" t="s">
        <v>252</v>
      </c>
      <c r="M33" s="0" t="s">
        <v>268</v>
      </c>
      <c r="N33" s="0" t="s">
        <v>269</v>
      </c>
      <c r="P33" s="6" t="n">
        <v>46104</v>
      </c>
      <c r="S33" s="0" t="s">
        <v>31</v>
      </c>
      <c r="T33" s="0" t="s">
        <v>31</v>
      </c>
    </row>
    <row r="34" customFormat="false" ht="30" hidden="false" customHeight="true" outlineLevel="0" collapsed="false">
      <c r="B34" s="2" t="n">
        <v>31</v>
      </c>
      <c r="C34" s="5" t="n">
        <v>80086816</v>
      </c>
      <c r="D34" s="0" t="s">
        <v>270</v>
      </c>
      <c r="E34" s="0" t="s">
        <v>271</v>
      </c>
      <c r="F34" s="0" t="s">
        <v>23</v>
      </c>
      <c r="G34" s="0" t="n">
        <v>1</v>
      </c>
      <c r="H34" s="0" t="s">
        <v>61</v>
      </c>
      <c r="I34" s="0" t="s">
        <v>272</v>
      </c>
      <c r="J34" s="0" t="s">
        <v>273</v>
      </c>
      <c r="K34" s="0" t="s">
        <v>274</v>
      </c>
      <c r="L34" s="0" t="s">
        <v>275</v>
      </c>
      <c r="M34" s="2" t="s">
        <v>276</v>
      </c>
      <c r="N34" s="0" t="s">
        <v>277</v>
      </c>
      <c r="P34" s="6" t="n">
        <v>46104</v>
      </c>
      <c r="S34" s="0" t="s">
        <v>31</v>
      </c>
      <c r="T34" s="0" t="s">
        <v>31</v>
      </c>
    </row>
    <row r="35" customFormat="false" ht="15" hidden="false" customHeight="false" outlineLevel="0" collapsed="false">
      <c r="B35" s="2" t="n">
        <v>32</v>
      </c>
      <c r="C35" s="5" t="n">
        <v>80086817</v>
      </c>
      <c r="D35" s="0" t="s">
        <v>278</v>
      </c>
      <c r="E35" s="0" t="s">
        <v>279</v>
      </c>
      <c r="F35" s="0" t="s">
        <v>23</v>
      </c>
      <c r="G35" s="0" t="n">
        <v>1</v>
      </c>
      <c r="H35" s="0" t="s">
        <v>61</v>
      </c>
      <c r="I35" s="0" t="s">
        <v>280</v>
      </c>
      <c r="J35" s="0" t="s">
        <v>281</v>
      </c>
      <c r="K35" s="0" t="s">
        <v>282</v>
      </c>
      <c r="L35" s="0" t="s">
        <v>283</v>
      </c>
      <c r="M35" s="0" t="s">
        <v>284</v>
      </c>
      <c r="N35" s="0" t="s">
        <v>285</v>
      </c>
      <c r="P35" s="6" t="n">
        <v>46104</v>
      </c>
      <c r="S35" s="0" t="s">
        <v>31</v>
      </c>
      <c r="T35" s="0" t="s">
        <v>31</v>
      </c>
    </row>
    <row r="36" customFormat="false" ht="15" hidden="false" customHeight="false" outlineLevel="0" collapsed="false">
      <c r="B36" s="2" t="n">
        <v>33</v>
      </c>
      <c r="C36" s="5" t="n">
        <v>80086818</v>
      </c>
      <c r="D36" s="0" t="s">
        <v>286</v>
      </c>
      <c r="E36" s="0" t="s">
        <v>287</v>
      </c>
      <c r="F36" s="0" t="s">
        <v>23</v>
      </c>
      <c r="G36" s="0" t="n">
        <v>1</v>
      </c>
      <c r="H36" s="0" t="s">
        <v>61</v>
      </c>
      <c r="I36" s="0" t="s">
        <v>288</v>
      </c>
      <c r="J36" s="0" t="s">
        <v>289</v>
      </c>
      <c r="K36" s="0" t="s">
        <v>290</v>
      </c>
      <c r="L36" s="0" t="s">
        <v>291</v>
      </c>
      <c r="M36" s="0" t="s">
        <v>292</v>
      </c>
      <c r="N36" s="0" t="s">
        <v>293</v>
      </c>
      <c r="P36" s="6" t="n">
        <v>46104</v>
      </c>
      <c r="S36" s="0" t="s">
        <v>31</v>
      </c>
      <c r="T36" s="0" t="s">
        <v>84</v>
      </c>
    </row>
    <row r="37" customFormat="false" ht="30" hidden="false" customHeight="true" outlineLevel="0" collapsed="false">
      <c r="B37" s="2" t="n">
        <v>34</v>
      </c>
      <c r="C37" s="5" t="n">
        <v>80086819</v>
      </c>
      <c r="D37" s="0" t="s">
        <v>294</v>
      </c>
      <c r="E37" s="0" t="s">
        <v>295</v>
      </c>
      <c r="F37" s="0" t="s">
        <v>23</v>
      </c>
      <c r="G37" s="0" t="n">
        <v>1</v>
      </c>
      <c r="H37" s="0" t="s">
        <v>61</v>
      </c>
      <c r="I37" s="2" t="s">
        <v>296</v>
      </c>
      <c r="J37" s="2" t="s">
        <v>297</v>
      </c>
      <c r="K37" s="2" t="s">
        <v>298</v>
      </c>
      <c r="L37" s="0" t="s">
        <v>299</v>
      </c>
      <c r="M37" s="0" t="s">
        <v>300</v>
      </c>
      <c r="N37" s="0" t="s">
        <v>301</v>
      </c>
      <c r="P37" s="6" t="n">
        <v>46104</v>
      </c>
      <c r="S37" s="0" t="s">
        <v>31</v>
      </c>
      <c r="T37" s="0" t="s">
        <v>31</v>
      </c>
    </row>
    <row r="38" customFormat="false" ht="30" hidden="false" customHeight="true" outlineLevel="0" collapsed="false">
      <c r="B38" s="2" t="n">
        <v>35</v>
      </c>
      <c r="C38" s="5" t="n">
        <v>80086820</v>
      </c>
      <c r="D38" s="0" t="s">
        <v>302</v>
      </c>
      <c r="E38" s="0" t="s">
        <v>303</v>
      </c>
      <c r="F38" s="0" t="s">
        <v>23</v>
      </c>
      <c r="G38" s="0" t="n">
        <v>1</v>
      </c>
      <c r="H38" s="0" t="s">
        <v>61</v>
      </c>
      <c r="I38" s="0" t="s">
        <v>304</v>
      </c>
      <c r="J38" s="0" t="s">
        <v>305</v>
      </c>
      <c r="K38" s="0" t="s">
        <v>306</v>
      </c>
      <c r="L38" s="0" t="s">
        <v>307</v>
      </c>
      <c r="M38" s="2" t="s">
        <v>308</v>
      </c>
      <c r="N38" s="0" t="s">
        <v>309</v>
      </c>
      <c r="P38" s="6" t="n">
        <v>46104</v>
      </c>
      <c r="S38" s="0" t="s">
        <v>31</v>
      </c>
      <c r="T38" s="0" t="s">
        <v>84</v>
      </c>
    </row>
    <row r="39" customFormat="false" ht="15" hidden="false" customHeight="false" outlineLevel="0" collapsed="false">
      <c r="B39" s="2" t="n">
        <v>36</v>
      </c>
      <c r="C39" s="5" t="n">
        <v>80086821</v>
      </c>
      <c r="D39" s="0" t="s">
        <v>310</v>
      </c>
      <c r="E39" s="0" t="s">
        <v>311</v>
      </c>
      <c r="F39" s="0" t="s">
        <v>23</v>
      </c>
      <c r="G39" s="0" t="n">
        <v>1</v>
      </c>
      <c r="H39" s="0" t="s">
        <v>152</v>
      </c>
      <c r="I39" s="0" t="s">
        <v>312</v>
      </c>
      <c r="J39" s="0" t="s">
        <v>313</v>
      </c>
      <c r="K39" s="0" t="s">
        <v>314</v>
      </c>
      <c r="L39" s="0" t="s">
        <v>315</v>
      </c>
      <c r="M39" s="0" t="s">
        <v>316</v>
      </c>
      <c r="N39" s="0" t="s">
        <v>317</v>
      </c>
      <c r="P39" s="6" t="n">
        <v>46104</v>
      </c>
      <c r="S39" s="0" t="s">
        <v>31</v>
      </c>
      <c r="T39" s="0" t="s">
        <v>31</v>
      </c>
    </row>
    <row r="40" customFormat="false" ht="15" hidden="false" customHeight="false" outlineLevel="0" collapsed="false">
      <c r="B40" s="2" t="n">
        <v>37</v>
      </c>
      <c r="C40" s="5" t="n">
        <v>80086822</v>
      </c>
      <c r="D40" s="0" t="s">
        <v>318</v>
      </c>
      <c r="E40" s="0" t="s">
        <v>319</v>
      </c>
      <c r="F40" s="0" t="s">
        <v>23</v>
      </c>
      <c r="G40" s="0" t="n">
        <v>1</v>
      </c>
      <c r="H40" s="0" t="s">
        <v>111</v>
      </c>
      <c r="I40" s="0" t="s">
        <v>320</v>
      </c>
      <c r="J40" s="0" t="s">
        <v>321</v>
      </c>
      <c r="K40" s="0" t="s">
        <v>322</v>
      </c>
      <c r="L40" s="0" t="s">
        <v>323</v>
      </c>
      <c r="M40" s="0" t="s">
        <v>324</v>
      </c>
      <c r="N40" s="0" t="s">
        <v>325</v>
      </c>
      <c r="P40" s="6" t="n">
        <v>46104</v>
      </c>
      <c r="S40" s="0" t="s">
        <v>31</v>
      </c>
      <c r="T40" s="0" t="s">
        <v>84</v>
      </c>
    </row>
    <row r="41" customFormat="false" ht="15" hidden="false" customHeight="false" outlineLevel="0" collapsed="false">
      <c r="B41" s="8" t="n">
        <v>38</v>
      </c>
      <c r="C41" s="9" t="n">
        <v>80086823</v>
      </c>
      <c r="D41" s="0" t="s">
        <v>326</v>
      </c>
      <c r="E41" s="0" t="s">
        <v>327</v>
      </c>
      <c r="F41" s="0" t="s">
        <v>23</v>
      </c>
      <c r="G41" s="0" t="n">
        <v>2</v>
      </c>
      <c r="H41" s="0" t="s">
        <v>152</v>
      </c>
      <c r="I41" s="0" t="s">
        <v>328</v>
      </c>
      <c r="J41" s="0" t="s">
        <v>329</v>
      </c>
      <c r="K41" s="0" t="s">
        <v>330</v>
      </c>
      <c r="L41" s="0" t="s">
        <v>331</v>
      </c>
      <c r="M41" s="0" t="s">
        <v>332</v>
      </c>
      <c r="N41" s="0" t="s">
        <v>333</v>
      </c>
      <c r="P41" s="6" t="n">
        <v>46104</v>
      </c>
      <c r="S41" s="0" t="s">
        <v>31</v>
      </c>
      <c r="T41" s="0" t="s">
        <v>31</v>
      </c>
    </row>
    <row r="42" customFormat="false" ht="30" hidden="false" customHeight="true" outlineLevel="0" collapsed="false">
      <c r="B42" s="2" t="n">
        <v>39</v>
      </c>
      <c r="C42" s="5" t="n">
        <v>80086824</v>
      </c>
      <c r="D42" s="0" t="s">
        <v>334</v>
      </c>
      <c r="E42" s="0" t="s">
        <v>335</v>
      </c>
      <c r="F42" s="0" t="s">
        <v>23</v>
      </c>
      <c r="G42" s="0" t="n">
        <v>1</v>
      </c>
      <c r="H42" s="0" t="s">
        <v>61</v>
      </c>
      <c r="I42" s="0" t="s">
        <v>336</v>
      </c>
      <c r="J42" s="0" t="s">
        <v>337</v>
      </c>
      <c r="K42" s="0" t="s">
        <v>338</v>
      </c>
      <c r="L42" s="0" t="s">
        <v>339</v>
      </c>
      <c r="M42" s="2" t="s">
        <v>340</v>
      </c>
      <c r="N42" s="0" t="s">
        <v>341</v>
      </c>
      <c r="P42" s="6" t="n">
        <v>46104</v>
      </c>
      <c r="S42" s="0" t="s">
        <v>31</v>
      </c>
      <c r="T42" s="0" t="s">
        <v>84</v>
      </c>
    </row>
    <row r="43" customFormat="false" ht="15" hidden="false" customHeight="false" outlineLevel="0" collapsed="false">
      <c r="B43" s="2" t="n">
        <v>40</v>
      </c>
      <c r="C43" s="5" t="n">
        <v>80086825</v>
      </c>
      <c r="D43" s="0" t="s">
        <v>342</v>
      </c>
      <c r="E43" s="0" t="s">
        <v>343</v>
      </c>
      <c r="F43" s="0" t="s">
        <v>23</v>
      </c>
      <c r="G43" s="0" t="n">
        <v>1</v>
      </c>
      <c r="H43" s="0" t="s">
        <v>24</v>
      </c>
      <c r="I43" s="0" t="s">
        <v>344</v>
      </c>
      <c r="J43" s="0" t="s">
        <v>345</v>
      </c>
      <c r="K43" s="0" t="s">
        <v>346</v>
      </c>
      <c r="L43" s="0" t="s">
        <v>347</v>
      </c>
      <c r="M43" s="0" t="s">
        <v>348</v>
      </c>
      <c r="N43" s="0" t="s">
        <v>349</v>
      </c>
      <c r="P43" s="6" t="n">
        <v>46104</v>
      </c>
      <c r="S43" s="0" t="s">
        <v>31</v>
      </c>
      <c r="T43" s="0" t="s">
        <v>31</v>
      </c>
    </row>
    <row r="44" customFormat="false" ht="15" hidden="false" customHeight="false" outlineLevel="0" collapsed="false">
      <c r="B44" s="2" t="n">
        <v>41</v>
      </c>
      <c r="C44" s="5" t="n">
        <v>80086827</v>
      </c>
      <c r="D44" s="0" t="s">
        <v>350</v>
      </c>
      <c r="E44" s="0" t="s">
        <v>351</v>
      </c>
      <c r="F44" s="0" t="s">
        <v>23</v>
      </c>
      <c r="G44" s="0" t="n">
        <v>1</v>
      </c>
      <c r="H44" s="0" t="s">
        <v>152</v>
      </c>
      <c r="I44" s="0" t="s">
        <v>352</v>
      </c>
      <c r="J44" s="0" t="s">
        <v>353</v>
      </c>
      <c r="K44" s="0" t="s">
        <v>354</v>
      </c>
      <c r="L44" s="0" t="s">
        <v>355</v>
      </c>
      <c r="M44" s="0" t="s">
        <v>355</v>
      </c>
      <c r="N44" s="0" t="s">
        <v>356</v>
      </c>
      <c r="P44" s="6" t="n">
        <v>46104</v>
      </c>
      <c r="S44" s="0" t="s">
        <v>31</v>
      </c>
      <c r="T44" s="0" t="s">
        <v>84</v>
      </c>
    </row>
    <row r="45" customFormat="false" ht="15" hidden="false" customHeight="false" outlineLevel="0" collapsed="false">
      <c r="B45" s="2" t="n">
        <v>42</v>
      </c>
      <c r="C45" s="5" t="n">
        <v>80086828</v>
      </c>
      <c r="D45" s="0" t="s">
        <v>357</v>
      </c>
      <c r="E45" s="0" t="s">
        <v>358</v>
      </c>
      <c r="F45" s="0" t="s">
        <v>23</v>
      </c>
      <c r="G45" s="0" t="n">
        <v>1</v>
      </c>
      <c r="H45" s="0" t="s">
        <v>359</v>
      </c>
      <c r="I45" s="0" t="s">
        <v>360</v>
      </c>
      <c r="J45" s="0" t="s">
        <v>361</v>
      </c>
      <c r="K45" s="0" t="s">
        <v>362</v>
      </c>
      <c r="L45" s="0" t="s">
        <v>363</v>
      </c>
      <c r="M45" s="0" t="s">
        <v>364</v>
      </c>
      <c r="N45" s="0" t="s">
        <v>365</v>
      </c>
      <c r="P45" s="6" t="n">
        <v>46104</v>
      </c>
      <c r="S45" s="0" t="s">
        <v>31</v>
      </c>
      <c r="T45" s="0" t="s">
        <v>84</v>
      </c>
    </row>
    <row r="46" customFormat="false" ht="15" hidden="false" customHeight="false" outlineLevel="0" collapsed="false">
      <c r="B46" s="2" t="n">
        <v>43</v>
      </c>
      <c r="C46" s="5" t="n">
        <v>80086829</v>
      </c>
      <c r="D46" s="0" t="s">
        <v>366</v>
      </c>
      <c r="E46" s="0" t="s">
        <v>367</v>
      </c>
      <c r="F46" s="0" t="s">
        <v>23</v>
      </c>
      <c r="G46" s="0" t="n">
        <v>1</v>
      </c>
      <c r="H46" s="0" t="s">
        <v>368</v>
      </c>
      <c r="I46" s="0" t="s">
        <v>369</v>
      </c>
      <c r="J46" s="0" t="s">
        <v>370</v>
      </c>
      <c r="K46" s="0" t="s">
        <v>371</v>
      </c>
      <c r="L46" s="0" t="s">
        <v>372</v>
      </c>
      <c r="M46" s="0" t="s">
        <v>373</v>
      </c>
      <c r="N46" s="0" t="s">
        <v>374</v>
      </c>
      <c r="P46" s="6" t="n">
        <v>46104</v>
      </c>
      <c r="S46" s="0" t="s">
        <v>31</v>
      </c>
      <c r="T46" s="0" t="s">
        <v>84</v>
      </c>
    </row>
    <row r="47" customFormat="false" ht="15" hidden="false" customHeight="false" outlineLevel="0" collapsed="false">
      <c r="B47" s="2" t="n">
        <v>44</v>
      </c>
      <c r="C47" s="5" t="n">
        <v>80086830</v>
      </c>
      <c r="D47" s="0" t="s">
        <v>375</v>
      </c>
      <c r="E47" s="0" t="s">
        <v>376</v>
      </c>
      <c r="F47" s="0" t="s">
        <v>23</v>
      </c>
      <c r="G47" s="0" t="n">
        <v>1</v>
      </c>
      <c r="H47" s="0" t="s">
        <v>111</v>
      </c>
      <c r="I47" s="0" t="s">
        <v>377</v>
      </c>
      <c r="J47" s="0" t="s">
        <v>378</v>
      </c>
      <c r="K47" s="0" t="s">
        <v>379</v>
      </c>
      <c r="L47" s="0" t="s">
        <v>380</v>
      </c>
      <c r="M47" s="0" t="s">
        <v>381</v>
      </c>
      <c r="N47" s="0" t="s">
        <v>382</v>
      </c>
      <c r="P47" s="6" t="n">
        <v>46104</v>
      </c>
      <c r="S47" s="0" t="s">
        <v>31</v>
      </c>
      <c r="T47" s="0" t="s">
        <v>31</v>
      </c>
    </row>
    <row r="48" customFormat="false" ht="15" hidden="false" customHeight="false" outlineLevel="0" collapsed="false">
      <c r="B48" s="2" t="n">
        <v>45</v>
      </c>
      <c r="C48" s="5" t="n">
        <v>80086831</v>
      </c>
      <c r="D48" s="0" t="s">
        <v>383</v>
      </c>
      <c r="E48" s="0" t="s">
        <v>384</v>
      </c>
      <c r="F48" s="0" t="s">
        <v>23</v>
      </c>
      <c r="G48" s="0" t="n">
        <v>1</v>
      </c>
      <c r="H48" s="0" t="s">
        <v>61</v>
      </c>
      <c r="I48" s="0" t="s">
        <v>385</v>
      </c>
      <c r="J48" s="0" t="s">
        <v>386</v>
      </c>
      <c r="K48" s="0" t="s">
        <v>387</v>
      </c>
      <c r="L48" s="0" t="s">
        <v>388</v>
      </c>
      <c r="M48" s="0" t="s">
        <v>389</v>
      </c>
      <c r="N48" s="0" t="s">
        <v>390</v>
      </c>
      <c r="P48" s="6" t="n">
        <v>46104</v>
      </c>
      <c r="S48" s="0" t="s">
        <v>31</v>
      </c>
      <c r="T48" s="0" t="s">
        <v>84</v>
      </c>
    </row>
    <row r="49" customFormat="false" ht="15" hidden="false" customHeight="false" outlineLevel="0" collapsed="false">
      <c r="B49" s="2" t="n">
        <v>46</v>
      </c>
      <c r="C49" s="5" t="n">
        <v>80086832</v>
      </c>
      <c r="D49" s="0" t="s">
        <v>391</v>
      </c>
      <c r="E49" s="0" t="s">
        <v>392</v>
      </c>
      <c r="F49" s="0" t="s">
        <v>23</v>
      </c>
      <c r="G49" s="0" t="n">
        <v>1</v>
      </c>
      <c r="H49" s="0" t="s">
        <v>111</v>
      </c>
      <c r="I49" s="0" t="s">
        <v>393</v>
      </c>
      <c r="J49" s="0" t="s">
        <v>394</v>
      </c>
      <c r="K49" s="0" t="s">
        <v>395</v>
      </c>
      <c r="L49" s="0" t="s">
        <v>396</v>
      </c>
      <c r="M49" s="0" t="s">
        <v>397</v>
      </c>
      <c r="N49" s="0" t="s">
        <v>398</v>
      </c>
      <c r="P49" s="6" t="n">
        <v>46104</v>
      </c>
      <c r="S49" s="0" t="s">
        <v>31</v>
      </c>
      <c r="T49" s="0" t="s">
        <v>84</v>
      </c>
    </row>
    <row r="50" customFormat="false" ht="45" hidden="false" customHeight="true" outlineLevel="0" collapsed="false">
      <c r="B50" s="2" t="n">
        <v>47</v>
      </c>
      <c r="C50" s="5" t="n">
        <v>80086833</v>
      </c>
      <c r="D50" s="0" t="s">
        <v>399</v>
      </c>
      <c r="E50" s="0" t="s">
        <v>400</v>
      </c>
      <c r="F50" s="0" t="s">
        <v>23</v>
      </c>
      <c r="G50" s="0" t="n">
        <v>1</v>
      </c>
      <c r="H50" s="0" t="s">
        <v>152</v>
      </c>
      <c r="I50" s="0" t="s">
        <v>401</v>
      </c>
      <c r="J50" s="0" t="s">
        <v>402</v>
      </c>
      <c r="K50" s="0" t="s">
        <v>403</v>
      </c>
      <c r="L50" s="0" t="s">
        <v>404</v>
      </c>
      <c r="M50" s="2" t="s">
        <v>405</v>
      </c>
      <c r="N50" s="0" t="s">
        <v>406</v>
      </c>
      <c r="P50" s="6" t="n">
        <v>46104</v>
      </c>
      <c r="S50" s="0" t="s">
        <v>31</v>
      </c>
      <c r="T50" s="0" t="s">
        <v>84</v>
      </c>
    </row>
    <row r="51" customFormat="false" ht="30" hidden="false" customHeight="true" outlineLevel="0" collapsed="false">
      <c r="B51" s="2" t="n">
        <v>48</v>
      </c>
      <c r="C51" s="5" t="n">
        <v>80086834</v>
      </c>
      <c r="D51" s="0" t="s">
        <v>407</v>
      </c>
      <c r="E51" s="0" t="s">
        <v>408</v>
      </c>
      <c r="F51" s="0" t="s">
        <v>23</v>
      </c>
      <c r="G51" s="0" t="n">
        <v>1</v>
      </c>
      <c r="H51" s="0" t="s">
        <v>61</v>
      </c>
      <c r="I51" s="0" t="s">
        <v>409</v>
      </c>
      <c r="J51" s="0" t="s">
        <v>410</v>
      </c>
      <c r="K51" s="0" t="s">
        <v>411</v>
      </c>
      <c r="L51" s="0" t="s">
        <v>412</v>
      </c>
      <c r="M51" s="2" t="s">
        <v>413</v>
      </c>
      <c r="N51" s="0" t="s">
        <v>414</v>
      </c>
      <c r="P51" s="6" t="n">
        <v>46104</v>
      </c>
      <c r="S51" s="0" t="s">
        <v>31</v>
      </c>
      <c r="T51" s="0" t="s">
        <v>84</v>
      </c>
    </row>
    <row r="52" customFormat="false" ht="15" hidden="false" customHeight="false" outlineLevel="0" collapsed="false">
      <c r="B52" s="2" t="n">
        <v>49</v>
      </c>
      <c r="C52" s="5" t="n">
        <v>80086835</v>
      </c>
      <c r="D52" s="0" t="s">
        <v>415</v>
      </c>
      <c r="E52" s="0" t="s">
        <v>416</v>
      </c>
      <c r="F52" s="0" t="s">
        <v>23</v>
      </c>
      <c r="G52" s="0" t="n">
        <v>1</v>
      </c>
      <c r="H52" s="0" t="s">
        <v>417</v>
      </c>
      <c r="I52" s="0" t="s">
        <v>418</v>
      </c>
      <c r="J52" s="0" t="s">
        <v>419</v>
      </c>
      <c r="K52" s="0" t="s">
        <v>420</v>
      </c>
      <c r="L52" s="0" t="s">
        <v>421</v>
      </c>
      <c r="M52" s="0" t="s">
        <v>422</v>
      </c>
      <c r="N52" s="0" t="s">
        <v>423</v>
      </c>
      <c r="P52" s="6" t="n">
        <v>46104</v>
      </c>
      <c r="S52" s="0" t="s">
        <v>31</v>
      </c>
      <c r="T52" s="0" t="s">
        <v>31</v>
      </c>
    </row>
    <row r="53" customFormat="false" ht="15" hidden="false" customHeight="false" outlineLevel="0" collapsed="false">
      <c r="B53" s="2" t="n">
        <v>50</v>
      </c>
      <c r="C53" s="5" t="n">
        <v>80086836</v>
      </c>
      <c r="D53" s="0" t="s">
        <v>424</v>
      </c>
      <c r="E53" s="0" t="s">
        <v>425</v>
      </c>
      <c r="F53" s="0" t="s">
        <v>23</v>
      </c>
      <c r="G53" s="0" t="n">
        <v>1</v>
      </c>
      <c r="H53" s="0" t="s">
        <v>111</v>
      </c>
      <c r="I53" s="0" t="s">
        <v>426</v>
      </c>
      <c r="J53" s="0" t="s">
        <v>427</v>
      </c>
      <c r="K53" s="0" t="s">
        <v>428</v>
      </c>
      <c r="L53" s="0" t="s">
        <v>429</v>
      </c>
      <c r="M53" s="0" t="s">
        <v>429</v>
      </c>
      <c r="N53" s="0" t="s">
        <v>430</v>
      </c>
      <c r="P53" s="6" t="n">
        <v>46104</v>
      </c>
      <c r="S53" s="0" t="s">
        <v>31</v>
      </c>
      <c r="T53" s="0" t="s">
        <v>84</v>
      </c>
    </row>
    <row r="54" customFormat="false" ht="15" hidden="false" customHeight="false" outlineLevel="0" collapsed="false">
      <c r="B54" s="2" t="n">
        <v>51</v>
      </c>
      <c r="C54" s="5" t="n">
        <v>80086837</v>
      </c>
      <c r="D54" s="0" t="s">
        <v>431</v>
      </c>
      <c r="E54" s="0" t="s">
        <v>432</v>
      </c>
      <c r="F54" s="0" t="s">
        <v>23</v>
      </c>
      <c r="G54" s="0" t="n">
        <v>1</v>
      </c>
      <c r="H54" s="0" t="s">
        <v>152</v>
      </c>
      <c r="I54" s="0" t="s">
        <v>433</v>
      </c>
      <c r="J54" s="0" t="s">
        <v>434</v>
      </c>
      <c r="K54" s="0" t="s">
        <v>435</v>
      </c>
      <c r="L54" s="0" t="s">
        <v>436</v>
      </c>
      <c r="M54" s="0" t="s">
        <v>437</v>
      </c>
      <c r="N54" s="0" t="s">
        <v>438</v>
      </c>
      <c r="P54" s="6" t="n">
        <v>46104</v>
      </c>
      <c r="S54" s="0" t="s">
        <v>31</v>
      </c>
      <c r="T54" s="0" t="s">
        <v>31</v>
      </c>
    </row>
    <row r="55" customFormat="false" ht="30" hidden="false" customHeight="true" outlineLevel="0" collapsed="false">
      <c r="B55" s="2" t="n">
        <v>52</v>
      </c>
      <c r="C55" s="5" t="n">
        <v>80086838</v>
      </c>
      <c r="D55" s="0" t="s">
        <v>439</v>
      </c>
      <c r="E55" s="0" t="s">
        <v>440</v>
      </c>
      <c r="F55" s="0" t="s">
        <v>23</v>
      </c>
      <c r="G55" s="0" t="n">
        <v>1</v>
      </c>
      <c r="H55" s="0" t="s">
        <v>152</v>
      </c>
      <c r="I55" s="2" t="s">
        <v>441</v>
      </c>
      <c r="J55" s="2" t="s">
        <v>442</v>
      </c>
      <c r="K55" s="2" t="s">
        <v>443</v>
      </c>
      <c r="L55" s="0" t="s">
        <v>444</v>
      </c>
      <c r="M55" s="2" t="s">
        <v>445</v>
      </c>
      <c r="N55" s="0" t="s">
        <v>446</v>
      </c>
      <c r="P55" s="6" t="n">
        <v>46104</v>
      </c>
      <c r="S55" s="0" t="s">
        <v>31</v>
      </c>
      <c r="T55" s="0" t="s">
        <v>31</v>
      </c>
    </row>
    <row r="56" customFormat="false" ht="15" hidden="false" customHeight="false" outlineLevel="0" collapsed="false">
      <c r="B56" s="2" t="n">
        <v>53</v>
      </c>
      <c r="C56" s="5" t="n">
        <v>80086839</v>
      </c>
      <c r="D56" s="0" t="s">
        <v>447</v>
      </c>
      <c r="E56" s="0" t="s">
        <v>448</v>
      </c>
      <c r="F56" s="0" t="s">
        <v>23</v>
      </c>
      <c r="G56" s="0" t="n">
        <v>1</v>
      </c>
      <c r="H56" s="0" t="s">
        <v>24</v>
      </c>
      <c r="I56" s="0" t="s">
        <v>449</v>
      </c>
      <c r="J56" s="0" t="s">
        <v>450</v>
      </c>
      <c r="K56" s="0" t="s">
        <v>451</v>
      </c>
      <c r="L56" s="0" t="s">
        <v>452</v>
      </c>
      <c r="M56" s="0" t="s">
        <v>453</v>
      </c>
      <c r="N56" s="0" t="s">
        <v>454</v>
      </c>
      <c r="P56" s="6" t="n">
        <v>46104</v>
      </c>
      <c r="S56" s="0" t="s">
        <v>31</v>
      </c>
      <c r="T56" s="0" t="s">
        <v>31</v>
      </c>
    </row>
    <row r="57" customFormat="false" ht="15" hidden="false" customHeight="false" outlineLevel="0" collapsed="false">
      <c r="B57" s="2" t="n">
        <v>54</v>
      </c>
      <c r="C57" s="5" t="n">
        <v>80086840</v>
      </c>
      <c r="D57" s="0" t="s">
        <v>455</v>
      </c>
      <c r="E57" s="0" t="s">
        <v>456</v>
      </c>
      <c r="F57" s="0" t="s">
        <v>23</v>
      </c>
      <c r="G57" s="0" t="n">
        <v>1</v>
      </c>
      <c r="H57" s="0" t="s">
        <v>111</v>
      </c>
      <c r="I57" s="0" t="s">
        <v>457</v>
      </c>
      <c r="J57" s="0" t="s">
        <v>458</v>
      </c>
      <c r="K57" s="0" t="s">
        <v>459</v>
      </c>
      <c r="L57" s="0" t="s">
        <v>460</v>
      </c>
      <c r="M57" s="0" t="s">
        <v>461</v>
      </c>
      <c r="N57" s="0" t="s">
        <v>462</v>
      </c>
      <c r="P57" s="6" t="n">
        <v>46104</v>
      </c>
      <c r="S57" s="0" t="s">
        <v>31</v>
      </c>
      <c r="T57" s="0" t="s">
        <v>84</v>
      </c>
    </row>
    <row r="58" customFormat="false" ht="15" hidden="false" customHeight="false" outlineLevel="0" collapsed="false">
      <c r="B58" s="2" t="n">
        <v>55</v>
      </c>
      <c r="C58" s="5" t="n">
        <v>80086841</v>
      </c>
      <c r="D58" s="0" t="s">
        <v>463</v>
      </c>
      <c r="E58" s="0" t="s">
        <v>464</v>
      </c>
      <c r="F58" s="0" t="s">
        <v>23</v>
      </c>
      <c r="G58" s="0" t="n">
        <v>1</v>
      </c>
      <c r="H58" s="0" t="s">
        <v>152</v>
      </c>
      <c r="I58" s="0" t="s">
        <v>465</v>
      </c>
      <c r="J58" s="0" t="s">
        <v>466</v>
      </c>
      <c r="K58" s="0" t="s">
        <v>467</v>
      </c>
      <c r="L58" s="0" t="s">
        <v>468</v>
      </c>
      <c r="M58" s="0" t="s">
        <v>469</v>
      </c>
      <c r="N58" s="0" t="s">
        <v>470</v>
      </c>
      <c r="P58" s="6" t="n">
        <v>46104</v>
      </c>
      <c r="S58" s="0" t="s">
        <v>31</v>
      </c>
      <c r="T58" s="0" t="s">
        <v>31</v>
      </c>
    </row>
    <row r="59" customFormat="false" ht="15" hidden="false" customHeight="false" outlineLevel="0" collapsed="false">
      <c r="B59" s="2" t="n">
        <v>56</v>
      </c>
      <c r="C59" s="5" t="n">
        <v>80086842</v>
      </c>
      <c r="D59" s="0" t="s">
        <v>471</v>
      </c>
      <c r="E59" s="0" t="s">
        <v>472</v>
      </c>
      <c r="F59" s="0" t="s">
        <v>23</v>
      </c>
      <c r="G59" s="0" t="n">
        <v>1</v>
      </c>
      <c r="H59" s="0" t="s">
        <v>111</v>
      </c>
      <c r="I59" s="0" t="s">
        <v>473</v>
      </c>
      <c r="J59" s="0" t="s">
        <v>474</v>
      </c>
      <c r="K59" s="0" t="s">
        <v>475</v>
      </c>
      <c r="L59" s="0" t="s">
        <v>476</v>
      </c>
      <c r="M59" s="0" t="s">
        <v>476</v>
      </c>
      <c r="N59" s="0" t="s">
        <v>477</v>
      </c>
      <c r="P59" s="6" t="n">
        <v>46104</v>
      </c>
      <c r="S59" s="0" t="s">
        <v>31</v>
      </c>
      <c r="T59" s="0" t="s">
        <v>84</v>
      </c>
    </row>
    <row r="60" customFormat="false" ht="30" hidden="false" customHeight="true" outlineLevel="0" collapsed="false">
      <c r="B60" s="2" t="n">
        <v>57</v>
      </c>
      <c r="C60" s="5" t="n">
        <v>80086843</v>
      </c>
      <c r="D60" s="0" t="s">
        <v>478</v>
      </c>
      <c r="E60" s="0" t="s">
        <v>479</v>
      </c>
      <c r="F60" s="0" t="s">
        <v>23</v>
      </c>
      <c r="G60" s="0" t="n">
        <v>1</v>
      </c>
      <c r="H60" s="0" t="s">
        <v>111</v>
      </c>
      <c r="I60" s="2" t="s">
        <v>480</v>
      </c>
      <c r="J60" s="2" t="s">
        <v>481</v>
      </c>
      <c r="K60" s="2" t="s">
        <v>482</v>
      </c>
      <c r="L60" s="0" t="s">
        <v>483</v>
      </c>
      <c r="M60" s="2" t="s">
        <v>484</v>
      </c>
      <c r="N60" s="0" t="s">
        <v>485</v>
      </c>
      <c r="P60" s="6" t="n">
        <v>46104</v>
      </c>
      <c r="S60" s="0" t="s">
        <v>31</v>
      </c>
      <c r="T60" s="0" t="s">
        <v>84</v>
      </c>
    </row>
    <row r="61" customFormat="false" ht="15" hidden="false" customHeight="false" outlineLevel="0" collapsed="false">
      <c r="B61" s="2" t="n">
        <v>58</v>
      </c>
      <c r="C61" s="5" t="n">
        <v>80086845</v>
      </c>
      <c r="D61" s="0" t="s">
        <v>486</v>
      </c>
      <c r="E61" s="0" t="s">
        <v>487</v>
      </c>
      <c r="F61" s="0" t="s">
        <v>23</v>
      </c>
      <c r="G61" s="0" t="n">
        <v>1</v>
      </c>
      <c r="H61" s="0" t="s">
        <v>152</v>
      </c>
      <c r="I61" s="0" t="s">
        <v>488</v>
      </c>
      <c r="J61" s="0" t="s">
        <v>489</v>
      </c>
      <c r="K61" s="0" t="s">
        <v>490</v>
      </c>
      <c r="L61" s="0" t="s">
        <v>491</v>
      </c>
      <c r="M61" s="0" t="s">
        <v>492</v>
      </c>
      <c r="N61" s="0" t="s">
        <v>493</v>
      </c>
      <c r="P61" s="6" t="n">
        <v>46104</v>
      </c>
      <c r="S61" s="0" t="s">
        <v>31</v>
      </c>
      <c r="T61" s="0" t="s">
        <v>84</v>
      </c>
    </row>
    <row r="62" customFormat="false" ht="15" hidden="false" customHeight="false" outlineLevel="0" collapsed="false">
      <c r="B62" s="2" t="n">
        <v>59</v>
      </c>
      <c r="C62" s="5" t="n">
        <v>80086848</v>
      </c>
      <c r="D62" s="0" t="s">
        <v>494</v>
      </c>
      <c r="E62" s="0" t="s">
        <v>495</v>
      </c>
      <c r="F62" s="0" t="s">
        <v>23</v>
      </c>
      <c r="G62" s="0" t="n">
        <v>1</v>
      </c>
      <c r="H62" s="0" t="s">
        <v>61</v>
      </c>
      <c r="I62" s="0" t="s">
        <v>496</v>
      </c>
      <c r="J62" s="0" t="s">
        <v>497</v>
      </c>
      <c r="K62" s="0" t="s">
        <v>498</v>
      </c>
      <c r="L62" s="0" t="s">
        <v>499</v>
      </c>
      <c r="M62" s="0" t="s">
        <v>500</v>
      </c>
      <c r="N62" s="0" t="s">
        <v>501</v>
      </c>
      <c r="P62" s="6" t="n">
        <v>46104</v>
      </c>
      <c r="S62" s="0" t="s">
        <v>31</v>
      </c>
      <c r="T62" s="0" t="s">
        <v>84</v>
      </c>
    </row>
    <row r="63" customFormat="false" ht="15" hidden="false" customHeight="false" outlineLevel="0" collapsed="false">
      <c r="B63" s="2" t="n">
        <v>60</v>
      </c>
      <c r="C63" s="5" t="n">
        <v>80086850</v>
      </c>
      <c r="D63" s="0" t="s">
        <v>502</v>
      </c>
      <c r="E63" s="0" t="s">
        <v>503</v>
      </c>
      <c r="F63" s="0" t="s">
        <v>23</v>
      </c>
      <c r="G63" s="0" t="n">
        <v>1</v>
      </c>
      <c r="H63" s="0" t="s">
        <v>61</v>
      </c>
      <c r="I63" s="0" t="s">
        <v>504</v>
      </c>
      <c r="J63" s="0" t="s">
        <v>505</v>
      </c>
      <c r="K63" s="0" t="s">
        <v>506</v>
      </c>
      <c r="L63" s="0" t="s">
        <v>283</v>
      </c>
      <c r="M63" s="0" t="s">
        <v>284</v>
      </c>
      <c r="N63" s="0" t="s">
        <v>507</v>
      </c>
      <c r="P63" s="6" t="n">
        <v>46104</v>
      </c>
      <c r="S63" s="0" t="s">
        <v>31</v>
      </c>
      <c r="T63" s="0" t="s">
        <v>84</v>
      </c>
    </row>
    <row r="64" customFormat="false" ht="15" hidden="false" customHeight="false" outlineLevel="0" collapsed="false">
      <c r="B64" s="2" t="n">
        <v>61</v>
      </c>
      <c r="C64" s="5" t="n">
        <v>80086851</v>
      </c>
      <c r="D64" s="0" t="s">
        <v>508</v>
      </c>
      <c r="E64" s="0" t="s">
        <v>509</v>
      </c>
      <c r="F64" s="0" t="s">
        <v>23</v>
      </c>
      <c r="G64" s="0" t="n">
        <v>1</v>
      </c>
      <c r="H64" s="0" t="s">
        <v>61</v>
      </c>
      <c r="I64" s="0" t="s">
        <v>510</v>
      </c>
      <c r="J64" s="0" t="s">
        <v>511</v>
      </c>
      <c r="K64" s="0" t="s">
        <v>512</v>
      </c>
      <c r="L64" s="0" t="s">
        <v>513</v>
      </c>
      <c r="M64" s="0" t="s">
        <v>514</v>
      </c>
      <c r="N64" s="0" t="s">
        <v>515</v>
      </c>
      <c r="P64" s="6" t="n">
        <v>46104</v>
      </c>
      <c r="S64" s="0" t="s">
        <v>31</v>
      </c>
      <c r="T64" s="0" t="s">
        <v>31</v>
      </c>
    </row>
    <row r="65" customFormat="false" ht="15" hidden="false" customHeight="false" outlineLevel="0" collapsed="false">
      <c r="B65" s="2" t="n">
        <v>62</v>
      </c>
      <c r="C65" s="5" t="n">
        <v>80086853</v>
      </c>
      <c r="D65" s="0" t="s">
        <v>516</v>
      </c>
      <c r="E65" s="0" t="s">
        <v>517</v>
      </c>
      <c r="F65" s="0" t="s">
        <v>23</v>
      </c>
      <c r="G65" s="0" t="n">
        <v>1</v>
      </c>
      <c r="H65" s="0" t="s">
        <v>61</v>
      </c>
      <c r="I65" s="0" t="s">
        <v>518</v>
      </c>
      <c r="J65" s="0" t="s">
        <v>519</v>
      </c>
      <c r="K65" s="0" t="s">
        <v>520</v>
      </c>
      <c r="L65" s="0" t="s">
        <v>521</v>
      </c>
      <c r="M65" s="0" t="s">
        <v>522</v>
      </c>
      <c r="N65" s="0" t="s">
        <v>523</v>
      </c>
      <c r="P65" s="6" t="n">
        <v>46104</v>
      </c>
      <c r="S65" s="0" t="s">
        <v>31</v>
      </c>
      <c r="T65" s="0" t="s">
        <v>31</v>
      </c>
    </row>
    <row r="66" customFormat="false" ht="15" hidden="false" customHeight="false" outlineLevel="0" collapsed="false">
      <c r="B66" s="2"/>
      <c r="G66" s="0" t="n">
        <f aca="false">SUBTOTAL(109,Table3[Kom.])</f>
        <v>64</v>
      </c>
      <c r="P66" s="6"/>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114"/>
  <sheetViews>
    <sheetView showFormulas="false" showGridLines="true" showRowColHeaders="true" showZeros="true" rightToLeft="false" tabSelected="false" showOutlineSymbols="true" defaultGridColor="true" view="normal" topLeftCell="C104" colorId="64" zoomScale="124" zoomScaleNormal="124" zoomScalePageLayoutView="100" workbookViewId="0">
      <selection pane="topLeft" activeCell="F114" activeCellId="0" sqref="F114"/>
    </sheetView>
  </sheetViews>
  <sheetFormatPr defaultColWidth="8.859375" defaultRowHeight="15" zeroHeight="false" outlineLevelRow="0" outlineLevelCol="0"/>
  <cols>
    <col collapsed="false" customWidth="true" hidden="false" outlineLevel="0" max="1" min="1" style="0" width="9.28"/>
    <col collapsed="false" customWidth="true" hidden="false" outlineLevel="0" max="2" min="2" style="0" width="40.14"/>
    <col collapsed="false" customWidth="true" hidden="false" outlineLevel="0" max="3" min="3" style="0" width="9.28"/>
    <col collapsed="false" customWidth="true" hidden="false" outlineLevel="0" max="4" min="4" style="0" width="80.71"/>
    <col collapsed="false" customWidth="true" hidden="false" outlineLevel="0" max="5" min="5" style="0" width="90.29"/>
    <col collapsed="false" customWidth="true" hidden="false" outlineLevel="0" max="6" min="6" style="0" width="9.28"/>
    <col collapsed="false" customWidth="true" hidden="false" outlineLevel="0" max="7" min="7" style="0" width="14.14"/>
    <col collapsed="false" customWidth="true" hidden="false" outlineLevel="0" max="8" min="8" style="0" width="28"/>
    <col collapsed="false" customWidth="true" hidden="false" outlineLevel="0" max="9" min="9" style="0" width="36.71"/>
    <col collapsed="false" customWidth="true" hidden="false" outlineLevel="0" max="10" min="10" style="0" width="50.43"/>
    <col collapsed="false" customWidth="true" hidden="false" outlineLevel="0" max="11" min="11" style="0" width="39"/>
    <col collapsed="false" customWidth="true" hidden="false" outlineLevel="0" max="12" min="12" style="0" width="68.14"/>
    <col collapsed="false" customWidth="true" hidden="false" outlineLevel="0" max="13" min="13" style="0" width="12"/>
    <col collapsed="false" customWidth="true" hidden="false" outlineLevel="0" max="14" min="14" style="0" width="21.71"/>
    <col collapsed="false" customWidth="true" hidden="false" outlineLevel="0" max="15" min="15" style="0" width="14.85"/>
    <col collapsed="false" customWidth="true" hidden="false" outlineLevel="0" max="16" min="16" style="0" width="15.85"/>
    <col collapsed="false" customWidth="true" hidden="false" outlineLevel="0" max="17" min="17" style="0" width="12.85"/>
    <col collapsed="false" customWidth="true" hidden="false" outlineLevel="0" max="18" min="18" style="0" width="13.71"/>
  </cols>
  <sheetData>
    <row r="1" customFormat="false" ht="15" hidden="false" customHeight="false" outlineLevel="0" collapsed="false">
      <c r="A1" s="1" t="s">
        <v>524</v>
      </c>
    </row>
    <row r="3" customFormat="false" ht="15" hidden="false" customHeight="false" outlineLevel="0" collapsed="false">
      <c r="A3" s="3" t="s">
        <v>1</v>
      </c>
      <c r="B3" s="3" t="s">
        <v>2</v>
      </c>
      <c r="C3" s="3" t="s">
        <v>4</v>
      </c>
      <c r="D3" s="3" t="s">
        <v>6</v>
      </c>
      <c r="E3" s="3" t="s">
        <v>5</v>
      </c>
      <c r="F3" s="3" t="s">
        <v>7</v>
      </c>
      <c r="G3" s="3" t="s">
        <v>8</v>
      </c>
      <c r="H3" s="3" t="s">
        <v>9</v>
      </c>
      <c r="I3" s="3" t="s">
        <v>10</v>
      </c>
      <c r="J3" s="3" t="s">
        <v>11</v>
      </c>
      <c r="K3" s="3" t="s">
        <v>12</v>
      </c>
      <c r="L3" s="3" t="s">
        <v>13</v>
      </c>
      <c r="M3" s="3" t="s">
        <v>14</v>
      </c>
      <c r="N3" s="3" t="s">
        <v>16</v>
      </c>
      <c r="O3" s="4" t="s">
        <v>17</v>
      </c>
      <c r="P3" s="4" t="s">
        <v>18</v>
      </c>
      <c r="Q3" s="3" t="s">
        <v>19</v>
      </c>
      <c r="R3" s="3" t="s">
        <v>20</v>
      </c>
    </row>
    <row r="4" customFormat="false" ht="15" hidden="true" customHeight="false" outlineLevel="0" collapsed="false">
      <c r="B4" s="0" t="n">
        <v>727</v>
      </c>
      <c r="C4" s="0" t="s">
        <v>302</v>
      </c>
      <c r="D4" s="0" t="s">
        <v>525</v>
      </c>
      <c r="E4" s="0" t="s">
        <v>303</v>
      </c>
      <c r="F4" s="0" t="n">
        <v>1</v>
      </c>
      <c r="G4" s="0" t="s">
        <v>61</v>
      </c>
      <c r="H4" s="0" t="s">
        <v>304</v>
      </c>
      <c r="I4" s="0" t="s">
        <v>305</v>
      </c>
      <c r="J4" s="0" t="s">
        <v>306</v>
      </c>
      <c r="K4" s="0" t="s">
        <v>307</v>
      </c>
      <c r="L4" s="0" t="s">
        <v>526</v>
      </c>
      <c r="M4" s="0" t="s">
        <v>309</v>
      </c>
      <c r="N4" s="6" t="n">
        <v>46111</v>
      </c>
      <c r="Q4" s="0" t="s">
        <v>84</v>
      </c>
    </row>
    <row r="5" customFormat="false" ht="15" hidden="false" customHeight="false" outlineLevel="0" collapsed="false">
      <c r="B5" s="0" t="n">
        <v>623</v>
      </c>
      <c r="C5" s="0" t="s">
        <v>302</v>
      </c>
      <c r="D5" s="0" t="s">
        <v>527</v>
      </c>
      <c r="E5" s="0" t="s">
        <v>303</v>
      </c>
      <c r="F5" s="0" t="n">
        <v>1</v>
      </c>
      <c r="G5" s="0" t="s">
        <v>61</v>
      </c>
      <c r="H5" s="0" t="s">
        <v>304</v>
      </c>
      <c r="I5" s="0" t="s">
        <v>305</v>
      </c>
      <c r="J5" s="0" t="s">
        <v>306</v>
      </c>
      <c r="K5" s="0" t="s">
        <v>307</v>
      </c>
      <c r="L5" s="0" t="s">
        <v>526</v>
      </c>
      <c r="M5" s="0" t="s">
        <v>309</v>
      </c>
      <c r="N5" s="6" t="n">
        <v>46111</v>
      </c>
    </row>
    <row r="6" customFormat="false" ht="15" hidden="false" customHeight="false" outlineLevel="0" collapsed="false">
      <c r="B6" s="0" t="n">
        <v>625</v>
      </c>
      <c r="C6" s="0" t="s">
        <v>318</v>
      </c>
      <c r="D6" s="0" t="s">
        <v>527</v>
      </c>
      <c r="E6" s="0" t="s">
        <v>319</v>
      </c>
      <c r="F6" s="0" t="n">
        <v>1</v>
      </c>
      <c r="G6" s="0" t="s">
        <v>111</v>
      </c>
      <c r="H6" s="0" t="s">
        <v>320</v>
      </c>
      <c r="I6" s="0" t="s">
        <v>321</v>
      </c>
      <c r="J6" s="0" t="s">
        <v>322</v>
      </c>
      <c r="K6" s="0" t="s">
        <v>323</v>
      </c>
      <c r="L6" s="0" t="s">
        <v>324</v>
      </c>
      <c r="M6" s="0" t="s">
        <v>325</v>
      </c>
      <c r="N6" s="6" t="n">
        <v>46111</v>
      </c>
    </row>
    <row r="7" customFormat="false" ht="30" hidden="true" customHeight="true" outlineLevel="0" collapsed="false">
      <c r="B7" s="0" t="n">
        <v>722</v>
      </c>
      <c r="C7" s="0" t="s">
        <v>247</v>
      </c>
      <c r="D7" s="0" t="s">
        <v>525</v>
      </c>
      <c r="E7" s="0" t="s">
        <v>248</v>
      </c>
      <c r="F7" s="0" t="n">
        <v>1</v>
      </c>
      <c r="G7" s="0" t="s">
        <v>61</v>
      </c>
      <c r="H7" s="2" t="s">
        <v>528</v>
      </c>
      <c r="I7" s="2" t="s">
        <v>529</v>
      </c>
      <c r="J7" s="2" t="s">
        <v>530</v>
      </c>
      <c r="K7" s="0" t="s">
        <v>252</v>
      </c>
      <c r="L7" s="0" t="s">
        <v>531</v>
      </c>
      <c r="M7" s="0" t="s">
        <v>254</v>
      </c>
      <c r="N7" s="6" t="n">
        <v>46111</v>
      </c>
      <c r="Q7" s="0" t="s">
        <v>84</v>
      </c>
    </row>
    <row r="8" customFormat="false" ht="15" hidden="false" customHeight="false" outlineLevel="0" collapsed="false">
      <c r="B8" s="0" t="n">
        <v>616</v>
      </c>
      <c r="C8" s="0" t="s">
        <v>247</v>
      </c>
      <c r="D8" s="0" t="s">
        <v>527</v>
      </c>
      <c r="E8" s="0" t="s">
        <v>248</v>
      </c>
      <c r="F8" s="0" t="n">
        <v>2</v>
      </c>
      <c r="G8" s="0" t="s">
        <v>61</v>
      </c>
      <c r="H8" s="0" t="s">
        <v>532</v>
      </c>
      <c r="I8" s="0" t="s">
        <v>533</v>
      </c>
      <c r="J8" s="0" t="s">
        <v>534</v>
      </c>
      <c r="K8" s="0" t="s">
        <v>252</v>
      </c>
      <c r="L8" s="0" t="s">
        <v>535</v>
      </c>
      <c r="M8" s="0" t="s">
        <v>254</v>
      </c>
      <c r="N8" s="6" t="n">
        <v>46111</v>
      </c>
    </row>
    <row r="9" customFormat="false" ht="15" hidden="true" customHeight="false" outlineLevel="0" collapsed="false">
      <c r="B9" s="0" t="n">
        <v>728</v>
      </c>
      <c r="C9" s="0" t="s">
        <v>310</v>
      </c>
      <c r="D9" s="0" t="s">
        <v>525</v>
      </c>
      <c r="E9" s="0" t="s">
        <v>311</v>
      </c>
      <c r="F9" s="0" t="n">
        <v>1</v>
      </c>
      <c r="G9" s="0" t="s">
        <v>152</v>
      </c>
      <c r="H9" s="0" t="s">
        <v>312</v>
      </c>
      <c r="I9" s="0" t="s">
        <v>313</v>
      </c>
      <c r="J9" s="0" t="s">
        <v>314</v>
      </c>
      <c r="K9" s="0" t="s">
        <v>315</v>
      </c>
      <c r="L9" s="0" t="s">
        <v>316</v>
      </c>
      <c r="M9" s="0" t="s">
        <v>317</v>
      </c>
      <c r="N9" s="6" t="n">
        <v>46111</v>
      </c>
      <c r="Q9" s="0" t="s">
        <v>84</v>
      </c>
    </row>
    <row r="10" customFormat="false" ht="15" hidden="false" customHeight="false" outlineLevel="0" collapsed="false">
      <c r="B10" s="0" t="n">
        <v>624</v>
      </c>
      <c r="C10" s="0" t="s">
        <v>310</v>
      </c>
      <c r="D10" s="0" t="s">
        <v>527</v>
      </c>
      <c r="E10" s="0" t="s">
        <v>311</v>
      </c>
      <c r="F10" s="0" t="n">
        <v>2</v>
      </c>
      <c r="G10" s="0" t="s">
        <v>152</v>
      </c>
      <c r="H10" s="0" t="s">
        <v>312</v>
      </c>
      <c r="I10" s="0" t="s">
        <v>313</v>
      </c>
      <c r="J10" s="0" t="s">
        <v>314</v>
      </c>
      <c r="K10" s="0" t="s">
        <v>315</v>
      </c>
      <c r="L10" s="0" t="s">
        <v>316</v>
      </c>
      <c r="M10" s="0" t="s">
        <v>317</v>
      </c>
      <c r="N10" s="6" t="n">
        <v>46111</v>
      </c>
    </row>
    <row r="11" customFormat="false" ht="15" hidden="true" customHeight="false" outlineLevel="0" collapsed="false">
      <c r="B11" s="0" t="n">
        <v>739</v>
      </c>
      <c r="C11" s="0" t="s">
        <v>447</v>
      </c>
      <c r="D11" s="0" t="s">
        <v>525</v>
      </c>
      <c r="E11" s="0" t="s">
        <v>448</v>
      </c>
      <c r="F11" s="0" t="n">
        <v>1</v>
      </c>
      <c r="G11" s="0" t="s">
        <v>24</v>
      </c>
      <c r="H11" s="0" t="s">
        <v>449</v>
      </c>
      <c r="I11" s="0" t="s">
        <v>450</v>
      </c>
      <c r="J11" s="0" t="s">
        <v>451</v>
      </c>
      <c r="K11" s="0" t="s">
        <v>452</v>
      </c>
      <c r="L11" s="0" t="s">
        <v>453</v>
      </c>
      <c r="M11" s="0" t="s">
        <v>454</v>
      </c>
      <c r="N11" s="6" t="n">
        <v>46111</v>
      </c>
      <c r="Q11" s="0" t="s">
        <v>84</v>
      </c>
    </row>
    <row r="12" customFormat="false" ht="15" hidden="false" customHeight="false" outlineLevel="0" collapsed="false">
      <c r="B12" s="0" t="n">
        <v>639</v>
      </c>
      <c r="C12" s="0" t="s">
        <v>447</v>
      </c>
      <c r="D12" s="0" t="s">
        <v>527</v>
      </c>
      <c r="E12" s="0" t="s">
        <v>448</v>
      </c>
      <c r="F12" s="0" t="n">
        <v>1</v>
      </c>
      <c r="G12" s="0" t="s">
        <v>24</v>
      </c>
      <c r="H12" s="0" t="s">
        <v>449</v>
      </c>
      <c r="I12" s="0" t="s">
        <v>450</v>
      </c>
      <c r="J12" s="0" t="s">
        <v>451</v>
      </c>
      <c r="K12" s="0" t="s">
        <v>452</v>
      </c>
      <c r="L12" s="0" t="s">
        <v>453</v>
      </c>
      <c r="M12" s="0" t="s">
        <v>454</v>
      </c>
      <c r="N12" s="6" t="n">
        <v>46111</v>
      </c>
    </row>
    <row r="13" customFormat="false" ht="15" hidden="true" customHeight="false" outlineLevel="0" collapsed="false">
      <c r="B13" s="0" t="n">
        <v>711</v>
      </c>
      <c r="C13" s="0" t="s">
        <v>536</v>
      </c>
      <c r="D13" s="0" t="s">
        <v>525</v>
      </c>
      <c r="E13" s="0" t="s">
        <v>537</v>
      </c>
      <c r="F13" s="0" t="n">
        <v>1</v>
      </c>
      <c r="G13" s="0" t="s">
        <v>111</v>
      </c>
      <c r="H13" s="0" t="s">
        <v>538</v>
      </c>
      <c r="I13" s="0" t="s">
        <v>539</v>
      </c>
      <c r="J13" s="0" t="s">
        <v>540</v>
      </c>
      <c r="K13" s="0" t="s">
        <v>541</v>
      </c>
      <c r="L13" s="0" t="s">
        <v>541</v>
      </c>
      <c r="M13" s="0" t="s">
        <v>542</v>
      </c>
      <c r="N13" s="6" t="n">
        <v>46111</v>
      </c>
      <c r="Q13" s="0" t="s">
        <v>84</v>
      </c>
    </row>
    <row r="14" customFormat="false" ht="15" hidden="true" customHeight="false" outlineLevel="0" collapsed="false">
      <c r="B14" s="0" t="n">
        <v>746</v>
      </c>
      <c r="C14" s="0" t="s">
        <v>486</v>
      </c>
      <c r="D14" s="0" t="s">
        <v>525</v>
      </c>
      <c r="E14" s="0" t="s">
        <v>487</v>
      </c>
      <c r="F14" s="0" t="n">
        <v>1</v>
      </c>
      <c r="G14" s="0" t="s">
        <v>152</v>
      </c>
      <c r="H14" s="0" t="s">
        <v>488</v>
      </c>
      <c r="I14" s="0" t="s">
        <v>489</v>
      </c>
      <c r="J14" s="0" t="s">
        <v>490</v>
      </c>
      <c r="K14" s="0" t="s">
        <v>491</v>
      </c>
      <c r="L14" s="0" t="s">
        <v>492</v>
      </c>
      <c r="M14" s="0" t="s">
        <v>493</v>
      </c>
      <c r="N14" s="6" t="n">
        <v>46111</v>
      </c>
      <c r="Q14" s="0" t="s">
        <v>84</v>
      </c>
    </row>
    <row r="15" customFormat="false" ht="15" hidden="false" customHeight="false" outlineLevel="0" collapsed="false">
      <c r="B15" s="0" t="n">
        <v>645</v>
      </c>
      <c r="C15" s="0" t="s">
        <v>486</v>
      </c>
      <c r="D15" s="0" t="s">
        <v>527</v>
      </c>
      <c r="E15" s="0" t="s">
        <v>487</v>
      </c>
      <c r="F15" s="0" t="n">
        <v>1</v>
      </c>
      <c r="G15" s="0" t="s">
        <v>152</v>
      </c>
      <c r="H15" s="0" t="s">
        <v>488</v>
      </c>
      <c r="I15" s="0" t="s">
        <v>489</v>
      </c>
      <c r="J15" s="0" t="s">
        <v>490</v>
      </c>
      <c r="K15" s="0" t="s">
        <v>491</v>
      </c>
      <c r="L15" s="0" t="s">
        <v>492</v>
      </c>
      <c r="M15" s="0" t="s">
        <v>493</v>
      </c>
      <c r="N15" s="6" t="n">
        <v>46111</v>
      </c>
    </row>
    <row r="16" customFormat="false" ht="15" hidden="true" customHeight="false" outlineLevel="0" collapsed="false">
      <c r="B16" s="0" t="n">
        <v>729</v>
      </c>
      <c r="C16" s="0" t="s">
        <v>334</v>
      </c>
      <c r="D16" s="0" t="s">
        <v>525</v>
      </c>
      <c r="E16" s="0" t="s">
        <v>335</v>
      </c>
      <c r="F16" s="0" t="n">
        <v>1</v>
      </c>
      <c r="G16" s="0" t="s">
        <v>61</v>
      </c>
      <c r="H16" s="0" t="s">
        <v>336</v>
      </c>
      <c r="I16" s="0" t="s">
        <v>337</v>
      </c>
      <c r="J16" s="0" t="s">
        <v>338</v>
      </c>
      <c r="K16" s="0" t="s">
        <v>339</v>
      </c>
      <c r="L16" s="0" t="s">
        <v>543</v>
      </c>
      <c r="M16" s="0" t="s">
        <v>341</v>
      </c>
      <c r="N16" s="6" t="n">
        <v>46111</v>
      </c>
      <c r="Q16" s="0" t="s">
        <v>84</v>
      </c>
    </row>
    <row r="17" customFormat="false" ht="15" hidden="false" customHeight="false" outlineLevel="0" collapsed="false">
      <c r="B17" s="0" t="n">
        <v>627</v>
      </c>
      <c r="C17" s="0" t="s">
        <v>334</v>
      </c>
      <c r="D17" s="0" t="s">
        <v>527</v>
      </c>
      <c r="E17" s="0" t="s">
        <v>335</v>
      </c>
      <c r="F17" s="0" t="n">
        <v>1</v>
      </c>
      <c r="G17" s="0" t="s">
        <v>61</v>
      </c>
      <c r="H17" s="0" t="s">
        <v>336</v>
      </c>
      <c r="I17" s="0" t="s">
        <v>337</v>
      </c>
      <c r="J17" s="0" t="s">
        <v>338</v>
      </c>
      <c r="K17" s="0" t="s">
        <v>339</v>
      </c>
      <c r="L17" s="0" t="s">
        <v>543</v>
      </c>
      <c r="M17" s="0" t="s">
        <v>341</v>
      </c>
      <c r="N17" s="6" t="n">
        <v>46111</v>
      </c>
    </row>
    <row r="18" customFormat="false" ht="15" hidden="false" customHeight="false" outlineLevel="0" collapsed="false">
      <c r="B18" s="0" t="n">
        <v>590</v>
      </c>
      <c r="C18" s="0" t="s">
        <v>21</v>
      </c>
      <c r="D18" s="0" t="s">
        <v>527</v>
      </c>
      <c r="E18" s="0" t="s">
        <v>22</v>
      </c>
      <c r="F18" s="0" t="n">
        <v>1</v>
      </c>
      <c r="G18" s="0" t="s">
        <v>24</v>
      </c>
      <c r="H18" s="0" t="s">
        <v>25</v>
      </c>
      <c r="I18" s="0" t="s">
        <v>26</v>
      </c>
      <c r="J18" s="0" t="s">
        <v>27</v>
      </c>
      <c r="K18" s="0" t="s">
        <v>28</v>
      </c>
      <c r="L18" s="0" t="s">
        <v>29</v>
      </c>
      <c r="M18" s="0" t="s">
        <v>30</v>
      </c>
      <c r="N18" s="6" t="n">
        <v>46111</v>
      </c>
    </row>
    <row r="19" customFormat="false" ht="15" hidden="true" customHeight="false" outlineLevel="0" collapsed="false">
      <c r="B19" s="0" t="n">
        <v>738</v>
      </c>
      <c r="C19" s="0" t="s">
        <v>544</v>
      </c>
      <c r="D19" s="0" t="s">
        <v>525</v>
      </c>
      <c r="E19" s="0" t="s">
        <v>545</v>
      </c>
      <c r="F19" s="0" t="n">
        <v>2</v>
      </c>
      <c r="G19" s="0" t="s">
        <v>24</v>
      </c>
      <c r="H19" s="0" t="s">
        <v>546</v>
      </c>
      <c r="I19" s="0" t="s">
        <v>547</v>
      </c>
      <c r="J19" s="0" t="s">
        <v>548</v>
      </c>
      <c r="K19" s="0" t="s">
        <v>549</v>
      </c>
      <c r="L19" s="0" t="s">
        <v>550</v>
      </c>
      <c r="M19" s="0" t="s">
        <v>551</v>
      </c>
      <c r="N19" s="6" t="n">
        <v>46111</v>
      </c>
      <c r="Q19" s="0" t="s">
        <v>84</v>
      </c>
    </row>
    <row r="20" customFormat="false" ht="15" hidden="false" customHeight="false" outlineLevel="0" collapsed="false">
      <c r="B20" s="0" t="n">
        <v>637</v>
      </c>
      <c r="C20" s="0" t="s">
        <v>544</v>
      </c>
      <c r="D20" s="0" t="s">
        <v>527</v>
      </c>
      <c r="E20" s="0" t="s">
        <v>545</v>
      </c>
      <c r="F20" s="0" t="n">
        <v>2</v>
      </c>
      <c r="G20" s="0" t="s">
        <v>24</v>
      </c>
      <c r="H20" s="0" t="s">
        <v>546</v>
      </c>
      <c r="I20" s="0" t="s">
        <v>547</v>
      </c>
      <c r="J20" s="0" t="s">
        <v>548</v>
      </c>
      <c r="K20" s="0" t="s">
        <v>549</v>
      </c>
      <c r="L20" s="0" t="s">
        <v>550</v>
      </c>
      <c r="M20" s="0" t="s">
        <v>551</v>
      </c>
      <c r="N20" s="6" t="n">
        <v>46111</v>
      </c>
    </row>
    <row r="21" customFormat="false" ht="15" hidden="true" customHeight="false" outlineLevel="0" collapsed="false">
      <c r="B21" s="0" t="n">
        <v>748</v>
      </c>
      <c r="C21" s="0" t="s">
        <v>494</v>
      </c>
      <c r="D21" s="0" t="s">
        <v>525</v>
      </c>
      <c r="E21" s="0" t="s">
        <v>495</v>
      </c>
      <c r="F21" s="0" t="n">
        <v>1</v>
      </c>
      <c r="G21" s="0" t="s">
        <v>61</v>
      </c>
      <c r="H21" s="0" t="s">
        <v>496</v>
      </c>
      <c r="I21" s="0" t="s">
        <v>497</v>
      </c>
      <c r="J21" s="0" t="s">
        <v>498</v>
      </c>
      <c r="K21" s="0" t="s">
        <v>499</v>
      </c>
      <c r="L21" s="0" t="s">
        <v>500</v>
      </c>
      <c r="M21" s="0" t="s">
        <v>501</v>
      </c>
      <c r="N21" s="6" t="n">
        <v>46111</v>
      </c>
      <c r="Q21" s="0" t="s">
        <v>84</v>
      </c>
    </row>
    <row r="22" customFormat="false" ht="15" hidden="false" customHeight="false" outlineLevel="0" collapsed="false">
      <c r="B22" s="0" t="n">
        <v>634</v>
      </c>
      <c r="C22" s="0" t="s">
        <v>407</v>
      </c>
      <c r="D22" s="0" t="s">
        <v>527</v>
      </c>
      <c r="E22" s="0" t="s">
        <v>408</v>
      </c>
      <c r="F22" s="0" t="n">
        <v>1</v>
      </c>
      <c r="G22" s="0" t="s">
        <v>61</v>
      </c>
      <c r="H22" s="0" t="s">
        <v>409</v>
      </c>
      <c r="I22" s="0" t="s">
        <v>410</v>
      </c>
      <c r="J22" s="0" t="s">
        <v>411</v>
      </c>
      <c r="K22" s="0" t="s">
        <v>412</v>
      </c>
      <c r="L22" s="0" t="s">
        <v>552</v>
      </c>
      <c r="M22" s="0" t="s">
        <v>414</v>
      </c>
      <c r="N22" s="6" t="n">
        <v>46111</v>
      </c>
    </row>
    <row r="23" customFormat="false" ht="15" hidden="true" customHeight="false" outlineLevel="0" collapsed="false">
      <c r="B23" s="0" t="n">
        <v>698</v>
      </c>
      <c r="C23" s="0" t="s">
        <v>34</v>
      </c>
      <c r="D23" s="0" t="s">
        <v>525</v>
      </c>
      <c r="E23" s="0" t="s">
        <v>35</v>
      </c>
      <c r="F23" s="0" t="n">
        <v>3</v>
      </c>
      <c r="G23" s="0" t="s">
        <v>36</v>
      </c>
      <c r="H23" s="0" t="s">
        <v>37</v>
      </c>
      <c r="I23" s="0" t="s">
        <v>38</v>
      </c>
      <c r="J23" s="0" t="s">
        <v>39</v>
      </c>
      <c r="K23" s="0" t="s">
        <v>40</v>
      </c>
      <c r="L23" s="0" t="s">
        <v>553</v>
      </c>
      <c r="M23" s="0" t="s">
        <v>42</v>
      </c>
      <c r="N23" s="6" t="n">
        <v>46111</v>
      </c>
      <c r="Q23" s="0" t="s">
        <v>84</v>
      </c>
    </row>
    <row r="24" customFormat="false" ht="15" hidden="false" customHeight="false" outlineLevel="0" collapsed="false">
      <c r="B24" s="0" t="n">
        <v>592</v>
      </c>
      <c r="C24" s="0" t="s">
        <v>34</v>
      </c>
      <c r="D24" s="0" t="s">
        <v>527</v>
      </c>
      <c r="E24" s="0" t="s">
        <v>35</v>
      </c>
      <c r="F24" s="0" t="n">
        <v>8</v>
      </c>
      <c r="G24" s="0" t="s">
        <v>36</v>
      </c>
      <c r="H24" s="0" t="s">
        <v>37</v>
      </c>
      <c r="I24" s="0" t="s">
        <v>38</v>
      </c>
      <c r="J24" s="0" t="s">
        <v>39</v>
      </c>
      <c r="K24" s="0" t="s">
        <v>40</v>
      </c>
      <c r="L24" s="0" t="s">
        <v>553</v>
      </c>
      <c r="M24" s="0" t="s">
        <v>42</v>
      </c>
      <c r="N24" s="6" t="n">
        <v>46111</v>
      </c>
    </row>
    <row r="25" customFormat="false" ht="15" hidden="true" customHeight="false" outlineLevel="0" collapsed="false">
      <c r="B25" s="0" t="n">
        <v>712</v>
      </c>
      <c r="C25" s="0" t="s">
        <v>166</v>
      </c>
      <c r="D25" s="0" t="s">
        <v>525</v>
      </c>
      <c r="E25" s="0" t="s">
        <v>167</v>
      </c>
      <c r="F25" s="0" t="n">
        <v>2</v>
      </c>
      <c r="G25" s="0" t="s">
        <v>61</v>
      </c>
      <c r="H25" s="0" t="s">
        <v>168</v>
      </c>
      <c r="I25" s="0" t="s">
        <v>169</v>
      </c>
      <c r="J25" s="0" t="s">
        <v>170</v>
      </c>
      <c r="K25" s="0" t="s">
        <v>171</v>
      </c>
      <c r="L25" s="0" t="s">
        <v>172</v>
      </c>
      <c r="M25" s="0" t="s">
        <v>173</v>
      </c>
      <c r="N25" s="6" t="n">
        <v>46111</v>
      </c>
      <c r="Q25" s="0" t="s">
        <v>84</v>
      </c>
    </row>
    <row r="26" customFormat="false" ht="15" hidden="false" customHeight="false" outlineLevel="0" collapsed="false">
      <c r="B26" s="0" t="n">
        <v>607</v>
      </c>
      <c r="C26" s="0" t="s">
        <v>166</v>
      </c>
      <c r="D26" s="0" t="s">
        <v>527</v>
      </c>
      <c r="E26" s="0" t="s">
        <v>167</v>
      </c>
      <c r="F26" s="0" t="n">
        <v>1</v>
      </c>
      <c r="G26" s="0" t="s">
        <v>61</v>
      </c>
      <c r="H26" s="0" t="s">
        <v>168</v>
      </c>
      <c r="I26" s="0" t="s">
        <v>169</v>
      </c>
      <c r="J26" s="0" t="s">
        <v>170</v>
      </c>
      <c r="K26" s="0" t="s">
        <v>171</v>
      </c>
      <c r="L26" s="0" t="s">
        <v>172</v>
      </c>
      <c r="M26" s="0" t="s">
        <v>173</v>
      </c>
      <c r="N26" s="6" t="n">
        <v>46111</v>
      </c>
    </row>
    <row r="27" customFormat="false" ht="15" hidden="false" customHeight="false" outlineLevel="0" collapsed="false">
      <c r="B27" s="0" t="n">
        <v>626</v>
      </c>
      <c r="C27" s="0" t="s">
        <v>326</v>
      </c>
      <c r="D27" s="0" t="s">
        <v>527</v>
      </c>
      <c r="E27" s="0" t="s">
        <v>327</v>
      </c>
      <c r="F27" s="0" t="n">
        <v>1</v>
      </c>
      <c r="G27" s="0" t="s">
        <v>152</v>
      </c>
      <c r="H27" s="0" t="s">
        <v>328</v>
      </c>
      <c r="I27" s="0" t="s">
        <v>329</v>
      </c>
      <c r="J27" s="0" t="s">
        <v>330</v>
      </c>
      <c r="K27" s="0" t="s">
        <v>331</v>
      </c>
      <c r="L27" s="0" t="s">
        <v>332</v>
      </c>
      <c r="M27" s="0" t="s">
        <v>333</v>
      </c>
      <c r="N27" s="6" t="n">
        <v>46111</v>
      </c>
    </row>
    <row r="28" customFormat="false" ht="15" hidden="true" customHeight="false" outlineLevel="0" collapsed="false">
      <c r="B28" s="0" t="n">
        <v>710</v>
      </c>
      <c r="C28" s="0" t="s">
        <v>554</v>
      </c>
      <c r="D28" s="0" t="s">
        <v>525</v>
      </c>
      <c r="E28" s="0" t="s">
        <v>555</v>
      </c>
      <c r="F28" s="0" t="n">
        <v>1</v>
      </c>
      <c r="G28" s="0" t="s">
        <v>61</v>
      </c>
      <c r="H28" s="0" t="s">
        <v>556</v>
      </c>
      <c r="I28" s="0" t="s">
        <v>557</v>
      </c>
      <c r="J28" s="0" t="s">
        <v>558</v>
      </c>
      <c r="K28" s="0" t="s">
        <v>559</v>
      </c>
      <c r="L28" s="0" t="s">
        <v>560</v>
      </c>
      <c r="M28" s="0" t="s">
        <v>561</v>
      </c>
      <c r="N28" s="6" t="n">
        <v>46111</v>
      </c>
      <c r="Q28" s="0" t="s">
        <v>84</v>
      </c>
    </row>
    <row r="29" customFormat="false" ht="15" hidden="false" customHeight="false" outlineLevel="0" collapsed="false">
      <c r="B29" s="0" t="n">
        <v>606</v>
      </c>
      <c r="C29" s="0" t="s">
        <v>554</v>
      </c>
      <c r="D29" s="0" t="s">
        <v>527</v>
      </c>
      <c r="E29" s="0" t="s">
        <v>555</v>
      </c>
      <c r="F29" s="0" t="n">
        <v>2</v>
      </c>
      <c r="G29" s="0" t="s">
        <v>61</v>
      </c>
      <c r="H29" s="0" t="s">
        <v>556</v>
      </c>
      <c r="I29" s="0" t="s">
        <v>557</v>
      </c>
      <c r="J29" s="0" t="s">
        <v>558</v>
      </c>
      <c r="K29" s="0" t="s">
        <v>559</v>
      </c>
      <c r="L29" s="0" t="s">
        <v>560</v>
      </c>
      <c r="M29" s="0" t="s">
        <v>561</v>
      </c>
      <c r="N29" s="6" t="n">
        <v>46111</v>
      </c>
    </row>
    <row r="30" customFormat="false" ht="15" hidden="false" customHeight="false" outlineLevel="0" collapsed="false">
      <c r="B30" s="0" t="n">
        <v>595</v>
      </c>
      <c r="C30" s="0" t="s">
        <v>562</v>
      </c>
      <c r="D30" s="0" t="s">
        <v>527</v>
      </c>
      <c r="E30" s="0" t="s">
        <v>563</v>
      </c>
      <c r="F30" s="0" t="n">
        <v>1</v>
      </c>
      <c r="G30" s="0" t="s">
        <v>61</v>
      </c>
      <c r="H30" s="0" t="s">
        <v>564</v>
      </c>
      <c r="I30" s="0" t="s">
        <v>565</v>
      </c>
      <c r="J30" s="0" t="s">
        <v>566</v>
      </c>
      <c r="K30" s="0" t="s">
        <v>567</v>
      </c>
      <c r="L30" s="0" t="s">
        <v>568</v>
      </c>
      <c r="M30" s="0" t="s">
        <v>569</v>
      </c>
      <c r="N30" s="6" t="n">
        <v>46111</v>
      </c>
    </row>
    <row r="31" customFormat="false" ht="15" hidden="false" customHeight="false" outlineLevel="0" collapsed="false">
      <c r="B31" s="0" t="n">
        <v>599</v>
      </c>
      <c r="C31" s="0" t="s">
        <v>85</v>
      </c>
      <c r="D31" s="0" t="s">
        <v>527</v>
      </c>
      <c r="E31" s="0" t="s">
        <v>86</v>
      </c>
      <c r="F31" s="0" t="n">
        <v>2</v>
      </c>
      <c r="G31" s="0" t="s">
        <v>87</v>
      </c>
      <c r="H31" s="0" t="s">
        <v>88</v>
      </c>
      <c r="I31" s="0" t="s">
        <v>89</v>
      </c>
      <c r="J31" s="0" t="s">
        <v>90</v>
      </c>
      <c r="K31" s="0" t="s">
        <v>91</v>
      </c>
      <c r="L31" s="0" t="s">
        <v>92</v>
      </c>
      <c r="M31" s="0" t="s">
        <v>93</v>
      </c>
      <c r="N31" s="6" t="n">
        <v>46111</v>
      </c>
    </row>
    <row r="32" customFormat="false" ht="30" hidden="false" customHeight="true" outlineLevel="0" collapsed="false">
      <c r="B32" s="0" t="n">
        <v>638</v>
      </c>
      <c r="C32" s="0" t="s">
        <v>439</v>
      </c>
      <c r="D32" s="0" t="s">
        <v>527</v>
      </c>
      <c r="E32" s="0" t="s">
        <v>440</v>
      </c>
      <c r="F32" s="0" t="n">
        <v>1</v>
      </c>
      <c r="G32" s="0" t="s">
        <v>152</v>
      </c>
      <c r="H32" s="2" t="s">
        <v>441</v>
      </c>
      <c r="I32" s="2" t="s">
        <v>442</v>
      </c>
      <c r="J32" s="2" t="s">
        <v>443</v>
      </c>
      <c r="K32" s="0" t="s">
        <v>444</v>
      </c>
      <c r="L32" s="0" t="s">
        <v>570</v>
      </c>
      <c r="M32" s="0" t="s">
        <v>446</v>
      </c>
      <c r="N32" s="6" t="n">
        <v>46111</v>
      </c>
    </row>
    <row r="33" customFormat="false" ht="15" hidden="true" customHeight="false" outlineLevel="0" collapsed="false">
      <c r="B33" s="0" t="n">
        <v>740</v>
      </c>
      <c r="C33" s="0" t="s">
        <v>571</v>
      </c>
      <c r="D33" s="0" t="s">
        <v>525</v>
      </c>
      <c r="E33" s="0" t="s">
        <v>572</v>
      </c>
      <c r="F33" s="0" t="n">
        <v>1</v>
      </c>
      <c r="G33" s="0" t="s">
        <v>573</v>
      </c>
      <c r="H33" s="0" t="s">
        <v>574</v>
      </c>
      <c r="I33" s="0" t="s">
        <v>575</v>
      </c>
      <c r="J33" s="0" t="s">
        <v>576</v>
      </c>
      <c r="K33" s="0" t="s">
        <v>577</v>
      </c>
      <c r="L33" s="0" t="s">
        <v>578</v>
      </c>
      <c r="M33" s="0" t="s">
        <v>579</v>
      </c>
      <c r="N33" s="6" t="n">
        <v>46111</v>
      </c>
      <c r="Q33" s="0" t="s">
        <v>84</v>
      </c>
    </row>
    <row r="34" customFormat="false" ht="15" hidden="false" customHeight="false" outlineLevel="0" collapsed="false">
      <c r="B34" s="0" t="n">
        <v>640</v>
      </c>
      <c r="C34" s="0" t="s">
        <v>571</v>
      </c>
      <c r="D34" s="0" t="s">
        <v>527</v>
      </c>
      <c r="E34" s="0" t="s">
        <v>572</v>
      </c>
      <c r="F34" s="0" t="n">
        <v>2</v>
      </c>
      <c r="G34" s="0" t="s">
        <v>573</v>
      </c>
      <c r="H34" s="0" t="s">
        <v>574</v>
      </c>
      <c r="I34" s="0" t="s">
        <v>575</v>
      </c>
      <c r="J34" s="0" t="s">
        <v>576</v>
      </c>
      <c r="K34" s="0" t="s">
        <v>577</v>
      </c>
      <c r="L34" s="0" t="s">
        <v>578</v>
      </c>
      <c r="M34" s="0" t="s">
        <v>579</v>
      </c>
      <c r="N34" s="6" t="n">
        <v>46111</v>
      </c>
    </row>
    <row r="35" customFormat="false" ht="15" hidden="true" customHeight="false" outlineLevel="0" collapsed="false">
      <c r="B35" s="0" t="n">
        <v>713</v>
      </c>
      <c r="C35" s="0" t="s">
        <v>174</v>
      </c>
      <c r="D35" s="0" t="s">
        <v>525</v>
      </c>
      <c r="E35" s="0" t="s">
        <v>175</v>
      </c>
      <c r="F35" s="0" t="n">
        <v>11</v>
      </c>
      <c r="G35" s="0" t="s">
        <v>152</v>
      </c>
      <c r="H35" s="0" t="s">
        <v>176</v>
      </c>
      <c r="I35" s="0" t="s">
        <v>177</v>
      </c>
      <c r="J35" s="0" t="s">
        <v>178</v>
      </c>
      <c r="K35" s="0" t="s">
        <v>179</v>
      </c>
      <c r="L35" s="0" t="s">
        <v>180</v>
      </c>
      <c r="M35" s="0" t="s">
        <v>181</v>
      </c>
      <c r="N35" s="6" t="n">
        <v>46111</v>
      </c>
      <c r="Q35" s="0" t="s">
        <v>84</v>
      </c>
    </row>
    <row r="36" customFormat="false" ht="15" hidden="true" customHeight="false" outlineLevel="0" collapsed="false">
      <c r="B36" s="0" t="n">
        <v>706</v>
      </c>
      <c r="C36" s="0" t="s">
        <v>109</v>
      </c>
      <c r="D36" s="0" t="s">
        <v>525</v>
      </c>
      <c r="E36" s="0" t="s">
        <v>110</v>
      </c>
      <c r="F36" s="0" t="n">
        <v>1</v>
      </c>
      <c r="G36" s="0" t="s">
        <v>111</v>
      </c>
      <c r="H36" s="0" t="s">
        <v>112</v>
      </c>
      <c r="I36" s="0" t="s">
        <v>113</v>
      </c>
      <c r="J36" s="0" t="s">
        <v>114</v>
      </c>
      <c r="K36" s="0" t="s">
        <v>115</v>
      </c>
      <c r="L36" s="0" t="s">
        <v>115</v>
      </c>
      <c r="M36" s="0" t="s">
        <v>116</v>
      </c>
      <c r="N36" s="6" t="n">
        <v>46111</v>
      </c>
      <c r="Q36" s="0" t="s">
        <v>84</v>
      </c>
    </row>
    <row r="37" customFormat="false" ht="15" hidden="false" customHeight="false" outlineLevel="0" collapsed="false">
      <c r="B37" s="0" t="n">
        <v>603</v>
      </c>
      <c r="C37" s="0" t="s">
        <v>109</v>
      </c>
      <c r="D37" s="0" t="s">
        <v>527</v>
      </c>
      <c r="E37" s="0" t="s">
        <v>110</v>
      </c>
      <c r="F37" s="0" t="n">
        <v>1</v>
      </c>
      <c r="G37" s="0" t="s">
        <v>111</v>
      </c>
      <c r="H37" s="0" t="s">
        <v>112</v>
      </c>
      <c r="I37" s="0" t="s">
        <v>113</v>
      </c>
      <c r="J37" s="0" t="s">
        <v>114</v>
      </c>
      <c r="K37" s="0" t="s">
        <v>115</v>
      </c>
      <c r="L37" s="0" t="s">
        <v>115</v>
      </c>
      <c r="M37" s="0" t="s">
        <v>116</v>
      </c>
      <c r="N37" s="6" t="n">
        <v>46111</v>
      </c>
    </row>
    <row r="38" customFormat="false" ht="15" hidden="true" customHeight="false" outlineLevel="0" collapsed="false">
      <c r="B38" s="0" t="n">
        <v>702</v>
      </c>
      <c r="C38" s="0" t="s">
        <v>580</v>
      </c>
      <c r="D38" s="0" t="s">
        <v>525</v>
      </c>
      <c r="E38" s="0" t="s">
        <v>581</v>
      </c>
      <c r="F38" s="0" t="n">
        <v>2</v>
      </c>
      <c r="G38" s="0" t="s">
        <v>61</v>
      </c>
      <c r="H38" s="0" t="s">
        <v>582</v>
      </c>
      <c r="I38" s="0" t="s">
        <v>583</v>
      </c>
      <c r="J38" s="0" t="s">
        <v>584</v>
      </c>
      <c r="K38" s="0" t="s">
        <v>585</v>
      </c>
      <c r="L38" s="0" t="s">
        <v>586</v>
      </c>
      <c r="M38" s="0" t="s">
        <v>587</v>
      </c>
      <c r="N38" s="6" t="n">
        <v>46111</v>
      </c>
      <c r="Q38" s="0" t="s">
        <v>84</v>
      </c>
    </row>
    <row r="39" customFormat="false" ht="15" hidden="false" customHeight="false" outlineLevel="0" collapsed="false">
      <c r="B39" s="0" t="n">
        <v>600</v>
      </c>
      <c r="C39" s="0" t="s">
        <v>580</v>
      </c>
      <c r="D39" s="0" t="s">
        <v>527</v>
      </c>
      <c r="E39" s="0" t="s">
        <v>581</v>
      </c>
      <c r="F39" s="0" t="n">
        <v>1</v>
      </c>
      <c r="G39" s="0" t="s">
        <v>61</v>
      </c>
      <c r="H39" s="0" t="s">
        <v>582</v>
      </c>
      <c r="I39" s="0" t="s">
        <v>583</v>
      </c>
      <c r="J39" s="0" t="s">
        <v>584</v>
      </c>
      <c r="K39" s="0" t="s">
        <v>585</v>
      </c>
      <c r="L39" s="0" t="s">
        <v>586</v>
      </c>
      <c r="M39" s="0" t="s">
        <v>587</v>
      </c>
      <c r="N39" s="6" t="n">
        <v>46111</v>
      </c>
    </row>
    <row r="40" customFormat="false" ht="15" hidden="true" customHeight="false" outlineLevel="0" collapsed="false">
      <c r="B40" s="0" t="n">
        <v>731</v>
      </c>
      <c r="C40" s="0" t="s">
        <v>350</v>
      </c>
      <c r="D40" s="0" t="s">
        <v>525</v>
      </c>
      <c r="E40" s="0" t="s">
        <v>351</v>
      </c>
      <c r="F40" s="0" t="n">
        <v>1</v>
      </c>
      <c r="G40" s="0" t="s">
        <v>152</v>
      </c>
      <c r="H40" s="0" t="s">
        <v>352</v>
      </c>
      <c r="I40" s="0" t="s">
        <v>353</v>
      </c>
      <c r="J40" s="0" t="s">
        <v>354</v>
      </c>
      <c r="K40" s="0" t="s">
        <v>355</v>
      </c>
      <c r="L40" s="0" t="s">
        <v>355</v>
      </c>
      <c r="M40" s="0" t="s">
        <v>356</v>
      </c>
      <c r="N40" s="6" t="n">
        <v>46111</v>
      </c>
      <c r="Q40" s="0" t="s">
        <v>84</v>
      </c>
    </row>
    <row r="41" customFormat="false" ht="15" hidden="false" customHeight="false" outlineLevel="0" collapsed="false">
      <c r="B41" s="0" t="n">
        <v>628</v>
      </c>
      <c r="C41" s="0" t="s">
        <v>350</v>
      </c>
      <c r="D41" s="0" t="s">
        <v>527</v>
      </c>
      <c r="E41" s="0" t="s">
        <v>351</v>
      </c>
      <c r="F41" s="0" t="n">
        <v>2</v>
      </c>
      <c r="G41" s="0" t="s">
        <v>152</v>
      </c>
      <c r="H41" s="0" t="s">
        <v>352</v>
      </c>
      <c r="I41" s="0" t="s">
        <v>353</v>
      </c>
      <c r="J41" s="0" t="s">
        <v>354</v>
      </c>
      <c r="K41" s="0" t="s">
        <v>355</v>
      </c>
      <c r="L41" s="0" t="s">
        <v>355</v>
      </c>
      <c r="M41" s="0" t="s">
        <v>356</v>
      </c>
      <c r="N41" s="6" t="n">
        <v>46111</v>
      </c>
    </row>
    <row r="42" customFormat="false" ht="15" hidden="true" customHeight="false" outlineLevel="0" collapsed="false">
      <c r="B42" s="0" t="n">
        <v>734</v>
      </c>
      <c r="C42" s="0" t="s">
        <v>391</v>
      </c>
      <c r="D42" s="0" t="s">
        <v>525</v>
      </c>
      <c r="E42" s="0" t="s">
        <v>392</v>
      </c>
      <c r="F42" s="0" t="n">
        <v>1</v>
      </c>
      <c r="G42" s="0" t="s">
        <v>111</v>
      </c>
      <c r="H42" s="0" t="s">
        <v>393</v>
      </c>
      <c r="I42" s="0" t="s">
        <v>394</v>
      </c>
      <c r="J42" s="0" t="s">
        <v>395</v>
      </c>
      <c r="K42" s="0" t="s">
        <v>396</v>
      </c>
      <c r="L42" s="0" t="s">
        <v>397</v>
      </c>
      <c r="M42" s="0" t="s">
        <v>398</v>
      </c>
      <c r="N42" s="6" t="n">
        <v>46111</v>
      </c>
      <c r="Q42" s="0" t="s">
        <v>84</v>
      </c>
    </row>
    <row r="43" customFormat="false" ht="15" hidden="true" customHeight="false" outlineLevel="0" collapsed="false">
      <c r="B43" s="0" t="n">
        <v>744</v>
      </c>
      <c r="C43" s="0" t="s">
        <v>588</v>
      </c>
      <c r="D43" s="0" t="s">
        <v>525</v>
      </c>
      <c r="E43" s="0" t="s">
        <v>589</v>
      </c>
      <c r="F43" s="0" t="n">
        <v>1</v>
      </c>
      <c r="G43" s="0" t="s">
        <v>24</v>
      </c>
      <c r="H43" s="0" t="s">
        <v>590</v>
      </c>
      <c r="I43" s="0" t="s">
        <v>591</v>
      </c>
      <c r="J43" s="0" t="s">
        <v>592</v>
      </c>
      <c r="K43" s="0" t="s">
        <v>593</v>
      </c>
      <c r="L43" s="0" t="s">
        <v>594</v>
      </c>
      <c r="M43" s="0" t="s">
        <v>595</v>
      </c>
      <c r="N43" s="6" t="n">
        <v>46111</v>
      </c>
      <c r="Q43" s="0" t="s">
        <v>84</v>
      </c>
    </row>
    <row r="44" customFormat="false" ht="15" hidden="false" customHeight="false" outlineLevel="0" collapsed="false">
      <c r="B44" s="0" t="n">
        <v>641</v>
      </c>
      <c r="C44" s="0" t="s">
        <v>596</v>
      </c>
      <c r="D44" s="0" t="s">
        <v>527</v>
      </c>
      <c r="E44" s="0" t="s">
        <v>597</v>
      </c>
      <c r="F44" s="0" t="n">
        <v>1</v>
      </c>
      <c r="G44" s="0" t="s">
        <v>61</v>
      </c>
      <c r="H44" s="0" t="s">
        <v>598</v>
      </c>
      <c r="I44" s="0" t="s">
        <v>599</v>
      </c>
      <c r="J44" s="0" t="s">
        <v>600</v>
      </c>
      <c r="K44" s="0" t="s">
        <v>601</v>
      </c>
      <c r="L44" s="0" t="s">
        <v>602</v>
      </c>
      <c r="M44" s="0" t="s">
        <v>603</v>
      </c>
      <c r="N44" s="6" t="n">
        <v>46111</v>
      </c>
    </row>
    <row r="45" customFormat="false" ht="15" hidden="false" customHeight="false" outlineLevel="0" collapsed="false">
      <c r="B45" s="0" t="n">
        <v>618</v>
      </c>
      <c r="C45" s="0" t="s">
        <v>263</v>
      </c>
      <c r="D45" s="0" t="s">
        <v>527</v>
      </c>
      <c r="E45" s="0" t="s">
        <v>264</v>
      </c>
      <c r="F45" s="0" t="n">
        <v>1</v>
      </c>
      <c r="G45" s="0" t="s">
        <v>61</v>
      </c>
      <c r="H45" s="0" t="s">
        <v>265</v>
      </c>
      <c r="I45" s="0" t="s">
        <v>266</v>
      </c>
      <c r="J45" s="0" t="s">
        <v>267</v>
      </c>
      <c r="K45" s="0" t="s">
        <v>252</v>
      </c>
      <c r="L45" s="0" t="s">
        <v>268</v>
      </c>
      <c r="M45" s="0" t="s">
        <v>269</v>
      </c>
      <c r="N45" s="6" t="n">
        <v>46111</v>
      </c>
    </row>
    <row r="46" customFormat="false" ht="15" hidden="true" customHeight="false" outlineLevel="0" collapsed="false">
      <c r="B46" s="0" t="n">
        <v>703</v>
      </c>
      <c r="C46" s="0" t="s">
        <v>94</v>
      </c>
      <c r="D46" s="0" t="s">
        <v>525</v>
      </c>
      <c r="E46" s="0" t="s">
        <v>95</v>
      </c>
      <c r="F46" s="0" t="n">
        <v>1</v>
      </c>
      <c r="G46" s="0" t="s">
        <v>36</v>
      </c>
      <c r="H46" s="0" t="s">
        <v>96</v>
      </c>
      <c r="I46" s="0" t="s">
        <v>97</v>
      </c>
      <c r="J46" s="0" t="s">
        <v>98</v>
      </c>
      <c r="K46" s="0" t="s">
        <v>99</v>
      </c>
      <c r="L46" s="0" t="s">
        <v>100</v>
      </c>
      <c r="M46" s="0" t="s">
        <v>101</v>
      </c>
      <c r="N46" s="6" t="n">
        <v>46111</v>
      </c>
      <c r="Q46" s="0" t="s">
        <v>84</v>
      </c>
    </row>
    <row r="47" customFormat="false" ht="15" hidden="true" customHeight="false" outlineLevel="0" collapsed="false">
      <c r="B47" s="0" t="n">
        <v>741</v>
      </c>
      <c r="C47" s="0" t="s">
        <v>455</v>
      </c>
      <c r="D47" s="0" t="s">
        <v>525</v>
      </c>
      <c r="E47" s="0" t="s">
        <v>456</v>
      </c>
      <c r="F47" s="0" t="n">
        <v>1</v>
      </c>
      <c r="G47" s="0" t="s">
        <v>111</v>
      </c>
      <c r="H47" s="0" t="s">
        <v>457</v>
      </c>
      <c r="I47" s="0" t="s">
        <v>458</v>
      </c>
      <c r="J47" s="0" t="s">
        <v>459</v>
      </c>
      <c r="K47" s="0" t="s">
        <v>460</v>
      </c>
      <c r="L47" s="0" t="s">
        <v>461</v>
      </c>
      <c r="M47" s="0" t="s">
        <v>462</v>
      </c>
      <c r="N47" s="6" t="n">
        <v>46111</v>
      </c>
      <c r="Q47" s="0" t="s">
        <v>84</v>
      </c>
    </row>
    <row r="48" customFormat="false" ht="15" hidden="false" customHeight="false" outlineLevel="0" collapsed="false">
      <c r="B48" s="0" t="n">
        <v>642</v>
      </c>
      <c r="C48" s="0" t="s">
        <v>455</v>
      </c>
      <c r="D48" s="0" t="s">
        <v>527</v>
      </c>
      <c r="E48" s="0" t="s">
        <v>456</v>
      </c>
      <c r="F48" s="0" t="n">
        <v>2</v>
      </c>
      <c r="G48" s="0" t="s">
        <v>111</v>
      </c>
      <c r="H48" s="0" t="s">
        <v>457</v>
      </c>
      <c r="I48" s="0" t="s">
        <v>458</v>
      </c>
      <c r="J48" s="0" t="s">
        <v>459</v>
      </c>
      <c r="K48" s="0" t="s">
        <v>460</v>
      </c>
      <c r="L48" s="0" t="s">
        <v>461</v>
      </c>
      <c r="M48" s="0" t="s">
        <v>462</v>
      </c>
      <c r="N48" s="6" t="n">
        <v>46111</v>
      </c>
    </row>
    <row r="49" customFormat="false" ht="15" hidden="true" customHeight="false" outlineLevel="0" collapsed="false">
      <c r="B49" s="0" t="n">
        <v>732</v>
      </c>
      <c r="C49" s="0" t="s">
        <v>604</v>
      </c>
      <c r="D49" s="0" t="s">
        <v>525</v>
      </c>
      <c r="E49" s="0" t="s">
        <v>605</v>
      </c>
      <c r="F49" s="0" t="n">
        <v>1</v>
      </c>
      <c r="G49" s="0" t="s">
        <v>61</v>
      </c>
      <c r="H49" s="0" t="s">
        <v>606</v>
      </c>
      <c r="I49" s="0" t="s">
        <v>607</v>
      </c>
      <c r="J49" s="0" t="s">
        <v>608</v>
      </c>
      <c r="K49" s="0" t="s">
        <v>252</v>
      </c>
      <c r="L49" s="0" t="s">
        <v>609</v>
      </c>
      <c r="M49" s="0" t="s">
        <v>610</v>
      </c>
      <c r="N49" s="6" t="n">
        <v>46111</v>
      </c>
      <c r="Q49" s="0" t="s">
        <v>84</v>
      </c>
    </row>
    <row r="50" customFormat="false" ht="15" hidden="false" customHeight="false" outlineLevel="0" collapsed="false">
      <c r="B50" s="0" t="n">
        <v>631</v>
      </c>
      <c r="C50" s="0" t="s">
        <v>604</v>
      </c>
      <c r="D50" s="0" t="s">
        <v>527</v>
      </c>
      <c r="E50" s="0" t="s">
        <v>605</v>
      </c>
      <c r="F50" s="0" t="n">
        <v>1</v>
      </c>
      <c r="G50" s="0" t="s">
        <v>61</v>
      </c>
      <c r="H50" s="0" t="s">
        <v>606</v>
      </c>
      <c r="I50" s="0" t="s">
        <v>607</v>
      </c>
      <c r="J50" s="0" t="s">
        <v>608</v>
      </c>
      <c r="K50" s="0" t="s">
        <v>252</v>
      </c>
      <c r="L50" s="0" t="s">
        <v>609</v>
      </c>
      <c r="M50" s="0" t="s">
        <v>610</v>
      </c>
      <c r="N50" s="6" t="n">
        <v>46111</v>
      </c>
    </row>
    <row r="51" customFormat="false" ht="15" hidden="true" customHeight="false" outlineLevel="0" collapsed="false">
      <c r="B51" s="0" t="n">
        <v>700</v>
      </c>
      <c r="C51" s="0" t="s">
        <v>59</v>
      </c>
      <c r="D51" s="0" t="s">
        <v>525</v>
      </c>
      <c r="E51" s="0" t="s">
        <v>60</v>
      </c>
      <c r="F51" s="0" t="n">
        <v>1</v>
      </c>
      <c r="G51" s="0" t="s">
        <v>61</v>
      </c>
      <c r="H51" s="0" t="s">
        <v>62</v>
      </c>
      <c r="I51" s="0" t="s">
        <v>63</v>
      </c>
      <c r="J51" s="0" t="s">
        <v>64</v>
      </c>
      <c r="K51" s="0" t="s">
        <v>65</v>
      </c>
      <c r="L51" s="0" t="s">
        <v>66</v>
      </c>
      <c r="M51" s="0" t="s">
        <v>67</v>
      </c>
      <c r="N51" s="6" t="n">
        <v>46111</v>
      </c>
      <c r="Q51" s="0" t="s">
        <v>84</v>
      </c>
    </row>
    <row r="52" customFormat="false" ht="15" hidden="false" customHeight="false" outlineLevel="0" collapsed="false">
      <c r="B52" s="0" t="n">
        <v>596</v>
      </c>
      <c r="C52" s="0" t="s">
        <v>59</v>
      </c>
      <c r="D52" s="0" t="s">
        <v>527</v>
      </c>
      <c r="E52" s="0" t="s">
        <v>60</v>
      </c>
      <c r="F52" s="0" t="n">
        <v>2</v>
      </c>
      <c r="G52" s="0" t="s">
        <v>61</v>
      </c>
      <c r="H52" s="0" t="s">
        <v>62</v>
      </c>
      <c r="I52" s="0" t="s">
        <v>63</v>
      </c>
      <c r="J52" s="0" t="s">
        <v>64</v>
      </c>
      <c r="K52" s="0" t="s">
        <v>65</v>
      </c>
      <c r="L52" s="0" t="s">
        <v>66</v>
      </c>
      <c r="M52" s="0" t="s">
        <v>67</v>
      </c>
      <c r="N52" s="6" t="n">
        <v>46111</v>
      </c>
    </row>
    <row r="53" customFormat="false" ht="15" hidden="true" customHeight="false" outlineLevel="0" collapsed="false">
      <c r="B53" s="0" t="n">
        <v>718</v>
      </c>
      <c r="C53" s="0" t="s">
        <v>215</v>
      </c>
      <c r="D53" s="0" t="s">
        <v>525</v>
      </c>
      <c r="E53" s="0" t="s">
        <v>216</v>
      </c>
      <c r="F53" s="0" t="n">
        <v>1</v>
      </c>
      <c r="G53" s="0" t="s">
        <v>24</v>
      </c>
      <c r="H53" s="0" t="s">
        <v>217</v>
      </c>
      <c r="I53" s="0" t="s">
        <v>218</v>
      </c>
      <c r="J53" s="0" t="s">
        <v>219</v>
      </c>
      <c r="K53" s="0" t="s">
        <v>220</v>
      </c>
      <c r="L53" s="0" t="s">
        <v>221</v>
      </c>
      <c r="M53" s="0" t="s">
        <v>222</v>
      </c>
      <c r="N53" s="6" t="n">
        <v>46111</v>
      </c>
      <c r="Q53" s="0" t="s">
        <v>84</v>
      </c>
    </row>
    <row r="54" customFormat="false" ht="15" hidden="false" customHeight="false" outlineLevel="0" collapsed="false">
      <c r="B54" s="0" t="n">
        <v>613</v>
      </c>
      <c r="C54" s="0" t="s">
        <v>215</v>
      </c>
      <c r="D54" s="0" t="s">
        <v>527</v>
      </c>
      <c r="E54" s="0" t="s">
        <v>216</v>
      </c>
      <c r="F54" s="0" t="n">
        <v>1</v>
      </c>
      <c r="G54" s="0" t="s">
        <v>24</v>
      </c>
      <c r="H54" s="0" t="s">
        <v>217</v>
      </c>
      <c r="I54" s="0" t="s">
        <v>218</v>
      </c>
      <c r="J54" s="0" t="s">
        <v>219</v>
      </c>
      <c r="K54" s="0" t="s">
        <v>220</v>
      </c>
      <c r="L54" s="0" t="s">
        <v>221</v>
      </c>
      <c r="M54" s="0" t="s">
        <v>222</v>
      </c>
      <c r="N54" s="6" t="n">
        <v>46111</v>
      </c>
    </row>
    <row r="55" customFormat="false" ht="15" hidden="true" customHeight="false" outlineLevel="0" collapsed="false">
      <c r="B55" s="0" t="n">
        <v>726</v>
      </c>
      <c r="C55" s="0" t="s">
        <v>286</v>
      </c>
      <c r="D55" s="0" t="s">
        <v>525</v>
      </c>
      <c r="E55" s="0" t="s">
        <v>287</v>
      </c>
      <c r="F55" s="0" t="n">
        <v>1</v>
      </c>
      <c r="G55" s="0" t="s">
        <v>61</v>
      </c>
      <c r="H55" s="0" t="s">
        <v>288</v>
      </c>
      <c r="I55" s="0" t="s">
        <v>289</v>
      </c>
      <c r="J55" s="0" t="s">
        <v>290</v>
      </c>
      <c r="K55" s="0" t="s">
        <v>291</v>
      </c>
      <c r="L55" s="0" t="s">
        <v>292</v>
      </c>
      <c r="M55" s="0" t="s">
        <v>293</v>
      </c>
      <c r="N55" s="6" t="n">
        <v>46111</v>
      </c>
      <c r="Q55" s="0" t="s">
        <v>84</v>
      </c>
    </row>
    <row r="56" customFormat="false" ht="15" hidden="false" customHeight="false" outlineLevel="0" collapsed="false">
      <c r="B56" s="0" t="n">
        <v>622</v>
      </c>
      <c r="C56" s="0" t="s">
        <v>286</v>
      </c>
      <c r="D56" s="0" t="s">
        <v>527</v>
      </c>
      <c r="E56" s="0" t="s">
        <v>287</v>
      </c>
      <c r="F56" s="0" t="n">
        <v>1</v>
      </c>
      <c r="G56" s="0" t="s">
        <v>61</v>
      </c>
      <c r="H56" s="0" t="s">
        <v>288</v>
      </c>
      <c r="I56" s="0" t="s">
        <v>289</v>
      </c>
      <c r="J56" s="0" t="s">
        <v>290</v>
      </c>
      <c r="K56" s="0" t="s">
        <v>291</v>
      </c>
      <c r="L56" s="0" t="s">
        <v>292</v>
      </c>
      <c r="M56" s="0" t="s">
        <v>293</v>
      </c>
      <c r="N56" s="6" t="n">
        <v>46111</v>
      </c>
    </row>
    <row r="57" customFormat="false" ht="15" hidden="true" customHeight="false" outlineLevel="0" collapsed="false">
      <c r="B57" s="0" t="n">
        <v>747</v>
      </c>
      <c r="C57" s="0" t="s">
        <v>611</v>
      </c>
      <c r="D57" s="0" t="s">
        <v>525</v>
      </c>
      <c r="E57" s="0" t="s">
        <v>612</v>
      </c>
      <c r="F57" s="0" t="n">
        <v>1</v>
      </c>
      <c r="G57" s="0" t="s">
        <v>24</v>
      </c>
      <c r="H57" s="0" t="s">
        <v>613</v>
      </c>
      <c r="I57" s="0" t="s">
        <v>614</v>
      </c>
      <c r="J57" s="0" t="s">
        <v>615</v>
      </c>
      <c r="K57" s="0" t="s">
        <v>616</v>
      </c>
      <c r="L57" s="0" t="s">
        <v>616</v>
      </c>
      <c r="M57" s="0" t="s">
        <v>617</v>
      </c>
      <c r="N57" s="6" t="n">
        <v>46111</v>
      </c>
      <c r="Q57" s="0" t="s">
        <v>84</v>
      </c>
    </row>
    <row r="58" customFormat="false" ht="15" hidden="true" customHeight="false" outlineLevel="0" collapsed="false">
      <c r="B58" s="0" t="n">
        <v>730</v>
      </c>
      <c r="C58" s="0" t="s">
        <v>342</v>
      </c>
      <c r="D58" s="0" t="s">
        <v>525</v>
      </c>
      <c r="E58" s="0" t="s">
        <v>343</v>
      </c>
      <c r="F58" s="0" t="n">
        <v>1</v>
      </c>
      <c r="G58" s="0" t="s">
        <v>24</v>
      </c>
      <c r="H58" s="0" t="s">
        <v>344</v>
      </c>
      <c r="I58" s="0" t="s">
        <v>345</v>
      </c>
      <c r="J58" s="0" t="s">
        <v>346</v>
      </c>
      <c r="K58" s="0" t="s">
        <v>347</v>
      </c>
      <c r="L58" s="0" t="s">
        <v>348</v>
      </c>
      <c r="M58" s="0" t="s">
        <v>349</v>
      </c>
      <c r="N58" s="6" t="n">
        <v>46111</v>
      </c>
      <c r="Q58" s="0" t="s">
        <v>84</v>
      </c>
    </row>
    <row r="59" customFormat="false" ht="15" hidden="true" customHeight="false" outlineLevel="0" collapsed="false">
      <c r="B59" s="0" t="n">
        <v>709</v>
      </c>
      <c r="C59" s="0" t="s">
        <v>618</v>
      </c>
      <c r="D59" s="0" t="s">
        <v>525</v>
      </c>
      <c r="E59" s="0" t="s">
        <v>619</v>
      </c>
      <c r="F59" s="0" t="n">
        <v>1</v>
      </c>
      <c r="G59" s="0" t="s">
        <v>61</v>
      </c>
      <c r="H59" s="0" t="s">
        <v>620</v>
      </c>
      <c r="I59" s="0" t="s">
        <v>621</v>
      </c>
      <c r="J59" s="0" t="s">
        <v>622</v>
      </c>
      <c r="K59" s="0" t="s">
        <v>623</v>
      </c>
      <c r="L59" s="0" t="s">
        <v>624</v>
      </c>
      <c r="M59" s="0" t="s">
        <v>625</v>
      </c>
      <c r="N59" s="6" t="n">
        <v>46111</v>
      </c>
      <c r="Q59" s="0" t="s">
        <v>84</v>
      </c>
    </row>
    <row r="60" customFormat="false" ht="15" hidden="false" customHeight="false" outlineLevel="0" collapsed="false">
      <c r="B60" s="0" t="n">
        <v>605</v>
      </c>
      <c r="C60" s="0" t="s">
        <v>618</v>
      </c>
      <c r="D60" s="0" t="s">
        <v>527</v>
      </c>
      <c r="E60" s="0" t="s">
        <v>619</v>
      </c>
      <c r="F60" s="0" t="n">
        <v>3</v>
      </c>
      <c r="G60" s="0" t="s">
        <v>61</v>
      </c>
      <c r="H60" s="0" t="s">
        <v>620</v>
      </c>
      <c r="I60" s="0" t="s">
        <v>621</v>
      </c>
      <c r="J60" s="0" t="s">
        <v>622</v>
      </c>
      <c r="K60" s="0" t="s">
        <v>623</v>
      </c>
      <c r="L60" s="0" t="s">
        <v>624</v>
      </c>
      <c r="M60" s="0" t="s">
        <v>625</v>
      </c>
      <c r="N60" s="6" t="n">
        <v>46111</v>
      </c>
    </row>
    <row r="61" customFormat="false" ht="15" hidden="true" customHeight="false" outlineLevel="0" collapsed="false">
      <c r="B61" s="0" t="n">
        <v>704</v>
      </c>
      <c r="C61" s="0" t="s">
        <v>626</v>
      </c>
      <c r="D61" s="0" t="s">
        <v>525</v>
      </c>
      <c r="E61" s="0" t="s">
        <v>627</v>
      </c>
      <c r="F61" s="0" t="n">
        <v>1</v>
      </c>
      <c r="G61" s="0" t="s">
        <v>152</v>
      </c>
      <c r="H61" s="0" t="s">
        <v>628</v>
      </c>
      <c r="I61" s="0" t="s">
        <v>629</v>
      </c>
      <c r="J61" s="0" t="s">
        <v>630</v>
      </c>
      <c r="K61" s="0" t="s">
        <v>631</v>
      </c>
      <c r="L61" s="0" t="s">
        <v>632</v>
      </c>
      <c r="M61" s="0" t="s">
        <v>633</v>
      </c>
      <c r="N61" s="6" t="n">
        <v>46111</v>
      </c>
    </row>
    <row r="62" customFormat="false" ht="30" hidden="true" customHeight="true" outlineLevel="0" collapsed="false">
      <c r="B62" s="0" t="n">
        <v>745</v>
      </c>
      <c r="C62" s="0" t="s">
        <v>478</v>
      </c>
      <c r="D62" s="0" t="s">
        <v>525</v>
      </c>
      <c r="E62" s="0" t="s">
        <v>479</v>
      </c>
      <c r="F62" s="0" t="n">
        <v>1</v>
      </c>
      <c r="G62" s="0" t="s">
        <v>111</v>
      </c>
      <c r="H62" s="2" t="s">
        <v>480</v>
      </c>
      <c r="I62" s="2" t="s">
        <v>481</v>
      </c>
      <c r="J62" s="2" t="s">
        <v>482</v>
      </c>
      <c r="K62" s="0" t="s">
        <v>483</v>
      </c>
      <c r="L62" s="0" t="s">
        <v>634</v>
      </c>
      <c r="M62" s="0" t="s">
        <v>485</v>
      </c>
      <c r="N62" s="6" t="n">
        <v>46111</v>
      </c>
      <c r="Q62" s="0" t="s">
        <v>84</v>
      </c>
    </row>
    <row r="63" customFormat="false" ht="30" hidden="false" customHeight="true" outlineLevel="0" collapsed="false">
      <c r="B63" s="0" t="n">
        <v>644</v>
      </c>
      <c r="C63" s="0" t="s">
        <v>478</v>
      </c>
      <c r="D63" s="0" t="s">
        <v>527</v>
      </c>
      <c r="E63" s="0" t="s">
        <v>479</v>
      </c>
      <c r="F63" s="0" t="n">
        <v>2</v>
      </c>
      <c r="G63" s="0" t="s">
        <v>111</v>
      </c>
      <c r="H63" s="2" t="s">
        <v>480</v>
      </c>
      <c r="I63" s="2" t="s">
        <v>481</v>
      </c>
      <c r="J63" s="2" t="s">
        <v>482</v>
      </c>
      <c r="K63" s="0" t="s">
        <v>483</v>
      </c>
      <c r="L63" s="0" t="s">
        <v>634</v>
      </c>
      <c r="M63" s="0" t="s">
        <v>485</v>
      </c>
      <c r="N63" s="6" t="n">
        <v>46111</v>
      </c>
    </row>
    <row r="64" customFormat="false" ht="15" hidden="true" customHeight="false" outlineLevel="0" collapsed="false">
      <c r="B64" s="0" t="n">
        <v>699</v>
      </c>
      <c r="C64" s="0" t="s">
        <v>43</v>
      </c>
      <c r="D64" s="0" t="s">
        <v>525</v>
      </c>
      <c r="E64" s="0" t="s">
        <v>44</v>
      </c>
      <c r="F64" s="0" t="n">
        <v>7</v>
      </c>
      <c r="G64" s="0" t="s">
        <v>24</v>
      </c>
      <c r="H64" s="0" t="s">
        <v>45</v>
      </c>
      <c r="I64" s="0" t="s">
        <v>46</v>
      </c>
      <c r="J64" s="0" t="s">
        <v>47</v>
      </c>
      <c r="K64" s="0" t="s">
        <v>48</v>
      </c>
      <c r="L64" s="0" t="s">
        <v>49</v>
      </c>
      <c r="M64" s="0" t="s">
        <v>50</v>
      </c>
      <c r="N64" s="6" t="n">
        <v>46111</v>
      </c>
      <c r="Q64" s="0" t="s">
        <v>84</v>
      </c>
    </row>
    <row r="65" customFormat="false" ht="15" hidden="false" customHeight="false" outlineLevel="0" collapsed="false">
      <c r="B65" s="0" t="n">
        <v>593</v>
      </c>
      <c r="C65" s="0" t="s">
        <v>43</v>
      </c>
      <c r="D65" s="0" t="s">
        <v>527</v>
      </c>
      <c r="E65" s="0" t="s">
        <v>44</v>
      </c>
      <c r="F65" s="0" t="n">
        <v>1</v>
      </c>
      <c r="G65" s="0" t="s">
        <v>24</v>
      </c>
      <c r="H65" s="0" t="s">
        <v>45</v>
      </c>
      <c r="I65" s="0" t="s">
        <v>46</v>
      </c>
      <c r="J65" s="0" t="s">
        <v>47</v>
      </c>
      <c r="K65" s="0" t="s">
        <v>48</v>
      </c>
      <c r="L65" s="0" t="s">
        <v>49</v>
      </c>
      <c r="M65" s="0" t="s">
        <v>50</v>
      </c>
      <c r="N65" s="6" t="n">
        <v>46111</v>
      </c>
    </row>
    <row r="66" customFormat="false" ht="15" hidden="false" customHeight="false" outlineLevel="0" collapsed="false">
      <c r="B66" s="0" t="n">
        <v>611</v>
      </c>
      <c r="C66" s="0" t="s">
        <v>635</v>
      </c>
      <c r="D66" s="0" t="s">
        <v>527</v>
      </c>
      <c r="E66" s="0" t="s">
        <v>636</v>
      </c>
      <c r="F66" s="0" t="n">
        <v>1</v>
      </c>
      <c r="G66" s="0" t="s">
        <v>637</v>
      </c>
      <c r="H66" s="0" t="s">
        <v>638</v>
      </c>
      <c r="I66" s="0" t="s">
        <v>639</v>
      </c>
      <c r="J66" s="0" t="s">
        <v>640</v>
      </c>
      <c r="K66" s="0" t="s">
        <v>641</v>
      </c>
      <c r="L66" s="0" t="s">
        <v>642</v>
      </c>
      <c r="M66" s="0" t="s">
        <v>643</v>
      </c>
      <c r="N66" s="6" t="n">
        <v>46111</v>
      </c>
    </row>
    <row r="67" customFormat="false" ht="15" hidden="true" customHeight="false" outlineLevel="0" collapsed="false">
      <c r="B67" s="0" t="n">
        <v>750</v>
      </c>
      <c r="C67" s="0" t="s">
        <v>508</v>
      </c>
      <c r="D67" s="0" t="s">
        <v>525</v>
      </c>
      <c r="E67" s="0" t="s">
        <v>509</v>
      </c>
      <c r="F67" s="0" t="n">
        <v>1</v>
      </c>
      <c r="G67" s="0" t="s">
        <v>61</v>
      </c>
      <c r="H67" s="0" t="s">
        <v>510</v>
      </c>
      <c r="I67" s="0" t="s">
        <v>511</v>
      </c>
      <c r="J67" s="0" t="s">
        <v>512</v>
      </c>
      <c r="K67" s="0" t="s">
        <v>513</v>
      </c>
      <c r="L67" s="0" t="s">
        <v>514</v>
      </c>
      <c r="M67" s="0" t="s">
        <v>515</v>
      </c>
      <c r="N67" s="6" t="n">
        <v>46111</v>
      </c>
      <c r="Q67" s="0" t="s">
        <v>84</v>
      </c>
    </row>
    <row r="68" customFormat="false" ht="15" hidden="true" customHeight="false" outlineLevel="0" collapsed="false">
      <c r="B68" s="0" t="n">
        <v>705</v>
      </c>
      <c r="C68" s="0" t="s">
        <v>102</v>
      </c>
      <c r="D68" s="0" t="s">
        <v>525</v>
      </c>
      <c r="E68" s="0" t="s">
        <v>103</v>
      </c>
      <c r="F68" s="0" t="n">
        <v>1</v>
      </c>
      <c r="G68" s="0" t="s">
        <v>61</v>
      </c>
      <c r="H68" s="0" t="s">
        <v>104</v>
      </c>
      <c r="I68" s="0" t="s">
        <v>105</v>
      </c>
      <c r="J68" s="0" t="s">
        <v>106</v>
      </c>
      <c r="K68" s="0" t="s">
        <v>107</v>
      </c>
      <c r="L68" s="0" t="s">
        <v>107</v>
      </c>
      <c r="M68" s="0" t="s">
        <v>108</v>
      </c>
      <c r="N68" s="6" t="n">
        <v>46111</v>
      </c>
      <c r="Q68" s="0" t="s">
        <v>84</v>
      </c>
    </row>
    <row r="69" customFormat="false" ht="15" hidden="false" customHeight="false" outlineLevel="0" collapsed="false">
      <c r="B69" s="0" t="n">
        <v>602</v>
      </c>
      <c r="C69" s="0" t="s">
        <v>102</v>
      </c>
      <c r="D69" s="0" t="s">
        <v>527</v>
      </c>
      <c r="E69" s="0" t="s">
        <v>103</v>
      </c>
      <c r="F69" s="0" t="n">
        <v>1</v>
      </c>
      <c r="G69" s="0" t="s">
        <v>61</v>
      </c>
      <c r="H69" s="0" t="s">
        <v>104</v>
      </c>
      <c r="I69" s="0" t="s">
        <v>105</v>
      </c>
      <c r="J69" s="0" t="s">
        <v>106</v>
      </c>
      <c r="K69" s="0" t="s">
        <v>107</v>
      </c>
      <c r="L69" s="0" t="s">
        <v>107</v>
      </c>
      <c r="M69" s="0" t="s">
        <v>108</v>
      </c>
      <c r="N69" s="6" t="n">
        <v>46111</v>
      </c>
    </row>
    <row r="70" customFormat="false" ht="15" hidden="true" customHeight="false" outlineLevel="0" collapsed="false">
      <c r="B70" s="0" t="n">
        <v>751</v>
      </c>
      <c r="C70" s="0" t="s">
        <v>644</v>
      </c>
      <c r="D70" s="0" t="s">
        <v>525</v>
      </c>
      <c r="E70" s="0" t="s">
        <v>645</v>
      </c>
      <c r="F70" s="0" t="n">
        <v>1</v>
      </c>
      <c r="G70" s="0" t="s">
        <v>61</v>
      </c>
      <c r="H70" s="0" t="s">
        <v>646</v>
      </c>
      <c r="I70" s="0" t="s">
        <v>647</v>
      </c>
      <c r="J70" s="0" t="s">
        <v>648</v>
      </c>
      <c r="K70" s="0" t="s">
        <v>649</v>
      </c>
      <c r="L70" s="0" t="s">
        <v>650</v>
      </c>
      <c r="N70" s="6" t="n">
        <v>46111</v>
      </c>
      <c r="Q70" s="0" t="s">
        <v>84</v>
      </c>
    </row>
    <row r="71" customFormat="false" ht="15" hidden="true" customHeight="false" outlineLevel="0" collapsed="false">
      <c r="B71" s="0" t="n">
        <v>736</v>
      </c>
      <c r="C71" s="0" t="s">
        <v>424</v>
      </c>
      <c r="D71" s="0" t="s">
        <v>525</v>
      </c>
      <c r="E71" s="0" t="s">
        <v>425</v>
      </c>
      <c r="F71" s="0" t="n">
        <v>1</v>
      </c>
      <c r="G71" s="0" t="s">
        <v>111</v>
      </c>
      <c r="H71" s="0" t="s">
        <v>426</v>
      </c>
      <c r="I71" s="0" t="s">
        <v>427</v>
      </c>
      <c r="J71" s="0" t="s">
        <v>428</v>
      </c>
      <c r="K71" s="0" t="s">
        <v>429</v>
      </c>
      <c r="L71" s="0" t="s">
        <v>429</v>
      </c>
      <c r="M71" s="0" t="s">
        <v>430</v>
      </c>
      <c r="N71" s="6" t="n">
        <v>46111</v>
      </c>
      <c r="Q71" s="0" t="s">
        <v>84</v>
      </c>
    </row>
    <row r="72" customFormat="false" ht="15" hidden="true" customHeight="false" outlineLevel="0" collapsed="false">
      <c r="B72" s="0" t="n">
        <v>723</v>
      </c>
      <c r="C72" s="0" t="s">
        <v>651</v>
      </c>
      <c r="D72" s="0" t="s">
        <v>525</v>
      </c>
      <c r="E72" s="0" t="s">
        <v>652</v>
      </c>
      <c r="F72" s="0" t="n">
        <v>1</v>
      </c>
      <c r="G72" s="0" t="s">
        <v>111</v>
      </c>
      <c r="H72" s="0" t="s">
        <v>653</v>
      </c>
      <c r="I72" s="0" t="s">
        <v>654</v>
      </c>
      <c r="J72" s="0" t="s">
        <v>655</v>
      </c>
      <c r="K72" s="0" t="s">
        <v>656</v>
      </c>
      <c r="L72" s="0" t="s">
        <v>657</v>
      </c>
      <c r="M72" s="0" t="s">
        <v>658</v>
      </c>
      <c r="N72" s="6" t="n">
        <v>46111</v>
      </c>
      <c r="Q72" s="0" t="s">
        <v>84</v>
      </c>
    </row>
    <row r="73" customFormat="false" ht="15" hidden="false" customHeight="false" outlineLevel="0" collapsed="false">
      <c r="B73" s="0" t="n">
        <v>594</v>
      </c>
      <c r="C73" s="0" t="s">
        <v>51</v>
      </c>
      <c r="D73" s="0" t="s">
        <v>527</v>
      </c>
      <c r="E73" s="0" t="s">
        <v>52</v>
      </c>
      <c r="F73" s="0" t="n">
        <v>2</v>
      </c>
      <c r="G73" s="0" t="s">
        <v>24</v>
      </c>
      <c r="H73" s="0" t="s">
        <v>53</v>
      </c>
      <c r="I73" s="0" t="s">
        <v>54</v>
      </c>
      <c r="J73" s="0" t="s">
        <v>55</v>
      </c>
      <c r="K73" s="0" t="s">
        <v>56</v>
      </c>
      <c r="L73" s="0" t="s">
        <v>57</v>
      </c>
      <c r="M73" s="0" t="s">
        <v>58</v>
      </c>
      <c r="N73" s="6" t="n">
        <v>46111</v>
      </c>
    </row>
    <row r="74" customFormat="false" ht="15" hidden="true" customHeight="false" outlineLevel="0" collapsed="false">
      <c r="B74" s="0" t="n">
        <v>725</v>
      </c>
      <c r="C74" s="0" t="s">
        <v>278</v>
      </c>
      <c r="D74" s="0" t="s">
        <v>525</v>
      </c>
      <c r="E74" s="0" t="s">
        <v>279</v>
      </c>
      <c r="F74" s="0" t="n">
        <v>1</v>
      </c>
      <c r="G74" s="0" t="s">
        <v>61</v>
      </c>
      <c r="H74" s="0" t="s">
        <v>280</v>
      </c>
      <c r="I74" s="0" t="s">
        <v>281</v>
      </c>
      <c r="J74" s="0" t="s">
        <v>282</v>
      </c>
      <c r="K74" s="0" t="s">
        <v>283</v>
      </c>
      <c r="L74" s="0" t="s">
        <v>284</v>
      </c>
      <c r="M74" s="0" t="s">
        <v>285</v>
      </c>
      <c r="N74" s="6" t="n">
        <v>46111</v>
      </c>
      <c r="Q74" s="0" t="s">
        <v>84</v>
      </c>
    </row>
    <row r="75" customFormat="false" ht="15" hidden="false" customHeight="false" outlineLevel="0" collapsed="false">
      <c r="B75" s="0" t="n">
        <v>621</v>
      </c>
      <c r="C75" s="0" t="s">
        <v>278</v>
      </c>
      <c r="D75" s="0" t="s">
        <v>527</v>
      </c>
      <c r="E75" s="0" t="s">
        <v>279</v>
      </c>
      <c r="F75" s="0" t="n">
        <v>2</v>
      </c>
      <c r="G75" s="0" t="s">
        <v>61</v>
      </c>
      <c r="H75" s="0" t="s">
        <v>280</v>
      </c>
      <c r="I75" s="0" t="s">
        <v>281</v>
      </c>
      <c r="J75" s="0" t="s">
        <v>282</v>
      </c>
      <c r="K75" s="0" t="s">
        <v>283</v>
      </c>
      <c r="L75" s="0" t="s">
        <v>284</v>
      </c>
      <c r="M75" s="0" t="s">
        <v>285</v>
      </c>
      <c r="N75" s="6" t="n">
        <v>46111</v>
      </c>
    </row>
    <row r="76" customFormat="false" ht="15" hidden="true" customHeight="false" outlineLevel="0" collapsed="false">
      <c r="B76" s="0" t="n">
        <v>742</v>
      </c>
      <c r="C76" s="0" t="s">
        <v>659</v>
      </c>
      <c r="D76" s="0" t="s">
        <v>525</v>
      </c>
      <c r="E76" s="0" t="s">
        <v>660</v>
      </c>
      <c r="F76" s="0" t="n">
        <v>1</v>
      </c>
      <c r="G76" s="0" t="s">
        <v>152</v>
      </c>
      <c r="H76" s="0" t="s">
        <v>661</v>
      </c>
      <c r="I76" s="0" t="s">
        <v>662</v>
      </c>
      <c r="J76" s="0" t="s">
        <v>663</v>
      </c>
      <c r="K76" s="0" t="s">
        <v>664</v>
      </c>
      <c r="L76" s="0" t="s">
        <v>665</v>
      </c>
      <c r="M76" s="0" t="s">
        <v>666</v>
      </c>
      <c r="N76" s="6" t="n">
        <v>46111</v>
      </c>
      <c r="Q76" s="0" t="s">
        <v>84</v>
      </c>
    </row>
    <row r="77" customFormat="false" ht="15" hidden="true" customHeight="false" outlineLevel="0" collapsed="false">
      <c r="B77" s="0" t="n">
        <v>707</v>
      </c>
      <c r="C77" s="0" t="s">
        <v>117</v>
      </c>
      <c r="D77" s="0" t="s">
        <v>525</v>
      </c>
      <c r="E77" s="0" t="s">
        <v>118</v>
      </c>
      <c r="F77" s="0" t="n">
        <v>1</v>
      </c>
      <c r="G77" s="0" t="s">
        <v>24</v>
      </c>
      <c r="H77" s="0" t="s">
        <v>119</v>
      </c>
      <c r="I77" s="0" t="s">
        <v>120</v>
      </c>
      <c r="J77" s="0" t="s">
        <v>121</v>
      </c>
      <c r="K77" s="0" t="s">
        <v>122</v>
      </c>
      <c r="L77" s="0" t="s">
        <v>123</v>
      </c>
      <c r="M77" s="0" t="s">
        <v>124</v>
      </c>
      <c r="N77" s="6" t="n">
        <v>46111</v>
      </c>
      <c r="Q77" s="0" t="s">
        <v>84</v>
      </c>
    </row>
    <row r="78" customFormat="false" ht="15" hidden="true" customHeight="false" outlineLevel="0" collapsed="false">
      <c r="B78" s="0" t="n">
        <v>714</v>
      </c>
      <c r="C78" s="0" t="s">
        <v>667</v>
      </c>
      <c r="D78" s="0" t="s">
        <v>525</v>
      </c>
      <c r="E78" s="0" t="s">
        <v>668</v>
      </c>
      <c r="F78" s="0" t="n">
        <v>1</v>
      </c>
      <c r="G78" s="0" t="s">
        <v>61</v>
      </c>
      <c r="H78" s="0" t="s">
        <v>669</v>
      </c>
      <c r="I78" s="0" t="s">
        <v>670</v>
      </c>
      <c r="J78" s="0" t="s">
        <v>671</v>
      </c>
      <c r="K78" s="0" t="s">
        <v>672</v>
      </c>
      <c r="L78" s="0" t="s">
        <v>672</v>
      </c>
      <c r="M78" s="0" t="s">
        <v>673</v>
      </c>
      <c r="N78" s="6" t="n">
        <v>46111</v>
      </c>
      <c r="Q78" s="0" t="s">
        <v>84</v>
      </c>
    </row>
    <row r="79" customFormat="false" ht="15" hidden="false" customHeight="false" outlineLevel="0" collapsed="false">
      <c r="B79" s="0" t="n">
        <v>608</v>
      </c>
      <c r="C79" s="0" t="s">
        <v>667</v>
      </c>
      <c r="D79" s="0" t="s">
        <v>527</v>
      </c>
      <c r="E79" s="0" t="s">
        <v>668</v>
      </c>
      <c r="F79" s="0" t="n">
        <v>2</v>
      </c>
      <c r="G79" s="0" t="s">
        <v>61</v>
      </c>
      <c r="H79" s="0" t="s">
        <v>674</v>
      </c>
      <c r="I79" s="0" t="s">
        <v>675</v>
      </c>
      <c r="J79" s="0" t="s">
        <v>676</v>
      </c>
      <c r="K79" s="0" t="s">
        <v>672</v>
      </c>
      <c r="L79" s="0" t="s">
        <v>677</v>
      </c>
      <c r="M79" s="0" t="s">
        <v>673</v>
      </c>
      <c r="N79" s="6" t="n">
        <v>46111</v>
      </c>
    </row>
    <row r="80" customFormat="false" ht="15" hidden="true" customHeight="false" outlineLevel="0" collapsed="false">
      <c r="B80" s="0" t="n">
        <v>749</v>
      </c>
      <c r="C80" s="0" t="s">
        <v>502</v>
      </c>
      <c r="D80" s="0" t="s">
        <v>525</v>
      </c>
      <c r="E80" s="0" t="s">
        <v>503</v>
      </c>
      <c r="F80" s="0" t="n">
        <v>1</v>
      </c>
      <c r="G80" s="0" t="s">
        <v>61</v>
      </c>
      <c r="H80" s="0" t="s">
        <v>504</v>
      </c>
      <c r="I80" s="0" t="s">
        <v>505</v>
      </c>
      <c r="J80" s="0" t="s">
        <v>506</v>
      </c>
      <c r="K80" s="0" t="s">
        <v>283</v>
      </c>
      <c r="L80" s="0" t="s">
        <v>284</v>
      </c>
      <c r="M80" s="0" t="s">
        <v>507</v>
      </c>
      <c r="N80" s="6" t="n">
        <v>46111</v>
      </c>
      <c r="Q80" s="0" t="s">
        <v>84</v>
      </c>
    </row>
    <row r="81" customFormat="false" ht="15" hidden="false" customHeight="false" outlineLevel="0" collapsed="false">
      <c r="B81" s="0" t="n">
        <v>646</v>
      </c>
      <c r="C81" s="0" t="s">
        <v>502</v>
      </c>
      <c r="D81" s="0" t="s">
        <v>527</v>
      </c>
      <c r="E81" s="0" t="s">
        <v>503</v>
      </c>
      <c r="F81" s="0" t="n">
        <v>1</v>
      </c>
      <c r="G81" s="0" t="s">
        <v>61</v>
      </c>
      <c r="H81" s="0" t="s">
        <v>504</v>
      </c>
      <c r="I81" s="0" t="s">
        <v>505</v>
      </c>
      <c r="J81" s="0" t="s">
        <v>506</v>
      </c>
      <c r="K81" s="0" t="s">
        <v>283</v>
      </c>
      <c r="L81" s="0" t="s">
        <v>284</v>
      </c>
      <c r="M81" s="0" t="s">
        <v>507</v>
      </c>
      <c r="N81" s="6" t="n">
        <v>46111</v>
      </c>
    </row>
    <row r="82" customFormat="false" ht="15" hidden="false" customHeight="false" outlineLevel="0" collapsed="false">
      <c r="B82" s="0" t="n">
        <v>633</v>
      </c>
      <c r="C82" s="0" t="s">
        <v>383</v>
      </c>
      <c r="D82" s="0" t="s">
        <v>527</v>
      </c>
      <c r="E82" s="0" t="s">
        <v>384</v>
      </c>
      <c r="F82" s="0" t="n">
        <v>2</v>
      </c>
      <c r="G82" s="0" t="s">
        <v>61</v>
      </c>
      <c r="H82" s="0" t="s">
        <v>385</v>
      </c>
      <c r="I82" s="0" t="s">
        <v>386</v>
      </c>
      <c r="J82" s="0" t="s">
        <v>387</v>
      </c>
      <c r="K82" s="0" t="s">
        <v>388</v>
      </c>
      <c r="L82" s="0" t="s">
        <v>389</v>
      </c>
      <c r="M82" s="0" t="s">
        <v>390</v>
      </c>
      <c r="N82" s="6" t="n">
        <v>46111</v>
      </c>
    </row>
    <row r="83" customFormat="false" ht="15" hidden="true" customHeight="false" outlineLevel="0" collapsed="false">
      <c r="B83" s="0" t="n">
        <v>737</v>
      </c>
      <c r="C83" s="0" t="s">
        <v>431</v>
      </c>
      <c r="D83" s="0" t="s">
        <v>525</v>
      </c>
      <c r="E83" s="0" t="s">
        <v>432</v>
      </c>
      <c r="F83" s="0" t="n">
        <v>1</v>
      </c>
      <c r="G83" s="0" t="s">
        <v>152</v>
      </c>
      <c r="H83" s="0" t="s">
        <v>433</v>
      </c>
      <c r="I83" s="0" t="s">
        <v>434</v>
      </c>
      <c r="J83" s="0" t="s">
        <v>435</v>
      </c>
      <c r="K83" s="0" t="s">
        <v>436</v>
      </c>
      <c r="L83" s="0" t="s">
        <v>437</v>
      </c>
      <c r="M83" s="0" t="s">
        <v>438</v>
      </c>
      <c r="N83" s="6" t="n">
        <v>46111</v>
      </c>
      <c r="Q83" s="0" t="s">
        <v>84</v>
      </c>
    </row>
    <row r="84" customFormat="false" ht="15" hidden="false" customHeight="false" outlineLevel="0" collapsed="false">
      <c r="B84" s="0" t="n">
        <v>636</v>
      </c>
      <c r="C84" s="0" t="s">
        <v>431</v>
      </c>
      <c r="D84" s="0" t="s">
        <v>527</v>
      </c>
      <c r="E84" s="0" t="s">
        <v>432</v>
      </c>
      <c r="F84" s="0" t="n">
        <v>1</v>
      </c>
      <c r="G84" s="0" t="s">
        <v>152</v>
      </c>
      <c r="H84" s="0" t="s">
        <v>678</v>
      </c>
      <c r="I84" s="0" t="s">
        <v>679</v>
      </c>
      <c r="J84" s="0" t="s">
        <v>680</v>
      </c>
      <c r="K84" s="0" t="s">
        <v>436</v>
      </c>
      <c r="L84" s="0" t="s">
        <v>681</v>
      </c>
      <c r="M84" s="0" t="s">
        <v>438</v>
      </c>
      <c r="N84" s="6" t="n">
        <v>46111</v>
      </c>
    </row>
    <row r="85" customFormat="false" ht="15" hidden="false" customHeight="false" outlineLevel="0" collapsed="false">
      <c r="B85" s="0" t="n">
        <v>629</v>
      </c>
      <c r="C85" s="0" t="s">
        <v>366</v>
      </c>
      <c r="D85" s="0" t="s">
        <v>527</v>
      </c>
      <c r="E85" s="0" t="s">
        <v>367</v>
      </c>
      <c r="F85" s="0" t="n">
        <v>2</v>
      </c>
      <c r="G85" s="0" t="s">
        <v>368</v>
      </c>
      <c r="H85" s="0" t="s">
        <v>369</v>
      </c>
      <c r="I85" s="0" t="s">
        <v>370</v>
      </c>
      <c r="J85" s="0" t="s">
        <v>371</v>
      </c>
      <c r="K85" s="0" t="s">
        <v>372</v>
      </c>
      <c r="L85" s="0" t="s">
        <v>682</v>
      </c>
      <c r="M85" s="0" t="s">
        <v>374</v>
      </c>
      <c r="N85" s="6" t="n">
        <v>46111</v>
      </c>
    </row>
    <row r="86" customFormat="false" ht="15" hidden="true" customHeight="false" outlineLevel="0" collapsed="false">
      <c r="B86" s="0" t="n">
        <v>733</v>
      </c>
      <c r="C86" s="0" t="s">
        <v>375</v>
      </c>
      <c r="D86" s="0" t="s">
        <v>525</v>
      </c>
      <c r="E86" s="0" t="s">
        <v>376</v>
      </c>
      <c r="F86" s="0" t="n">
        <v>2</v>
      </c>
      <c r="G86" s="0" t="s">
        <v>111</v>
      </c>
      <c r="H86" s="0" t="s">
        <v>377</v>
      </c>
      <c r="I86" s="0" t="s">
        <v>378</v>
      </c>
      <c r="J86" s="0" t="s">
        <v>379</v>
      </c>
      <c r="K86" s="0" t="s">
        <v>380</v>
      </c>
      <c r="L86" s="0" t="s">
        <v>381</v>
      </c>
      <c r="M86" s="0" t="s">
        <v>382</v>
      </c>
      <c r="N86" s="6" t="n">
        <v>46111</v>
      </c>
      <c r="Q86" s="0" t="s">
        <v>84</v>
      </c>
    </row>
    <row r="87" customFormat="false" ht="45" hidden="false" customHeight="true" outlineLevel="0" collapsed="false">
      <c r="B87" s="2" t="s">
        <v>683</v>
      </c>
      <c r="C87" s="0" t="s">
        <v>375</v>
      </c>
      <c r="D87" s="0" t="s">
        <v>527</v>
      </c>
      <c r="E87" s="0" t="s">
        <v>376</v>
      </c>
      <c r="F87" s="0" t="n">
        <v>10</v>
      </c>
      <c r="G87" s="0" t="s">
        <v>111</v>
      </c>
      <c r="H87" s="2" t="s">
        <v>684</v>
      </c>
      <c r="I87" s="2" t="s">
        <v>685</v>
      </c>
      <c r="J87" s="2" t="s">
        <v>686</v>
      </c>
      <c r="K87" s="0" t="s">
        <v>380</v>
      </c>
      <c r="L87" s="2" t="s">
        <v>687</v>
      </c>
      <c r="M87" s="0" t="s">
        <v>382</v>
      </c>
      <c r="N87" s="6" t="n">
        <v>46111</v>
      </c>
    </row>
    <row r="88" customFormat="false" ht="15" hidden="true" customHeight="false" outlineLevel="0" collapsed="false">
      <c r="B88" s="0" t="n">
        <v>717</v>
      </c>
      <c r="C88" s="0" t="s">
        <v>198</v>
      </c>
      <c r="D88" s="0" t="s">
        <v>525</v>
      </c>
      <c r="E88" s="0" t="s">
        <v>199</v>
      </c>
      <c r="F88" s="0" t="n">
        <v>5</v>
      </c>
      <c r="G88" s="0" t="s">
        <v>200</v>
      </c>
      <c r="H88" s="0" t="s">
        <v>201</v>
      </c>
      <c r="I88" s="0" t="s">
        <v>202</v>
      </c>
      <c r="J88" s="0" t="s">
        <v>203</v>
      </c>
      <c r="K88" s="0" t="s">
        <v>204</v>
      </c>
      <c r="L88" s="0" t="s">
        <v>205</v>
      </c>
      <c r="M88" s="0" t="s">
        <v>206</v>
      </c>
      <c r="N88" s="6" t="n">
        <v>46111</v>
      </c>
      <c r="Q88" s="0" t="s">
        <v>84</v>
      </c>
    </row>
    <row r="89" customFormat="false" ht="15" hidden="false" customHeight="false" outlineLevel="0" collapsed="false">
      <c r="B89" s="0" t="n">
        <v>612</v>
      </c>
      <c r="C89" s="0" t="s">
        <v>198</v>
      </c>
      <c r="D89" s="0" t="s">
        <v>527</v>
      </c>
      <c r="E89" s="0" t="s">
        <v>199</v>
      </c>
      <c r="F89" s="0" t="n">
        <v>4</v>
      </c>
      <c r="G89" s="0" t="s">
        <v>200</v>
      </c>
      <c r="H89" s="0" t="s">
        <v>201</v>
      </c>
      <c r="I89" s="0" t="s">
        <v>202</v>
      </c>
      <c r="J89" s="0" t="s">
        <v>203</v>
      </c>
      <c r="K89" s="0" t="s">
        <v>204</v>
      </c>
      <c r="L89" s="0" t="s">
        <v>205</v>
      </c>
      <c r="M89" s="0" t="s">
        <v>206</v>
      </c>
      <c r="N89" s="6" t="n">
        <v>46111</v>
      </c>
    </row>
    <row r="90" customFormat="false" ht="120" hidden="true" customHeight="true" outlineLevel="0" collapsed="false">
      <c r="B90" s="2" t="s">
        <v>688</v>
      </c>
      <c r="C90" s="0" t="s">
        <v>190</v>
      </c>
      <c r="D90" s="0" t="s">
        <v>525</v>
      </c>
      <c r="E90" s="0" t="s">
        <v>191</v>
      </c>
      <c r="F90" s="0" t="n">
        <v>10</v>
      </c>
      <c r="G90" s="0" t="s">
        <v>24</v>
      </c>
      <c r="H90" s="2" t="s">
        <v>689</v>
      </c>
      <c r="I90" s="2" t="s">
        <v>690</v>
      </c>
      <c r="J90" s="2" t="s">
        <v>691</v>
      </c>
      <c r="K90" s="0" t="s">
        <v>195</v>
      </c>
      <c r="L90" s="2" t="s">
        <v>692</v>
      </c>
      <c r="M90" s="0" t="s">
        <v>197</v>
      </c>
      <c r="N90" s="6" t="n">
        <v>46111</v>
      </c>
      <c r="Q90" s="0" t="s">
        <v>84</v>
      </c>
    </row>
    <row r="91" customFormat="false" ht="30" hidden="false" customHeight="true" outlineLevel="0" collapsed="false">
      <c r="B91" s="0" t="n">
        <v>610</v>
      </c>
      <c r="C91" s="0" t="s">
        <v>190</v>
      </c>
      <c r="D91" s="0" t="s">
        <v>527</v>
      </c>
      <c r="E91" s="0" t="s">
        <v>191</v>
      </c>
      <c r="F91" s="0" t="n">
        <v>1</v>
      </c>
      <c r="G91" s="0" t="s">
        <v>24</v>
      </c>
      <c r="H91" s="2" t="s">
        <v>693</v>
      </c>
      <c r="I91" s="2" t="s">
        <v>694</v>
      </c>
      <c r="J91" s="2" t="s">
        <v>695</v>
      </c>
      <c r="K91" s="0" t="s">
        <v>195</v>
      </c>
      <c r="L91" s="0" t="s">
        <v>696</v>
      </c>
      <c r="M91" s="0" t="s">
        <v>197</v>
      </c>
      <c r="N91" s="6" t="n">
        <v>46111</v>
      </c>
    </row>
    <row r="92" customFormat="false" ht="15" hidden="true" customHeight="false" outlineLevel="0" collapsed="false">
      <c r="B92" s="0" t="n">
        <v>701</v>
      </c>
      <c r="C92" s="0" t="s">
        <v>75</v>
      </c>
      <c r="D92" s="0" t="s">
        <v>525</v>
      </c>
      <c r="E92" s="0" t="s">
        <v>76</v>
      </c>
      <c r="F92" s="0" t="n">
        <v>2</v>
      </c>
      <c r="G92" s="0" t="s">
        <v>77</v>
      </c>
      <c r="H92" s="0" t="s">
        <v>78</v>
      </c>
      <c r="I92" s="0" t="s">
        <v>79</v>
      </c>
      <c r="J92" s="0" t="s">
        <v>80</v>
      </c>
      <c r="K92" s="0" t="s">
        <v>81</v>
      </c>
      <c r="L92" s="0" t="s">
        <v>82</v>
      </c>
      <c r="M92" s="0" t="s">
        <v>83</v>
      </c>
      <c r="N92" s="6" t="n">
        <v>46111</v>
      </c>
      <c r="Q92" s="0" t="s">
        <v>84</v>
      </c>
    </row>
    <row r="93" customFormat="false" ht="15" hidden="false" customHeight="false" outlineLevel="0" collapsed="false">
      <c r="B93" s="0" t="n">
        <v>598</v>
      </c>
      <c r="C93" s="0" t="s">
        <v>75</v>
      </c>
      <c r="D93" s="0" t="s">
        <v>527</v>
      </c>
      <c r="E93" s="0" t="s">
        <v>76</v>
      </c>
      <c r="F93" s="0" t="n">
        <v>1</v>
      </c>
      <c r="G93" s="0" t="s">
        <v>77</v>
      </c>
      <c r="H93" s="0" t="s">
        <v>78</v>
      </c>
      <c r="I93" s="0" t="s">
        <v>79</v>
      </c>
      <c r="J93" s="0" t="s">
        <v>80</v>
      </c>
      <c r="K93" s="0" t="s">
        <v>81</v>
      </c>
      <c r="L93" s="0" t="s">
        <v>82</v>
      </c>
      <c r="M93" s="0" t="s">
        <v>83</v>
      </c>
      <c r="N93" s="6" t="n">
        <v>46111</v>
      </c>
    </row>
    <row r="94" customFormat="false" ht="15" hidden="true" customHeight="false" outlineLevel="0" collapsed="false">
      <c r="B94" s="0" t="n">
        <v>720</v>
      </c>
      <c r="C94" s="0" t="s">
        <v>231</v>
      </c>
      <c r="D94" s="0" t="s">
        <v>525</v>
      </c>
      <c r="E94" s="0" t="s">
        <v>232</v>
      </c>
      <c r="F94" s="0" t="n">
        <v>1</v>
      </c>
      <c r="G94" s="0" t="s">
        <v>61</v>
      </c>
      <c r="H94" s="0" t="s">
        <v>697</v>
      </c>
      <c r="I94" s="0" t="s">
        <v>698</v>
      </c>
      <c r="J94" s="0" t="s">
        <v>699</v>
      </c>
      <c r="K94" s="0" t="s">
        <v>236</v>
      </c>
      <c r="L94" s="0" t="s">
        <v>700</v>
      </c>
      <c r="M94" s="0" t="s">
        <v>238</v>
      </c>
      <c r="N94" s="6" t="n">
        <v>46111</v>
      </c>
      <c r="Q94" s="0" t="s">
        <v>84</v>
      </c>
    </row>
    <row r="95" customFormat="false" ht="30" hidden="false" customHeight="true" outlineLevel="0" collapsed="false">
      <c r="B95" s="2" t="s">
        <v>701</v>
      </c>
      <c r="C95" s="0" t="s">
        <v>231</v>
      </c>
      <c r="D95" s="0" t="s">
        <v>527</v>
      </c>
      <c r="E95" s="0" t="s">
        <v>232</v>
      </c>
      <c r="F95" s="0" t="n">
        <v>3</v>
      </c>
      <c r="G95" s="0" t="s">
        <v>61</v>
      </c>
      <c r="H95" s="2" t="s">
        <v>702</v>
      </c>
      <c r="I95" s="2" t="s">
        <v>703</v>
      </c>
      <c r="J95" s="2" t="s">
        <v>704</v>
      </c>
      <c r="K95" s="0" t="s">
        <v>236</v>
      </c>
      <c r="L95" s="2" t="s">
        <v>705</v>
      </c>
      <c r="M95" s="0" t="s">
        <v>238</v>
      </c>
      <c r="N95" s="6" t="n">
        <v>46111</v>
      </c>
    </row>
    <row r="96" customFormat="false" ht="15" hidden="true" customHeight="false" outlineLevel="0" collapsed="false">
      <c r="B96" s="0" t="n">
        <v>724</v>
      </c>
      <c r="C96" s="0" t="s">
        <v>706</v>
      </c>
      <c r="D96" s="0" t="s">
        <v>525</v>
      </c>
      <c r="E96" s="0" t="s">
        <v>707</v>
      </c>
      <c r="F96" s="0" t="n">
        <v>1</v>
      </c>
      <c r="G96" s="0" t="s">
        <v>111</v>
      </c>
      <c r="H96" s="0" t="s">
        <v>708</v>
      </c>
      <c r="I96" s="0" t="s">
        <v>709</v>
      </c>
      <c r="J96" s="0" t="s">
        <v>710</v>
      </c>
      <c r="K96" s="0" t="s">
        <v>711</v>
      </c>
      <c r="L96" s="0" t="s">
        <v>712</v>
      </c>
      <c r="M96" s="0" t="s">
        <v>713</v>
      </c>
      <c r="N96" s="6" t="n">
        <v>46111</v>
      </c>
      <c r="Q96" s="0" t="s">
        <v>84</v>
      </c>
    </row>
    <row r="97" customFormat="false" ht="15" hidden="false" customHeight="false" outlineLevel="0" collapsed="false">
      <c r="B97" s="0" t="n">
        <v>619</v>
      </c>
      <c r="C97" s="0" t="s">
        <v>706</v>
      </c>
      <c r="D97" s="0" t="s">
        <v>527</v>
      </c>
      <c r="E97" s="0" t="s">
        <v>707</v>
      </c>
      <c r="F97" s="0" t="n">
        <v>1</v>
      </c>
      <c r="G97" s="0" t="s">
        <v>111</v>
      </c>
      <c r="H97" s="0" t="s">
        <v>708</v>
      </c>
      <c r="I97" s="0" t="s">
        <v>709</v>
      </c>
      <c r="J97" s="0" t="s">
        <v>710</v>
      </c>
      <c r="K97" s="0" t="s">
        <v>711</v>
      </c>
      <c r="L97" s="0" t="s">
        <v>712</v>
      </c>
      <c r="M97" s="0" t="s">
        <v>713</v>
      </c>
      <c r="N97" s="6" t="n">
        <v>46111</v>
      </c>
    </row>
    <row r="98" customFormat="false" ht="15" hidden="false" customHeight="false" outlineLevel="0" collapsed="false">
      <c r="B98" s="0" t="n">
        <v>597</v>
      </c>
      <c r="C98" s="0" t="s">
        <v>68</v>
      </c>
      <c r="D98" s="0" t="s">
        <v>527</v>
      </c>
      <c r="E98" s="0" t="s">
        <v>69</v>
      </c>
      <c r="F98" s="0" t="n">
        <v>1</v>
      </c>
      <c r="G98" s="0" t="s">
        <v>61</v>
      </c>
      <c r="H98" s="0" t="s">
        <v>70</v>
      </c>
      <c r="I98" s="0" t="s">
        <v>71</v>
      </c>
      <c r="J98" s="0" t="s">
        <v>72</v>
      </c>
      <c r="K98" s="0" t="s">
        <v>73</v>
      </c>
      <c r="L98" s="0" t="s">
        <v>73</v>
      </c>
      <c r="M98" s="0" t="s">
        <v>74</v>
      </c>
      <c r="N98" s="6" t="n">
        <v>46111</v>
      </c>
    </row>
    <row r="99" customFormat="false" ht="15" hidden="true" customHeight="false" outlineLevel="0" collapsed="false">
      <c r="B99" s="0" t="n">
        <v>743</v>
      </c>
      <c r="C99" s="0" t="s">
        <v>471</v>
      </c>
      <c r="D99" s="0" t="s">
        <v>525</v>
      </c>
      <c r="E99" s="0" t="s">
        <v>472</v>
      </c>
      <c r="F99" s="0" t="n">
        <v>1</v>
      </c>
      <c r="G99" s="0" t="s">
        <v>111</v>
      </c>
      <c r="H99" s="0" t="s">
        <v>473</v>
      </c>
      <c r="I99" s="0" t="s">
        <v>474</v>
      </c>
      <c r="J99" s="0" t="s">
        <v>475</v>
      </c>
      <c r="K99" s="0" t="s">
        <v>476</v>
      </c>
      <c r="L99" s="0" t="s">
        <v>476</v>
      </c>
      <c r="M99" s="0" t="s">
        <v>477</v>
      </c>
      <c r="N99" s="6" t="n">
        <v>46111</v>
      </c>
      <c r="Q99" s="0" t="s">
        <v>84</v>
      </c>
    </row>
    <row r="100" customFormat="false" ht="15" hidden="false" customHeight="false" outlineLevel="0" collapsed="false">
      <c r="B100" s="0" t="n">
        <v>643</v>
      </c>
      <c r="C100" s="0" t="s">
        <v>471</v>
      </c>
      <c r="D100" s="0" t="s">
        <v>527</v>
      </c>
      <c r="E100" s="0" t="s">
        <v>472</v>
      </c>
      <c r="F100" s="0" t="n">
        <v>1</v>
      </c>
      <c r="G100" s="0" t="s">
        <v>111</v>
      </c>
      <c r="H100" s="0" t="s">
        <v>473</v>
      </c>
      <c r="I100" s="0" t="s">
        <v>474</v>
      </c>
      <c r="J100" s="0" t="s">
        <v>475</v>
      </c>
      <c r="K100" s="0" t="s">
        <v>476</v>
      </c>
      <c r="L100" s="0" t="s">
        <v>476</v>
      </c>
      <c r="M100" s="0" t="s">
        <v>477</v>
      </c>
      <c r="N100" s="6" t="n">
        <v>46111</v>
      </c>
    </row>
    <row r="101" customFormat="false" ht="15" hidden="true" customHeight="false" outlineLevel="0" collapsed="false">
      <c r="B101" s="0" t="n">
        <v>721</v>
      </c>
      <c r="C101" s="0" t="s">
        <v>239</v>
      </c>
      <c r="D101" s="0" t="s">
        <v>525</v>
      </c>
      <c r="E101" s="0" t="s">
        <v>240</v>
      </c>
      <c r="F101" s="0" t="n">
        <v>1</v>
      </c>
      <c r="G101" s="0" t="s">
        <v>24</v>
      </c>
      <c r="H101" s="0" t="s">
        <v>241</v>
      </c>
      <c r="I101" s="0" t="s">
        <v>242</v>
      </c>
      <c r="J101" s="0" t="s">
        <v>243</v>
      </c>
      <c r="K101" s="0" t="s">
        <v>244</v>
      </c>
      <c r="L101" s="0" t="s">
        <v>714</v>
      </c>
      <c r="M101" s="0" t="s">
        <v>246</v>
      </c>
      <c r="N101" s="6" t="n">
        <v>46111</v>
      </c>
      <c r="Q101" s="0" t="s">
        <v>84</v>
      </c>
    </row>
    <row r="102" customFormat="false" ht="15" hidden="true" customHeight="false" outlineLevel="0" collapsed="false">
      <c r="B102" s="0" t="n">
        <v>708</v>
      </c>
      <c r="C102" s="0" t="s">
        <v>125</v>
      </c>
      <c r="D102" s="0" t="s">
        <v>525</v>
      </c>
      <c r="E102" s="0" t="s">
        <v>126</v>
      </c>
      <c r="F102" s="0" t="n">
        <v>1</v>
      </c>
      <c r="G102" s="0" t="s">
        <v>127</v>
      </c>
      <c r="H102" s="0" t="s">
        <v>128</v>
      </c>
      <c r="I102" s="0" t="s">
        <v>129</v>
      </c>
      <c r="J102" s="0" t="s">
        <v>130</v>
      </c>
      <c r="K102" s="0" t="s">
        <v>131</v>
      </c>
      <c r="L102" s="0" t="s">
        <v>132</v>
      </c>
      <c r="M102" s="0" t="s">
        <v>133</v>
      </c>
      <c r="N102" s="6" t="n">
        <v>46111</v>
      </c>
      <c r="Q102" s="0" t="s">
        <v>84</v>
      </c>
    </row>
    <row r="103" customFormat="false" ht="15" hidden="false" customHeight="false" outlineLevel="0" collapsed="false">
      <c r="B103" s="0" t="n">
        <v>604</v>
      </c>
      <c r="C103" s="0" t="s">
        <v>125</v>
      </c>
      <c r="D103" s="0" t="s">
        <v>527</v>
      </c>
      <c r="E103" s="0" t="s">
        <v>126</v>
      </c>
      <c r="F103" s="0" t="n">
        <v>1</v>
      </c>
      <c r="G103" s="0" t="s">
        <v>127</v>
      </c>
      <c r="H103" s="0" t="s">
        <v>128</v>
      </c>
      <c r="I103" s="0" t="s">
        <v>129</v>
      </c>
      <c r="J103" s="0" t="s">
        <v>130</v>
      </c>
      <c r="K103" s="0" t="s">
        <v>131</v>
      </c>
      <c r="L103" s="0" t="s">
        <v>132</v>
      </c>
      <c r="M103" s="0" t="s">
        <v>133</v>
      </c>
      <c r="N103" s="6" t="n">
        <v>46111</v>
      </c>
    </row>
    <row r="104" customFormat="false" ht="15" hidden="false" customHeight="false" outlineLevel="0" collapsed="false">
      <c r="B104" s="0" t="n">
        <v>617</v>
      </c>
      <c r="C104" s="0" t="s">
        <v>715</v>
      </c>
      <c r="D104" s="0" t="s">
        <v>527</v>
      </c>
      <c r="E104" s="0" t="s">
        <v>716</v>
      </c>
      <c r="F104" s="0" t="n">
        <v>3</v>
      </c>
      <c r="G104" s="0" t="s">
        <v>717</v>
      </c>
      <c r="H104" s="0" t="s">
        <v>718</v>
      </c>
      <c r="I104" s="0" t="s">
        <v>719</v>
      </c>
      <c r="J104" s="0" t="s">
        <v>720</v>
      </c>
      <c r="K104" s="0" t="s">
        <v>721</v>
      </c>
      <c r="L104" s="0" t="s">
        <v>722</v>
      </c>
      <c r="M104" s="0" t="s">
        <v>723</v>
      </c>
      <c r="N104" s="6" t="n">
        <v>46111</v>
      </c>
    </row>
    <row r="105" customFormat="false" ht="30" hidden="false" customHeight="true" outlineLevel="0" collapsed="false">
      <c r="B105" s="2" t="s">
        <v>724</v>
      </c>
      <c r="C105" s="0" t="s">
        <v>725</v>
      </c>
      <c r="D105" s="0" t="s">
        <v>527</v>
      </c>
      <c r="E105" s="0" t="s">
        <v>726</v>
      </c>
      <c r="F105" s="0" t="n">
        <v>2</v>
      </c>
      <c r="G105" s="0" t="s">
        <v>727</v>
      </c>
      <c r="H105" s="0" t="s">
        <v>728</v>
      </c>
      <c r="I105" s="0" t="s">
        <v>729</v>
      </c>
      <c r="J105" s="0" t="s">
        <v>730</v>
      </c>
      <c r="K105" s="0" t="s">
        <v>731</v>
      </c>
      <c r="L105" s="0" t="s">
        <v>732</v>
      </c>
      <c r="M105" s="0" t="s">
        <v>733</v>
      </c>
      <c r="N105" s="6" t="n">
        <v>46111</v>
      </c>
    </row>
    <row r="106" customFormat="false" ht="15" hidden="false" customHeight="false" outlineLevel="0" collapsed="false">
      <c r="B106" s="0" t="n">
        <v>630</v>
      </c>
      <c r="C106" s="0" t="s">
        <v>734</v>
      </c>
      <c r="D106" s="0" t="s">
        <v>527</v>
      </c>
      <c r="E106" s="0" t="s">
        <v>735</v>
      </c>
      <c r="F106" s="0" t="n">
        <v>1</v>
      </c>
      <c r="G106" s="0" t="s">
        <v>736</v>
      </c>
      <c r="H106" s="0" t="s">
        <v>737</v>
      </c>
      <c r="I106" s="0" t="s">
        <v>738</v>
      </c>
      <c r="J106" s="0" t="s">
        <v>739</v>
      </c>
      <c r="K106" s="0" t="s">
        <v>740</v>
      </c>
      <c r="L106" s="0" t="s">
        <v>741</v>
      </c>
      <c r="M106" s="0" t="s">
        <v>742</v>
      </c>
      <c r="N106" s="6" t="n">
        <v>46111</v>
      </c>
    </row>
    <row r="107" customFormat="false" ht="15" hidden="true" customHeight="false" outlineLevel="0" collapsed="false">
      <c r="B107" s="0" t="n">
        <v>735</v>
      </c>
      <c r="C107" s="0" t="s">
        <v>415</v>
      </c>
      <c r="D107" s="0" t="s">
        <v>525</v>
      </c>
      <c r="E107" s="0" t="s">
        <v>416</v>
      </c>
      <c r="F107" s="0" t="n">
        <v>1</v>
      </c>
      <c r="G107" s="0" t="s">
        <v>417</v>
      </c>
      <c r="H107" s="0" t="s">
        <v>418</v>
      </c>
      <c r="I107" s="0" t="s">
        <v>419</v>
      </c>
      <c r="J107" s="0" t="s">
        <v>420</v>
      </c>
      <c r="K107" s="0" t="s">
        <v>421</v>
      </c>
      <c r="L107" s="0" t="s">
        <v>422</v>
      </c>
      <c r="M107" s="0" t="s">
        <v>423</v>
      </c>
      <c r="N107" s="6" t="n">
        <v>46111</v>
      </c>
      <c r="Q107" s="0" t="s">
        <v>84</v>
      </c>
    </row>
    <row r="108" customFormat="false" ht="15" hidden="false" customHeight="false" outlineLevel="0" collapsed="false">
      <c r="B108" s="0" t="n">
        <v>635</v>
      </c>
      <c r="C108" s="0" t="s">
        <v>415</v>
      </c>
      <c r="D108" s="0" t="s">
        <v>527</v>
      </c>
      <c r="E108" s="0" t="s">
        <v>416</v>
      </c>
      <c r="F108" s="0" t="n">
        <v>1</v>
      </c>
      <c r="G108" s="0" t="s">
        <v>417</v>
      </c>
      <c r="H108" s="0" t="s">
        <v>418</v>
      </c>
      <c r="I108" s="0" t="s">
        <v>419</v>
      </c>
      <c r="J108" s="0" t="s">
        <v>420</v>
      </c>
      <c r="K108" s="0" t="s">
        <v>421</v>
      </c>
      <c r="L108" s="0" t="s">
        <v>422</v>
      </c>
      <c r="M108" s="0" t="s">
        <v>423</v>
      </c>
      <c r="N108" s="6" t="n">
        <v>46111</v>
      </c>
    </row>
    <row r="109" customFormat="false" ht="15" hidden="true" customHeight="false" outlineLevel="0" collapsed="false">
      <c r="B109" s="0" t="n">
        <v>715</v>
      </c>
      <c r="C109" s="0" t="s">
        <v>182</v>
      </c>
      <c r="D109" s="0" t="s">
        <v>525</v>
      </c>
      <c r="E109" s="0" t="s">
        <v>183</v>
      </c>
      <c r="F109" s="0" t="n">
        <v>1</v>
      </c>
      <c r="G109" s="0" t="s">
        <v>111</v>
      </c>
      <c r="H109" s="0" t="s">
        <v>184</v>
      </c>
      <c r="I109" s="0" t="s">
        <v>185</v>
      </c>
      <c r="J109" s="0" t="s">
        <v>186</v>
      </c>
      <c r="K109" s="0" t="s">
        <v>187</v>
      </c>
      <c r="L109" s="0" t="s">
        <v>188</v>
      </c>
      <c r="M109" s="0" t="s">
        <v>189</v>
      </c>
      <c r="N109" s="6" t="n">
        <v>46111</v>
      </c>
      <c r="Q109" s="0" t="s">
        <v>84</v>
      </c>
    </row>
    <row r="110" customFormat="false" ht="15" hidden="false" customHeight="false" outlineLevel="0" collapsed="false">
      <c r="B110" s="0" t="n">
        <v>609</v>
      </c>
      <c r="C110" s="0" t="s">
        <v>182</v>
      </c>
      <c r="D110" s="0" t="s">
        <v>527</v>
      </c>
      <c r="E110" s="0" t="s">
        <v>183</v>
      </c>
      <c r="F110" s="0" t="n">
        <v>7</v>
      </c>
      <c r="G110" s="0" t="s">
        <v>111</v>
      </c>
      <c r="H110" s="0" t="s">
        <v>184</v>
      </c>
      <c r="I110" s="0" t="s">
        <v>185</v>
      </c>
      <c r="J110" s="0" t="s">
        <v>186</v>
      </c>
      <c r="K110" s="0" t="s">
        <v>187</v>
      </c>
      <c r="L110" s="0" t="s">
        <v>188</v>
      </c>
      <c r="M110" s="0" t="s">
        <v>189</v>
      </c>
      <c r="N110" s="6" t="n">
        <v>46111</v>
      </c>
    </row>
    <row r="111" customFormat="false" ht="15" hidden="false" customHeight="false" outlineLevel="0" collapsed="false">
      <c r="B111" s="0" t="n">
        <v>620</v>
      </c>
      <c r="C111" s="0" t="s">
        <v>743</v>
      </c>
      <c r="D111" s="0" t="s">
        <v>527</v>
      </c>
      <c r="E111" s="0" t="s">
        <v>744</v>
      </c>
      <c r="F111" s="0" t="n">
        <v>6</v>
      </c>
      <c r="G111" s="0" t="s">
        <v>745</v>
      </c>
      <c r="H111" s="0" t="s">
        <v>746</v>
      </c>
      <c r="I111" s="0" t="s">
        <v>747</v>
      </c>
      <c r="J111" s="0" t="s">
        <v>748</v>
      </c>
      <c r="K111" s="0" t="s">
        <v>749</v>
      </c>
      <c r="L111" s="0" t="s">
        <v>750</v>
      </c>
      <c r="M111" s="0" t="s">
        <v>751</v>
      </c>
      <c r="N111" s="6" t="n">
        <v>46111</v>
      </c>
    </row>
    <row r="112" customFormat="false" ht="15" hidden="true" customHeight="false" outlineLevel="0" collapsed="false">
      <c r="B112" s="0" t="n">
        <v>719</v>
      </c>
      <c r="C112" s="0" t="s">
        <v>223</v>
      </c>
      <c r="D112" s="0" t="s">
        <v>525</v>
      </c>
      <c r="E112" s="0" t="s">
        <v>224</v>
      </c>
      <c r="F112" s="0" t="n">
        <v>1</v>
      </c>
      <c r="G112" s="0" t="s">
        <v>61</v>
      </c>
      <c r="H112" s="0" t="s">
        <v>225</v>
      </c>
      <c r="I112" s="0" t="s">
        <v>226</v>
      </c>
      <c r="J112" s="0" t="s">
        <v>227</v>
      </c>
      <c r="K112" s="0" t="s">
        <v>228</v>
      </c>
      <c r="L112" s="0" t="s">
        <v>229</v>
      </c>
      <c r="M112" s="0" t="s">
        <v>230</v>
      </c>
      <c r="N112" s="6" t="n">
        <v>46111</v>
      </c>
      <c r="Q112" s="0" t="s">
        <v>84</v>
      </c>
    </row>
    <row r="113" customFormat="false" ht="15" hidden="false" customHeight="false" outlineLevel="0" collapsed="false">
      <c r="B113" s="0" t="n">
        <v>614</v>
      </c>
      <c r="C113" s="0" t="s">
        <v>223</v>
      </c>
      <c r="D113" s="0" t="s">
        <v>527</v>
      </c>
      <c r="E113" s="0" t="s">
        <v>224</v>
      </c>
      <c r="F113" s="0" t="n">
        <v>1</v>
      </c>
      <c r="G113" s="0" t="s">
        <v>61</v>
      </c>
      <c r="H113" s="0" t="s">
        <v>225</v>
      </c>
      <c r="I113" s="0" t="s">
        <v>226</v>
      </c>
      <c r="J113" s="0" t="s">
        <v>227</v>
      </c>
      <c r="K113" s="0" t="s">
        <v>228</v>
      </c>
      <c r="L113" s="0" t="s">
        <v>229</v>
      </c>
      <c r="M113" s="0" t="s">
        <v>230</v>
      </c>
      <c r="N113" s="6" t="n">
        <v>46111</v>
      </c>
    </row>
    <row r="114" customFormat="false" ht="15" hidden="false" customHeight="false" outlineLevel="0" collapsed="false">
      <c r="F114" s="0" t="n">
        <f aca="false">SUBTOTAL(109,Table2[Kom.])</f>
        <v>108</v>
      </c>
      <c r="N114" s="6"/>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859375" defaultRowHeight="15" zeroHeight="false" outlineLevelRow="0" outlineLevelCol="0"/>
  <cols>
    <col collapsed="false" customWidth="true" hidden="false" outlineLevel="0" max="1" min="1" style="0" width="9.28"/>
    <col collapsed="false" customWidth="true" hidden="false" outlineLevel="0" max="2" min="2" style="0" width="15.14"/>
    <col collapsed="false" customWidth="true" hidden="false" outlineLevel="0" max="3" min="3" style="0" width="9.28"/>
    <col collapsed="false" customWidth="true" hidden="false" outlineLevel="0" max="4" min="4" style="0" width="58.85"/>
    <col collapsed="false" customWidth="true" hidden="false" outlineLevel="0" max="5" min="5" style="0" width="90.29"/>
    <col collapsed="false" customWidth="true" hidden="false" outlineLevel="0" max="6" min="6" style="0" width="9.28"/>
    <col collapsed="false" customWidth="true" hidden="false" outlineLevel="0" max="7" min="7" style="0" width="14.14"/>
    <col collapsed="false" customWidth="true" hidden="false" outlineLevel="0" max="8" min="8" style="0" width="29.42"/>
    <col collapsed="false" customWidth="true" hidden="false" outlineLevel="0" max="9" min="9" style="0" width="55.85"/>
    <col collapsed="false" customWidth="true" hidden="false" outlineLevel="0" max="10" min="10" style="0" width="48.43"/>
    <col collapsed="false" customWidth="true" hidden="false" outlineLevel="0" max="11" min="11" style="0" width="39"/>
    <col collapsed="false" customWidth="true" hidden="false" outlineLevel="0" max="12" min="12" style="0" width="117.85"/>
    <col collapsed="false" customWidth="true" hidden="false" outlineLevel="0" max="13" min="13" style="0" width="12"/>
    <col collapsed="false" customWidth="true" hidden="false" outlineLevel="0" max="14" min="14" style="0" width="21.71"/>
    <col collapsed="false" customWidth="true" hidden="false" outlineLevel="0" max="15" min="15" style="0" width="14.85"/>
    <col collapsed="false" customWidth="true" hidden="false" outlineLevel="0" max="16" min="16" style="0" width="15.85"/>
    <col collapsed="false" customWidth="true" hidden="false" outlineLevel="0" max="17" min="17" style="0" width="12.85"/>
    <col collapsed="false" customWidth="true" hidden="false" outlineLevel="0" max="18" min="18" style="0" width="13.71"/>
  </cols>
  <sheetData>
    <row r="1" customFormat="false" ht="15" hidden="false" customHeight="false" outlineLevel="0" collapsed="false">
      <c r="A1" s="1" t="s">
        <v>752</v>
      </c>
    </row>
    <row r="3" customFormat="false" ht="15" hidden="false" customHeight="false" outlineLevel="0" collapsed="false">
      <c r="A3" s="3" t="s">
        <v>1</v>
      </c>
      <c r="B3" s="3" t="s">
        <v>753</v>
      </c>
      <c r="C3" s="3" t="s">
        <v>4</v>
      </c>
      <c r="D3" s="3" t="s">
        <v>6</v>
      </c>
      <c r="E3" s="3" t="s">
        <v>5</v>
      </c>
      <c r="F3" s="3" t="s">
        <v>7</v>
      </c>
      <c r="G3" s="3" t="s">
        <v>8</v>
      </c>
      <c r="H3" s="3" t="s">
        <v>9</v>
      </c>
      <c r="I3" s="3" t="s">
        <v>10</v>
      </c>
      <c r="J3" s="3" t="s">
        <v>11</v>
      </c>
      <c r="K3" s="3" t="s">
        <v>12</v>
      </c>
      <c r="L3" s="3" t="s">
        <v>13</v>
      </c>
      <c r="M3" s="3" t="s">
        <v>14</v>
      </c>
      <c r="N3" s="3" t="s">
        <v>16</v>
      </c>
      <c r="O3" s="4" t="s">
        <v>17</v>
      </c>
      <c r="P3" s="4" t="s">
        <v>18</v>
      </c>
      <c r="Q3" s="3" t="s">
        <v>19</v>
      </c>
      <c r="R3" s="3" t="s">
        <v>20</v>
      </c>
    </row>
    <row r="4" customFormat="false" ht="30" hidden="false" customHeight="true" outlineLevel="0" collapsed="false">
      <c r="B4" s="2" t="s">
        <v>754</v>
      </c>
      <c r="C4" s="0" t="s">
        <v>302</v>
      </c>
      <c r="D4" s="0" t="s">
        <v>755</v>
      </c>
      <c r="E4" s="0" t="s">
        <v>303</v>
      </c>
      <c r="F4" s="0" t="n">
        <v>2</v>
      </c>
      <c r="G4" s="0" t="s">
        <v>61</v>
      </c>
      <c r="H4" s="0" t="s">
        <v>304</v>
      </c>
      <c r="I4" s="0" t="s">
        <v>305</v>
      </c>
      <c r="J4" s="0" t="s">
        <v>306</v>
      </c>
      <c r="K4" s="0" t="s">
        <v>307</v>
      </c>
      <c r="L4" s="2" t="s">
        <v>756</v>
      </c>
      <c r="M4" s="0" t="s">
        <v>309</v>
      </c>
      <c r="N4" s="6" t="n">
        <v>46119</v>
      </c>
      <c r="O4" s="6" t="n">
        <v>46126</v>
      </c>
      <c r="Q4" s="0" t="s">
        <v>757</v>
      </c>
      <c r="R4" s="0" t="s">
        <v>84</v>
      </c>
    </row>
    <row r="5" customFormat="false" ht="15" hidden="false" customHeight="false" outlineLevel="0" collapsed="false">
      <c r="B5" s="0" t="n">
        <v>494</v>
      </c>
      <c r="C5" s="0" t="s">
        <v>302</v>
      </c>
      <c r="D5" s="0" t="s">
        <v>758</v>
      </c>
      <c r="E5" s="0" t="s">
        <v>303</v>
      </c>
      <c r="F5" s="0" t="n">
        <v>1</v>
      </c>
      <c r="G5" s="0" t="s">
        <v>61</v>
      </c>
      <c r="H5" s="0" t="s">
        <v>304</v>
      </c>
      <c r="I5" s="0" t="s">
        <v>305</v>
      </c>
      <c r="J5" s="0" t="s">
        <v>306</v>
      </c>
      <c r="K5" s="0" t="s">
        <v>307</v>
      </c>
      <c r="L5" s="0" t="s">
        <v>759</v>
      </c>
      <c r="M5" s="0" t="s">
        <v>309</v>
      </c>
      <c r="N5" s="6" t="n">
        <v>46119</v>
      </c>
      <c r="O5" s="6" t="n">
        <v>46126</v>
      </c>
      <c r="Q5" s="0" t="s">
        <v>757</v>
      </c>
      <c r="R5" s="0" t="s">
        <v>84</v>
      </c>
    </row>
    <row r="6" customFormat="false" ht="15" hidden="false" customHeight="false" outlineLevel="0" collapsed="false">
      <c r="B6" s="0" t="n">
        <v>509</v>
      </c>
      <c r="C6" s="0" t="s">
        <v>760</v>
      </c>
      <c r="D6" s="0" t="s">
        <v>758</v>
      </c>
      <c r="E6" s="0" t="s">
        <v>761</v>
      </c>
      <c r="F6" s="0" t="n">
        <v>1</v>
      </c>
      <c r="G6" s="0" t="s">
        <v>61</v>
      </c>
      <c r="H6" s="0" t="s">
        <v>762</v>
      </c>
      <c r="I6" s="0" t="s">
        <v>763</v>
      </c>
      <c r="J6" s="0" t="s">
        <v>764</v>
      </c>
      <c r="K6" s="0" t="s">
        <v>765</v>
      </c>
      <c r="L6" s="0" t="s">
        <v>765</v>
      </c>
      <c r="M6" s="0" t="s">
        <v>766</v>
      </c>
      <c r="N6" s="6" t="n">
        <v>46119</v>
      </c>
      <c r="O6" s="6" t="n">
        <v>46126</v>
      </c>
      <c r="Q6" s="0" t="s">
        <v>757</v>
      </c>
      <c r="R6" s="0" t="s">
        <v>84</v>
      </c>
    </row>
    <row r="7" customFormat="false" ht="15" hidden="false" customHeight="false" outlineLevel="0" collapsed="false">
      <c r="B7" s="0" t="n">
        <v>767</v>
      </c>
      <c r="C7" s="0" t="s">
        <v>247</v>
      </c>
      <c r="D7" s="0" t="s">
        <v>767</v>
      </c>
      <c r="E7" s="0" t="s">
        <v>248</v>
      </c>
      <c r="F7" s="0" t="n">
        <v>1</v>
      </c>
      <c r="G7" s="0" t="s">
        <v>61</v>
      </c>
      <c r="H7" s="0" t="s">
        <v>532</v>
      </c>
      <c r="I7" s="0" t="s">
        <v>533</v>
      </c>
      <c r="J7" s="0" t="s">
        <v>534</v>
      </c>
      <c r="K7" s="0" t="s">
        <v>252</v>
      </c>
      <c r="L7" s="0" t="s">
        <v>535</v>
      </c>
      <c r="M7" s="0" t="s">
        <v>254</v>
      </c>
      <c r="N7" s="6" t="n">
        <v>46119</v>
      </c>
    </row>
    <row r="8" customFormat="false" ht="15" hidden="false" customHeight="false" outlineLevel="0" collapsed="false">
      <c r="B8" s="0" t="n">
        <v>491</v>
      </c>
      <c r="C8" s="0" t="s">
        <v>247</v>
      </c>
      <c r="D8" s="0" t="s">
        <v>758</v>
      </c>
      <c r="E8" s="0" t="s">
        <v>248</v>
      </c>
      <c r="F8" s="0" t="n">
        <v>1</v>
      </c>
      <c r="G8" s="0" t="s">
        <v>61</v>
      </c>
      <c r="H8" s="0" t="s">
        <v>532</v>
      </c>
      <c r="I8" s="0" t="s">
        <v>533</v>
      </c>
      <c r="J8" s="0" t="s">
        <v>534</v>
      </c>
      <c r="K8" s="0" t="s">
        <v>252</v>
      </c>
      <c r="L8" s="0" t="s">
        <v>535</v>
      </c>
      <c r="M8" s="0" t="s">
        <v>254</v>
      </c>
      <c r="N8" s="6" t="n">
        <v>46119</v>
      </c>
      <c r="O8" s="6" t="n">
        <v>46126</v>
      </c>
      <c r="Q8" s="0" t="s">
        <v>757</v>
      </c>
      <c r="R8" s="0" t="s">
        <v>84</v>
      </c>
    </row>
    <row r="9" customFormat="false" ht="15" hidden="false" customHeight="false" outlineLevel="0" collapsed="false">
      <c r="B9" s="0" t="n">
        <v>488</v>
      </c>
      <c r="C9" s="0" t="s">
        <v>207</v>
      </c>
      <c r="D9" s="0" t="s">
        <v>758</v>
      </c>
      <c r="E9" s="0" t="s">
        <v>208</v>
      </c>
      <c r="F9" s="0" t="n">
        <v>1</v>
      </c>
      <c r="G9" s="0" t="s">
        <v>61</v>
      </c>
      <c r="H9" s="0" t="s">
        <v>209</v>
      </c>
      <c r="I9" s="0" t="s">
        <v>210</v>
      </c>
      <c r="J9" s="0" t="s">
        <v>211</v>
      </c>
      <c r="K9" s="0" t="s">
        <v>212</v>
      </c>
      <c r="L9" s="0" t="s">
        <v>213</v>
      </c>
      <c r="M9" s="0" t="s">
        <v>214</v>
      </c>
      <c r="N9" s="6" t="n">
        <v>46119</v>
      </c>
      <c r="O9" s="6" t="n">
        <v>46126</v>
      </c>
      <c r="Q9" s="0" t="s">
        <v>757</v>
      </c>
      <c r="R9" s="0" t="s">
        <v>31</v>
      </c>
    </row>
    <row r="10" customFormat="false" ht="15" hidden="false" customHeight="false" outlineLevel="0" collapsed="false">
      <c r="B10" s="0" t="n">
        <v>527</v>
      </c>
      <c r="C10" s="0" t="s">
        <v>768</v>
      </c>
      <c r="D10" s="0" t="s">
        <v>755</v>
      </c>
      <c r="E10" s="0" t="s">
        <v>769</v>
      </c>
      <c r="F10" s="0" t="n">
        <v>1</v>
      </c>
      <c r="G10" s="0" t="s">
        <v>61</v>
      </c>
      <c r="H10" s="0" t="s">
        <v>770</v>
      </c>
      <c r="I10" s="0" t="s">
        <v>771</v>
      </c>
      <c r="J10" s="0" t="s">
        <v>772</v>
      </c>
      <c r="K10" s="0" t="s">
        <v>773</v>
      </c>
      <c r="L10" s="0" t="s">
        <v>774</v>
      </c>
      <c r="M10" s="0" t="s">
        <v>775</v>
      </c>
      <c r="N10" s="6" t="n">
        <v>46119</v>
      </c>
      <c r="O10" s="6" t="n">
        <v>46126</v>
      </c>
      <c r="Q10" s="0" t="s">
        <v>757</v>
      </c>
      <c r="R10" s="0" t="s">
        <v>31</v>
      </c>
    </row>
    <row r="11" customFormat="false" ht="15" hidden="false" customHeight="false" outlineLevel="0" collapsed="false">
      <c r="B11" s="0" t="n">
        <v>483</v>
      </c>
      <c r="C11" s="0" t="s">
        <v>768</v>
      </c>
      <c r="D11" s="0" t="s">
        <v>758</v>
      </c>
      <c r="E11" s="0" t="s">
        <v>769</v>
      </c>
      <c r="F11" s="0" t="n">
        <v>8</v>
      </c>
      <c r="G11" s="0" t="s">
        <v>61</v>
      </c>
      <c r="H11" s="0" t="s">
        <v>770</v>
      </c>
      <c r="I11" s="0" t="s">
        <v>771</v>
      </c>
      <c r="J11" s="0" t="s">
        <v>772</v>
      </c>
      <c r="K11" s="0" t="s">
        <v>773</v>
      </c>
      <c r="L11" s="0" t="s">
        <v>774</v>
      </c>
      <c r="M11" s="0" t="s">
        <v>775</v>
      </c>
      <c r="N11" s="6" t="n">
        <v>46119</v>
      </c>
      <c r="O11" s="6" t="n">
        <v>46126</v>
      </c>
      <c r="Q11" s="0" t="s">
        <v>757</v>
      </c>
      <c r="R11" s="0" t="s">
        <v>31</v>
      </c>
    </row>
    <row r="12" customFormat="false" ht="30" hidden="false" customHeight="true" outlineLevel="0" collapsed="false">
      <c r="B12" s="2" t="s">
        <v>776</v>
      </c>
      <c r="C12" s="0" t="s">
        <v>768</v>
      </c>
      <c r="D12" s="0" t="s">
        <v>777</v>
      </c>
      <c r="E12" s="0" t="s">
        <v>769</v>
      </c>
      <c r="F12" s="0" t="n">
        <v>1</v>
      </c>
      <c r="G12" s="0" t="s">
        <v>61</v>
      </c>
      <c r="H12" s="0" t="s">
        <v>770</v>
      </c>
      <c r="I12" s="0" t="s">
        <v>771</v>
      </c>
      <c r="J12" s="0" t="s">
        <v>772</v>
      </c>
      <c r="K12" s="0" t="s">
        <v>773</v>
      </c>
      <c r="L12" s="0" t="s">
        <v>774</v>
      </c>
      <c r="M12" s="0" t="s">
        <v>775</v>
      </c>
      <c r="N12" s="6" t="n">
        <v>46119</v>
      </c>
      <c r="Q12" s="0" t="s">
        <v>31</v>
      </c>
      <c r="R12" s="0" t="s">
        <v>31</v>
      </c>
    </row>
    <row r="13" customFormat="false" ht="15" hidden="false" customHeight="false" outlineLevel="0" collapsed="false">
      <c r="B13" s="0" t="n">
        <v>784</v>
      </c>
      <c r="C13" s="0" t="s">
        <v>447</v>
      </c>
      <c r="D13" s="0" t="s">
        <v>767</v>
      </c>
      <c r="E13" s="0" t="s">
        <v>448</v>
      </c>
      <c r="F13" s="0" t="n">
        <v>1</v>
      </c>
      <c r="G13" s="0" t="s">
        <v>24</v>
      </c>
      <c r="H13" s="0" t="s">
        <v>449</v>
      </c>
      <c r="I13" s="0" t="s">
        <v>450</v>
      </c>
      <c r="J13" s="0" t="s">
        <v>451</v>
      </c>
      <c r="K13" s="0" t="s">
        <v>452</v>
      </c>
      <c r="L13" s="0" t="s">
        <v>453</v>
      </c>
      <c r="M13" s="0" t="s">
        <v>454</v>
      </c>
      <c r="N13" s="6" t="n">
        <v>46119</v>
      </c>
    </row>
    <row r="14" customFormat="false" ht="15" hidden="false" customHeight="false" outlineLevel="0" collapsed="false">
      <c r="B14" s="0" t="n">
        <v>498</v>
      </c>
      <c r="C14" s="0" t="s">
        <v>334</v>
      </c>
      <c r="D14" s="0" t="s">
        <v>758</v>
      </c>
      <c r="E14" s="0" t="s">
        <v>335</v>
      </c>
      <c r="F14" s="0" t="n">
        <v>1</v>
      </c>
      <c r="G14" s="0" t="s">
        <v>61</v>
      </c>
      <c r="H14" s="0" t="s">
        <v>336</v>
      </c>
      <c r="I14" s="0" t="s">
        <v>337</v>
      </c>
      <c r="J14" s="0" t="s">
        <v>338</v>
      </c>
      <c r="K14" s="0" t="s">
        <v>339</v>
      </c>
      <c r="L14" s="0" t="s">
        <v>543</v>
      </c>
      <c r="M14" s="0" t="s">
        <v>341</v>
      </c>
      <c r="N14" s="6" t="n">
        <v>46119</v>
      </c>
      <c r="O14" s="6" t="n">
        <v>46126</v>
      </c>
      <c r="Q14" s="0" t="s">
        <v>757</v>
      </c>
      <c r="R14" s="0" t="s">
        <v>84</v>
      </c>
    </row>
    <row r="15" customFormat="false" ht="15" hidden="false" customHeight="false" outlineLevel="0" collapsed="false">
      <c r="B15" s="0" t="n">
        <v>786</v>
      </c>
      <c r="C15" s="0" t="s">
        <v>463</v>
      </c>
      <c r="D15" s="0" t="s">
        <v>767</v>
      </c>
      <c r="E15" s="0" t="s">
        <v>464</v>
      </c>
      <c r="F15" s="0" t="n">
        <v>1</v>
      </c>
      <c r="G15" s="0" t="s">
        <v>152</v>
      </c>
      <c r="H15" s="0" t="s">
        <v>465</v>
      </c>
      <c r="I15" s="0" t="s">
        <v>466</v>
      </c>
      <c r="J15" s="0" t="s">
        <v>467</v>
      </c>
      <c r="K15" s="0" t="s">
        <v>468</v>
      </c>
      <c r="L15" s="0" t="s">
        <v>469</v>
      </c>
      <c r="M15" s="0" t="s">
        <v>470</v>
      </c>
      <c r="N15" s="6" t="n">
        <v>46119</v>
      </c>
    </row>
    <row r="16" customFormat="false" ht="30" hidden="false" customHeight="true" outlineLevel="0" collapsed="false">
      <c r="B16" s="2" t="s">
        <v>778</v>
      </c>
      <c r="C16" s="0" t="s">
        <v>463</v>
      </c>
      <c r="D16" s="0" t="s">
        <v>777</v>
      </c>
      <c r="E16" s="0" t="s">
        <v>464</v>
      </c>
      <c r="F16" s="0" t="n">
        <v>3</v>
      </c>
      <c r="G16" s="0" t="s">
        <v>152</v>
      </c>
      <c r="H16" s="0" t="s">
        <v>465</v>
      </c>
      <c r="I16" s="0" t="s">
        <v>466</v>
      </c>
      <c r="J16" s="0" t="s">
        <v>467</v>
      </c>
      <c r="K16" s="0" t="s">
        <v>468</v>
      </c>
      <c r="L16" s="2" t="s">
        <v>779</v>
      </c>
      <c r="M16" s="0" t="s">
        <v>470</v>
      </c>
      <c r="N16" s="6" t="n">
        <v>46119</v>
      </c>
      <c r="Q16" s="0" t="s">
        <v>31</v>
      </c>
      <c r="R16" s="0" t="s">
        <v>31</v>
      </c>
    </row>
    <row r="17" customFormat="false" ht="15" hidden="false" customHeight="false" outlineLevel="0" collapsed="false">
      <c r="B17" s="0" t="n">
        <v>752</v>
      </c>
      <c r="C17" s="0" t="s">
        <v>21</v>
      </c>
      <c r="D17" s="0" t="s">
        <v>767</v>
      </c>
      <c r="E17" s="0" t="s">
        <v>22</v>
      </c>
      <c r="F17" s="0" t="n">
        <v>1</v>
      </c>
      <c r="G17" s="0" t="s">
        <v>24</v>
      </c>
      <c r="H17" s="0" t="s">
        <v>25</v>
      </c>
      <c r="I17" s="0" t="s">
        <v>26</v>
      </c>
      <c r="J17" s="0" t="s">
        <v>27</v>
      </c>
      <c r="K17" s="0" t="s">
        <v>28</v>
      </c>
      <c r="L17" s="0" t="s">
        <v>29</v>
      </c>
      <c r="M17" s="0" t="s">
        <v>30</v>
      </c>
      <c r="N17" s="6" t="n">
        <v>46119</v>
      </c>
    </row>
    <row r="18" customFormat="false" ht="15" hidden="false" customHeight="false" outlineLevel="0" collapsed="false">
      <c r="B18" s="0" t="n">
        <v>526</v>
      </c>
      <c r="C18" s="0" t="s">
        <v>159</v>
      </c>
      <c r="D18" s="0" t="s">
        <v>755</v>
      </c>
      <c r="E18" s="0" t="s">
        <v>160</v>
      </c>
      <c r="F18" s="0" t="n">
        <v>1</v>
      </c>
      <c r="G18" s="0" t="s">
        <v>61</v>
      </c>
      <c r="H18" s="0" t="s">
        <v>161</v>
      </c>
      <c r="I18" s="0" t="s">
        <v>162</v>
      </c>
      <c r="J18" s="0" t="s">
        <v>163</v>
      </c>
      <c r="K18" s="0" t="s">
        <v>164</v>
      </c>
      <c r="L18" s="0" t="s">
        <v>164</v>
      </c>
      <c r="M18" s="0" t="s">
        <v>165</v>
      </c>
      <c r="N18" s="6" t="n">
        <v>46119</v>
      </c>
      <c r="O18" s="6" t="n">
        <v>46126</v>
      </c>
      <c r="Q18" s="0" t="s">
        <v>757</v>
      </c>
      <c r="R18" s="0" t="s">
        <v>31</v>
      </c>
    </row>
    <row r="19" customFormat="false" ht="15" hidden="false" customHeight="false" outlineLevel="0" collapsed="false">
      <c r="B19" s="0" t="n">
        <v>482</v>
      </c>
      <c r="C19" s="0" t="s">
        <v>159</v>
      </c>
      <c r="D19" s="0" t="s">
        <v>758</v>
      </c>
      <c r="E19" s="0" t="s">
        <v>160</v>
      </c>
      <c r="F19" s="0" t="n">
        <v>1</v>
      </c>
      <c r="G19" s="0" t="s">
        <v>61</v>
      </c>
      <c r="H19" s="0" t="s">
        <v>161</v>
      </c>
      <c r="I19" s="0" t="s">
        <v>162</v>
      </c>
      <c r="J19" s="0" t="s">
        <v>163</v>
      </c>
      <c r="K19" s="0" t="s">
        <v>164</v>
      </c>
      <c r="L19" s="0" t="s">
        <v>164</v>
      </c>
      <c r="M19" s="0" t="s">
        <v>165</v>
      </c>
      <c r="N19" s="6" t="n">
        <v>46119</v>
      </c>
      <c r="O19" s="6" t="n">
        <v>46126</v>
      </c>
      <c r="Q19" s="0" t="s">
        <v>757</v>
      </c>
      <c r="R19" s="0" t="s">
        <v>31</v>
      </c>
    </row>
    <row r="20" customFormat="false" ht="15" hidden="false" customHeight="false" outlineLevel="0" collapsed="false">
      <c r="B20" s="0" t="n">
        <v>759</v>
      </c>
      <c r="C20" s="0" t="s">
        <v>166</v>
      </c>
      <c r="D20" s="0" t="s">
        <v>767</v>
      </c>
      <c r="E20" s="0" t="s">
        <v>167</v>
      </c>
      <c r="F20" s="0" t="n">
        <v>2</v>
      </c>
      <c r="G20" s="0" t="s">
        <v>61</v>
      </c>
      <c r="H20" s="0" t="s">
        <v>168</v>
      </c>
      <c r="I20" s="0" t="s">
        <v>169</v>
      </c>
      <c r="J20" s="0" t="s">
        <v>170</v>
      </c>
      <c r="K20" s="0" t="s">
        <v>171</v>
      </c>
      <c r="L20" s="0" t="s">
        <v>172</v>
      </c>
      <c r="M20" s="0" t="s">
        <v>173</v>
      </c>
      <c r="N20" s="6" t="n">
        <v>46119</v>
      </c>
    </row>
    <row r="21" customFormat="false" ht="15" hidden="false" customHeight="false" outlineLevel="0" collapsed="false">
      <c r="B21" s="0" t="n">
        <v>773</v>
      </c>
      <c r="C21" s="0" t="s">
        <v>326</v>
      </c>
      <c r="D21" s="0" t="s">
        <v>767</v>
      </c>
      <c r="E21" s="0" t="s">
        <v>327</v>
      </c>
      <c r="F21" s="0" t="n">
        <v>1</v>
      </c>
      <c r="G21" s="0" t="s">
        <v>152</v>
      </c>
      <c r="H21" s="0" t="s">
        <v>328</v>
      </c>
      <c r="I21" s="0" t="s">
        <v>329</v>
      </c>
      <c r="J21" s="0" t="s">
        <v>330</v>
      </c>
      <c r="K21" s="0" t="s">
        <v>331</v>
      </c>
      <c r="L21" s="0" t="s">
        <v>332</v>
      </c>
      <c r="M21" s="0" t="s">
        <v>333</v>
      </c>
      <c r="N21" s="6" t="n">
        <v>46119</v>
      </c>
    </row>
    <row r="22" customFormat="false" ht="15" hidden="false" customHeight="false" outlineLevel="0" collapsed="false">
      <c r="B22" s="0" t="n">
        <v>479</v>
      </c>
      <c r="C22" s="0" t="s">
        <v>554</v>
      </c>
      <c r="D22" s="0" t="s">
        <v>758</v>
      </c>
      <c r="E22" s="0" t="s">
        <v>555</v>
      </c>
      <c r="F22" s="0" t="n">
        <v>1</v>
      </c>
      <c r="G22" s="0" t="s">
        <v>61</v>
      </c>
      <c r="H22" s="0" t="s">
        <v>556</v>
      </c>
      <c r="I22" s="0" t="s">
        <v>557</v>
      </c>
      <c r="J22" s="0" t="s">
        <v>558</v>
      </c>
      <c r="K22" s="0" t="s">
        <v>559</v>
      </c>
      <c r="L22" s="0" t="s">
        <v>560</v>
      </c>
      <c r="M22" s="0" t="s">
        <v>561</v>
      </c>
      <c r="N22" s="6" t="n">
        <v>46119</v>
      </c>
      <c r="O22" s="6" t="n">
        <v>46126</v>
      </c>
      <c r="Q22" s="0" t="s">
        <v>757</v>
      </c>
      <c r="R22" s="0" t="s">
        <v>31</v>
      </c>
    </row>
    <row r="23" customFormat="false" ht="15" hidden="false" customHeight="false" outlineLevel="0" collapsed="false">
      <c r="B23" s="0" t="n">
        <v>111</v>
      </c>
      <c r="C23" s="0" t="s">
        <v>562</v>
      </c>
      <c r="D23" s="0" t="s">
        <v>780</v>
      </c>
      <c r="E23" s="0" t="s">
        <v>563</v>
      </c>
      <c r="F23" s="0" t="n">
        <v>1</v>
      </c>
      <c r="G23" s="0" t="s">
        <v>61</v>
      </c>
      <c r="H23" s="0" t="s">
        <v>564</v>
      </c>
      <c r="I23" s="0" t="s">
        <v>565</v>
      </c>
      <c r="J23" s="0" t="s">
        <v>566</v>
      </c>
      <c r="K23" s="0" t="s">
        <v>567</v>
      </c>
      <c r="L23" s="0" t="s">
        <v>568</v>
      </c>
      <c r="M23" s="0" t="s">
        <v>569</v>
      </c>
      <c r="N23" s="6" t="n">
        <v>46119</v>
      </c>
      <c r="Q23" s="0" t="s">
        <v>31</v>
      </c>
      <c r="R23" s="0" t="s">
        <v>31</v>
      </c>
    </row>
    <row r="24" customFormat="false" ht="15" hidden="false" customHeight="false" outlineLevel="0" collapsed="false">
      <c r="B24" s="0" t="n">
        <v>756</v>
      </c>
      <c r="C24" s="0" t="s">
        <v>85</v>
      </c>
      <c r="D24" s="0" t="s">
        <v>767</v>
      </c>
      <c r="E24" s="0" t="s">
        <v>86</v>
      </c>
      <c r="F24" s="0" t="n">
        <v>1</v>
      </c>
      <c r="G24" s="0" t="s">
        <v>87</v>
      </c>
      <c r="H24" s="0" t="s">
        <v>88</v>
      </c>
      <c r="I24" s="0" t="s">
        <v>89</v>
      </c>
      <c r="J24" s="0" t="s">
        <v>90</v>
      </c>
      <c r="K24" s="0" t="s">
        <v>91</v>
      </c>
      <c r="L24" s="0" t="s">
        <v>92</v>
      </c>
      <c r="M24" s="0" t="s">
        <v>93</v>
      </c>
      <c r="N24" s="6" t="n">
        <v>46119</v>
      </c>
    </row>
    <row r="25" customFormat="false" ht="30" hidden="false" customHeight="true" outlineLevel="0" collapsed="false">
      <c r="B25" s="0" t="n">
        <v>783</v>
      </c>
      <c r="C25" s="0" t="s">
        <v>439</v>
      </c>
      <c r="D25" s="0" t="s">
        <v>767</v>
      </c>
      <c r="E25" s="0" t="s">
        <v>440</v>
      </c>
      <c r="F25" s="0" t="n">
        <v>1</v>
      </c>
      <c r="G25" s="0" t="s">
        <v>152</v>
      </c>
      <c r="H25" s="2" t="s">
        <v>441</v>
      </c>
      <c r="I25" s="2" t="s">
        <v>442</v>
      </c>
      <c r="J25" s="2" t="s">
        <v>443</v>
      </c>
      <c r="K25" s="0" t="s">
        <v>444</v>
      </c>
      <c r="L25" s="0" t="s">
        <v>570</v>
      </c>
      <c r="M25" s="0" t="s">
        <v>446</v>
      </c>
      <c r="N25" s="6" t="n">
        <v>46119</v>
      </c>
    </row>
    <row r="26" customFormat="false" ht="15" hidden="false" customHeight="false" outlineLevel="0" collapsed="false">
      <c r="B26" s="0" t="n">
        <v>785</v>
      </c>
      <c r="C26" s="0" t="s">
        <v>571</v>
      </c>
      <c r="D26" s="0" t="s">
        <v>767</v>
      </c>
      <c r="E26" s="0" t="s">
        <v>572</v>
      </c>
      <c r="F26" s="0" t="n">
        <v>1</v>
      </c>
      <c r="G26" s="0" t="s">
        <v>573</v>
      </c>
      <c r="H26" s="0" t="s">
        <v>574</v>
      </c>
      <c r="I26" s="0" t="s">
        <v>575</v>
      </c>
      <c r="J26" s="0" t="s">
        <v>576</v>
      </c>
      <c r="K26" s="0" t="s">
        <v>577</v>
      </c>
      <c r="L26" s="0" t="s">
        <v>578</v>
      </c>
      <c r="M26" s="0" t="s">
        <v>579</v>
      </c>
      <c r="N26" s="6" t="n">
        <v>46119</v>
      </c>
    </row>
    <row r="27" customFormat="false" ht="15" hidden="false" customHeight="false" outlineLevel="0" collapsed="false">
      <c r="B27" s="0" t="n">
        <v>760</v>
      </c>
      <c r="C27" s="0" t="s">
        <v>174</v>
      </c>
      <c r="D27" s="0" t="s">
        <v>767</v>
      </c>
      <c r="E27" s="0" t="s">
        <v>175</v>
      </c>
      <c r="F27" s="0" t="n">
        <v>1</v>
      </c>
      <c r="G27" s="0" t="s">
        <v>152</v>
      </c>
      <c r="H27" s="0" t="s">
        <v>176</v>
      </c>
      <c r="I27" s="0" t="s">
        <v>177</v>
      </c>
      <c r="J27" s="0" t="s">
        <v>178</v>
      </c>
      <c r="K27" s="0" t="s">
        <v>179</v>
      </c>
      <c r="L27" s="0" t="s">
        <v>180</v>
      </c>
      <c r="M27" s="0" t="s">
        <v>181</v>
      </c>
      <c r="N27" s="6" t="n">
        <v>46119</v>
      </c>
    </row>
    <row r="28" customFormat="false" ht="15" hidden="false" customHeight="false" outlineLevel="0" collapsed="false">
      <c r="B28" s="0" t="n">
        <v>473</v>
      </c>
      <c r="C28" s="0" t="s">
        <v>580</v>
      </c>
      <c r="D28" s="0" t="s">
        <v>758</v>
      </c>
      <c r="E28" s="0" t="s">
        <v>581</v>
      </c>
      <c r="F28" s="0" t="n">
        <v>1</v>
      </c>
      <c r="G28" s="0" t="s">
        <v>61</v>
      </c>
      <c r="H28" s="0" t="s">
        <v>582</v>
      </c>
      <c r="I28" s="0" t="s">
        <v>583</v>
      </c>
      <c r="J28" s="0" t="s">
        <v>584</v>
      </c>
      <c r="K28" s="0" t="s">
        <v>585</v>
      </c>
      <c r="L28" s="0" t="s">
        <v>586</v>
      </c>
      <c r="M28" s="0" t="s">
        <v>587</v>
      </c>
      <c r="N28" s="6" t="n">
        <v>46119</v>
      </c>
      <c r="O28" s="6" t="n">
        <v>46126</v>
      </c>
      <c r="Q28" s="0" t="s">
        <v>757</v>
      </c>
      <c r="R28" s="0" t="s">
        <v>84</v>
      </c>
    </row>
    <row r="29" customFormat="false" ht="15" hidden="false" customHeight="false" outlineLevel="0" collapsed="false">
      <c r="B29" s="0" t="n">
        <v>775</v>
      </c>
      <c r="C29" s="0" t="s">
        <v>350</v>
      </c>
      <c r="D29" s="0" t="s">
        <v>767</v>
      </c>
      <c r="E29" s="0" t="s">
        <v>351</v>
      </c>
      <c r="F29" s="0" t="n">
        <v>1</v>
      </c>
      <c r="G29" s="0" t="s">
        <v>152</v>
      </c>
      <c r="H29" s="0" t="s">
        <v>352</v>
      </c>
      <c r="I29" s="0" t="s">
        <v>353</v>
      </c>
      <c r="J29" s="0" t="s">
        <v>354</v>
      </c>
      <c r="K29" s="0" t="s">
        <v>355</v>
      </c>
      <c r="L29" s="0" t="s">
        <v>355</v>
      </c>
      <c r="M29" s="0" t="s">
        <v>356</v>
      </c>
      <c r="N29" s="6" t="n">
        <v>46119</v>
      </c>
    </row>
    <row r="30" customFormat="false" ht="15" hidden="false" customHeight="false" outlineLevel="0" collapsed="false">
      <c r="B30" s="0" t="n">
        <v>459</v>
      </c>
      <c r="C30" s="0" t="s">
        <v>391</v>
      </c>
      <c r="D30" s="0" t="s">
        <v>777</v>
      </c>
      <c r="E30" s="0" t="s">
        <v>392</v>
      </c>
      <c r="F30" s="0" t="n">
        <v>8</v>
      </c>
      <c r="G30" s="0" t="s">
        <v>111</v>
      </c>
      <c r="H30" s="0" t="s">
        <v>393</v>
      </c>
      <c r="I30" s="0" t="s">
        <v>394</v>
      </c>
      <c r="J30" s="0" t="s">
        <v>395</v>
      </c>
      <c r="K30" s="0" t="s">
        <v>396</v>
      </c>
      <c r="L30" s="0" t="s">
        <v>397</v>
      </c>
      <c r="M30" s="0" t="s">
        <v>398</v>
      </c>
      <c r="N30" s="6" t="n">
        <v>46119</v>
      </c>
      <c r="Q30" s="0" t="s">
        <v>31</v>
      </c>
      <c r="R30" s="0" t="s">
        <v>84</v>
      </c>
    </row>
    <row r="31" customFormat="false" ht="15" hidden="false" customHeight="false" outlineLevel="0" collapsed="false">
      <c r="B31" s="0" t="n">
        <v>788</v>
      </c>
      <c r="C31" s="0" t="s">
        <v>588</v>
      </c>
      <c r="D31" s="0" t="s">
        <v>767</v>
      </c>
      <c r="E31" s="0" t="s">
        <v>589</v>
      </c>
      <c r="F31" s="0" t="n">
        <v>1</v>
      </c>
      <c r="G31" s="0" t="s">
        <v>24</v>
      </c>
      <c r="H31" s="0" t="s">
        <v>590</v>
      </c>
      <c r="I31" s="0" t="s">
        <v>591</v>
      </c>
      <c r="J31" s="0" t="s">
        <v>592</v>
      </c>
      <c r="K31" s="0" t="s">
        <v>593</v>
      </c>
      <c r="L31" s="0" t="s">
        <v>594</v>
      </c>
      <c r="M31" s="0" t="s">
        <v>595</v>
      </c>
      <c r="N31" s="6" t="n">
        <v>46119</v>
      </c>
    </row>
    <row r="32" customFormat="false" ht="15" hidden="false" customHeight="false" outlineLevel="0" collapsed="false">
      <c r="B32" s="0" t="n">
        <v>542</v>
      </c>
      <c r="C32" s="0" t="s">
        <v>596</v>
      </c>
      <c r="D32" s="0" t="s">
        <v>755</v>
      </c>
      <c r="E32" s="0" t="s">
        <v>597</v>
      </c>
      <c r="F32" s="0" t="n">
        <v>1</v>
      </c>
      <c r="G32" s="0" t="s">
        <v>61</v>
      </c>
      <c r="H32" s="0" t="s">
        <v>598</v>
      </c>
      <c r="I32" s="0" t="s">
        <v>599</v>
      </c>
      <c r="J32" s="0" t="s">
        <v>600</v>
      </c>
      <c r="K32" s="0" t="s">
        <v>601</v>
      </c>
      <c r="L32" s="0" t="s">
        <v>781</v>
      </c>
      <c r="M32" s="0" t="s">
        <v>603</v>
      </c>
      <c r="N32" s="6" t="n">
        <v>46119</v>
      </c>
      <c r="O32" s="6" t="n">
        <v>46126</v>
      </c>
      <c r="Q32" s="0" t="s">
        <v>757</v>
      </c>
      <c r="R32" s="0" t="s">
        <v>84</v>
      </c>
    </row>
    <row r="33" customFormat="false" ht="15" hidden="false" customHeight="false" outlineLevel="0" collapsed="false">
      <c r="B33" s="0" t="n">
        <v>768</v>
      </c>
      <c r="C33" s="0" t="s">
        <v>263</v>
      </c>
      <c r="D33" s="0" t="s">
        <v>767</v>
      </c>
      <c r="E33" s="0" t="s">
        <v>264</v>
      </c>
      <c r="F33" s="0" t="n">
        <v>1</v>
      </c>
      <c r="G33" s="0" t="s">
        <v>61</v>
      </c>
      <c r="H33" s="0" t="s">
        <v>265</v>
      </c>
      <c r="I33" s="0" t="s">
        <v>266</v>
      </c>
      <c r="J33" s="0" t="s">
        <v>267</v>
      </c>
      <c r="K33" s="0" t="s">
        <v>252</v>
      </c>
      <c r="L33" s="0" t="s">
        <v>268</v>
      </c>
      <c r="M33" s="0" t="s">
        <v>269</v>
      </c>
      <c r="N33" s="6" t="n">
        <v>46119</v>
      </c>
    </row>
    <row r="34" customFormat="false" ht="15" hidden="false" customHeight="false" outlineLevel="0" collapsed="false">
      <c r="B34" s="0" t="n">
        <v>523</v>
      </c>
      <c r="C34" s="0" t="s">
        <v>142</v>
      </c>
      <c r="D34" s="0" t="s">
        <v>755</v>
      </c>
      <c r="E34" s="0" t="s">
        <v>143</v>
      </c>
      <c r="F34" s="0" t="n">
        <v>1</v>
      </c>
      <c r="G34" s="0" t="s">
        <v>61</v>
      </c>
      <c r="H34" s="0" t="s">
        <v>144</v>
      </c>
      <c r="I34" s="0" t="s">
        <v>145</v>
      </c>
      <c r="J34" s="0" t="s">
        <v>146</v>
      </c>
      <c r="K34" s="0" t="s">
        <v>147</v>
      </c>
      <c r="L34" s="0" t="s">
        <v>148</v>
      </c>
      <c r="M34" s="0" t="s">
        <v>149</v>
      </c>
      <c r="N34" s="6" t="n">
        <v>46119</v>
      </c>
      <c r="O34" s="6" t="n">
        <v>46126</v>
      </c>
      <c r="Q34" s="0" t="s">
        <v>757</v>
      </c>
      <c r="R34" s="0" t="s">
        <v>84</v>
      </c>
    </row>
    <row r="35" customFormat="false" ht="15" hidden="false" customHeight="false" outlineLevel="0" collapsed="false">
      <c r="B35" s="0" t="n">
        <v>754</v>
      </c>
      <c r="C35" s="0" t="s">
        <v>59</v>
      </c>
      <c r="D35" s="0" t="s">
        <v>767</v>
      </c>
      <c r="E35" s="0" t="s">
        <v>60</v>
      </c>
      <c r="F35" s="0" t="n">
        <v>1</v>
      </c>
      <c r="G35" s="0" t="s">
        <v>61</v>
      </c>
      <c r="H35" s="0" t="s">
        <v>62</v>
      </c>
      <c r="I35" s="0" t="s">
        <v>63</v>
      </c>
      <c r="J35" s="0" t="s">
        <v>64</v>
      </c>
      <c r="K35" s="0" t="s">
        <v>65</v>
      </c>
      <c r="L35" s="0" t="s">
        <v>66</v>
      </c>
      <c r="M35" s="0" t="s">
        <v>67</v>
      </c>
      <c r="N35" s="6" t="n">
        <v>46119</v>
      </c>
    </row>
    <row r="36" customFormat="false" ht="15" hidden="false" customHeight="false" outlineLevel="0" collapsed="false">
      <c r="B36" s="0" t="n">
        <v>112</v>
      </c>
      <c r="C36" s="0" t="s">
        <v>59</v>
      </c>
      <c r="D36" s="0" t="s">
        <v>780</v>
      </c>
      <c r="E36" s="0" t="s">
        <v>60</v>
      </c>
      <c r="F36" s="0" t="n">
        <v>2</v>
      </c>
      <c r="G36" s="0" t="s">
        <v>61</v>
      </c>
      <c r="H36" s="0" t="s">
        <v>62</v>
      </c>
      <c r="I36" s="0" t="s">
        <v>63</v>
      </c>
      <c r="J36" s="0" t="s">
        <v>64</v>
      </c>
      <c r="K36" s="0" t="s">
        <v>65</v>
      </c>
      <c r="L36" s="0" t="s">
        <v>66</v>
      </c>
      <c r="M36" s="0" t="s">
        <v>67</v>
      </c>
      <c r="N36" s="6" t="n">
        <v>46119</v>
      </c>
      <c r="Q36" s="0" t="s">
        <v>31</v>
      </c>
      <c r="R36" s="0" t="s">
        <v>31</v>
      </c>
    </row>
    <row r="37" customFormat="false" ht="15" hidden="false" customHeight="false" outlineLevel="0" collapsed="false">
      <c r="B37" s="0" t="n">
        <v>518</v>
      </c>
      <c r="C37" s="0" t="s">
        <v>59</v>
      </c>
      <c r="D37" s="0" t="s">
        <v>755</v>
      </c>
      <c r="E37" s="0" t="s">
        <v>60</v>
      </c>
      <c r="F37" s="0" t="n">
        <v>1</v>
      </c>
      <c r="G37" s="0" t="s">
        <v>61</v>
      </c>
      <c r="H37" s="0" t="s">
        <v>62</v>
      </c>
      <c r="I37" s="0" t="s">
        <v>63</v>
      </c>
      <c r="J37" s="0" t="s">
        <v>64</v>
      </c>
      <c r="K37" s="0" t="s">
        <v>65</v>
      </c>
      <c r="L37" s="0" t="s">
        <v>66</v>
      </c>
      <c r="M37" s="0" t="s">
        <v>67</v>
      </c>
      <c r="N37" s="6" t="n">
        <v>46119</v>
      </c>
      <c r="O37" s="6" t="n">
        <v>46126</v>
      </c>
      <c r="Q37" s="0" t="s">
        <v>757</v>
      </c>
      <c r="R37" s="0" t="s">
        <v>31</v>
      </c>
    </row>
    <row r="38" customFormat="false" ht="15" hidden="false" customHeight="false" outlineLevel="0" collapsed="false">
      <c r="B38" s="0" t="n">
        <v>469</v>
      </c>
      <c r="C38" s="0" t="s">
        <v>59</v>
      </c>
      <c r="D38" s="0" t="s">
        <v>758</v>
      </c>
      <c r="E38" s="0" t="s">
        <v>60</v>
      </c>
      <c r="F38" s="0" t="n">
        <v>3</v>
      </c>
      <c r="G38" s="0" t="s">
        <v>61</v>
      </c>
      <c r="H38" s="0" t="s">
        <v>62</v>
      </c>
      <c r="I38" s="0" t="s">
        <v>63</v>
      </c>
      <c r="J38" s="0" t="s">
        <v>64</v>
      </c>
      <c r="K38" s="0" t="s">
        <v>65</v>
      </c>
      <c r="L38" s="0" t="s">
        <v>66</v>
      </c>
      <c r="M38" s="0" t="s">
        <v>67</v>
      </c>
      <c r="N38" s="6" t="n">
        <v>46119</v>
      </c>
      <c r="O38" s="6" t="n">
        <v>46126</v>
      </c>
      <c r="Q38" s="0" t="s">
        <v>757</v>
      </c>
      <c r="R38" s="0" t="s">
        <v>31</v>
      </c>
    </row>
    <row r="39" customFormat="false" ht="15" hidden="false" customHeight="false" outlineLevel="0" collapsed="false">
      <c r="B39" s="0" t="n">
        <v>517</v>
      </c>
      <c r="C39" s="0" t="s">
        <v>782</v>
      </c>
      <c r="D39" s="0" t="s">
        <v>755</v>
      </c>
      <c r="E39" s="0" t="s">
        <v>783</v>
      </c>
      <c r="F39" s="0" t="n">
        <v>1</v>
      </c>
      <c r="G39" s="0" t="s">
        <v>784</v>
      </c>
      <c r="H39" s="0" t="s">
        <v>785</v>
      </c>
      <c r="I39" s="0" t="s">
        <v>786</v>
      </c>
      <c r="J39" s="0" t="s">
        <v>787</v>
      </c>
      <c r="K39" s="0" t="s">
        <v>788</v>
      </c>
      <c r="L39" s="0" t="s">
        <v>789</v>
      </c>
      <c r="M39" s="0" t="s">
        <v>790</v>
      </c>
      <c r="N39" s="6" t="n">
        <v>46119</v>
      </c>
      <c r="O39" s="6" t="n">
        <v>46126</v>
      </c>
      <c r="Q39" s="0" t="s">
        <v>757</v>
      </c>
      <c r="R39" s="0" t="s">
        <v>31</v>
      </c>
    </row>
    <row r="40" customFormat="false" ht="15" hidden="false" customHeight="false" outlineLevel="0" collapsed="false">
      <c r="B40" s="0" t="n">
        <v>763</v>
      </c>
      <c r="C40" s="0" t="s">
        <v>215</v>
      </c>
      <c r="D40" s="0" t="s">
        <v>767</v>
      </c>
      <c r="E40" s="0" t="s">
        <v>216</v>
      </c>
      <c r="F40" s="0" t="n">
        <v>1</v>
      </c>
      <c r="G40" s="0" t="s">
        <v>24</v>
      </c>
      <c r="H40" s="0" t="s">
        <v>217</v>
      </c>
      <c r="I40" s="0" t="s">
        <v>218</v>
      </c>
      <c r="J40" s="0" t="s">
        <v>219</v>
      </c>
      <c r="K40" s="0" t="s">
        <v>220</v>
      </c>
      <c r="L40" s="0" t="s">
        <v>221</v>
      </c>
      <c r="M40" s="0" t="s">
        <v>222</v>
      </c>
      <c r="N40" s="6" t="n">
        <v>46119</v>
      </c>
    </row>
    <row r="41" customFormat="false" ht="15" hidden="false" customHeight="false" outlineLevel="0" collapsed="false">
      <c r="B41" s="0" t="n">
        <v>772</v>
      </c>
      <c r="C41" s="0" t="s">
        <v>286</v>
      </c>
      <c r="D41" s="0" t="s">
        <v>767</v>
      </c>
      <c r="E41" s="0" t="s">
        <v>287</v>
      </c>
      <c r="F41" s="0" t="n">
        <v>1</v>
      </c>
      <c r="G41" s="0" t="s">
        <v>61</v>
      </c>
      <c r="H41" s="0" t="s">
        <v>288</v>
      </c>
      <c r="I41" s="0" t="s">
        <v>289</v>
      </c>
      <c r="J41" s="0" t="s">
        <v>290</v>
      </c>
      <c r="K41" s="0" t="s">
        <v>291</v>
      </c>
      <c r="L41" s="0" t="s">
        <v>292</v>
      </c>
      <c r="M41" s="0" t="s">
        <v>293</v>
      </c>
      <c r="N41" s="6" t="n">
        <v>46119</v>
      </c>
    </row>
    <row r="42" customFormat="false" ht="15" hidden="false" customHeight="false" outlineLevel="0" collapsed="false">
      <c r="B42" s="0" t="n">
        <v>789</v>
      </c>
      <c r="C42" s="0" t="s">
        <v>611</v>
      </c>
      <c r="D42" s="0" t="s">
        <v>767</v>
      </c>
      <c r="E42" s="0" t="s">
        <v>612</v>
      </c>
      <c r="F42" s="0" t="n">
        <v>1</v>
      </c>
      <c r="G42" s="0" t="s">
        <v>24</v>
      </c>
      <c r="H42" s="0" t="s">
        <v>613</v>
      </c>
      <c r="I42" s="0" t="s">
        <v>614</v>
      </c>
      <c r="J42" s="0" t="s">
        <v>615</v>
      </c>
      <c r="K42" s="0" t="s">
        <v>616</v>
      </c>
      <c r="L42" s="0" t="s">
        <v>616</v>
      </c>
      <c r="M42" s="0" t="s">
        <v>617</v>
      </c>
      <c r="N42" s="6" t="n">
        <v>46119</v>
      </c>
    </row>
    <row r="43" customFormat="false" ht="15" hidden="false" customHeight="false" outlineLevel="0" collapsed="false">
      <c r="B43" s="0" t="n">
        <v>780</v>
      </c>
      <c r="C43" s="0" t="s">
        <v>399</v>
      </c>
      <c r="D43" s="0" t="s">
        <v>767</v>
      </c>
      <c r="E43" s="0" t="s">
        <v>400</v>
      </c>
      <c r="F43" s="0" t="n">
        <v>1</v>
      </c>
      <c r="G43" s="0" t="s">
        <v>152</v>
      </c>
      <c r="H43" s="0" t="s">
        <v>401</v>
      </c>
      <c r="I43" s="0" t="s">
        <v>402</v>
      </c>
      <c r="J43" s="0" t="s">
        <v>403</v>
      </c>
      <c r="K43" s="0" t="s">
        <v>404</v>
      </c>
      <c r="L43" s="0" t="s">
        <v>791</v>
      </c>
      <c r="M43" s="0" t="s">
        <v>406</v>
      </c>
      <c r="N43" s="6" t="n">
        <v>46119</v>
      </c>
    </row>
    <row r="44" customFormat="false" ht="15" hidden="false" customHeight="false" outlineLevel="0" collapsed="false">
      <c r="B44" s="0" t="n">
        <v>774</v>
      </c>
      <c r="C44" s="0" t="s">
        <v>342</v>
      </c>
      <c r="D44" s="0" t="s">
        <v>767</v>
      </c>
      <c r="E44" s="0" t="s">
        <v>343</v>
      </c>
      <c r="F44" s="0" t="n">
        <v>1</v>
      </c>
      <c r="G44" s="0" t="s">
        <v>24</v>
      </c>
      <c r="H44" s="0" t="s">
        <v>344</v>
      </c>
      <c r="I44" s="0" t="s">
        <v>345</v>
      </c>
      <c r="J44" s="0" t="s">
        <v>346</v>
      </c>
      <c r="K44" s="0" t="s">
        <v>347</v>
      </c>
      <c r="L44" s="0" t="s">
        <v>348</v>
      </c>
      <c r="M44" s="0" t="s">
        <v>349</v>
      </c>
      <c r="N44" s="6" t="n">
        <v>46119</v>
      </c>
    </row>
    <row r="45" customFormat="false" ht="15" hidden="false" customHeight="false" outlineLevel="0" collapsed="false">
      <c r="B45" s="0" t="n">
        <v>522</v>
      </c>
      <c r="C45" s="0" t="s">
        <v>618</v>
      </c>
      <c r="D45" s="0" t="s">
        <v>755</v>
      </c>
      <c r="E45" s="0" t="s">
        <v>619</v>
      </c>
      <c r="F45" s="0" t="n">
        <v>2</v>
      </c>
      <c r="G45" s="0" t="s">
        <v>61</v>
      </c>
      <c r="H45" s="0" t="s">
        <v>620</v>
      </c>
      <c r="I45" s="0" t="s">
        <v>621</v>
      </c>
      <c r="J45" s="0" t="s">
        <v>622</v>
      </c>
      <c r="K45" s="0" t="s">
        <v>623</v>
      </c>
      <c r="L45" s="0" t="s">
        <v>624</v>
      </c>
      <c r="M45" s="0" t="s">
        <v>625</v>
      </c>
      <c r="N45" s="6" t="n">
        <v>46119</v>
      </c>
      <c r="O45" s="6" t="n">
        <v>46126</v>
      </c>
      <c r="Q45" s="0" t="s">
        <v>757</v>
      </c>
      <c r="R45" s="0" t="s">
        <v>31</v>
      </c>
    </row>
    <row r="46" customFormat="false" ht="15" hidden="false" customHeight="false" outlineLevel="0" collapsed="false">
      <c r="B46" s="0" t="n">
        <v>770</v>
      </c>
      <c r="C46" s="0" t="s">
        <v>270</v>
      </c>
      <c r="D46" s="0" t="s">
        <v>767</v>
      </c>
      <c r="E46" s="0" t="s">
        <v>271</v>
      </c>
      <c r="F46" s="0" t="n">
        <v>1</v>
      </c>
      <c r="G46" s="0" t="s">
        <v>61</v>
      </c>
      <c r="H46" s="0" t="s">
        <v>272</v>
      </c>
      <c r="I46" s="0" t="s">
        <v>273</v>
      </c>
      <c r="J46" s="0" t="s">
        <v>274</v>
      </c>
      <c r="K46" s="0" t="s">
        <v>275</v>
      </c>
      <c r="L46" s="0" t="s">
        <v>792</v>
      </c>
      <c r="M46" s="0" t="s">
        <v>277</v>
      </c>
      <c r="N46" s="6" t="n">
        <v>46119</v>
      </c>
    </row>
    <row r="47" customFormat="false" ht="15" hidden="false" customHeight="false" outlineLevel="0" collapsed="false">
      <c r="B47" s="0" t="n">
        <v>790</v>
      </c>
      <c r="C47" s="0" t="s">
        <v>508</v>
      </c>
      <c r="D47" s="0" t="s">
        <v>767</v>
      </c>
      <c r="E47" s="0" t="s">
        <v>509</v>
      </c>
      <c r="F47" s="0" t="n">
        <v>1</v>
      </c>
      <c r="G47" s="0" t="s">
        <v>61</v>
      </c>
      <c r="H47" s="0" t="s">
        <v>510</v>
      </c>
      <c r="I47" s="0" t="s">
        <v>511</v>
      </c>
      <c r="J47" s="0" t="s">
        <v>512</v>
      </c>
      <c r="K47" s="0" t="s">
        <v>513</v>
      </c>
      <c r="L47" s="0" t="s">
        <v>514</v>
      </c>
      <c r="M47" s="0" t="s">
        <v>515</v>
      </c>
      <c r="N47" s="6" t="n">
        <v>46119</v>
      </c>
    </row>
    <row r="48" customFormat="false" ht="15" hidden="false" customHeight="false" outlineLevel="0" collapsed="false">
      <c r="B48" s="0" t="n">
        <v>543</v>
      </c>
      <c r="C48" s="0" t="s">
        <v>508</v>
      </c>
      <c r="D48" s="0" t="s">
        <v>755</v>
      </c>
      <c r="E48" s="0" t="s">
        <v>509</v>
      </c>
      <c r="F48" s="0" t="n">
        <v>2</v>
      </c>
      <c r="G48" s="0" t="s">
        <v>61</v>
      </c>
      <c r="H48" s="0" t="s">
        <v>510</v>
      </c>
      <c r="I48" s="0" t="s">
        <v>511</v>
      </c>
      <c r="J48" s="0" t="s">
        <v>512</v>
      </c>
      <c r="K48" s="0" t="s">
        <v>513</v>
      </c>
      <c r="L48" s="0" t="s">
        <v>514</v>
      </c>
      <c r="M48" s="0" t="s">
        <v>515</v>
      </c>
      <c r="N48" s="6" t="n">
        <v>46119</v>
      </c>
      <c r="O48" s="6" t="n">
        <v>46126</v>
      </c>
      <c r="Q48" s="0" t="s">
        <v>757</v>
      </c>
      <c r="R48" s="0" t="s">
        <v>31</v>
      </c>
    </row>
    <row r="49" customFormat="false" ht="15" hidden="false" customHeight="false" outlineLevel="0" collapsed="false">
      <c r="B49" s="0" t="n">
        <v>544</v>
      </c>
      <c r="C49" s="0" t="s">
        <v>644</v>
      </c>
      <c r="D49" s="0" t="s">
        <v>755</v>
      </c>
      <c r="E49" s="0" t="s">
        <v>645</v>
      </c>
      <c r="F49" s="0" t="n">
        <v>1</v>
      </c>
      <c r="G49" s="0" t="s">
        <v>61</v>
      </c>
      <c r="H49" s="0" t="s">
        <v>646</v>
      </c>
      <c r="I49" s="0" t="s">
        <v>647</v>
      </c>
      <c r="J49" s="0" t="s">
        <v>648</v>
      </c>
      <c r="K49" s="0" t="s">
        <v>649</v>
      </c>
      <c r="L49" s="0" t="s">
        <v>650</v>
      </c>
      <c r="N49" s="6" t="n">
        <v>46119</v>
      </c>
      <c r="O49" s="6" t="n">
        <v>46126</v>
      </c>
      <c r="Q49" s="0" t="s">
        <v>757</v>
      </c>
      <c r="R49" s="0" t="s">
        <v>793</v>
      </c>
    </row>
    <row r="50" customFormat="false" ht="15" hidden="false" customHeight="false" outlineLevel="0" collapsed="false">
      <c r="B50" s="0" t="n">
        <v>781</v>
      </c>
      <c r="C50" s="0" t="s">
        <v>424</v>
      </c>
      <c r="D50" s="0" t="s">
        <v>767</v>
      </c>
      <c r="E50" s="0" t="s">
        <v>425</v>
      </c>
      <c r="F50" s="0" t="n">
        <v>1</v>
      </c>
      <c r="G50" s="0" t="s">
        <v>111</v>
      </c>
      <c r="H50" s="0" t="s">
        <v>426</v>
      </c>
      <c r="I50" s="0" t="s">
        <v>427</v>
      </c>
      <c r="J50" s="0" t="s">
        <v>428</v>
      </c>
      <c r="K50" s="0" t="s">
        <v>429</v>
      </c>
      <c r="L50" s="0" t="s">
        <v>429</v>
      </c>
      <c r="M50" s="0" t="s">
        <v>430</v>
      </c>
      <c r="N50" s="6" t="n">
        <v>46119</v>
      </c>
    </row>
    <row r="51" customFormat="false" ht="15" hidden="false" customHeight="false" outlineLevel="0" collapsed="false">
      <c r="B51" s="0" t="n">
        <v>448</v>
      </c>
      <c r="C51" s="0" t="s">
        <v>134</v>
      </c>
      <c r="D51" s="0" t="s">
        <v>777</v>
      </c>
      <c r="E51" s="0" t="s">
        <v>135</v>
      </c>
      <c r="F51" s="0" t="n">
        <v>2</v>
      </c>
      <c r="G51" s="0" t="s">
        <v>24</v>
      </c>
      <c r="H51" s="0" t="s">
        <v>136</v>
      </c>
      <c r="I51" s="0" t="s">
        <v>137</v>
      </c>
      <c r="J51" s="0" t="s">
        <v>138</v>
      </c>
      <c r="K51" s="0" t="s">
        <v>139</v>
      </c>
      <c r="L51" s="0" t="s">
        <v>140</v>
      </c>
      <c r="M51" s="0" t="s">
        <v>141</v>
      </c>
      <c r="N51" s="6" t="n">
        <v>46119</v>
      </c>
      <c r="Q51" s="0" t="s">
        <v>31</v>
      </c>
      <c r="R51" s="0" t="s">
        <v>31</v>
      </c>
    </row>
    <row r="52" customFormat="false" ht="15" hidden="false" customHeight="false" outlineLevel="0" collapsed="false">
      <c r="B52" s="0" t="n">
        <v>769</v>
      </c>
      <c r="C52" s="0" t="s">
        <v>651</v>
      </c>
      <c r="D52" s="0" t="s">
        <v>767</v>
      </c>
      <c r="E52" s="0" t="s">
        <v>652</v>
      </c>
      <c r="F52" s="0" t="n">
        <v>1</v>
      </c>
      <c r="G52" s="0" t="s">
        <v>111</v>
      </c>
      <c r="H52" s="0" t="s">
        <v>653</v>
      </c>
      <c r="I52" s="0" t="s">
        <v>654</v>
      </c>
      <c r="J52" s="0" t="s">
        <v>655</v>
      </c>
      <c r="K52" s="0" t="s">
        <v>656</v>
      </c>
      <c r="L52" s="0" t="s">
        <v>657</v>
      </c>
      <c r="M52" s="0" t="s">
        <v>658</v>
      </c>
      <c r="N52" s="6" t="n">
        <v>46119</v>
      </c>
    </row>
    <row r="53" customFormat="false" ht="15" hidden="false" customHeight="false" outlineLevel="0" collapsed="false">
      <c r="B53" s="0" t="n">
        <v>515</v>
      </c>
      <c r="C53" s="0" t="s">
        <v>51</v>
      </c>
      <c r="D53" s="0" t="s">
        <v>755</v>
      </c>
      <c r="E53" s="0" t="s">
        <v>52</v>
      </c>
      <c r="F53" s="0" t="n">
        <v>2</v>
      </c>
      <c r="G53" s="0" t="s">
        <v>24</v>
      </c>
      <c r="H53" s="0" t="s">
        <v>53</v>
      </c>
      <c r="I53" s="0" t="s">
        <v>54</v>
      </c>
      <c r="J53" s="0" t="s">
        <v>55</v>
      </c>
      <c r="K53" s="0" t="s">
        <v>56</v>
      </c>
      <c r="L53" s="0" t="s">
        <v>57</v>
      </c>
      <c r="M53" s="0" t="s">
        <v>58</v>
      </c>
      <c r="N53" s="6" t="n">
        <v>46119</v>
      </c>
      <c r="O53" s="6" t="n">
        <v>46126</v>
      </c>
      <c r="Q53" s="0" t="s">
        <v>757</v>
      </c>
      <c r="R53" s="0" t="s">
        <v>31</v>
      </c>
    </row>
    <row r="54" customFormat="false" ht="30" hidden="false" customHeight="true" outlineLevel="0" collapsed="false">
      <c r="B54" s="2" t="s">
        <v>794</v>
      </c>
      <c r="C54" s="0" t="s">
        <v>795</v>
      </c>
      <c r="D54" s="0" t="s">
        <v>777</v>
      </c>
      <c r="E54" s="0" t="s">
        <v>796</v>
      </c>
      <c r="F54" s="0" t="n">
        <v>5</v>
      </c>
      <c r="G54" s="0" t="s">
        <v>61</v>
      </c>
      <c r="H54" s="2" t="s">
        <v>797</v>
      </c>
      <c r="I54" s="2" t="s">
        <v>798</v>
      </c>
      <c r="J54" s="2" t="s">
        <v>799</v>
      </c>
      <c r="K54" s="0" t="s">
        <v>236</v>
      </c>
      <c r="L54" s="0" t="s">
        <v>800</v>
      </c>
      <c r="M54" s="0" t="s">
        <v>801</v>
      </c>
      <c r="N54" s="6" t="n">
        <v>46119</v>
      </c>
      <c r="Q54" s="0" t="s">
        <v>31</v>
      </c>
      <c r="R54" s="0" t="s">
        <v>84</v>
      </c>
    </row>
    <row r="55" customFormat="false" ht="15" hidden="false" customHeight="false" outlineLevel="0" collapsed="false">
      <c r="B55" s="0" t="n">
        <v>771</v>
      </c>
      <c r="C55" s="0" t="s">
        <v>278</v>
      </c>
      <c r="D55" s="0" t="s">
        <v>767</v>
      </c>
      <c r="E55" s="0" t="s">
        <v>279</v>
      </c>
      <c r="F55" s="0" t="n">
        <v>1</v>
      </c>
      <c r="G55" s="0" t="s">
        <v>61</v>
      </c>
      <c r="H55" s="0" t="s">
        <v>280</v>
      </c>
      <c r="I55" s="0" t="s">
        <v>281</v>
      </c>
      <c r="J55" s="0" t="s">
        <v>282</v>
      </c>
      <c r="K55" s="0" t="s">
        <v>283</v>
      </c>
      <c r="L55" s="0" t="s">
        <v>284</v>
      </c>
      <c r="M55" s="0" t="s">
        <v>285</v>
      </c>
      <c r="N55" s="6" t="n">
        <v>46119</v>
      </c>
    </row>
    <row r="56" customFormat="false" ht="15" hidden="false" customHeight="false" outlineLevel="0" collapsed="false">
      <c r="B56" s="0" t="n">
        <v>779</v>
      </c>
      <c r="C56" s="0" t="s">
        <v>383</v>
      </c>
      <c r="D56" s="0" t="s">
        <v>767</v>
      </c>
      <c r="E56" s="0" t="s">
        <v>384</v>
      </c>
      <c r="F56" s="0" t="n">
        <v>1</v>
      </c>
      <c r="G56" s="0" t="s">
        <v>61</v>
      </c>
      <c r="H56" s="0" t="s">
        <v>385</v>
      </c>
      <c r="I56" s="0" t="s">
        <v>386</v>
      </c>
      <c r="J56" s="0" t="s">
        <v>387</v>
      </c>
      <c r="K56" s="0" t="s">
        <v>388</v>
      </c>
      <c r="L56" s="0" t="s">
        <v>389</v>
      </c>
      <c r="M56" s="0" t="s">
        <v>390</v>
      </c>
      <c r="N56" s="6" t="n">
        <v>46119</v>
      </c>
    </row>
    <row r="57" customFormat="false" ht="15" hidden="false" customHeight="false" outlineLevel="0" collapsed="false">
      <c r="B57" s="0" t="n">
        <v>782</v>
      </c>
      <c r="C57" s="0" t="s">
        <v>431</v>
      </c>
      <c r="D57" s="0" t="s">
        <v>767</v>
      </c>
      <c r="E57" s="0" t="s">
        <v>432</v>
      </c>
      <c r="F57" s="0" t="n">
        <v>1</v>
      </c>
      <c r="G57" s="0" t="s">
        <v>152</v>
      </c>
      <c r="H57" s="0" t="s">
        <v>433</v>
      </c>
      <c r="I57" s="0" t="s">
        <v>434</v>
      </c>
      <c r="J57" s="0" t="s">
        <v>435</v>
      </c>
      <c r="K57" s="0" t="s">
        <v>436</v>
      </c>
      <c r="L57" s="0" t="s">
        <v>437</v>
      </c>
      <c r="M57" s="0" t="s">
        <v>438</v>
      </c>
      <c r="N57" s="6" t="n">
        <v>46119</v>
      </c>
    </row>
    <row r="58" customFormat="false" ht="15" hidden="false" customHeight="false" outlineLevel="0" collapsed="false">
      <c r="B58" s="0" t="n">
        <v>777</v>
      </c>
      <c r="C58" s="0" t="s">
        <v>366</v>
      </c>
      <c r="D58" s="0" t="s">
        <v>767</v>
      </c>
      <c r="E58" s="0" t="s">
        <v>367</v>
      </c>
      <c r="F58" s="0" t="n">
        <v>1</v>
      </c>
      <c r="G58" s="0" t="s">
        <v>368</v>
      </c>
      <c r="H58" s="0" t="s">
        <v>369</v>
      </c>
      <c r="I58" s="0" t="s">
        <v>370</v>
      </c>
      <c r="J58" s="0" t="s">
        <v>371</v>
      </c>
      <c r="K58" s="0" t="s">
        <v>372</v>
      </c>
      <c r="L58" s="0" t="s">
        <v>682</v>
      </c>
      <c r="M58" s="0" t="s">
        <v>374</v>
      </c>
      <c r="N58" s="6" t="n">
        <v>46119</v>
      </c>
    </row>
    <row r="59" customFormat="false" ht="15" hidden="false" customHeight="false" outlineLevel="0" collapsed="false">
      <c r="B59" s="0" t="n">
        <v>776</v>
      </c>
      <c r="C59" s="0" t="s">
        <v>802</v>
      </c>
      <c r="D59" s="0" t="s">
        <v>767</v>
      </c>
      <c r="E59" s="0" t="s">
        <v>803</v>
      </c>
      <c r="F59" s="0" t="n">
        <v>2</v>
      </c>
      <c r="G59" s="0" t="s">
        <v>804</v>
      </c>
      <c r="H59" s="0" t="s">
        <v>805</v>
      </c>
      <c r="I59" s="0" t="s">
        <v>806</v>
      </c>
      <c r="J59" s="0" t="s">
        <v>807</v>
      </c>
      <c r="K59" s="0" t="s">
        <v>808</v>
      </c>
      <c r="L59" s="0" t="s">
        <v>809</v>
      </c>
      <c r="M59" s="0" t="s">
        <v>810</v>
      </c>
      <c r="N59" s="6" t="n">
        <v>46119</v>
      </c>
    </row>
    <row r="60" customFormat="false" ht="15" hidden="false" customHeight="false" outlineLevel="0" collapsed="false">
      <c r="B60" s="0" t="n">
        <v>753</v>
      </c>
      <c r="C60" s="0" t="s">
        <v>811</v>
      </c>
      <c r="D60" s="0" t="s">
        <v>767</v>
      </c>
      <c r="E60" s="0" t="s">
        <v>812</v>
      </c>
      <c r="F60" s="0" t="n">
        <v>3</v>
      </c>
      <c r="G60" s="0" t="s">
        <v>813</v>
      </c>
      <c r="H60" s="0" t="s">
        <v>814</v>
      </c>
      <c r="I60" s="0" t="s">
        <v>815</v>
      </c>
      <c r="J60" s="0" t="s">
        <v>816</v>
      </c>
      <c r="K60" s="0" t="s">
        <v>817</v>
      </c>
      <c r="L60" s="0" t="s">
        <v>818</v>
      </c>
      <c r="M60" s="0" t="s">
        <v>819</v>
      </c>
      <c r="N60" s="6" t="n">
        <v>46119</v>
      </c>
    </row>
    <row r="61" customFormat="false" ht="45" hidden="false" customHeight="true" outlineLevel="0" collapsed="false">
      <c r="B61" s="2" t="s">
        <v>820</v>
      </c>
      <c r="C61" s="0" t="s">
        <v>811</v>
      </c>
      <c r="D61" s="0" t="s">
        <v>755</v>
      </c>
      <c r="E61" s="0" t="s">
        <v>812</v>
      </c>
      <c r="F61" s="0" t="n">
        <v>6</v>
      </c>
      <c r="G61" s="0" t="s">
        <v>813</v>
      </c>
      <c r="H61" s="0" t="s">
        <v>814</v>
      </c>
      <c r="I61" s="0" t="s">
        <v>815</v>
      </c>
      <c r="J61" s="0" t="s">
        <v>816</v>
      </c>
      <c r="K61" s="0" t="s">
        <v>817</v>
      </c>
      <c r="L61" s="2" t="s">
        <v>821</v>
      </c>
      <c r="M61" s="0" t="s">
        <v>819</v>
      </c>
      <c r="N61" s="6" t="n">
        <v>46119</v>
      </c>
      <c r="Q61" s="0" t="s">
        <v>757</v>
      </c>
      <c r="R61" s="0" t="s">
        <v>84</v>
      </c>
    </row>
    <row r="62" customFormat="false" ht="30" hidden="false" customHeight="true" outlineLevel="0" collapsed="false">
      <c r="B62" s="2" t="s">
        <v>822</v>
      </c>
      <c r="C62" s="0" t="s">
        <v>375</v>
      </c>
      <c r="D62" s="0" t="s">
        <v>767</v>
      </c>
      <c r="E62" s="0" t="s">
        <v>376</v>
      </c>
      <c r="F62" s="0" t="n">
        <v>2</v>
      </c>
      <c r="G62" s="0" t="s">
        <v>111</v>
      </c>
      <c r="H62" s="2" t="s">
        <v>823</v>
      </c>
      <c r="I62" s="2" t="s">
        <v>824</v>
      </c>
      <c r="J62" s="2" t="s">
        <v>825</v>
      </c>
      <c r="K62" s="0" t="s">
        <v>380</v>
      </c>
      <c r="L62" s="2" t="s">
        <v>826</v>
      </c>
      <c r="M62" s="0" t="s">
        <v>382</v>
      </c>
      <c r="N62" s="6" t="n">
        <v>46119</v>
      </c>
    </row>
    <row r="63" customFormat="false" ht="15" hidden="false" customHeight="false" outlineLevel="0" collapsed="false">
      <c r="B63" s="0" t="n">
        <v>762</v>
      </c>
      <c r="C63" s="0" t="s">
        <v>198</v>
      </c>
      <c r="D63" s="0" t="s">
        <v>767</v>
      </c>
      <c r="E63" s="0" t="s">
        <v>199</v>
      </c>
      <c r="F63" s="0" t="n">
        <v>2</v>
      </c>
      <c r="G63" s="0" t="s">
        <v>200</v>
      </c>
      <c r="H63" s="0" t="s">
        <v>201</v>
      </c>
      <c r="I63" s="0" t="s">
        <v>202</v>
      </c>
      <c r="J63" s="0" t="s">
        <v>203</v>
      </c>
      <c r="K63" s="0" t="s">
        <v>204</v>
      </c>
      <c r="L63" s="0" t="s">
        <v>205</v>
      </c>
      <c r="M63" s="0" t="s">
        <v>206</v>
      </c>
      <c r="N63" s="6" t="n">
        <v>46119</v>
      </c>
    </row>
    <row r="64" customFormat="false" ht="30" hidden="false" customHeight="true" outlineLevel="0" collapsed="false">
      <c r="B64" s="2" t="s">
        <v>827</v>
      </c>
      <c r="C64" s="0" t="s">
        <v>190</v>
      </c>
      <c r="D64" s="0" t="s">
        <v>767</v>
      </c>
      <c r="E64" s="0" t="s">
        <v>191</v>
      </c>
      <c r="F64" s="0" t="n">
        <v>2</v>
      </c>
      <c r="G64" s="0" t="s">
        <v>24</v>
      </c>
      <c r="H64" s="2" t="s">
        <v>828</v>
      </c>
      <c r="I64" s="2" t="s">
        <v>829</v>
      </c>
      <c r="J64" s="2" t="s">
        <v>830</v>
      </c>
      <c r="K64" s="2" t="s">
        <v>831</v>
      </c>
      <c r="L64" s="2" t="s">
        <v>832</v>
      </c>
      <c r="M64" s="0" t="s">
        <v>197</v>
      </c>
      <c r="N64" s="6" t="n">
        <v>46119</v>
      </c>
    </row>
    <row r="65" customFormat="false" ht="30" hidden="false" customHeight="true" outlineLevel="0" collapsed="false">
      <c r="B65" s="0" t="n">
        <v>520</v>
      </c>
      <c r="C65" s="0" t="s">
        <v>75</v>
      </c>
      <c r="D65" s="0" t="s">
        <v>755</v>
      </c>
      <c r="E65" s="0" t="s">
        <v>76</v>
      </c>
      <c r="F65" s="0" t="n">
        <v>1</v>
      </c>
      <c r="G65" s="0" t="s">
        <v>77</v>
      </c>
      <c r="H65" s="2" t="s">
        <v>833</v>
      </c>
      <c r="I65" s="2" t="s">
        <v>834</v>
      </c>
      <c r="J65" s="2" t="s">
        <v>835</v>
      </c>
      <c r="K65" s="0" t="s">
        <v>81</v>
      </c>
      <c r="L65" s="0" t="s">
        <v>836</v>
      </c>
      <c r="M65" s="0" t="s">
        <v>83</v>
      </c>
      <c r="N65" s="6" t="n">
        <v>46119</v>
      </c>
      <c r="O65" s="6" t="n">
        <v>46126</v>
      </c>
      <c r="Q65" s="0" t="s">
        <v>757</v>
      </c>
      <c r="R65" s="0" t="s">
        <v>84</v>
      </c>
    </row>
    <row r="66" customFormat="false" ht="30" hidden="false" customHeight="true" outlineLevel="0" collapsed="false">
      <c r="B66" s="0" t="n">
        <v>471</v>
      </c>
      <c r="C66" s="0" t="s">
        <v>75</v>
      </c>
      <c r="D66" s="0" t="s">
        <v>758</v>
      </c>
      <c r="E66" s="0" t="s">
        <v>76</v>
      </c>
      <c r="F66" s="0" t="n">
        <v>2</v>
      </c>
      <c r="G66" s="0" t="s">
        <v>77</v>
      </c>
      <c r="H66" s="2" t="s">
        <v>833</v>
      </c>
      <c r="I66" s="2" t="s">
        <v>834</v>
      </c>
      <c r="J66" s="2" t="s">
        <v>835</v>
      </c>
      <c r="K66" s="0" t="s">
        <v>81</v>
      </c>
      <c r="L66" s="0" t="s">
        <v>836</v>
      </c>
      <c r="M66" s="0" t="s">
        <v>83</v>
      </c>
      <c r="N66" s="6" t="n">
        <v>46119</v>
      </c>
      <c r="O66" s="6" t="n">
        <v>46126</v>
      </c>
      <c r="Q66" s="0" t="s">
        <v>757</v>
      </c>
      <c r="R66" s="0" t="s">
        <v>84</v>
      </c>
    </row>
    <row r="67" customFormat="false" ht="30" hidden="false" customHeight="true" outlineLevel="0" collapsed="false">
      <c r="B67" s="2" t="s">
        <v>837</v>
      </c>
      <c r="C67" s="0" t="s">
        <v>231</v>
      </c>
      <c r="D67" s="0" t="s">
        <v>767</v>
      </c>
      <c r="E67" s="0" t="s">
        <v>232</v>
      </c>
      <c r="F67" s="0" t="n">
        <v>2</v>
      </c>
      <c r="G67" s="0" t="s">
        <v>61</v>
      </c>
      <c r="H67" s="2" t="s">
        <v>702</v>
      </c>
      <c r="I67" s="2" t="s">
        <v>703</v>
      </c>
      <c r="J67" s="2" t="s">
        <v>704</v>
      </c>
      <c r="K67" s="0" t="s">
        <v>236</v>
      </c>
      <c r="L67" s="2" t="s">
        <v>838</v>
      </c>
      <c r="M67" s="0" t="s">
        <v>238</v>
      </c>
      <c r="N67" s="6" t="n">
        <v>46119</v>
      </c>
    </row>
    <row r="68" customFormat="false" ht="15" hidden="false" customHeight="false" outlineLevel="0" collapsed="false">
      <c r="B68" s="0" t="n">
        <v>755</v>
      </c>
      <c r="C68" s="0" t="s">
        <v>68</v>
      </c>
      <c r="D68" s="0" t="s">
        <v>767</v>
      </c>
      <c r="E68" s="0" t="s">
        <v>69</v>
      </c>
      <c r="F68" s="0" t="n">
        <v>1</v>
      </c>
      <c r="G68" s="0" t="s">
        <v>61</v>
      </c>
      <c r="H68" s="0" t="s">
        <v>70</v>
      </c>
      <c r="I68" s="0" t="s">
        <v>71</v>
      </c>
      <c r="J68" s="0" t="s">
        <v>72</v>
      </c>
      <c r="K68" s="0" t="s">
        <v>73</v>
      </c>
      <c r="L68" s="0" t="s">
        <v>73</v>
      </c>
      <c r="M68" s="0" t="s">
        <v>74</v>
      </c>
      <c r="N68" s="6" t="n">
        <v>46119</v>
      </c>
    </row>
    <row r="69" customFormat="false" ht="30" hidden="false" customHeight="true" outlineLevel="0" collapsed="false">
      <c r="B69" s="0" t="n">
        <v>519</v>
      </c>
      <c r="C69" s="0" t="s">
        <v>68</v>
      </c>
      <c r="D69" s="0" t="s">
        <v>755</v>
      </c>
      <c r="E69" s="0" t="s">
        <v>69</v>
      </c>
      <c r="F69" s="0" t="n">
        <v>2</v>
      </c>
      <c r="G69" s="0" t="s">
        <v>61</v>
      </c>
      <c r="H69" s="2" t="s">
        <v>839</v>
      </c>
      <c r="I69" s="2" t="s">
        <v>840</v>
      </c>
      <c r="J69" s="2" t="s">
        <v>841</v>
      </c>
      <c r="K69" s="0" t="s">
        <v>73</v>
      </c>
      <c r="L69" s="0" t="s">
        <v>842</v>
      </c>
      <c r="M69" s="0" t="s">
        <v>74</v>
      </c>
      <c r="N69" s="6" t="n">
        <v>46119</v>
      </c>
      <c r="O69" s="6" t="n">
        <v>46126</v>
      </c>
      <c r="Q69" s="0" t="s">
        <v>757</v>
      </c>
      <c r="R69" s="0" t="s">
        <v>31</v>
      </c>
    </row>
    <row r="70" customFormat="false" ht="30" hidden="false" customHeight="true" outlineLevel="0" collapsed="false">
      <c r="B70" s="0" t="n">
        <v>470</v>
      </c>
      <c r="C70" s="0" t="s">
        <v>68</v>
      </c>
      <c r="D70" s="0" t="s">
        <v>758</v>
      </c>
      <c r="E70" s="0" t="s">
        <v>69</v>
      </c>
      <c r="F70" s="0" t="n">
        <v>2</v>
      </c>
      <c r="G70" s="0" t="s">
        <v>61</v>
      </c>
      <c r="H70" s="0" t="s">
        <v>843</v>
      </c>
      <c r="I70" s="0" t="s">
        <v>844</v>
      </c>
      <c r="J70" s="2" t="s">
        <v>845</v>
      </c>
      <c r="K70" s="0" t="s">
        <v>73</v>
      </c>
      <c r="L70" s="0" t="s">
        <v>846</v>
      </c>
      <c r="M70" s="0" t="s">
        <v>74</v>
      </c>
      <c r="N70" s="6" t="n">
        <v>46119</v>
      </c>
      <c r="O70" s="6" t="n">
        <v>46126</v>
      </c>
      <c r="Q70" s="0" t="s">
        <v>757</v>
      </c>
      <c r="R70" s="0" t="s">
        <v>31</v>
      </c>
    </row>
    <row r="71" customFormat="false" ht="30" hidden="false" customHeight="true" outlineLevel="0" collapsed="false">
      <c r="B71" s="0" t="n">
        <v>492</v>
      </c>
      <c r="C71" s="0" t="s">
        <v>255</v>
      </c>
      <c r="D71" s="0" t="s">
        <v>758</v>
      </c>
      <c r="E71" s="0" t="s">
        <v>256</v>
      </c>
      <c r="F71" s="0" t="n">
        <v>2</v>
      </c>
      <c r="G71" s="0" t="s">
        <v>61</v>
      </c>
      <c r="H71" s="0" t="s">
        <v>257</v>
      </c>
      <c r="I71" s="2" t="s">
        <v>258</v>
      </c>
      <c r="J71" s="2" t="s">
        <v>259</v>
      </c>
      <c r="K71" s="0" t="s">
        <v>260</v>
      </c>
      <c r="L71" s="0" t="s">
        <v>847</v>
      </c>
      <c r="M71" s="0" t="s">
        <v>262</v>
      </c>
      <c r="N71" s="6" t="n">
        <v>46119</v>
      </c>
      <c r="O71" s="6" t="n">
        <v>46126</v>
      </c>
      <c r="Q71" s="0" t="s">
        <v>757</v>
      </c>
      <c r="R71" s="0" t="s">
        <v>84</v>
      </c>
    </row>
    <row r="72" customFormat="false" ht="15" hidden="false" customHeight="false" outlineLevel="0" collapsed="false">
      <c r="B72" s="0" t="n">
        <v>787</v>
      </c>
      <c r="C72" s="0" t="s">
        <v>471</v>
      </c>
      <c r="D72" s="0" t="s">
        <v>767</v>
      </c>
      <c r="E72" s="0" t="s">
        <v>472</v>
      </c>
      <c r="F72" s="0" t="n">
        <v>1</v>
      </c>
      <c r="G72" s="0" t="s">
        <v>111</v>
      </c>
      <c r="H72" s="0" t="s">
        <v>473</v>
      </c>
      <c r="I72" s="0" t="s">
        <v>474</v>
      </c>
      <c r="J72" s="0" t="s">
        <v>475</v>
      </c>
      <c r="K72" s="0" t="s">
        <v>476</v>
      </c>
      <c r="L72" s="0" t="s">
        <v>476</v>
      </c>
      <c r="M72" s="0" t="s">
        <v>477</v>
      </c>
      <c r="N72" s="6" t="n">
        <v>46119</v>
      </c>
    </row>
    <row r="73" customFormat="false" ht="15" hidden="false" customHeight="false" outlineLevel="0" collapsed="false">
      <c r="B73" s="0" t="n">
        <v>766</v>
      </c>
      <c r="C73" s="0" t="s">
        <v>239</v>
      </c>
      <c r="D73" s="0" t="s">
        <v>767</v>
      </c>
      <c r="E73" s="0" t="s">
        <v>240</v>
      </c>
      <c r="F73" s="0" t="n">
        <v>1</v>
      </c>
      <c r="G73" s="0" t="s">
        <v>24</v>
      </c>
      <c r="H73" s="0" t="s">
        <v>241</v>
      </c>
      <c r="I73" s="0" t="s">
        <v>242</v>
      </c>
      <c r="J73" s="0" t="s">
        <v>243</v>
      </c>
      <c r="K73" s="0" t="s">
        <v>244</v>
      </c>
      <c r="L73" s="0" t="s">
        <v>714</v>
      </c>
      <c r="M73" s="0" t="s">
        <v>246</v>
      </c>
      <c r="N73" s="6" t="n">
        <v>46119</v>
      </c>
    </row>
    <row r="74" customFormat="false" ht="15" hidden="false" customHeight="false" outlineLevel="0" collapsed="false">
      <c r="B74" s="0" t="n">
        <v>758</v>
      </c>
      <c r="C74" s="0" t="s">
        <v>125</v>
      </c>
      <c r="D74" s="0" t="s">
        <v>767</v>
      </c>
      <c r="E74" s="0" t="s">
        <v>126</v>
      </c>
      <c r="F74" s="0" t="n">
        <v>1</v>
      </c>
      <c r="G74" s="0" t="s">
        <v>127</v>
      </c>
      <c r="H74" s="0" t="s">
        <v>128</v>
      </c>
      <c r="I74" s="0" t="s">
        <v>129</v>
      </c>
      <c r="J74" s="0" t="s">
        <v>130</v>
      </c>
      <c r="K74" s="0" t="s">
        <v>131</v>
      </c>
      <c r="L74" s="0" t="s">
        <v>132</v>
      </c>
      <c r="M74" s="0" t="s">
        <v>133</v>
      </c>
      <c r="N74" s="6" t="n">
        <v>46119</v>
      </c>
    </row>
    <row r="75" customFormat="false" ht="15" hidden="false" customHeight="false" outlineLevel="0" collapsed="false">
      <c r="B75" s="0" t="n">
        <v>757</v>
      </c>
      <c r="C75" s="0" t="s">
        <v>725</v>
      </c>
      <c r="D75" s="0" t="s">
        <v>767</v>
      </c>
      <c r="E75" s="0" t="s">
        <v>726</v>
      </c>
      <c r="F75" s="0" t="n">
        <v>1</v>
      </c>
      <c r="G75" s="0" t="s">
        <v>727</v>
      </c>
      <c r="H75" s="0" t="s">
        <v>728</v>
      </c>
      <c r="I75" s="0" t="s">
        <v>729</v>
      </c>
      <c r="J75" s="0" t="s">
        <v>730</v>
      </c>
      <c r="K75" s="0" t="s">
        <v>731</v>
      </c>
      <c r="L75" s="0" t="s">
        <v>732</v>
      </c>
      <c r="M75" s="0" t="s">
        <v>733</v>
      </c>
      <c r="N75" s="6" t="n">
        <v>46119</v>
      </c>
    </row>
    <row r="76" customFormat="false" ht="15" hidden="false" customHeight="false" outlineLevel="0" collapsed="false">
      <c r="B76" s="0" t="n">
        <v>446</v>
      </c>
      <c r="C76" s="0" t="s">
        <v>725</v>
      </c>
      <c r="D76" s="0" t="s">
        <v>777</v>
      </c>
      <c r="E76" s="0" t="s">
        <v>726</v>
      </c>
      <c r="F76" s="0" t="n">
        <v>3</v>
      </c>
      <c r="G76" s="0" t="s">
        <v>727</v>
      </c>
      <c r="H76" s="0" t="s">
        <v>848</v>
      </c>
      <c r="I76" s="0" t="s">
        <v>849</v>
      </c>
      <c r="J76" s="0" t="s">
        <v>850</v>
      </c>
      <c r="K76" s="0" t="s">
        <v>731</v>
      </c>
      <c r="L76" s="0" t="s">
        <v>851</v>
      </c>
      <c r="M76" s="0" t="s">
        <v>733</v>
      </c>
      <c r="N76" s="6" t="n">
        <v>46119</v>
      </c>
      <c r="Q76" s="0" t="s">
        <v>31</v>
      </c>
      <c r="R76" s="0" t="s">
        <v>31</v>
      </c>
    </row>
    <row r="77" customFormat="false" ht="15" hidden="false" customHeight="false" outlineLevel="0" collapsed="false">
      <c r="B77" s="0" t="n">
        <v>536</v>
      </c>
      <c r="C77" s="0" t="s">
        <v>734</v>
      </c>
      <c r="D77" s="0" t="s">
        <v>755</v>
      </c>
      <c r="E77" s="0" t="s">
        <v>735</v>
      </c>
      <c r="F77" s="0" t="n">
        <v>1</v>
      </c>
      <c r="G77" s="0" t="s">
        <v>736</v>
      </c>
      <c r="H77" s="0" t="s">
        <v>737</v>
      </c>
      <c r="I77" s="0" t="s">
        <v>738</v>
      </c>
      <c r="J77" s="0" t="s">
        <v>739</v>
      </c>
      <c r="K77" s="0" t="s">
        <v>740</v>
      </c>
      <c r="L77" s="0" t="s">
        <v>741</v>
      </c>
      <c r="M77" s="0" t="s">
        <v>742</v>
      </c>
      <c r="N77" s="6" t="n">
        <v>46119</v>
      </c>
      <c r="O77" s="6" t="n">
        <v>46126</v>
      </c>
      <c r="Q77" s="0" t="s">
        <v>757</v>
      </c>
      <c r="R77" s="0" t="s">
        <v>84</v>
      </c>
    </row>
    <row r="78" customFormat="false" ht="15" hidden="false" customHeight="false" outlineLevel="0" collapsed="false">
      <c r="B78" s="0" t="n">
        <v>764</v>
      </c>
      <c r="C78" s="0" t="s">
        <v>223</v>
      </c>
      <c r="D78" s="0" t="s">
        <v>767</v>
      </c>
      <c r="E78" s="0" t="s">
        <v>224</v>
      </c>
      <c r="F78" s="0" t="n">
        <v>1</v>
      </c>
      <c r="G78" s="0" t="s">
        <v>61</v>
      </c>
      <c r="H78" s="0" t="s">
        <v>225</v>
      </c>
      <c r="I78" s="0" t="s">
        <v>226</v>
      </c>
      <c r="J78" s="0" t="s">
        <v>227</v>
      </c>
      <c r="K78" s="0" t="s">
        <v>228</v>
      </c>
      <c r="L78" s="0" t="s">
        <v>229</v>
      </c>
      <c r="M78" s="0" t="s">
        <v>230</v>
      </c>
      <c r="N78" s="6" t="n">
        <v>46119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17" activeCellId="0" sqref="F117"/>
    </sheetView>
  </sheetViews>
  <sheetFormatPr defaultColWidth="8.859375" defaultRowHeight="15" zeroHeight="false" outlineLevelRow="0" outlineLevelCol="0"/>
  <cols>
    <col collapsed="false" customWidth="true" hidden="false" outlineLevel="0" max="1" min="1" style="0" width="9.28"/>
    <col collapsed="false" customWidth="true" hidden="false" outlineLevel="0" max="2" min="2" style="0" width="25.28"/>
    <col collapsed="false" customWidth="true" hidden="false" outlineLevel="0" max="3" min="3" style="0" width="9.28"/>
    <col collapsed="false" customWidth="true" hidden="false" outlineLevel="0" max="4" min="4" style="0" width="47.43"/>
    <col collapsed="false" customWidth="true" hidden="false" outlineLevel="0" max="5" min="5" style="0" width="90.29"/>
    <col collapsed="false" customWidth="true" hidden="false" outlineLevel="0" max="6" min="6" style="0" width="9.28"/>
    <col collapsed="false" customWidth="true" hidden="false" outlineLevel="0" max="7" min="7" style="0" width="14.14"/>
    <col collapsed="false" customWidth="true" hidden="false" outlineLevel="0" max="8" min="8" style="0" width="57.72"/>
    <col collapsed="false" customWidth="true" hidden="false" outlineLevel="0" max="9" min="9" style="0" width="66.71"/>
    <col collapsed="false" customWidth="true" hidden="false" outlineLevel="0" max="10" min="10" style="0" width="113.43"/>
    <col collapsed="false" customWidth="true" hidden="false" outlineLevel="0" max="11" min="11" style="0" width="29.42"/>
    <col collapsed="false" customWidth="true" hidden="false" outlineLevel="0" max="12" min="12" style="0" width="157.14"/>
    <col collapsed="false" customWidth="true" hidden="false" outlineLevel="0" max="13" min="13" style="0" width="12"/>
    <col collapsed="false" customWidth="true" hidden="false" outlineLevel="0" max="14" min="14" style="0" width="21.71"/>
    <col collapsed="false" customWidth="true" hidden="false" outlineLevel="0" max="15" min="15" style="0" width="14.85"/>
    <col collapsed="false" customWidth="true" hidden="false" outlineLevel="0" max="16" min="16" style="0" width="15.85"/>
    <col collapsed="false" customWidth="true" hidden="false" outlineLevel="0" max="17" min="17" style="0" width="12.85"/>
    <col collapsed="false" customWidth="true" hidden="false" outlineLevel="0" max="18" min="18" style="0" width="13.71"/>
  </cols>
  <sheetData>
    <row r="1" customFormat="false" ht="15" hidden="false" customHeight="false" outlineLevel="0" collapsed="false">
      <c r="A1" s="1" t="s">
        <v>852</v>
      </c>
    </row>
    <row r="3" customFormat="false" ht="15" hidden="false" customHeight="false" outlineLevel="0" collapsed="false">
      <c r="A3" s="0" t="s">
        <v>1</v>
      </c>
      <c r="B3" s="0" t="s">
        <v>753</v>
      </c>
      <c r="C3" s="0" t="s">
        <v>4</v>
      </c>
      <c r="D3" s="0" t="s">
        <v>6</v>
      </c>
      <c r="E3" s="0" t="s">
        <v>5</v>
      </c>
      <c r="F3" s="0" t="s">
        <v>7</v>
      </c>
      <c r="G3" s="0" t="s">
        <v>8</v>
      </c>
      <c r="H3" s="0" t="s">
        <v>9</v>
      </c>
      <c r="I3" s="0" t="s">
        <v>10</v>
      </c>
      <c r="J3" s="0" t="s">
        <v>11</v>
      </c>
      <c r="K3" s="0" t="s">
        <v>12</v>
      </c>
      <c r="L3" s="0" t="s">
        <v>13</v>
      </c>
      <c r="M3" s="0" t="s">
        <v>14</v>
      </c>
      <c r="N3" s="0" t="s">
        <v>16</v>
      </c>
      <c r="O3" s="4" t="s">
        <v>17</v>
      </c>
      <c r="P3" s="4" t="s">
        <v>18</v>
      </c>
      <c r="Q3" s="0" t="s">
        <v>19</v>
      </c>
      <c r="R3" s="0" t="s">
        <v>20</v>
      </c>
    </row>
    <row r="4" customFormat="false" ht="15" hidden="false" customHeight="false" outlineLevel="0" collapsed="false">
      <c r="B4" s="0" t="n">
        <v>214</v>
      </c>
      <c r="C4" s="0" t="s">
        <v>302</v>
      </c>
      <c r="D4" s="0" t="s">
        <v>853</v>
      </c>
      <c r="E4" s="0" t="s">
        <v>303</v>
      </c>
      <c r="F4" s="0" t="n">
        <v>1</v>
      </c>
      <c r="G4" s="0" t="s">
        <v>61</v>
      </c>
      <c r="H4" s="0" t="s">
        <v>304</v>
      </c>
      <c r="I4" s="0" t="s">
        <v>305</v>
      </c>
      <c r="J4" s="0" t="s">
        <v>306</v>
      </c>
      <c r="K4" s="0" t="s">
        <v>307</v>
      </c>
      <c r="L4" s="0" t="s">
        <v>526</v>
      </c>
      <c r="M4" s="0" t="s">
        <v>309</v>
      </c>
      <c r="N4" s="6" t="n">
        <v>46125</v>
      </c>
    </row>
    <row r="5" customFormat="false" ht="15" hidden="false" customHeight="false" outlineLevel="0" collapsed="false">
      <c r="B5" s="0" t="n">
        <v>688</v>
      </c>
      <c r="C5" s="0" t="s">
        <v>760</v>
      </c>
      <c r="D5" s="0" t="s">
        <v>854</v>
      </c>
      <c r="E5" s="0" t="s">
        <v>761</v>
      </c>
      <c r="F5" s="0" t="n">
        <v>1</v>
      </c>
      <c r="G5" s="0" t="s">
        <v>61</v>
      </c>
      <c r="H5" s="0" t="s">
        <v>762</v>
      </c>
      <c r="I5" s="0" t="s">
        <v>763</v>
      </c>
      <c r="J5" s="0" t="s">
        <v>764</v>
      </c>
      <c r="K5" s="0" t="s">
        <v>765</v>
      </c>
      <c r="L5" s="0" t="s">
        <v>765</v>
      </c>
      <c r="M5" s="0" t="s">
        <v>766</v>
      </c>
      <c r="N5" s="6" t="n">
        <v>46125</v>
      </c>
    </row>
    <row r="6" customFormat="false" ht="15" hidden="false" customHeight="false" outlineLevel="0" collapsed="false">
      <c r="B6" s="0" t="n">
        <v>672</v>
      </c>
      <c r="C6" s="0" t="s">
        <v>318</v>
      </c>
      <c r="D6" s="0" t="s">
        <v>854</v>
      </c>
      <c r="E6" s="0" t="s">
        <v>319</v>
      </c>
      <c r="F6" s="0" t="n">
        <v>1</v>
      </c>
      <c r="G6" s="0" t="s">
        <v>111</v>
      </c>
      <c r="H6" s="0" t="s">
        <v>320</v>
      </c>
      <c r="I6" s="0" t="s">
        <v>321</v>
      </c>
      <c r="J6" s="0" t="s">
        <v>322</v>
      </c>
      <c r="K6" s="0" t="s">
        <v>323</v>
      </c>
      <c r="L6" s="0" t="s">
        <v>324</v>
      </c>
      <c r="M6" s="0" t="s">
        <v>325</v>
      </c>
      <c r="N6" s="6" t="n">
        <v>46125</v>
      </c>
    </row>
    <row r="7" customFormat="false" ht="30" hidden="false" customHeight="true" outlineLevel="0" collapsed="false">
      <c r="B7" s="0" t="n">
        <v>666</v>
      </c>
      <c r="C7" s="0" t="s">
        <v>247</v>
      </c>
      <c r="D7" s="0" t="s">
        <v>854</v>
      </c>
      <c r="E7" s="0" t="s">
        <v>248</v>
      </c>
      <c r="F7" s="0" t="n">
        <v>1</v>
      </c>
      <c r="G7" s="0" t="s">
        <v>61</v>
      </c>
      <c r="H7" s="2" t="s">
        <v>528</v>
      </c>
      <c r="I7" s="2" t="s">
        <v>529</v>
      </c>
      <c r="J7" s="2" t="s">
        <v>530</v>
      </c>
      <c r="K7" s="0" t="s">
        <v>252</v>
      </c>
      <c r="L7" s="0" t="s">
        <v>531</v>
      </c>
      <c r="M7" s="0" t="s">
        <v>254</v>
      </c>
      <c r="N7" s="6" t="n">
        <v>46125</v>
      </c>
    </row>
    <row r="8" customFormat="false" ht="15" hidden="false" customHeight="false" outlineLevel="0" collapsed="false">
      <c r="B8" s="0" t="n">
        <v>425</v>
      </c>
      <c r="C8" s="0" t="s">
        <v>247</v>
      </c>
      <c r="D8" s="0" t="s">
        <v>855</v>
      </c>
      <c r="E8" s="0" t="s">
        <v>248</v>
      </c>
      <c r="F8" s="0" t="n">
        <v>1</v>
      </c>
      <c r="G8" s="0" t="s">
        <v>61</v>
      </c>
      <c r="H8" s="0" t="s">
        <v>532</v>
      </c>
      <c r="I8" s="0" t="s">
        <v>533</v>
      </c>
      <c r="J8" s="0" t="s">
        <v>534</v>
      </c>
      <c r="K8" s="0" t="s">
        <v>252</v>
      </c>
      <c r="L8" s="0" t="s">
        <v>535</v>
      </c>
      <c r="M8" s="0" t="s">
        <v>254</v>
      </c>
      <c r="N8" s="6" t="n">
        <v>46125</v>
      </c>
    </row>
    <row r="9" customFormat="false" ht="15" hidden="false" customHeight="false" outlineLevel="0" collapsed="false">
      <c r="B9" s="0" t="n">
        <v>671</v>
      </c>
      <c r="C9" s="0" t="s">
        <v>310</v>
      </c>
      <c r="D9" s="0" t="s">
        <v>854</v>
      </c>
      <c r="E9" s="0" t="s">
        <v>311</v>
      </c>
      <c r="F9" s="0" t="n">
        <v>1</v>
      </c>
      <c r="G9" s="0" t="s">
        <v>152</v>
      </c>
      <c r="H9" s="0" t="s">
        <v>312</v>
      </c>
      <c r="I9" s="0" t="s">
        <v>313</v>
      </c>
      <c r="J9" s="0" t="s">
        <v>314</v>
      </c>
      <c r="K9" s="0" t="s">
        <v>315</v>
      </c>
      <c r="L9" s="0" t="s">
        <v>316</v>
      </c>
      <c r="M9" s="0" t="s">
        <v>317</v>
      </c>
      <c r="N9" s="6" t="n">
        <v>46125</v>
      </c>
    </row>
    <row r="10" customFormat="false" ht="15" hidden="false" customHeight="false" outlineLevel="0" collapsed="false">
      <c r="B10" s="0" t="n">
        <v>555</v>
      </c>
      <c r="C10" s="0" t="s">
        <v>310</v>
      </c>
      <c r="D10" s="0" t="s">
        <v>856</v>
      </c>
      <c r="E10" s="0" t="s">
        <v>311</v>
      </c>
      <c r="F10" s="0" t="n">
        <v>1</v>
      </c>
      <c r="G10" s="0" t="s">
        <v>152</v>
      </c>
      <c r="H10" s="0" t="s">
        <v>312</v>
      </c>
      <c r="I10" s="0" t="s">
        <v>313</v>
      </c>
      <c r="J10" s="0" t="s">
        <v>314</v>
      </c>
      <c r="K10" s="0" t="s">
        <v>315</v>
      </c>
      <c r="L10" s="0" t="s">
        <v>316</v>
      </c>
      <c r="M10" s="0" t="s">
        <v>317</v>
      </c>
      <c r="N10" s="6" t="n">
        <v>46125</v>
      </c>
    </row>
    <row r="11" customFormat="false" ht="15" hidden="false" customHeight="false" outlineLevel="0" collapsed="false">
      <c r="B11" s="0" t="n">
        <v>685</v>
      </c>
      <c r="C11" s="0" t="s">
        <v>447</v>
      </c>
      <c r="D11" s="0" t="s">
        <v>854</v>
      </c>
      <c r="E11" s="0" t="s">
        <v>448</v>
      </c>
      <c r="F11" s="0" t="n">
        <v>1</v>
      </c>
      <c r="G11" s="0" t="s">
        <v>24</v>
      </c>
      <c r="H11" s="0" t="s">
        <v>449</v>
      </c>
      <c r="I11" s="0" t="s">
        <v>450</v>
      </c>
      <c r="J11" s="0" t="s">
        <v>451</v>
      </c>
      <c r="K11" s="0" t="s">
        <v>452</v>
      </c>
      <c r="L11" s="0" t="s">
        <v>453</v>
      </c>
      <c r="M11" s="0" t="s">
        <v>454</v>
      </c>
      <c r="N11" s="6" t="n">
        <v>46125</v>
      </c>
    </row>
    <row r="12" customFormat="false" ht="15" hidden="false" customHeight="false" outlineLevel="0" collapsed="false">
      <c r="B12" s="0" t="n">
        <v>436</v>
      </c>
      <c r="C12" s="0" t="s">
        <v>447</v>
      </c>
      <c r="D12" s="0" t="s">
        <v>855</v>
      </c>
      <c r="E12" s="0" t="s">
        <v>448</v>
      </c>
      <c r="F12" s="0" t="n">
        <v>1</v>
      </c>
      <c r="G12" s="0" t="s">
        <v>24</v>
      </c>
      <c r="H12" s="0" t="s">
        <v>449</v>
      </c>
      <c r="I12" s="0" t="s">
        <v>450</v>
      </c>
      <c r="J12" s="0" t="s">
        <v>451</v>
      </c>
      <c r="K12" s="0" t="s">
        <v>452</v>
      </c>
      <c r="L12" s="0" t="s">
        <v>453</v>
      </c>
      <c r="M12" s="0" t="s">
        <v>454</v>
      </c>
      <c r="N12" s="6" t="n">
        <v>46125</v>
      </c>
    </row>
    <row r="13" customFormat="false" ht="15" hidden="false" customHeight="false" outlineLevel="0" collapsed="false">
      <c r="B13" s="0" t="n">
        <v>220</v>
      </c>
      <c r="C13" s="0" t="s">
        <v>447</v>
      </c>
      <c r="D13" s="0" t="s">
        <v>853</v>
      </c>
      <c r="E13" s="0" t="s">
        <v>448</v>
      </c>
      <c r="F13" s="0" t="n">
        <v>1</v>
      </c>
      <c r="G13" s="0" t="s">
        <v>24</v>
      </c>
      <c r="H13" s="0" t="s">
        <v>449</v>
      </c>
      <c r="I13" s="0" t="s">
        <v>450</v>
      </c>
      <c r="J13" s="0" t="s">
        <v>451</v>
      </c>
      <c r="K13" s="0" t="s">
        <v>452</v>
      </c>
      <c r="L13" s="0" t="s">
        <v>453</v>
      </c>
      <c r="M13" s="0" t="s">
        <v>454</v>
      </c>
      <c r="N13" s="6" t="n">
        <v>46125</v>
      </c>
    </row>
    <row r="14" customFormat="false" ht="15" hidden="false" customHeight="false" outlineLevel="0" collapsed="false">
      <c r="B14" s="0" t="n">
        <v>674</v>
      </c>
      <c r="C14" s="0" t="s">
        <v>334</v>
      </c>
      <c r="D14" s="0" t="s">
        <v>854</v>
      </c>
      <c r="E14" s="0" t="s">
        <v>335</v>
      </c>
      <c r="F14" s="0" t="n">
        <v>1</v>
      </c>
      <c r="G14" s="0" t="s">
        <v>61</v>
      </c>
      <c r="H14" s="0" t="s">
        <v>336</v>
      </c>
      <c r="I14" s="0" t="s">
        <v>337</v>
      </c>
      <c r="J14" s="0" t="s">
        <v>338</v>
      </c>
      <c r="K14" s="0" t="s">
        <v>339</v>
      </c>
      <c r="L14" s="0" t="s">
        <v>543</v>
      </c>
      <c r="M14" s="0" t="s">
        <v>341</v>
      </c>
      <c r="N14" s="6" t="n">
        <v>46125</v>
      </c>
    </row>
    <row r="15" customFormat="false" ht="15" hidden="false" customHeight="false" outlineLevel="0" collapsed="false">
      <c r="B15" s="0" t="n">
        <v>687</v>
      </c>
      <c r="C15" s="0" t="s">
        <v>463</v>
      </c>
      <c r="D15" s="0" t="s">
        <v>854</v>
      </c>
      <c r="E15" s="0" t="s">
        <v>464</v>
      </c>
      <c r="F15" s="0" t="n">
        <v>1</v>
      </c>
      <c r="G15" s="0" t="s">
        <v>152</v>
      </c>
      <c r="H15" s="0" t="s">
        <v>465</v>
      </c>
      <c r="I15" s="0" t="s">
        <v>466</v>
      </c>
      <c r="J15" s="0" t="s">
        <v>467</v>
      </c>
      <c r="K15" s="0" t="s">
        <v>468</v>
      </c>
      <c r="L15" s="0" t="s">
        <v>469</v>
      </c>
      <c r="M15" s="0" t="s">
        <v>470</v>
      </c>
      <c r="N15" s="6" t="n">
        <v>46125</v>
      </c>
    </row>
    <row r="16" customFormat="false" ht="15" hidden="false" customHeight="false" outlineLevel="0" collapsed="false">
      <c r="B16" s="0" t="n">
        <v>438</v>
      </c>
      <c r="C16" s="0" t="s">
        <v>463</v>
      </c>
      <c r="D16" s="0" t="s">
        <v>855</v>
      </c>
      <c r="E16" s="0" t="s">
        <v>464</v>
      </c>
      <c r="F16" s="0" t="n">
        <v>2</v>
      </c>
      <c r="G16" s="0" t="s">
        <v>152</v>
      </c>
      <c r="H16" s="0" t="s">
        <v>465</v>
      </c>
      <c r="I16" s="0" t="s">
        <v>466</v>
      </c>
      <c r="J16" s="0" t="s">
        <v>467</v>
      </c>
      <c r="K16" s="0" t="s">
        <v>468</v>
      </c>
      <c r="L16" s="0" t="s">
        <v>469</v>
      </c>
      <c r="M16" s="0" t="s">
        <v>470</v>
      </c>
      <c r="N16" s="6" t="n">
        <v>46125</v>
      </c>
    </row>
    <row r="17" customFormat="false" ht="15" hidden="false" customHeight="false" outlineLevel="0" collapsed="false">
      <c r="B17" s="0" t="n">
        <v>647</v>
      </c>
      <c r="C17" s="0" t="s">
        <v>21</v>
      </c>
      <c r="D17" s="0" t="s">
        <v>854</v>
      </c>
      <c r="E17" s="0" t="s">
        <v>22</v>
      </c>
      <c r="F17" s="0" t="n">
        <v>1</v>
      </c>
      <c r="G17" s="0" t="s">
        <v>24</v>
      </c>
      <c r="H17" s="0" t="s">
        <v>25</v>
      </c>
      <c r="I17" s="0" t="s">
        <v>26</v>
      </c>
      <c r="J17" s="0" t="s">
        <v>27</v>
      </c>
      <c r="K17" s="0" t="s">
        <v>28</v>
      </c>
      <c r="L17" s="0" t="s">
        <v>29</v>
      </c>
      <c r="M17" s="0" t="s">
        <v>30</v>
      </c>
      <c r="N17" s="6" t="n">
        <v>46125</v>
      </c>
    </row>
    <row r="18" customFormat="false" ht="15" hidden="false" customHeight="false" outlineLevel="0" collapsed="false">
      <c r="B18" s="0" t="n">
        <v>660</v>
      </c>
      <c r="C18" s="0" t="s">
        <v>159</v>
      </c>
      <c r="D18" s="0" t="s">
        <v>854</v>
      </c>
      <c r="E18" s="0" t="s">
        <v>160</v>
      </c>
      <c r="F18" s="0" t="n">
        <v>1</v>
      </c>
      <c r="G18" s="0" t="s">
        <v>61</v>
      </c>
      <c r="H18" s="0" t="s">
        <v>161</v>
      </c>
      <c r="I18" s="0" t="s">
        <v>162</v>
      </c>
      <c r="J18" s="0" t="s">
        <v>163</v>
      </c>
      <c r="K18" s="0" t="s">
        <v>164</v>
      </c>
      <c r="L18" s="0" t="s">
        <v>164</v>
      </c>
      <c r="M18" s="0" t="s">
        <v>165</v>
      </c>
      <c r="N18" s="6" t="n">
        <v>46125</v>
      </c>
    </row>
    <row r="19" customFormat="false" ht="15" hidden="false" customHeight="false" outlineLevel="0" collapsed="false">
      <c r="B19" s="0" t="n">
        <v>419</v>
      </c>
      <c r="C19" s="0" t="s">
        <v>857</v>
      </c>
      <c r="D19" s="0" t="s">
        <v>855</v>
      </c>
      <c r="E19" s="0" t="s">
        <v>160</v>
      </c>
      <c r="F19" s="0" t="n">
        <v>1</v>
      </c>
      <c r="G19" s="0" t="s">
        <v>61</v>
      </c>
      <c r="H19" s="0" t="s">
        <v>161</v>
      </c>
      <c r="I19" s="0" t="s">
        <v>162</v>
      </c>
      <c r="J19" s="0" t="s">
        <v>163</v>
      </c>
      <c r="K19" s="0" t="s">
        <v>164</v>
      </c>
      <c r="L19" s="0" t="s">
        <v>164</v>
      </c>
      <c r="M19" s="0" t="s">
        <v>165</v>
      </c>
      <c r="N19" s="6" t="n">
        <v>46125</v>
      </c>
    </row>
    <row r="20" customFormat="false" ht="15" hidden="false" customHeight="false" outlineLevel="0" collapsed="false">
      <c r="B20" s="0" t="n">
        <v>209</v>
      </c>
      <c r="C20" s="0" t="s">
        <v>159</v>
      </c>
      <c r="D20" s="0" t="s">
        <v>853</v>
      </c>
      <c r="E20" s="0" t="s">
        <v>160</v>
      </c>
      <c r="F20" s="0" t="n">
        <v>1</v>
      </c>
      <c r="G20" s="0" t="s">
        <v>61</v>
      </c>
      <c r="H20" s="0" t="s">
        <v>161</v>
      </c>
      <c r="I20" s="0" t="s">
        <v>162</v>
      </c>
      <c r="J20" s="0" t="s">
        <v>163</v>
      </c>
      <c r="K20" s="0" t="s">
        <v>164</v>
      </c>
      <c r="L20" s="0" t="s">
        <v>164</v>
      </c>
      <c r="M20" s="0" t="s">
        <v>165</v>
      </c>
      <c r="N20" s="6" t="n">
        <v>46125</v>
      </c>
    </row>
    <row r="21" customFormat="false" ht="15" hidden="false" customHeight="false" outlineLevel="0" collapsed="false">
      <c r="B21" s="0" t="n">
        <v>692</v>
      </c>
      <c r="C21" s="0" t="s">
        <v>494</v>
      </c>
      <c r="D21" s="0" t="s">
        <v>854</v>
      </c>
      <c r="E21" s="0" t="s">
        <v>495</v>
      </c>
      <c r="F21" s="0" t="n">
        <v>1</v>
      </c>
      <c r="G21" s="0" t="s">
        <v>61</v>
      </c>
      <c r="H21" s="0" t="s">
        <v>496</v>
      </c>
      <c r="I21" s="0" t="s">
        <v>497</v>
      </c>
      <c r="J21" s="0" t="s">
        <v>498</v>
      </c>
      <c r="K21" s="0" t="s">
        <v>499</v>
      </c>
      <c r="L21" s="0" t="s">
        <v>500</v>
      </c>
      <c r="M21" s="0" t="s">
        <v>501</v>
      </c>
      <c r="N21" s="6" t="n">
        <v>46125</v>
      </c>
    </row>
    <row r="22" customFormat="false" ht="15" hidden="false" customHeight="false" outlineLevel="0" collapsed="false">
      <c r="B22" s="0" t="n">
        <v>649</v>
      </c>
      <c r="C22" s="0" t="s">
        <v>34</v>
      </c>
      <c r="D22" s="0" t="s">
        <v>854</v>
      </c>
      <c r="E22" s="0" t="s">
        <v>35</v>
      </c>
      <c r="F22" s="0" t="n">
        <v>1</v>
      </c>
      <c r="G22" s="0" t="s">
        <v>36</v>
      </c>
      <c r="H22" s="0" t="s">
        <v>37</v>
      </c>
      <c r="I22" s="0" t="s">
        <v>38</v>
      </c>
      <c r="J22" s="0" t="s">
        <v>39</v>
      </c>
      <c r="K22" s="0" t="s">
        <v>40</v>
      </c>
      <c r="L22" s="0" t="s">
        <v>858</v>
      </c>
      <c r="M22" s="0" t="s">
        <v>42</v>
      </c>
      <c r="N22" s="6" t="n">
        <v>46125</v>
      </c>
    </row>
    <row r="23" customFormat="false" ht="15" hidden="false" customHeight="false" outlineLevel="0" collapsed="false">
      <c r="B23" s="0" t="n">
        <v>547</v>
      </c>
      <c r="C23" s="0" t="s">
        <v>166</v>
      </c>
      <c r="D23" s="0" t="s">
        <v>856</v>
      </c>
      <c r="E23" s="0" t="s">
        <v>167</v>
      </c>
      <c r="F23" s="0" t="n">
        <v>7</v>
      </c>
      <c r="G23" s="0" t="s">
        <v>61</v>
      </c>
      <c r="H23" s="0" t="s">
        <v>168</v>
      </c>
      <c r="I23" s="0" t="s">
        <v>169</v>
      </c>
      <c r="J23" s="0" t="s">
        <v>170</v>
      </c>
      <c r="K23" s="0" t="s">
        <v>171</v>
      </c>
      <c r="L23" s="0" t="s">
        <v>172</v>
      </c>
      <c r="M23" s="0" t="s">
        <v>173</v>
      </c>
      <c r="N23" s="6" t="n">
        <v>46125</v>
      </c>
    </row>
    <row r="24" customFormat="false" ht="15" hidden="false" customHeight="false" outlineLevel="0" collapsed="false">
      <c r="B24" s="0" t="n">
        <v>420</v>
      </c>
      <c r="C24" s="0" t="s">
        <v>166</v>
      </c>
      <c r="D24" s="0" t="s">
        <v>855</v>
      </c>
      <c r="E24" s="0" t="s">
        <v>167</v>
      </c>
      <c r="F24" s="0" t="n">
        <v>2</v>
      </c>
      <c r="G24" s="0" t="s">
        <v>61</v>
      </c>
      <c r="H24" s="0" t="s">
        <v>168</v>
      </c>
      <c r="I24" s="0" t="s">
        <v>169</v>
      </c>
      <c r="J24" s="0" t="s">
        <v>170</v>
      </c>
      <c r="K24" s="0" t="s">
        <v>171</v>
      </c>
      <c r="L24" s="0" t="s">
        <v>172</v>
      </c>
      <c r="M24" s="0" t="s">
        <v>173</v>
      </c>
      <c r="N24" s="6" t="n">
        <v>46125</v>
      </c>
    </row>
    <row r="25" customFormat="false" ht="15" hidden="false" customHeight="false" outlineLevel="0" collapsed="false">
      <c r="B25" s="0" t="n">
        <v>210</v>
      </c>
      <c r="C25" s="0" t="s">
        <v>166</v>
      </c>
      <c r="D25" s="0" t="s">
        <v>853</v>
      </c>
      <c r="E25" s="0" t="s">
        <v>167</v>
      </c>
      <c r="F25" s="0" t="n">
        <v>1</v>
      </c>
      <c r="G25" s="0" t="s">
        <v>61</v>
      </c>
      <c r="H25" s="0" t="s">
        <v>168</v>
      </c>
      <c r="I25" s="0" t="s">
        <v>169</v>
      </c>
      <c r="J25" s="0" t="s">
        <v>170</v>
      </c>
      <c r="K25" s="0" t="s">
        <v>171</v>
      </c>
      <c r="L25" s="0" t="s">
        <v>172</v>
      </c>
      <c r="M25" s="0" t="s">
        <v>173</v>
      </c>
      <c r="N25" s="6" t="n">
        <v>46125</v>
      </c>
    </row>
    <row r="26" customFormat="false" ht="15" hidden="false" customHeight="false" outlineLevel="0" collapsed="false">
      <c r="B26" s="0" t="n">
        <v>673</v>
      </c>
      <c r="C26" s="0" t="s">
        <v>326</v>
      </c>
      <c r="D26" s="0" t="s">
        <v>854</v>
      </c>
      <c r="E26" s="0" t="s">
        <v>327</v>
      </c>
      <c r="F26" s="0" t="n">
        <v>1</v>
      </c>
      <c r="G26" s="0" t="s">
        <v>152</v>
      </c>
      <c r="H26" s="0" t="s">
        <v>328</v>
      </c>
      <c r="I26" s="0" t="s">
        <v>329</v>
      </c>
      <c r="J26" s="0" t="s">
        <v>330</v>
      </c>
      <c r="K26" s="0" t="s">
        <v>331</v>
      </c>
      <c r="L26" s="0" t="s">
        <v>332</v>
      </c>
      <c r="M26" s="0" t="s">
        <v>333</v>
      </c>
      <c r="N26" s="6" t="n">
        <v>46125</v>
      </c>
    </row>
    <row r="27" customFormat="false" ht="15" hidden="false" customHeight="false" outlineLevel="0" collapsed="false">
      <c r="B27" s="0" t="n">
        <v>429</v>
      </c>
      <c r="C27" s="0" t="s">
        <v>326</v>
      </c>
      <c r="D27" s="0" t="s">
        <v>855</v>
      </c>
      <c r="E27" s="0" t="s">
        <v>327</v>
      </c>
      <c r="F27" s="0" t="n">
        <v>1</v>
      </c>
      <c r="G27" s="0" t="s">
        <v>152</v>
      </c>
      <c r="H27" s="0" t="s">
        <v>328</v>
      </c>
      <c r="I27" s="0" t="s">
        <v>329</v>
      </c>
      <c r="J27" s="0" t="s">
        <v>330</v>
      </c>
      <c r="K27" s="0" t="s">
        <v>331</v>
      </c>
      <c r="L27" s="0" t="s">
        <v>332</v>
      </c>
      <c r="M27" s="0" t="s">
        <v>333</v>
      </c>
      <c r="N27" s="6" t="n">
        <v>46125</v>
      </c>
    </row>
    <row r="28" customFormat="false" ht="15" hidden="false" customHeight="false" outlineLevel="0" collapsed="false">
      <c r="B28" s="0" t="n">
        <v>658</v>
      </c>
      <c r="C28" s="0" t="s">
        <v>554</v>
      </c>
      <c r="D28" s="0" t="s">
        <v>854</v>
      </c>
      <c r="E28" s="0" t="s">
        <v>555</v>
      </c>
      <c r="F28" s="0" t="n">
        <v>1</v>
      </c>
      <c r="G28" s="0" t="s">
        <v>61</v>
      </c>
      <c r="H28" s="0" t="s">
        <v>556</v>
      </c>
      <c r="I28" s="0" t="s">
        <v>557</v>
      </c>
      <c r="J28" s="0" t="s">
        <v>558</v>
      </c>
      <c r="K28" s="0" t="s">
        <v>559</v>
      </c>
      <c r="L28" s="0" t="s">
        <v>560</v>
      </c>
      <c r="M28" s="0" t="s">
        <v>561</v>
      </c>
      <c r="N28" s="6" t="n">
        <v>46125</v>
      </c>
    </row>
    <row r="29" customFormat="false" ht="15" hidden="false" customHeight="false" outlineLevel="0" collapsed="false">
      <c r="B29" s="0" t="n">
        <v>417</v>
      </c>
      <c r="C29" s="0" t="s">
        <v>554</v>
      </c>
      <c r="D29" s="0" t="s">
        <v>855</v>
      </c>
      <c r="E29" s="0" t="s">
        <v>555</v>
      </c>
      <c r="F29" s="0" t="n">
        <v>1</v>
      </c>
      <c r="G29" s="0" t="s">
        <v>61</v>
      </c>
      <c r="H29" s="0" t="s">
        <v>556</v>
      </c>
      <c r="I29" s="0" t="s">
        <v>557</v>
      </c>
      <c r="J29" s="0" t="s">
        <v>558</v>
      </c>
      <c r="K29" s="0" t="s">
        <v>559</v>
      </c>
      <c r="L29" s="0" t="s">
        <v>560</v>
      </c>
      <c r="M29" s="0" t="s">
        <v>561</v>
      </c>
      <c r="N29" s="6" t="n">
        <v>46125</v>
      </c>
    </row>
    <row r="30" customFormat="false" ht="15" hidden="false" customHeight="false" outlineLevel="0" collapsed="false">
      <c r="B30" s="0" t="n">
        <v>686</v>
      </c>
      <c r="C30" s="0" t="s">
        <v>571</v>
      </c>
      <c r="D30" s="0" t="s">
        <v>854</v>
      </c>
      <c r="E30" s="0" t="s">
        <v>572</v>
      </c>
      <c r="F30" s="0" t="n">
        <v>1</v>
      </c>
      <c r="G30" s="0" t="s">
        <v>573</v>
      </c>
      <c r="H30" s="0" t="s">
        <v>574</v>
      </c>
      <c r="I30" s="0" t="s">
        <v>575</v>
      </c>
      <c r="J30" s="0" t="s">
        <v>576</v>
      </c>
      <c r="K30" s="0" t="s">
        <v>577</v>
      </c>
      <c r="L30" s="0" t="s">
        <v>578</v>
      </c>
      <c r="M30" s="0" t="s">
        <v>579</v>
      </c>
      <c r="N30" s="6" t="n">
        <v>46125</v>
      </c>
    </row>
    <row r="31" customFormat="false" ht="15" hidden="false" customHeight="false" outlineLevel="0" collapsed="false">
      <c r="B31" s="0" t="n">
        <v>661</v>
      </c>
      <c r="C31" s="0" t="s">
        <v>174</v>
      </c>
      <c r="D31" s="0" t="s">
        <v>854</v>
      </c>
      <c r="E31" s="0" t="s">
        <v>175</v>
      </c>
      <c r="F31" s="0" t="n">
        <v>2</v>
      </c>
      <c r="G31" s="0" t="s">
        <v>152</v>
      </c>
      <c r="H31" s="0" t="s">
        <v>176</v>
      </c>
      <c r="I31" s="0" t="s">
        <v>177</v>
      </c>
      <c r="J31" s="0" t="s">
        <v>178</v>
      </c>
      <c r="K31" s="0" t="s">
        <v>179</v>
      </c>
      <c r="L31" s="0" t="s">
        <v>180</v>
      </c>
      <c r="M31" s="0" t="s">
        <v>181</v>
      </c>
      <c r="N31" s="6" t="n">
        <v>46125</v>
      </c>
    </row>
    <row r="32" customFormat="false" ht="15" hidden="false" customHeight="false" outlineLevel="0" collapsed="false">
      <c r="B32" s="0" t="n">
        <v>676</v>
      </c>
      <c r="C32" s="0" t="s">
        <v>350</v>
      </c>
      <c r="D32" s="0" t="s">
        <v>854</v>
      </c>
      <c r="E32" s="0" t="s">
        <v>351</v>
      </c>
      <c r="F32" s="0" t="n">
        <v>1</v>
      </c>
      <c r="G32" s="0" t="s">
        <v>152</v>
      </c>
      <c r="H32" s="0" t="s">
        <v>352</v>
      </c>
      <c r="I32" s="0" t="s">
        <v>353</v>
      </c>
      <c r="J32" s="0" t="s">
        <v>354</v>
      </c>
      <c r="K32" s="0" t="s">
        <v>355</v>
      </c>
      <c r="L32" s="0" t="s">
        <v>355</v>
      </c>
      <c r="M32" s="0" t="s">
        <v>356</v>
      </c>
      <c r="N32" s="6" t="n">
        <v>46125</v>
      </c>
    </row>
    <row r="33" customFormat="false" ht="15" hidden="false" customHeight="false" outlineLevel="0" collapsed="false">
      <c r="B33" s="0" t="n">
        <v>430</v>
      </c>
      <c r="C33" s="0" t="s">
        <v>350</v>
      </c>
      <c r="D33" s="0" t="s">
        <v>855</v>
      </c>
      <c r="E33" s="0" t="s">
        <v>351</v>
      </c>
      <c r="F33" s="0" t="n">
        <v>1</v>
      </c>
      <c r="G33" s="0" t="s">
        <v>152</v>
      </c>
      <c r="H33" s="0" t="s">
        <v>352</v>
      </c>
      <c r="I33" s="0" t="s">
        <v>353</v>
      </c>
      <c r="J33" s="0" t="s">
        <v>354</v>
      </c>
      <c r="K33" s="0" t="s">
        <v>355</v>
      </c>
      <c r="L33" s="0" t="s">
        <v>355</v>
      </c>
      <c r="M33" s="0" t="s">
        <v>356</v>
      </c>
      <c r="N33" s="6" t="n">
        <v>46125</v>
      </c>
    </row>
    <row r="34" customFormat="false" ht="15" hidden="false" customHeight="false" outlineLevel="0" collapsed="false">
      <c r="B34" s="0" t="n">
        <v>216</v>
      </c>
      <c r="C34" s="0" t="s">
        <v>350</v>
      </c>
      <c r="D34" s="0" t="s">
        <v>853</v>
      </c>
      <c r="E34" s="0" t="s">
        <v>351</v>
      </c>
      <c r="F34" s="0" t="n">
        <v>1</v>
      </c>
      <c r="G34" s="0" t="s">
        <v>152</v>
      </c>
      <c r="H34" s="0" t="s">
        <v>352</v>
      </c>
      <c r="I34" s="0" t="s">
        <v>353</v>
      </c>
      <c r="J34" s="0" t="s">
        <v>354</v>
      </c>
      <c r="K34" s="0" t="s">
        <v>355</v>
      </c>
      <c r="L34" s="0" t="s">
        <v>355</v>
      </c>
      <c r="M34" s="0" t="s">
        <v>356</v>
      </c>
      <c r="N34" s="6" t="n">
        <v>46125</v>
      </c>
    </row>
    <row r="35" customFormat="false" ht="15" hidden="false" customHeight="false" outlineLevel="0" collapsed="false">
      <c r="B35" s="0" t="n">
        <v>439</v>
      </c>
      <c r="C35" s="0" t="s">
        <v>588</v>
      </c>
      <c r="D35" s="0" t="s">
        <v>855</v>
      </c>
      <c r="E35" s="0" t="s">
        <v>589</v>
      </c>
      <c r="F35" s="0" t="n">
        <v>1</v>
      </c>
      <c r="G35" s="0" t="s">
        <v>24</v>
      </c>
      <c r="H35" s="0" t="s">
        <v>590</v>
      </c>
      <c r="I35" s="0" t="s">
        <v>591</v>
      </c>
      <c r="J35" s="0" t="s">
        <v>592</v>
      </c>
      <c r="K35" s="0" t="s">
        <v>593</v>
      </c>
      <c r="L35" s="0" t="s">
        <v>594</v>
      </c>
      <c r="M35" s="0" t="s">
        <v>595</v>
      </c>
      <c r="N35" s="6" t="n">
        <v>46125</v>
      </c>
    </row>
    <row r="36" customFormat="false" ht="15" hidden="false" customHeight="false" outlineLevel="0" collapsed="false">
      <c r="B36" s="0" t="n">
        <v>668</v>
      </c>
      <c r="C36" s="0" t="s">
        <v>263</v>
      </c>
      <c r="D36" s="0" t="s">
        <v>854</v>
      </c>
      <c r="E36" s="0" t="s">
        <v>264</v>
      </c>
      <c r="F36" s="0" t="n">
        <v>2</v>
      </c>
      <c r="G36" s="0" t="s">
        <v>61</v>
      </c>
      <c r="H36" s="0" t="s">
        <v>265</v>
      </c>
      <c r="I36" s="0" t="s">
        <v>266</v>
      </c>
      <c r="J36" s="0" t="s">
        <v>267</v>
      </c>
      <c r="K36" s="0" t="s">
        <v>252</v>
      </c>
      <c r="L36" s="0" t="s">
        <v>268</v>
      </c>
      <c r="M36" s="0" t="s">
        <v>269</v>
      </c>
      <c r="N36" s="6" t="n">
        <v>46125</v>
      </c>
    </row>
    <row r="37" customFormat="false" ht="15" hidden="false" customHeight="false" outlineLevel="0" collapsed="false">
      <c r="B37" s="0" t="n">
        <v>437</v>
      </c>
      <c r="C37" s="0" t="s">
        <v>455</v>
      </c>
      <c r="D37" s="0" t="s">
        <v>855</v>
      </c>
      <c r="E37" s="0" t="s">
        <v>456</v>
      </c>
      <c r="F37" s="0" t="n">
        <v>1</v>
      </c>
      <c r="G37" s="0" t="s">
        <v>111</v>
      </c>
      <c r="H37" s="0" t="s">
        <v>457</v>
      </c>
      <c r="I37" s="0" t="s">
        <v>458</v>
      </c>
      <c r="J37" s="0" t="s">
        <v>459</v>
      </c>
      <c r="K37" s="0" t="s">
        <v>460</v>
      </c>
      <c r="L37" s="0" t="s">
        <v>461</v>
      </c>
      <c r="M37" s="0" t="s">
        <v>462</v>
      </c>
      <c r="N37" s="6" t="n">
        <v>46125</v>
      </c>
    </row>
    <row r="38" customFormat="false" ht="15" hidden="false" customHeight="false" outlineLevel="0" collapsed="false">
      <c r="B38" s="0" t="n">
        <v>678</v>
      </c>
      <c r="C38" s="0" t="s">
        <v>604</v>
      </c>
      <c r="D38" s="0" t="s">
        <v>854</v>
      </c>
      <c r="E38" s="0" t="s">
        <v>605</v>
      </c>
      <c r="F38" s="0" t="n">
        <v>1</v>
      </c>
      <c r="G38" s="0" t="s">
        <v>61</v>
      </c>
      <c r="H38" s="0" t="s">
        <v>606</v>
      </c>
      <c r="I38" s="0" t="s">
        <v>607</v>
      </c>
      <c r="J38" s="0" t="s">
        <v>608</v>
      </c>
      <c r="K38" s="0" t="s">
        <v>252</v>
      </c>
      <c r="L38" s="0" t="s">
        <v>609</v>
      </c>
      <c r="M38" s="0" t="s">
        <v>610</v>
      </c>
      <c r="N38" s="6" t="n">
        <v>46125</v>
      </c>
    </row>
    <row r="39" customFormat="false" ht="15" hidden="false" customHeight="false" outlineLevel="0" collapsed="false">
      <c r="B39" s="0" t="n">
        <v>659</v>
      </c>
      <c r="C39" s="0" t="s">
        <v>142</v>
      </c>
      <c r="D39" s="0" t="s">
        <v>854</v>
      </c>
      <c r="E39" s="0" t="s">
        <v>143</v>
      </c>
      <c r="F39" s="0" t="n">
        <v>1</v>
      </c>
      <c r="G39" s="0" t="s">
        <v>61</v>
      </c>
      <c r="H39" s="0" t="s">
        <v>144</v>
      </c>
      <c r="I39" s="0" t="s">
        <v>145</v>
      </c>
      <c r="J39" s="0" t="s">
        <v>146</v>
      </c>
      <c r="K39" s="0" t="s">
        <v>147</v>
      </c>
      <c r="L39" s="0" t="s">
        <v>148</v>
      </c>
      <c r="M39" s="0" t="s">
        <v>149</v>
      </c>
      <c r="N39" s="6" t="n">
        <v>46125</v>
      </c>
    </row>
    <row r="40" customFormat="false" ht="15" hidden="false" customHeight="false" outlineLevel="0" collapsed="false">
      <c r="B40" s="0" t="n">
        <v>418</v>
      </c>
      <c r="C40" s="0" t="s">
        <v>142</v>
      </c>
      <c r="D40" s="0" t="s">
        <v>855</v>
      </c>
      <c r="E40" s="0" t="s">
        <v>143</v>
      </c>
      <c r="F40" s="0" t="n">
        <v>1</v>
      </c>
      <c r="G40" s="0" t="s">
        <v>61</v>
      </c>
      <c r="H40" s="0" t="s">
        <v>144</v>
      </c>
      <c r="I40" s="0" t="s">
        <v>145</v>
      </c>
      <c r="J40" s="0" t="s">
        <v>146</v>
      </c>
      <c r="K40" s="0" t="s">
        <v>147</v>
      </c>
      <c r="L40" s="0" t="s">
        <v>148</v>
      </c>
      <c r="M40" s="0" t="s">
        <v>149</v>
      </c>
      <c r="N40" s="6" t="n">
        <v>46125</v>
      </c>
    </row>
    <row r="41" customFormat="false" ht="15" hidden="false" customHeight="false" outlineLevel="0" collapsed="false">
      <c r="B41" s="0" t="n">
        <v>652</v>
      </c>
      <c r="C41" s="0" t="s">
        <v>59</v>
      </c>
      <c r="D41" s="0" t="s">
        <v>854</v>
      </c>
      <c r="E41" s="0" t="s">
        <v>60</v>
      </c>
      <c r="F41" s="0" t="n">
        <v>8</v>
      </c>
      <c r="G41" s="0" t="s">
        <v>61</v>
      </c>
      <c r="H41" s="0" t="s">
        <v>62</v>
      </c>
      <c r="I41" s="0" t="s">
        <v>63</v>
      </c>
      <c r="J41" s="0" t="s">
        <v>64</v>
      </c>
      <c r="K41" s="0" t="s">
        <v>65</v>
      </c>
      <c r="L41" s="0" t="s">
        <v>66</v>
      </c>
      <c r="M41" s="0" t="s">
        <v>67</v>
      </c>
      <c r="N41" s="6" t="n">
        <v>46125</v>
      </c>
    </row>
    <row r="42" customFormat="false" ht="15" hidden="false" customHeight="false" outlineLevel="0" collapsed="false">
      <c r="B42" s="0" t="n">
        <v>412</v>
      </c>
      <c r="C42" s="0" t="s">
        <v>59</v>
      </c>
      <c r="D42" s="0" t="s">
        <v>855</v>
      </c>
      <c r="E42" s="0" t="s">
        <v>60</v>
      </c>
      <c r="F42" s="0" t="n">
        <v>5</v>
      </c>
      <c r="G42" s="0" t="s">
        <v>61</v>
      </c>
      <c r="H42" s="0" t="s">
        <v>62</v>
      </c>
      <c r="I42" s="0" t="s">
        <v>63</v>
      </c>
      <c r="J42" s="0" t="s">
        <v>64</v>
      </c>
      <c r="K42" s="0" t="s">
        <v>65</v>
      </c>
      <c r="L42" s="0" t="s">
        <v>66</v>
      </c>
      <c r="M42" s="0" t="s">
        <v>67</v>
      </c>
      <c r="N42" s="6" t="n">
        <v>46125</v>
      </c>
    </row>
    <row r="43" customFormat="false" ht="15" hidden="false" customHeight="false" outlineLevel="0" collapsed="false">
      <c r="B43" s="0" t="n">
        <v>205</v>
      </c>
      <c r="C43" s="0" t="s">
        <v>59</v>
      </c>
      <c r="D43" s="0" t="s">
        <v>853</v>
      </c>
      <c r="E43" s="0" t="s">
        <v>60</v>
      </c>
      <c r="F43" s="0" t="n">
        <v>5</v>
      </c>
      <c r="G43" s="0" t="s">
        <v>61</v>
      </c>
      <c r="H43" s="0" t="s">
        <v>62</v>
      </c>
      <c r="I43" s="0" t="s">
        <v>63</v>
      </c>
      <c r="J43" s="0" t="s">
        <v>64</v>
      </c>
      <c r="K43" s="0" t="s">
        <v>65</v>
      </c>
      <c r="L43" s="0" t="s">
        <v>66</v>
      </c>
      <c r="M43" s="0" t="s">
        <v>67</v>
      </c>
      <c r="N43" s="6" t="n">
        <v>46125</v>
      </c>
    </row>
    <row r="44" customFormat="false" ht="15" hidden="false" customHeight="false" outlineLevel="0" collapsed="false">
      <c r="B44" s="0" t="n">
        <v>664</v>
      </c>
      <c r="C44" s="0" t="s">
        <v>215</v>
      </c>
      <c r="D44" s="0" t="s">
        <v>854</v>
      </c>
      <c r="E44" s="0" t="s">
        <v>216</v>
      </c>
      <c r="F44" s="0" t="n">
        <v>1</v>
      </c>
      <c r="G44" s="0" t="s">
        <v>24</v>
      </c>
      <c r="H44" s="0" t="s">
        <v>217</v>
      </c>
      <c r="I44" s="0" t="s">
        <v>218</v>
      </c>
      <c r="J44" s="0" t="s">
        <v>219</v>
      </c>
      <c r="K44" s="0" t="s">
        <v>220</v>
      </c>
      <c r="L44" s="0" t="s">
        <v>221</v>
      </c>
      <c r="M44" s="0" t="s">
        <v>222</v>
      </c>
      <c r="N44" s="6" t="n">
        <v>46125</v>
      </c>
    </row>
    <row r="45" customFormat="false" ht="15" hidden="false" customHeight="false" outlineLevel="0" collapsed="false">
      <c r="B45" s="0" t="n">
        <v>554</v>
      </c>
      <c r="C45" s="0" t="s">
        <v>286</v>
      </c>
      <c r="D45" s="0" t="s">
        <v>856</v>
      </c>
      <c r="E45" s="0" t="s">
        <v>287</v>
      </c>
      <c r="F45" s="0" t="n">
        <v>1</v>
      </c>
      <c r="G45" s="0" t="s">
        <v>61</v>
      </c>
      <c r="H45" s="0" t="s">
        <v>288</v>
      </c>
      <c r="I45" s="0" t="s">
        <v>289</v>
      </c>
      <c r="J45" s="0" t="s">
        <v>290</v>
      </c>
      <c r="K45" s="0" t="s">
        <v>291</v>
      </c>
      <c r="L45" s="0" t="s">
        <v>292</v>
      </c>
      <c r="M45" s="0" t="s">
        <v>293</v>
      </c>
      <c r="N45" s="6" t="n">
        <v>46125</v>
      </c>
    </row>
    <row r="46" customFormat="false" ht="15" hidden="false" customHeight="false" outlineLevel="0" collapsed="false">
      <c r="B46" s="0" t="n">
        <v>691</v>
      </c>
      <c r="C46" s="0" t="s">
        <v>611</v>
      </c>
      <c r="D46" s="0" t="s">
        <v>854</v>
      </c>
      <c r="E46" s="0" t="s">
        <v>612</v>
      </c>
      <c r="F46" s="0" t="n">
        <v>1</v>
      </c>
      <c r="G46" s="0" t="s">
        <v>24</v>
      </c>
      <c r="H46" s="0" t="s">
        <v>613</v>
      </c>
      <c r="I46" s="0" t="s">
        <v>614</v>
      </c>
      <c r="J46" s="0" t="s">
        <v>615</v>
      </c>
      <c r="K46" s="0" t="s">
        <v>616</v>
      </c>
      <c r="L46" s="0" t="s">
        <v>616</v>
      </c>
      <c r="M46" s="0" t="s">
        <v>617</v>
      </c>
      <c r="N46" s="6" t="n">
        <v>46125</v>
      </c>
    </row>
    <row r="47" customFormat="false" ht="15" hidden="false" customHeight="false" outlineLevel="0" collapsed="false">
      <c r="B47" s="0" t="n">
        <v>440</v>
      </c>
      <c r="C47" s="0" t="s">
        <v>611</v>
      </c>
      <c r="D47" s="0" t="s">
        <v>855</v>
      </c>
      <c r="E47" s="0" t="s">
        <v>612</v>
      </c>
      <c r="F47" s="0" t="n">
        <v>1</v>
      </c>
      <c r="G47" s="0" t="s">
        <v>24</v>
      </c>
      <c r="H47" s="0" t="s">
        <v>613</v>
      </c>
      <c r="I47" s="0" t="s">
        <v>614</v>
      </c>
      <c r="J47" s="0" t="s">
        <v>615</v>
      </c>
      <c r="K47" s="0" t="s">
        <v>616</v>
      </c>
      <c r="L47" s="0" t="s">
        <v>616</v>
      </c>
      <c r="M47" s="0" t="s">
        <v>617</v>
      </c>
      <c r="N47" s="6" t="n">
        <v>46125</v>
      </c>
    </row>
    <row r="48" customFormat="false" ht="15" hidden="false" customHeight="false" outlineLevel="0" collapsed="false">
      <c r="B48" s="0" t="n">
        <v>681</v>
      </c>
      <c r="C48" s="0" t="s">
        <v>399</v>
      </c>
      <c r="D48" s="0" t="s">
        <v>854</v>
      </c>
      <c r="E48" s="0" t="s">
        <v>400</v>
      </c>
      <c r="F48" s="0" t="n">
        <v>1</v>
      </c>
      <c r="G48" s="0" t="s">
        <v>152</v>
      </c>
      <c r="H48" s="0" t="s">
        <v>401</v>
      </c>
      <c r="I48" s="0" t="s">
        <v>402</v>
      </c>
      <c r="J48" s="0" t="s">
        <v>403</v>
      </c>
      <c r="K48" s="0" t="s">
        <v>404</v>
      </c>
      <c r="L48" s="0" t="s">
        <v>791</v>
      </c>
      <c r="M48" s="0" t="s">
        <v>406</v>
      </c>
      <c r="N48" s="6" t="n">
        <v>46125</v>
      </c>
    </row>
    <row r="49" customFormat="false" ht="15" hidden="false" customHeight="false" outlineLevel="0" collapsed="false">
      <c r="B49" s="0" t="n">
        <v>559</v>
      </c>
      <c r="C49" s="0" t="s">
        <v>399</v>
      </c>
      <c r="D49" s="0" t="s">
        <v>856</v>
      </c>
      <c r="E49" s="0" t="s">
        <v>400</v>
      </c>
      <c r="F49" s="0" t="n">
        <v>1</v>
      </c>
      <c r="G49" s="0" t="s">
        <v>152</v>
      </c>
      <c r="H49" s="0" t="s">
        <v>401</v>
      </c>
      <c r="I49" s="0" t="s">
        <v>402</v>
      </c>
      <c r="J49" s="0" t="s">
        <v>403</v>
      </c>
      <c r="K49" s="0" t="s">
        <v>404</v>
      </c>
      <c r="L49" s="0" t="s">
        <v>791</v>
      </c>
      <c r="M49" s="0" t="s">
        <v>406</v>
      </c>
      <c r="N49" s="6" t="n">
        <v>46125</v>
      </c>
    </row>
    <row r="50" customFormat="false" ht="15" hidden="false" customHeight="false" outlineLevel="0" collapsed="false">
      <c r="B50" s="0" t="n">
        <v>675</v>
      </c>
      <c r="C50" s="0" t="s">
        <v>342</v>
      </c>
      <c r="D50" s="0" t="s">
        <v>854</v>
      </c>
      <c r="E50" s="0" t="s">
        <v>343</v>
      </c>
      <c r="F50" s="0" t="n">
        <v>1</v>
      </c>
      <c r="G50" s="0" t="s">
        <v>24</v>
      </c>
      <c r="H50" s="0" t="s">
        <v>344</v>
      </c>
      <c r="I50" s="0" t="s">
        <v>345</v>
      </c>
      <c r="J50" s="0" t="s">
        <v>346</v>
      </c>
      <c r="K50" s="0" t="s">
        <v>347</v>
      </c>
      <c r="L50" s="0" t="s">
        <v>348</v>
      </c>
      <c r="M50" s="0" t="s">
        <v>349</v>
      </c>
      <c r="N50" s="6" t="n">
        <v>46125</v>
      </c>
    </row>
    <row r="51" customFormat="false" ht="15" hidden="false" customHeight="false" outlineLevel="0" collapsed="false">
      <c r="B51" s="0" t="n">
        <v>215</v>
      </c>
      <c r="C51" s="0" t="s">
        <v>342</v>
      </c>
      <c r="D51" s="0" t="s">
        <v>853</v>
      </c>
      <c r="E51" s="0" t="s">
        <v>343</v>
      </c>
      <c r="F51" s="0" t="n">
        <v>1</v>
      </c>
      <c r="G51" s="0" t="s">
        <v>24</v>
      </c>
      <c r="H51" s="0" t="s">
        <v>344</v>
      </c>
      <c r="I51" s="0" t="s">
        <v>345</v>
      </c>
      <c r="J51" s="0" t="s">
        <v>346</v>
      </c>
      <c r="K51" s="0" t="s">
        <v>347</v>
      </c>
      <c r="L51" s="0" t="s">
        <v>348</v>
      </c>
      <c r="M51" s="0" t="s">
        <v>349</v>
      </c>
      <c r="N51" s="6" t="n">
        <v>46125</v>
      </c>
    </row>
    <row r="52" customFormat="false" ht="15" hidden="false" customHeight="false" outlineLevel="0" collapsed="false">
      <c r="B52" s="0" t="n">
        <v>655</v>
      </c>
      <c r="C52" s="0" t="s">
        <v>626</v>
      </c>
      <c r="D52" s="0" t="s">
        <v>854</v>
      </c>
      <c r="E52" s="0" t="s">
        <v>627</v>
      </c>
      <c r="F52" s="0" t="n">
        <v>1</v>
      </c>
      <c r="G52" s="0" t="s">
        <v>152</v>
      </c>
      <c r="H52" s="0" t="s">
        <v>628</v>
      </c>
      <c r="I52" s="0" t="s">
        <v>629</v>
      </c>
      <c r="J52" s="0" t="s">
        <v>630</v>
      </c>
      <c r="K52" s="0" t="s">
        <v>631</v>
      </c>
      <c r="L52" s="0" t="s">
        <v>632</v>
      </c>
      <c r="M52" s="0" t="s">
        <v>633</v>
      </c>
      <c r="N52" s="6" t="n">
        <v>46125</v>
      </c>
    </row>
    <row r="53" customFormat="false" ht="30" hidden="false" customHeight="true" outlineLevel="0" collapsed="false">
      <c r="B53" s="0" t="n">
        <v>690</v>
      </c>
      <c r="C53" s="0" t="s">
        <v>478</v>
      </c>
      <c r="D53" s="0" t="s">
        <v>854</v>
      </c>
      <c r="E53" s="0" t="s">
        <v>479</v>
      </c>
      <c r="F53" s="0" t="n">
        <v>1</v>
      </c>
      <c r="G53" s="0" t="s">
        <v>111</v>
      </c>
      <c r="H53" s="2" t="s">
        <v>480</v>
      </c>
      <c r="I53" s="2" t="s">
        <v>481</v>
      </c>
      <c r="J53" s="2" t="s">
        <v>482</v>
      </c>
      <c r="K53" s="0" t="s">
        <v>483</v>
      </c>
      <c r="L53" s="0" t="s">
        <v>634</v>
      </c>
      <c r="M53" s="0" t="s">
        <v>485</v>
      </c>
      <c r="N53" s="6" t="n">
        <v>46125</v>
      </c>
    </row>
    <row r="54" customFormat="false" ht="15" hidden="false" customHeight="false" outlineLevel="0" collapsed="false">
      <c r="B54" s="0" t="n">
        <v>650</v>
      </c>
      <c r="C54" s="0" t="s">
        <v>43</v>
      </c>
      <c r="D54" s="0" t="s">
        <v>854</v>
      </c>
      <c r="E54" s="0" t="s">
        <v>44</v>
      </c>
      <c r="F54" s="0" t="n">
        <v>2</v>
      </c>
      <c r="G54" s="0" t="s">
        <v>24</v>
      </c>
      <c r="H54" s="0" t="s">
        <v>45</v>
      </c>
      <c r="I54" s="0" t="s">
        <v>46</v>
      </c>
      <c r="J54" s="0" t="s">
        <v>47</v>
      </c>
      <c r="K54" s="0" t="s">
        <v>48</v>
      </c>
      <c r="L54" s="0" t="s">
        <v>49</v>
      </c>
      <c r="M54" s="0" t="s">
        <v>50</v>
      </c>
      <c r="N54" s="6" t="n">
        <v>46125</v>
      </c>
    </row>
    <row r="55" customFormat="false" ht="15" hidden="false" customHeight="false" outlineLevel="0" collapsed="false">
      <c r="B55" s="0" t="n">
        <v>552</v>
      </c>
      <c r="C55" s="0" t="s">
        <v>270</v>
      </c>
      <c r="D55" s="0" t="s">
        <v>856</v>
      </c>
      <c r="E55" s="0" t="s">
        <v>271</v>
      </c>
      <c r="F55" s="0" t="n">
        <v>2</v>
      </c>
      <c r="G55" s="0" t="s">
        <v>61</v>
      </c>
      <c r="H55" s="0" t="s">
        <v>272</v>
      </c>
      <c r="I55" s="0" t="s">
        <v>273</v>
      </c>
      <c r="J55" s="0" t="s">
        <v>274</v>
      </c>
      <c r="K55" s="0" t="s">
        <v>275</v>
      </c>
      <c r="L55" s="0" t="s">
        <v>792</v>
      </c>
      <c r="M55" s="0" t="s">
        <v>277</v>
      </c>
      <c r="N55" s="6" t="n">
        <v>46125</v>
      </c>
    </row>
    <row r="56" customFormat="false" ht="15" hidden="false" customHeight="false" outlineLevel="0" collapsed="false">
      <c r="B56" s="0" t="n">
        <v>426</v>
      </c>
      <c r="C56" s="0" t="s">
        <v>270</v>
      </c>
      <c r="D56" s="0" t="s">
        <v>855</v>
      </c>
      <c r="E56" s="0" t="s">
        <v>271</v>
      </c>
      <c r="F56" s="0" t="n">
        <v>2</v>
      </c>
      <c r="G56" s="0" t="s">
        <v>61</v>
      </c>
      <c r="H56" s="0" t="s">
        <v>272</v>
      </c>
      <c r="I56" s="0" t="s">
        <v>273</v>
      </c>
      <c r="J56" s="0" t="s">
        <v>274</v>
      </c>
      <c r="K56" s="0" t="s">
        <v>275</v>
      </c>
      <c r="L56" s="0" t="s">
        <v>792</v>
      </c>
      <c r="M56" s="0" t="s">
        <v>277</v>
      </c>
      <c r="N56" s="6" t="n">
        <v>46125</v>
      </c>
    </row>
    <row r="57" customFormat="false" ht="15" hidden="false" customHeight="false" outlineLevel="0" collapsed="false">
      <c r="B57" s="0" t="n">
        <v>213</v>
      </c>
      <c r="C57" s="0" t="s">
        <v>270</v>
      </c>
      <c r="D57" s="0" t="s">
        <v>853</v>
      </c>
      <c r="E57" s="0" t="s">
        <v>271</v>
      </c>
      <c r="F57" s="0" t="n">
        <v>1</v>
      </c>
      <c r="G57" s="0" t="s">
        <v>61</v>
      </c>
      <c r="H57" s="0" t="s">
        <v>272</v>
      </c>
      <c r="I57" s="0" t="s">
        <v>273</v>
      </c>
      <c r="J57" s="0" t="s">
        <v>274</v>
      </c>
      <c r="K57" s="0" t="s">
        <v>275</v>
      </c>
      <c r="L57" s="0" t="s">
        <v>792</v>
      </c>
      <c r="M57" s="0" t="s">
        <v>277</v>
      </c>
      <c r="N57" s="6" t="n">
        <v>46125</v>
      </c>
    </row>
    <row r="58" customFormat="false" ht="15" hidden="false" customHeight="false" outlineLevel="0" collapsed="false">
      <c r="B58" s="0" t="n">
        <v>427</v>
      </c>
      <c r="C58" s="0" t="s">
        <v>859</v>
      </c>
      <c r="D58" s="0" t="s">
        <v>855</v>
      </c>
      <c r="E58" s="0" t="s">
        <v>860</v>
      </c>
      <c r="F58" s="0" t="n">
        <v>1</v>
      </c>
      <c r="G58" s="0" t="s">
        <v>861</v>
      </c>
      <c r="H58" s="0" t="s">
        <v>862</v>
      </c>
      <c r="I58" s="0" t="s">
        <v>863</v>
      </c>
      <c r="J58" s="0" t="s">
        <v>864</v>
      </c>
      <c r="K58" s="0" t="s">
        <v>865</v>
      </c>
      <c r="L58" s="0" t="s">
        <v>866</v>
      </c>
      <c r="M58" s="0" t="s">
        <v>867</v>
      </c>
      <c r="N58" s="6" t="n">
        <v>46125</v>
      </c>
    </row>
    <row r="59" customFormat="false" ht="15" hidden="false" customHeight="false" outlineLevel="0" collapsed="false">
      <c r="B59" s="0" t="n">
        <v>694</v>
      </c>
      <c r="C59" s="0" t="s">
        <v>508</v>
      </c>
      <c r="D59" s="0" t="s">
        <v>854</v>
      </c>
      <c r="E59" s="0" t="s">
        <v>509</v>
      </c>
      <c r="F59" s="0" t="n">
        <v>1</v>
      </c>
      <c r="G59" s="0" t="s">
        <v>61</v>
      </c>
      <c r="H59" s="0" t="s">
        <v>510</v>
      </c>
      <c r="I59" s="0" t="s">
        <v>511</v>
      </c>
      <c r="J59" s="0" t="s">
        <v>512</v>
      </c>
      <c r="K59" s="0" t="s">
        <v>513</v>
      </c>
      <c r="L59" s="0" t="s">
        <v>514</v>
      </c>
      <c r="M59" s="0" t="s">
        <v>515</v>
      </c>
      <c r="N59" s="6" t="n">
        <v>46125</v>
      </c>
    </row>
    <row r="60" customFormat="false" ht="15" hidden="false" customHeight="false" outlineLevel="0" collapsed="false">
      <c r="B60" s="0" t="n">
        <v>442</v>
      </c>
      <c r="C60" s="0" t="s">
        <v>508</v>
      </c>
      <c r="D60" s="0" t="s">
        <v>855</v>
      </c>
      <c r="E60" s="0" t="s">
        <v>509</v>
      </c>
      <c r="F60" s="0" t="n">
        <v>1</v>
      </c>
      <c r="G60" s="0" t="s">
        <v>61</v>
      </c>
      <c r="H60" s="0" t="s">
        <v>510</v>
      </c>
      <c r="I60" s="0" t="s">
        <v>511</v>
      </c>
      <c r="J60" s="0" t="s">
        <v>512</v>
      </c>
      <c r="K60" s="0" t="s">
        <v>513</v>
      </c>
      <c r="L60" s="0" t="s">
        <v>514</v>
      </c>
      <c r="M60" s="0" t="s">
        <v>515</v>
      </c>
      <c r="N60" s="6" t="n">
        <v>46125</v>
      </c>
    </row>
    <row r="61" customFormat="false" ht="15" hidden="false" customHeight="false" outlineLevel="0" collapsed="false">
      <c r="B61" s="0" t="n">
        <v>546</v>
      </c>
      <c r="C61" s="0" t="s">
        <v>102</v>
      </c>
      <c r="D61" s="0" t="s">
        <v>856</v>
      </c>
      <c r="E61" s="0" t="s">
        <v>103</v>
      </c>
      <c r="F61" s="0" t="n">
        <v>1</v>
      </c>
      <c r="G61" s="0" t="s">
        <v>61</v>
      </c>
      <c r="H61" s="0" t="s">
        <v>104</v>
      </c>
      <c r="I61" s="0" t="s">
        <v>105</v>
      </c>
      <c r="J61" s="0" t="s">
        <v>106</v>
      </c>
      <c r="K61" s="0" t="s">
        <v>107</v>
      </c>
      <c r="L61" s="0" t="s">
        <v>107</v>
      </c>
      <c r="M61" s="0" t="s">
        <v>108</v>
      </c>
      <c r="N61" s="6" t="n">
        <v>46125</v>
      </c>
    </row>
    <row r="62" customFormat="false" ht="15" hidden="false" customHeight="false" outlineLevel="0" collapsed="false">
      <c r="B62" s="0" t="n">
        <v>696</v>
      </c>
      <c r="C62" s="0" t="s">
        <v>644</v>
      </c>
      <c r="D62" s="0" t="s">
        <v>854</v>
      </c>
      <c r="E62" s="0" t="s">
        <v>645</v>
      </c>
      <c r="F62" s="0" t="n">
        <v>3</v>
      </c>
      <c r="G62" s="0" t="s">
        <v>61</v>
      </c>
      <c r="H62" s="0" t="s">
        <v>646</v>
      </c>
      <c r="I62" s="0" t="s">
        <v>647</v>
      </c>
      <c r="J62" s="0" t="s">
        <v>648</v>
      </c>
      <c r="K62" s="0" t="s">
        <v>649</v>
      </c>
      <c r="L62" s="0" t="s">
        <v>650</v>
      </c>
      <c r="N62" s="6" t="n">
        <v>46125</v>
      </c>
    </row>
    <row r="63" customFormat="false" ht="15" hidden="false" customHeight="false" outlineLevel="0" collapsed="false">
      <c r="B63" s="0" t="n">
        <v>683</v>
      </c>
      <c r="C63" s="0" t="s">
        <v>424</v>
      </c>
      <c r="D63" s="0" t="s">
        <v>854</v>
      </c>
      <c r="E63" s="0" t="s">
        <v>425</v>
      </c>
      <c r="F63" s="0" t="n">
        <v>1</v>
      </c>
      <c r="G63" s="0" t="s">
        <v>111</v>
      </c>
      <c r="H63" s="0" t="s">
        <v>426</v>
      </c>
      <c r="I63" s="0" t="s">
        <v>427</v>
      </c>
      <c r="J63" s="0" t="s">
        <v>428</v>
      </c>
      <c r="K63" s="0" t="s">
        <v>429</v>
      </c>
      <c r="L63" s="0" t="s">
        <v>429</v>
      </c>
      <c r="M63" s="0" t="s">
        <v>430</v>
      </c>
      <c r="N63" s="6" t="n">
        <v>46125</v>
      </c>
    </row>
    <row r="64" customFormat="false" ht="15" hidden="false" customHeight="false" outlineLevel="0" collapsed="false">
      <c r="B64" s="0" t="n">
        <v>657</v>
      </c>
      <c r="C64" s="0" t="s">
        <v>134</v>
      </c>
      <c r="D64" s="0" t="s">
        <v>854</v>
      </c>
      <c r="E64" s="0" t="s">
        <v>135</v>
      </c>
      <c r="F64" s="0" t="n">
        <v>2</v>
      </c>
      <c r="G64" s="0" t="s">
        <v>24</v>
      </c>
      <c r="H64" s="0" t="s">
        <v>136</v>
      </c>
      <c r="I64" s="0" t="s">
        <v>137</v>
      </c>
      <c r="J64" s="0" t="s">
        <v>138</v>
      </c>
      <c r="K64" s="0" t="s">
        <v>139</v>
      </c>
      <c r="L64" s="0" t="s">
        <v>140</v>
      </c>
      <c r="M64" s="0" t="s">
        <v>141</v>
      </c>
      <c r="N64" s="6" t="n">
        <v>46125</v>
      </c>
    </row>
    <row r="65" customFormat="false" ht="15" hidden="false" customHeight="false" outlineLevel="0" collapsed="false">
      <c r="B65" s="0" t="n">
        <v>208</v>
      </c>
      <c r="C65" s="0" t="s">
        <v>150</v>
      </c>
      <c r="D65" s="0" t="s">
        <v>853</v>
      </c>
      <c r="E65" s="0" t="s">
        <v>151</v>
      </c>
      <c r="F65" s="0" t="n">
        <v>1</v>
      </c>
      <c r="G65" s="0" t="s">
        <v>152</v>
      </c>
      <c r="H65" s="0" t="s">
        <v>153</v>
      </c>
      <c r="I65" s="0" t="s">
        <v>154</v>
      </c>
      <c r="J65" s="0" t="s">
        <v>155</v>
      </c>
      <c r="K65" s="0" t="s">
        <v>156</v>
      </c>
      <c r="L65" s="0" t="s">
        <v>157</v>
      </c>
      <c r="M65" s="0" t="s">
        <v>158</v>
      </c>
      <c r="N65" s="6" t="n">
        <v>46125</v>
      </c>
    </row>
    <row r="66" customFormat="false" ht="15" hidden="false" customHeight="false" outlineLevel="0" collapsed="false">
      <c r="B66" s="0" t="n">
        <v>669</v>
      </c>
      <c r="C66" s="0" t="s">
        <v>651</v>
      </c>
      <c r="D66" s="0" t="s">
        <v>854</v>
      </c>
      <c r="E66" s="0" t="s">
        <v>652</v>
      </c>
      <c r="F66" s="0" t="n">
        <v>1</v>
      </c>
      <c r="G66" s="0" t="s">
        <v>111</v>
      </c>
      <c r="H66" s="0" t="s">
        <v>653</v>
      </c>
      <c r="I66" s="0" t="s">
        <v>654</v>
      </c>
      <c r="J66" s="0" t="s">
        <v>655</v>
      </c>
      <c r="K66" s="0" t="s">
        <v>656</v>
      </c>
      <c r="L66" s="0" t="s">
        <v>657</v>
      </c>
      <c r="M66" s="0" t="s">
        <v>658</v>
      </c>
      <c r="N66" s="6" t="n">
        <v>46125</v>
      </c>
    </row>
    <row r="67" customFormat="false" ht="15" hidden="false" customHeight="false" outlineLevel="0" collapsed="false">
      <c r="B67" s="0" t="n">
        <v>551</v>
      </c>
      <c r="C67" s="0" t="s">
        <v>651</v>
      </c>
      <c r="D67" s="0" t="s">
        <v>856</v>
      </c>
      <c r="E67" s="0" t="s">
        <v>652</v>
      </c>
      <c r="F67" s="0" t="n">
        <v>1</v>
      </c>
      <c r="G67" s="0" t="s">
        <v>111</v>
      </c>
      <c r="H67" s="0" t="s">
        <v>653</v>
      </c>
      <c r="I67" s="0" t="s">
        <v>654</v>
      </c>
      <c r="J67" s="0" t="s">
        <v>655</v>
      </c>
      <c r="K67" s="0" t="s">
        <v>656</v>
      </c>
      <c r="L67" s="0" t="s">
        <v>657</v>
      </c>
      <c r="M67" s="0" t="s">
        <v>658</v>
      </c>
      <c r="N67" s="6" t="n">
        <v>46125</v>
      </c>
    </row>
    <row r="68" customFormat="false" ht="15" hidden="false" customHeight="false" outlineLevel="0" collapsed="false">
      <c r="B68" s="0" t="n">
        <v>651</v>
      </c>
      <c r="C68" s="0" t="s">
        <v>51</v>
      </c>
      <c r="D68" s="0" t="s">
        <v>854</v>
      </c>
      <c r="E68" s="0" t="s">
        <v>52</v>
      </c>
      <c r="F68" s="0" t="n">
        <v>4</v>
      </c>
      <c r="G68" s="0" t="s">
        <v>24</v>
      </c>
      <c r="H68" s="0" t="s">
        <v>53</v>
      </c>
      <c r="I68" s="0" t="s">
        <v>54</v>
      </c>
      <c r="J68" s="0" t="s">
        <v>55</v>
      </c>
      <c r="K68" s="0" t="s">
        <v>56</v>
      </c>
      <c r="L68" s="0" t="s">
        <v>57</v>
      </c>
      <c r="M68" s="0" t="s">
        <v>58</v>
      </c>
      <c r="N68" s="6" t="n">
        <v>46125</v>
      </c>
    </row>
    <row r="69" customFormat="false" ht="15" hidden="false" customHeight="false" outlineLevel="0" collapsed="false">
      <c r="B69" s="0" t="n">
        <v>656</v>
      </c>
      <c r="C69" s="0" t="s">
        <v>117</v>
      </c>
      <c r="D69" s="0" t="s">
        <v>854</v>
      </c>
      <c r="E69" s="0" t="s">
        <v>118</v>
      </c>
      <c r="F69" s="0" t="n">
        <v>1</v>
      </c>
      <c r="G69" s="0" t="s">
        <v>24</v>
      </c>
      <c r="H69" s="0" t="s">
        <v>119</v>
      </c>
      <c r="I69" s="0" t="s">
        <v>120</v>
      </c>
      <c r="J69" s="0" t="s">
        <v>121</v>
      </c>
      <c r="K69" s="0" t="s">
        <v>122</v>
      </c>
      <c r="L69" s="0" t="s">
        <v>123</v>
      </c>
      <c r="M69" s="0" t="s">
        <v>124</v>
      </c>
      <c r="N69" s="6" t="n">
        <v>46125</v>
      </c>
    </row>
    <row r="70" customFormat="false" ht="15" hidden="false" customHeight="false" outlineLevel="0" collapsed="false">
      <c r="B70" s="0" t="n">
        <v>416</v>
      </c>
      <c r="C70" s="0" t="s">
        <v>117</v>
      </c>
      <c r="D70" s="0" t="s">
        <v>855</v>
      </c>
      <c r="E70" s="0" t="s">
        <v>118</v>
      </c>
      <c r="F70" s="0" t="n">
        <v>1</v>
      </c>
      <c r="G70" s="0" t="s">
        <v>24</v>
      </c>
      <c r="H70" s="0" t="s">
        <v>119</v>
      </c>
      <c r="I70" s="0" t="s">
        <v>120</v>
      </c>
      <c r="J70" s="0" t="s">
        <v>121</v>
      </c>
      <c r="K70" s="0" t="s">
        <v>122</v>
      </c>
      <c r="L70" s="0" t="s">
        <v>123</v>
      </c>
      <c r="M70" s="0" t="s">
        <v>124</v>
      </c>
      <c r="N70" s="6" t="n">
        <v>46125</v>
      </c>
    </row>
    <row r="71" customFormat="false" ht="15" hidden="false" customHeight="false" outlineLevel="0" collapsed="false">
      <c r="B71" s="0" t="n">
        <v>548</v>
      </c>
      <c r="C71" s="0" t="s">
        <v>667</v>
      </c>
      <c r="D71" s="0" t="s">
        <v>856</v>
      </c>
      <c r="E71" s="0" t="s">
        <v>668</v>
      </c>
      <c r="F71" s="0" t="n">
        <v>1</v>
      </c>
      <c r="G71" s="0" t="s">
        <v>61</v>
      </c>
      <c r="H71" s="0" t="s">
        <v>674</v>
      </c>
      <c r="I71" s="0" t="s">
        <v>675</v>
      </c>
      <c r="J71" s="0" t="s">
        <v>676</v>
      </c>
      <c r="K71" s="0" t="s">
        <v>672</v>
      </c>
      <c r="L71" s="0" t="s">
        <v>677</v>
      </c>
      <c r="M71" s="0" t="s">
        <v>673</v>
      </c>
      <c r="N71" s="6" t="n">
        <v>46125</v>
      </c>
    </row>
    <row r="72" customFormat="false" ht="15" hidden="false" customHeight="false" outlineLevel="0" collapsed="false">
      <c r="B72" s="0" t="n">
        <v>693</v>
      </c>
      <c r="C72" s="0" t="s">
        <v>502</v>
      </c>
      <c r="D72" s="0" t="s">
        <v>854</v>
      </c>
      <c r="E72" s="0" t="s">
        <v>503</v>
      </c>
      <c r="F72" s="0" t="n">
        <v>1</v>
      </c>
      <c r="G72" s="0" t="s">
        <v>61</v>
      </c>
      <c r="H72" s="0" t="s">
        <v>504</v>
      </c>
      <c r="I72" s="0" t="s">
        <v>505</v>
      </c>
      <c r="J72" s="0" t="s">
        <v>506</v>
      </c>
      <c r="K72" s="0" t="s">
        <v>283</v>
      </c>
      <c r="L72" s="0" t="s">
        <v>284</v>
      </c>
      <c r="M72" s="0" t="s">
        <v>507</v>
      </c>
      <c r="N72" s="6" t="n">
        <v>46125</v>
      </c>
    </row>
    <row r="73" customFormat="false" ht="15" hidden="false" customHeight="false" outlineLevel="0" collapsed="false">
      <c r="B73" s="0" t="n">
        <v>441</v>
      </c>
      <c r="C73" s="0" t="s">
        <v>502</v>
      </c>
      <c r="D73" s="0" t="s">
        <v>855</v>
      </c>
      <c r="E73" s="0" t="s">
        <v>503</v>
      </c>
      <c r="F73" s="0" t="n">
        <v>1</v>
      </c>
      <c r="G73" s="0" t="s">
        <v>61</v>
      </c>
      <c r="H73" s="0" t="s">
        <v>504</v>
      </c>
      <c r="I73" s="0" t="s">
        <v>505</v>
      </c>
      <c r="J73" s="0" t="s">
        <v>506</v>
      </c>
      <c r="K73" s="0" t="s">
        <v>283</v>
      </c>
      <c r="L73" s="0" t="s">
        <v>284</v>
      </c>
      <c r="M73" s="0" t="s">
        <v>507</v>
      </c>
      <c r="N73" s="6" t="n">
        <v>46125</v>
      </c>
    </row>
    <row r="74" customFormat="false" ht="15" hidden="false" customHeight="false" outlineLevel="0" collapsed="false">
      <c r="B74" s="0" t="n">
        <v>680</v>
      </c>
      <c r="C74" s="0" t="s">
        <v>383</v>
      </c>
      <c r="D74" s="0" t="s">
        <v>854</v>
      </c>
      <c r="E74" s="0" t="s">
        <v>384</v>
      </c>
      <c r="F74" s="0" t="n">
        <v>1</v>
      </c>
      <c r="G74" s="0" t="s">
        <v>61</v>
      </c>
      <c r="H74" s="0" t="s">
        <v>385</v>
      </c>
      <c r="I74" s="0" t="s">
        <v>386</v>
      </c>
      <c r="J74" s="0" t="s">
        <v>387</v>
      </c>
      <c r="K74" s="0" t="s">
        <v>388</v>
      </c>
      <c r="L74" s="0" t="s">
        <v>389</v>
      </c>
      <c r="M74" s="0" t="s">
        <v>390</v>
      </c>
      <c r="N74" s="6" t="n">
        <v>46125</v>
      </c>
    </row>
    <row r="75" customFormat="false" ht="15" hidden="false" customHeight="false" outlineLevel="0" collapsed="false">
      <c r="B75" s="0" t="n">
        <v>434</v>
      </c>
      <c r="C75" s="0" t="s">
        <v>383</v>
      </c>
      <c r="D75" s="0" t="s">
        <v>855</v>
      </c>
      <c r="E75" s="0" t="s">
        <v>384</v>
      </c>
      <c r="F75" s="0" t="n">
        <v>5</v>
      </c>
      <c r="G75" s="0" t="s">
        <v>61</v>
      </c>
      <c r="H75" s="0" t="s">
        <v>385</v>
      </c>
      <c r="I75" s="0" t="s">
        <v>386</v>
      </c>
      <c r="J75" s="0" t="s">
        <v>387</v>
      </c>
      <c r="K75" s="0" t="s">
        <v>388</v>
      </c>
      <c r="L75" s="0" t="s">
        <v>389</v>
      </c>
      <c r="M75" s="0" t="s">
        <v>390</v>
      </c>
      <c r="N75" s="6" t="n">
        <v>46125</v>
      </c>
    </row>
    <row r="76" customFormat="false" ht="15" hidden="false" customHeight="false" outlineLevel="0" collapsed="false">
      <c r="B76" s="0" t="n">
        <v>219</v>
      </c>
      <c r="C76" s="0" t="s">
        <v>383</v>
      </c>
      <c r="D76" s="0" t="s">
        <v>853</v>
      </c>
      <c r="E76" s="0" t="s">
        <v>384</v>
      </c>
      <c r="F76" s="0" t="n">
        <v>1</v>
      </c>
      <c r="G76" s="0" t="s">
        <v>61</v>
      </c>
      <c r="H76" s="0" t="s">
        <v>385</v>
      </c>
      <c r="I76" s="0" t="s">
        <v>386</v>
      </c>
      <c r="J76" s="0" t="s">
        <v>387</v>
      </c>
      <c r="K76" s="0" t="s">
        <v>388</v>
      </c>
      <c r="L76" s="0" t="s">
        <v>389</v>
      </c>
      <c r="M76" s="0" t="s">
        <v>390</v>
      </c>
      <c r="N76" s="6" t="n">
        <v>46125</v>
      </c>
    </row>
    <row r="77" customFormat="false" ht="15" hidden="false" customHeight="false" outlineLevel="0" collapsed="false">
      <c r="B77" s="0" t="n">
        <v>684</v>
      </c>
      <c r="C77" s="0" t="s">
        <v>431</v>
      </c>
      <c r="D77" s="0" t="s">
        <v>854</v>
      </c>
      <c r="E77" s="0" t="s">
        <v>432</v>
      </c>
      <c r="F77" s="0" t="n">
        <v>1</v>
      </c>
      <c r="G77" s="0" t="s">
        <v>152</v>
      </c>
      <c r="H77" s="0" t="s">
        <v>678</v>
      </c>
      <c r="I77" s="0" t="s">
        <v>679</v>
      </c>
      <c r="J77" s="0" t="s">
        <v>680</v>
      </c>
      <c r="K77" s="0" t="s">
        <v>436</v>
      </c>
      <c r="L77" s="0" t="s">
        <v>681</v>
      </c>
      <c r="M77" s="0" t="s">
        <v>438</v>
      </c>
      <c r="N77" s="6" t="n">
        <v>46125</v>
      </c>
    </row>
    <row r="78" customFormat="false" ht="15" hidden="false" customHeight="false" outlineLevel="0" collapsed="false">
      <c r="B78" s="0" t="n">
        <v>435</v>
      </c>
      <c r="C78" s="0" t="s">
        <v>431</v>
      </c>
      <c r="D78" s="0" t="s">
        <v>855</v>
      </c>
      <c r="E78" s="0" t="s">
        <v>432</v>
      </c>
      <c r="F78" s="0" t="n">
        <v>1</v>
      </c>
      <c r="G78" s="0" t="s">
        <v>152</v>
      </c>
      <c r="H78" s="0" t="s">
        <v>868</v>
      </c>
      <c r="I78" s="0" t="s">
        <v>869</v>
      </c>
      <c r="J78" s="0" t="s">
        <v>870</v>
      </c>
      <c r="K78" s="0" t="s">
        <v>436</v>
      </c>
      <c r="L78" s="0" t="s">
        <v>871</v>
      </c>
      <c r="M78" s="0" t="s">
        <v>438</v>
      </c>
      <c r="N78" s="6" t="n">
        <v>46125</v>
      </c>
    </row>
    <row r="79" customFormat="false" ht="15" hidden="false" customHeight="false" outlineLevel="0" collapsed="false">
      <c r="B79" s="0" t="n">
        <v>557</v>
      </c>
      <c r="C79" s="0" t="s">
        <v>366</v>
      </c>
      <c r="D79" s="0" t="s">
        <v>856</v>
      </c>
      <c r="E79" s="0" t="s">
        <v>367</v>
      </c>
      <c r="F79" s="0" t="n">
        <v>4</v>
      </c>
      <c r="G79" s="0" t="s">
        <v>368</v>
      </c>
      <c r="H79" s="0" t="s">
        <v>369</v>
      </c>
      <c r="I79" s="0" t="s">
        <v>370</v>
      </c>
      <c r="J79" s="0" t="s">
        <v>371</v>
      </c>
      <c r="K79" s="0" t="s">
        <v>372</v>
      </c>
      <c r="L79" s="0" t="s">
        <v>682</v>
      </c>
      <c r="M79" s="0" t="s">
        <v>374</v>
      </c>
      <c r="N79" s="6" t="n">
        <v>46125</v>
      </c>
    </row>
    <row r="80" customFormat="false" ht="15" hidden="false" customHeight="false" outlineLevel="0" collapsed="false">
      <c r="B80" s="0" t="n">
        <v>432</v>
      </c>
      <c r="C80" s="0" t="s">
        <v>366</v>
      </c>
      <c r="D80" s="0" t="s">
        <v>855</v>
      </c>
      <c r="E80" s="0" t="s">
        <v>367</v>
      </c>
      <c r="F80" s="0" t="n">
        <v>3</v>
      </c>
      <c r="G80" s="0" t="s">
        <v>368</v>
      </c>
      <c r="H80" s="0" t="s">
        <v>369</v>
      </c>
      <c r="I80" s="0" t="s">
        <v>370</v>
      </c>
      <c r="J80" s="0" t="s">
        <v>371</v>
      </c>
      <c r="K80" s="0" t="s">
        <v>372</v>
      </c>
      <c r="L80" s="0" t="s">
        <v>682</v>
      </c>
      <c r="M80" s="0" t="s">
        <v>374</v>
      </c>
      <c r="N80" s="6" t="n">
        <v>46125</v>
      </c>
    </row>
    <row r="81" customFormat="false" ht="15" hidden="false" customHeight="false" outlineLevel="0" collapsed="false">
      <c r="B81" s="0" t="n">
        <v>695</v>
      </c>
      <c r="C81" s="0" t="s">
        <v>516</v>
      </c>
      <c r="D81" s="0" t="s">
        <v>854</v>
      </c>
      <c r="E81" s="0" t="s">
        <v>517</v>
      </c>
      <c r="F81" s="0" t="n">
        <v>1</v>
      </c>
      <c r="G81" s="0" t="s">
        <v>61</v>
      </c>
      <c r="H81" s="0" t="s">
        <v>518</v>
      </c>
      <c r="I81" s="0" t="s">
        <v>519</v>
      </c>
      <c r="J81" s="0" t="s">
        <v>520</v>
      </c>
      <c r="K81" s="0" t="s">
        <v>521</v>
      </c>
      <c r="L81" s="0" t="s">
        <v>522</v>
      </c>
      <c r="M81" s="0" t="s">
        <v>523</v>
      </c>
      <c r="N81" s="6" t="n">
        <v>46125</v>
      </c>
    </row>
    <row r="82" customFormat="false" ht="15" hidden="false" customHeight="false" outlineLevel="0" collapsed="false">
      <c r="B82" s="0" t="n">
        <v>677</v>
      </c>
      <c r="C82" s="0" t="s">
        <v>802</v>
      </c>
      <c r="D82" s="0" t="s">
        <v>854</v>
      </c>
      <c r="E82" s="0" t="s">
        <v>803</v>
      </c>
      <c r="F82" s="0" t="n">
        <v>1</v>
      </c>
      <c r="G82" s="0" t="s">
        <v>804</v>
      </c>
      <c r="H82" s="0" t="s">
        <v>805</v>
      </c>
      <c r="I82" s="0" t="s">
        <v>806</v>
      </c>
      <c r="J82" s="0" t="s">
        <v>807</v>
      </c>
      <c r="K82" s="0" t="s">
        <v>808</v>
      </c>
      <c r="L82" s="0" t="s">
        <v>809</v>
      </c>
      <c r="M82" s="0" t="s">
        <v>810</v>
      </c>
      <c r="N82" s="6" t="n">
        <v>46125</v>
      </c>
    </row>
    <row r="83" customFormat="false" ht="15" hidden="false" customHeight="false" outlineLevel="0" collapsed="false">
      <c r="B83" s="0" t="n">
        <v>556</v>
      </c>
      <c r="C83" s="0" t="s">
        <v>802</v>
      </c>
      <c r="D83" s="0" t="s">
        <v>856</v>
      </c>
      <c r="E83" s="0" t="s">
        <v>803</v>
      </c>
      <c r="F83" s="0" t="n">
        <v>3</v>
      </c>
      <c r="G83" s="0" t="s">
        <v>804</v>
      </c>
      <c r="H83" s="0" t="s">
        <v>805</v>
      </c>
      <c r="I83" s="0" t="s">
        <v>806</v>
      </c>
      <c r="J83" s="0" t="s">
        <v>807</v>
      </c>
      <c r="K83" s="0" t="s">
        <v>808</v>
      </c>
      <c r="L83" s="0" t="s">
        <v>809</v>
      </c>
      <c r="M83" s="0" t="s">
        <v>810</v>
      </c>
      <c r="N83" s="6" t="n">
        <v>46125</v>
      </c>
    </row>
    <row r="84" customFormat="false" ht="15" hidden="false" customHeight="false" outlineLevel="0" collapsed="false">
      <c r="B84" s="0" t="n">
        <v>431</v>
      </c>
      <c r="C84" s="0" t="s">
        <v>802</v>
      </c>
      <c r="D84" s="0" t="s">
        <v>855</v>
      </c>
      <c r="E84" s="0" t="s">
        <v>803</v>
      </c>
      <c r="F84" s="0" t="n">
        <v>5</v>
      </c>
      <c r="G84" s="0" t="s">
        <v>804</v>
      </c>
      <c r="H84" s="0" t="s">
        <v>805</v>
      </c>
      <c r="I84" s="0" t="s">
        <v>806</v>
      </c>
      <c r="J84" s="0" t="s">
        <v>807</v>
      </c>
      <c r="K84" s="0" t="s">
        <v>808</v>
      </c>
      <c r="L84" s="0" t="s">
        <v>872</v>
      </c>
      <c r="M84" s="0" t="s">
        <v>810</v>
      </c>
      <c r="N84" s="6" t="n">
        <v>46125</v>
      </c>
    </row>
    <row r="85" customFormat="false" ht="30" hidden="false" customHeight="true" outlineLevel="0" collapsed="false">
      <c r="B85" s="2" t="s">
        <v>873</v>
      </c>
      <c r="C85" s="0" t="s">
        <v>802</v>
      </c>
      <c r="D85" s="0" t="s">
        <v>853</v>
      </c>
      <c r="E85" s="0" t="s">
        <v>803</v>
      </c>
      <c r="F85" s="0" t="n">
        <v>6</v>
      </c>
      <c r="G85" s="0" t="s">
        <v>804</v>
      </c>
      <c r="H85" s="2" t="s">
        <v>874</v>
      </c>
      <c r="I85" s="2" t="s">
        <v>875</v>
      </c>
      <c r="J85" s="2" t="s">
        <v>876</v>
      </c>
      <c r="K85" s="0" t="s">
        <v>808</v>
      </c>
      <c r="L85" s="2" t="s">
        <v>877</v>
      </c>
      <c r="M85" s="0" t="s">
        <v>810</v>
      </c>
      <c r="N85" s="6" t="n">
        <v>46125</v>
      </c>
    </row>
    <row r="86" customFormat="false" ht="15" hidden="false" customHeight="false" outlineLevel="0" collapsed="false">
      <c r="B86" s="0" t="n">
        <v>648</v>
      </c>
      <c r="C86" s="0" t="s">
        <v>811</v>
      </c>
      <c r="D86" s="0" t="s">
        <v>854</v>
      </c>
      <c r="E86" s="0" t="s">
        <v>812</v>
      </c>
      <c r="F86" s="0" t="n">
        <v>11</v>
      </c>
      <c r="G86" s="0" t="s">
        <v>813</v>
      </c>
      <c r="H86" s="0" t="s">
        <v>814</v>
      </c>
      <c r="I86" s="0" t="s">
        <v>815</v>
      </c>
      <c r="J86" s="0" t="s">
        <v>816</v>
      </c>
      <c r="K86" s="0" t="s">
        <v>817</v>
      </c>
      <c r="L86" s="0" t="s">
        <v>818</v>
      </c>
      <c r="M86" s="0" t="s">
        <v>819</v>
      </c>
      <c r="N86" s="6" t="n">
        <v>46125</v>
      </c>
    </row>
    <row r="87" customFormat="false" ht="15" hidden="false" customHeight="false" outlineLevel="0" collapsed="false">
      <c r="B87" s="0" t="n">
        <v>204</v>
      </c>
      <c r="C87" s="0" t="s">
        <v>811</v>
      </c>
      <c r="D87" s="0" t="s">
        <v>853</v>
      </c>
      <c r="E87" s="0" t="s">
        <v>812</v>
      </c>
      <c r="F87" s="0" t="n">
        <v>1</v>
      </c>
      <c r="G87" s="0" t="s">
        <v>813</v>
      </c>
      <c r="H87" s="0" t="s">
        <v>814</v>
      </c>
      <c r="I87" s="0" t="s">
        <v>815</v>
      </c>
      <c r="J87" s="0" t="s">
        <v>816</v>
      </c>
      <c r="K87" s="0" t="s">
        <v>817</v>
      </c>
      <c r="L87" s="0" t="s">
        <v>818</v>
      </c>
      <c r="M87" s="0" t="s">
        <v>819</v>
      </c>
      <c r="N87" s="6" t="n">
        <v>46125</v>
      </c>
    </row>
    <row r="88" customFormat="false" ht="15" hidden="false" customHeight="false" outlineLevel="0" collapsed="false">
      <c r="B88" s="0" t="n">
        <v>679</v>
      </c>
      <c r="C88" s="0" t="s">
        <v>375</v>
      </c>
      <c r="D88" s="0" t="s">
        <v>854</v>
      </c>
      <c r="E88" s="0" t="s">
        <v>376</v>
      </c>
      <c r="F88" s="0" t="n">
        <v>1</v>
      </c>
      <c r="G88" s="0" t="s">
        <v>111</v>
      </c>
      <c r="H88" s="0" t="s">
        <v>473</v>
      </c>
      <c r="I88" s="0" t="s">
        <v>878</v>
      </c>
      <c r="J88" s="0" t="s">
        <v>475</v>
      </c>
      <c r="K88" s="0" t="s">
        <v>380</v>
      </c>
      <c r="L88" s="0" t="s">
        <v>879</v>
      </c>
      <c r="M88" s="0" t="s">
        <v>382</v>
      </c>
      <c r="N88" s="6" t="n">
        <v>46125</v>
      </c>
    </row>
    <row r="89" customFormat="false" ht="15" hidden="false" customHeight="false" outlineLevel="0" collapsed="false">
      <c r="B89" s="0" t="n">
        <v>558</v>
      </c>
      <c r="C89" s="0" t="s">
        <v>375</v>
      </c>
      <c r="D89" s="0" t="s">
        <v>856</v>
      </c>
      <c r="E89" s="0" t="s">
        <v>376</v>
      </c>
      <c r="F89" s="0" t="n">
        <v>2</v>
      </c>
      <c r="G89" s="0" t="s">
        <v>111</v>
      </c>
      <c r="H89" s="0" t="s">
        <v>377</v>
      </c>
      <c r="I89" s="0" t="s">
        <v>378</v>
      </c>
      <c r="J89" s="0" t="s">
        <v>379</v>
      </c>
      <c r="K89" s="0" t="s">
        <v>380</v>
      </c>
      <c r="L89" s="0" t="s">
        <v>381</v>
      </c>
      <c r="M89" s="0" t="s">
        <v>382</v>
      </c>
      <c r="N89" s="6" t="n">
        <v>46125</v>
      </c>
    </row>
    <row r="90" customFormat="false" ht="15" hidden="false" customHeight="false" outlineLevel="0" collapsed="false">
      <c r="B90" s="0" t="n">
        <v>433</v>
      </c>
      <c r="C90" s="0" t="s">
        <v>375</v>
      </c>
      <c r="D90" s="0" t="s">
        <v>855</v>
      </c>
      <c r="E90" s="0" t="s">
        <v>376</v>
      </c>
      <c r="F90" s="0" t="n">
        <v>4</v>
      </c>
      <c r="G90" s="0" t="s">
        <v>111</v>
      </c>
      <c r="H90" s="0" t="s">
        <v>377</v>
      </c>
      <c r="I90" s="0" t="s">
        <v>378</v>
      </c>
      <c r="J90" s="0" t="s">
        <v>379</v>
      </c>
      <c r="K90" s="0" t="s">
        <v>380</v>
      </c>
      <c r="L90" s="0" t="s">
        <v>381</v>
      </c>
      <c r="M90" s="0" t="s">
        <v>382</v>
      </c>
      <c r="N90" s="6" t="n">
        <v>46125</v>
      </c>
    </row>
    <row r="91" customFormat="false" ht="15" hidden="false" customHeight="false" outlineLevel="0" collapsed="false">
      <c r="B91" s="0" t="n">
        <v>218</v>
      </c>
      <c r="C91" s="0" t="s">
        <v>375</v>
      </c>
      <c r="D91" s="0" t="s">
        <v>853</v>
      </c>
      <c r="E91" s="0" t="s">
        <v>376</v>
      </c>
      <c r="F91" s="0" t="n">
        <v>2</v>
      </c>
      <c r="G91" s="0" t="s">
        <v>111</v>
      </c>
      <c r="H91" s="0" t="s">
        <v>377</v>
      </c>
      <c r="I91" s="0" t="s">
        <v>378</v>
      </c>
      <c r="J91" s="0" t="s">
        <v>379</v>
      </c>
      <c r="K91" s="0" t="s">
        <v>380</v>
      </c>
      <c r="L91" s="0" t="s">
        <v>381</v>
      </c>
      <c r="M91" s="0" t="s">
        <v>382</v>
      </c>
      <c r="N91" s="6" t="n">
        <v>46125</v>
      </c>
    </row>
    <row r="92" customFormat="false" ht="15" hidden="false" customHeight="false" outlineLevel="0" collapsed="false">
      <c r="B92" s="0" t="n">
        <v>663</v>
      </c>
      <c r="C92" s="0" t="s">
        <v>198</v>
      </c>
      <c r="D92" s="0" t="s">
        <v>854</v>
      </c>
      <c r="E92" s="0" t="s">
        <v>199</v>
      </c>
      <c r="F92" s="0" t="n">
        <v>2</v>
      </c>
      <c r="G92" s="0" t="s">
        <v>200</v>
      </c>
      <c r="H92" s="0" t="s">
        <v>201</v>
      </c>
      <c r="I92" s="0" t="s">
        <v>202</v>
      </c>
      <c r="J92" s="0" t="s">
        <v>203</v>
      </c>
      <c r="K92" s="0" t="s">
        <v>204</v>
      </c>
      <c r="L92" s="0" t="s">
        <v>205</v>
      </c>
      <c r="M92" s="0" t="s">
        <v>206</v>
      </c>
      <c r="N92" s="6" t="n">
        <v>46125</v>
      </c>
    </row>
    <row r="93" customFormat="false" ht="15" hidden="false" customHeight="false" outlineLevel="0" collapsed="false">
      <c r="B93" s="0" t="n">
        <v>549</v>
      </c>
      <c r="C93" s="0" t="s">
        <v>198</v>
      </c>
      <c r="D93" s="0" t="s">
        <v>856</v>
      </c>
      <c r="E93" s="0" t="s">
        <v>199</v>
      </c>
      <c r="F93" s="0" t="n">
        <v>3</v>
      </c>
      <c r="G93" s="0" t="s">
        <v>200</v>
      </c>
      <c r="H93" s="0" t="s">
        <v>201</v>
      </c>
      <c r="I93" s="0" t="s">
        <v>202</v>
      </c>
      <c r="J93" s="0" t="s">
        <v>203</v>
      </c>
      <c r="K93" s="0" t="s">
        <v>204</v>
      </c>
      <c r="L93" s="0" t="s">
        <v>205</v>
      </c>
      <c r="M93" s="0" t="s">
        <v>206</v>
      </c>
      <c r="N93" s="6" t="n">
        <v>46125</v>
      </c>
    </row>
    <row r="94" customFormat="false" ht="15" hidden="false" customHeight="false" outlineLevel="0" collapsed="false">
      <c r="B94" s="0" t="n">
        <v>422</v>
      </c>
      <c r="C94" s="0" t="s">
        <v>198</v>
      </c>
      <c r="D94" s="0" t="s">
        <v>855</v>
      </c>
      <c r="E94" s="0" t="s">
        <v>199</v>
      </c>
      <c r="F94" s="0" t="n">
        <v>4</v>
      </c>
      <c r="G94" s="0" t="s">
        <v>200</v>
      </c>
      <c r="H94" s="0" t="s">
        <v>201</v>
      </c>
      <c r="I94" s="0" t="s">
        <v>202</v>
      </c>
      <c r="J94" s="0" t="s">
        <v>203</v>
      </c>
      <c r="K94" s="0" t="s">
        <v>204</v>
      </c>
      <c r="L94" s="0" t="s">
        <v>205</v>
      </c>
      <c r="M94" s="0" t="s">
        <v>206</v>
      </c>
      <c r="N94" s="6" t="n">
        <v>46125</v>
      </c>
    </row>
    <row r="95" customFormat="false" ht="15" hidden="false" customHeight="false" outlineLevel="0" collapsed="false">
      <c r="B95" s="0" t="n">
        <v>211</v>
      </c>
      <c r="C95" s="0" t="s">
        <v>198</v>
      </c>
      <c r="D95" s="0" t="s">
        <v>853</v>
      </c>
      <c r="E95" s="0" t="s">
        <v>199</v>
      </c>
      <c r="F95" s="0" t="n">
        <v>1</v>
      </c>
      <c r="G95" s="0" t="s">
        <v>200</v>
      </c>
      <c r="H95" s="0" t="s">
        <v>201</v>
      </c>
      <c r="I95" s="0" t="s">
        <v>202</v>
      </c>
      <c r="J95" s="0" t="s">
        <v>203</v>
      </c>
      <c r="K95" s="0" t="s">
        <v>204</v>
      </c>
      <c r="L95" s="0" t="s">
        <v>205</v>
      </c>
      <c r="M95" s="0" t="s">
        <v>206</v>
      </c>
      <c r="N95" s="6" t="n">
        <v>46125</v>
      </c>
    </row>
    <row r="96" customFormat="false" ht="75" hidden="false" customHeight="true" outlineLevel="0" collapsed="false">
      <c r="B96" s="2" t="s">
        <v>880</v>
      </c>
      <c r="C96" s="0" t="s">
        <v>190</v>
      </c>
      <c r="D96" s="0" t="s">
        <v>854</v>
      </c>
      <c r="E96" s="0" t="s">
        <v>191</v>
      </c>
      <c r="F96" s="0" t="n">
        <v>6</v>
      </c>
      <c r="G96" s="0" t="s">
        <v>24</v>
      </c>
      <c r="H96" s="2" t="s">
        <v>881</v>
      </c>
      <c r="I96" s="2" t="s">
        <v>882</v>
      </c>
      <c r="J96" s="2" t="s">
        <v>883</v>
      </c>
      <c r="K96" s="0" t="s">
        <v>195</v>
      </c>
      <c r="L96" s="2" t="s">
        <v>884</v>
      </c>
      <c r="M96" s="0" t="s">
        <v>197</v>
      </c>
      <c r="N96" s="6" t="n">
        <v>46125</v>
      </c>
    </row>
    <row r="97" customFormat="false" ht="45" hidden="false" customHeight="true" outlineLevel="0" collapsed="false">
      <c r="A97" s="0" t="s">
        <v>857</v>
      </c>
      <c r="B97" s="2" t="s">
        <v>885</v>
      </c>
      <c r="C97" s="0" t="s">
        <v>190</v>
      </c>
      <c r="D97" s="0" t="s">
        <v>855</v>
      </c>
      <c r="E97" s="0" t="s">
        <v>191</v>
      </c>
      <c r="F97" s="0" t="n">
        <v>4</v>
      </c>
      <c r="G97" s="0" t="s">
        <v>24</v>
      </c>
      <c r="H97" s="2" t="s">
        <v>886</v>
      </c>
      <c r="I97" s="2" t="s">
        <v>887</v>
      </c>
      <c r="J97" s="2" t="s">
        <v>888</v>
      </c>
      <c r="K97" s="0" t="s">
        <v>195</v>
      </c>
      <c r="L97" s="2" t="s">
        <v>889</v>
      </c>
      <c r="M97" s="0" t="s">
        <v>197</v>
      </c>
      <c r="N97" s="6" t="n">
        <v>46125</v>
      </c>
    </row>
    <row r="98" customFormat="false" ht="15" hidden="false" customHeight="false" outlineLevel="0" collapsed="false">
      <c r="B98" s="0" t="n">
        <v>653</v>
      </c>
      <c r="C98" s="0" t="s">
        <v>75</v>
      </c>
      <c r="D98" s="0" t="s">
        <v>854</v>
      </c>
      <c r="E98" s="0" t="s">
        <v>76</v>
      </c>
      <c r="F98" s="0" t="n">
        <v>5</v>
      </c>
      <c r="G98" s="0" t="s">
        <v>77</v>
      </c>
      <c r="H98" s="0" t="s">
        <v>78</v>
      </c>
      <c r="I98" s="0" t="s">
        <v>79</v>
      </c>
      <c r="J98" s="0" t="s">
        <v>80</v>
      </c>
      <c r="K98" s="0" t="s">
        <v>81</v>
      </c>
      <c r="L98" s="0" t="s">
        <v>82</v>
      </c>
      <c r="M98" s="0" t="s">
        <v>83</v>
      </c>
      <c r="N98" s="6" t="n">
        <v>46125</v>
      </c>
    </row>
    <row r="99" customFormat="false" ht="15" hidden="false" customHeight="false" outlineLevel="0" collapsed="false">
      <c r="B99" s="0" t="n">
        <v>545</v>
      </c>
      <c r="C99" s="0" t="s">
        <v>75</v>
      </c>
      <c r="D99" s="0" t="s">
        <v>856</v>
      </c>
      <c r="E99" s="0" t="s">
        <v>76</v>
      </c>
      <c r="F99" s="0" t="n">
        <v>5</v>
      </c>
      <c r="G99" s="0" t="s">
        <v>77</v>
      </c>
      <c r="H99" s="0" t="s">
        <v>78</v>
      </c>
      <c r="I99" s="0" t="s">
        <v>79</v>
      </c>
      <c r="J99" s="0" t="s">
        <v>80</v>
      </c>
      <c r="K99" s="0" t="s">
        <v>81</v>
      </c>
      <c r="L99" s="0" t="s">
        <v>82</v>
      </c>
      <c r="M99" s="0" t="s">
        <v>83</v>
      </c>
      <c r="N99" s="6" t="n">
        <v>46125</v>
      </c>
    </row>
    <row r="100" customFormat="false" ht="15" hidden="false" customHeight="false" outlineLevel="0" collapsed="false">
      <c r="B100" s="0" t="n">
        <v>414</v>
      </c>
      <c r="C100" s="0" t="s">
        <v>75</v>
      </c>
      <c r="D100" s="0" t="s">
        <v>855</v>
      </c>
      <c r="E100" s="0" t="s">
        <v>76</v>
      </c>
      <c r="F100" s="0" t="n">
        <v>3</v>
      </c>
      <c r="G100" s="0" t="s">
        <v>77</v>
      </c>
      <c r="H100" s="0" t="s">
        <v>78</v>
      </c>
      <c r="I100" s="0" t="s">
        <v>79</v>
      </c>
      <c r="J100" s="0" t="s">
        <v>80</v>
      </c>
      <c r="K100" s="0" t="s">
        <v>81</v>
      </c>
      <c r="L100" s="0" t="s">
        <v>82</v>
      </c>
      <c r="M100" s="0" t="s">
        <v>83</v>
      </c>
      <c r="N100" s="6" t="n">
        <v>46125</v>
      </c>
    </row>
    <row r="101" customFormat="false" ht="15" hidden="false" customHeight="false" outlineLevel="0" collapsed="false">
      <c r="B101" s="0" t="n">
        <v>207</v>
      </c>
      <c r="C101" s="0" t="s">
        <v>75</v>
      </c>
      <c r="D101" s="0" t="s">
        <v>853</v>
      </c>
      <c r="E101" s="0" t="s">
        <v>76</v>
      </c>
      <c r="F101" s="0" t="n">
        <v>3</v>
      </c>
      <c r="G101" s="0" t="s">
        <v>77</v>
      </c>
      <c r="H101" s="0" t="s">
        <v>78</v>
      </c>
      <c r="I101" s="0" t="s">
        <v>79</v>
      </c>
      <c r="J101" s="0" t="s">
        <v>80</v>
      </c>
      <c r="K101" s="0" t="s">
        <v>81</v>
      </c>
      <c r="L101" s="0" t="s">
        <v>82</v>
      </c>
      <c r="M101" s="0" t="s">
        <v>83</v>
      </c>
      <c r="N101" s="6" t="n">
        <v>46125</v>
      </c>
    </row>
    <row r="102" customFormat="false" ht="30" hidden="false" customHeight="true" outlineLevel="0" collapsed="false">
      <c r="B102" s="2" t="s">
        <v>890</v>
      </c>
      <c r="C102" s="0" t="s">
        <v>231</v>
      </c>
      <c r="D102" s="0" t="s">
        <v>854</v>
      </c>
      <c r="E102" s="0" t="s">
        <v>232</v>
      </c>
      <c r="F102" s="0" t="n">
        <v>2</v>
      </c>
      <c r="G102" s="0" t="s">
        <v>61</v>
      </c>
      <c r="H102" s="2" t="s">
        <v>702</v>
      </c>
      <c r="I102" s="2" t="s">
        <v>703</v>
      </c>
      <c r="J102" s="2" t="s">
        <v>704</v>
      </c>
      <c r="K102" s="0" t="s">
        <v>236</v>
      </c>
      <c r="L102" s="2" t="s">
        <v>838</v>
      </c>
      <c r="M102" s="0" t="s">
        <v>238</v>
      </c>
      <c r="N102" s="6" t="n">
        <v>46125</v>
      </c>
    </row>
    <row r="103" customFormat="false" ht="30" hidden="false" customHeight="true" outlineLevel="0" collapsed="false">
      <c r="B103" s="0" t="n">
        <v>423</v>
      </c>
      <c r="C103" s="0" t="s">
        <v>231</v>
      </c>
      <c r="D103" s="0" t="s">
        <v>855</v>
      </c>
      <c r="E103" s="0" t="s">
        <v>232</v>
      </c>
      <c r="F103" s="0" t="n">
        <v>1</v>
      </c>
      <c r="G103" s="0" t="s">
        <v>61</v>
      </c>
      <c r="H103" s="2" t="s">
        <v>233</v>
      </c>
      <c r="I103" s="2" t="s">
        <v>234</v>
      </c>
      <c r="J103" s="2" t="s">
        <v>235</v>
      </c>
      <c r="K103" s="0" t="s">
        <v>236</v>
      </c>
      <c r="L103" s="0" t="s">
        <v>891</v>
      </c>
      <c r="M103" s="0" t="s">
        <v>238</v>
      </c>
      <c r="N103" s="6" t="n">
        <v>46125</v>
      </c>
    </row>
    <row r="104" customFormat="false" ht="15" hidden="false" customHeight="false" outlineLevel="0" collapsed="false">
      <c r="B104" s="0" t="n">
        <v>670</v>
      </c>
      <c r="C104" s="0" t="s">
        <v>706</v>
      </c>
      <c r="D104" s="0" t="s">
        <v>854</v>
      </c>
      <c r="E104" s="0" t="s">
        <v>707</v>
      </c>
      <c r="F104" s="0" t="n">
        <v>1</v>
      </c>
      <c r="G104" s="0" t="s">
        <v>111</v>
      </c>
      <c r="H104" s="0" t="s">
        <v>708</v>
      </c>
      <c r="I104" s="0" t="s">
        <v>709</v>
      </c>
      <c r="J104" s="0" t="s">
        <v>710</v>
      </c>
      <c r="K104" s="0" t="s">
        <v>711</v>
      </c>
      <c r="L104" s="0" t="s">
        <v>712</v>
      </c>
      <c r="M104" s="0" t="s">
        <v>713</v>
      </c>
      <c r="N104" s="6" t="n">
        <v>46125</v>
      </c>
    </row>
    <row r="105" customFormat="false" ht="15" hidden="false" customHeight="false" outlineLevel="0" collapsed="false">
      <c r="B105" s="0" t="n">
        <v>413</v>
      </c>
      <c r="C105" s="0" t="s">
        <v>68</v>
      </c>
      <c r="D105" s="0" t="s">
        <v>855</v>
      </c>
      <c r="E105" s="0" t="s">
        <v>69</v>
      </c>
      <c r="F105" s="0" t="n">
        <v>1</v>
      </c>
      <c r="G105" s="0" t="s">
        <v>61</v>
      </c>
      <c r="H105" s="0" t="s">
        <v>70</v>
      </c>
      <c r="I105" s="0" t="s">
        <v>71</v>
      </c>
      <c r="J105" s="0" t="s">
        <v>72</v>
      </c>
      <c r="K105" s="0" t="s">
        <v>73</v>
      </c>
      <c r="L105" s="0" t="s">
        <v>73</v>
      </c>
      <c r="M105" s="0" t="s">
        <v>74</v>
      </c>
      <c r="N105" s="6" t="n">
        <v>46125</v>
      </c>
    </row>
    <row r="106" customFormat="false" ht="15" hidden="false" customHeight="false" outlineLevel="0" collapsed="false">
      <c r="B106" s="0" t="n">
        <v>206</v>
      </c>
      <c r="C106" s="0" t="s">
        <v>68</v>
      </c>
      <c r="D106" s="0" t="s">
        <v>853</v>
      </c>
      <c r="E106" s="0" t="s">
        <v>69</v>
      </c>
      <c r="F106" s="0" t="n">
        <v>4</v>
      </c>
      <c r="G106" s="0" t="s">
        <v>61</v>
      </c>
      <c r="H106" s="0" t="s">
        <v>70</v>
      </c>
      <c r="I106" s="0" t="s">
        <v>71</v>
      </c>
      <c r="J106" s="0" t="s">
        <v>72</v>
      </c>
      <c r="K106" s="0" t="s">
        <v>73</v>
      </c>
      <c r="L106" s="0" t="s">
        <v>73</v>
      </c>
      <c r="M106" s="0" t="s">
        <v>74</v>
      </c>
      <c r="N106" s="6" t="n">
        <v>46125</v>
      </c>
    </row>
    <row r="107" customFormat="false" ht="30" hidden="false" customHeight="true" outlineLevel="0" collapsed="false">
      <c r="B107" s="0" t="n">
        <v>667</v>
      </c>
      <c r="C107" s="0" t="s">
        <v>255</v>
      </c>
      <c r="D107" s="0" t="s">
        <v>854</v>
      </c>
      <c r="E107" s="0" t="s">
        <v>256</v>
      </c>
      <c r="F107" s="0" t="n">
        <v>1</v>
      </c>
      <c r="G107" s="0" t="s">
        <v>61</v>
      </c>
      <c r="H107" s="0" t="s">
        <v>257</v>
      </c>
      <c r="I107" s="2" t="s">
        <v>258</v>
      </c>
      <c r="J107" s="2" t="s">
        <v>259</v>
      </c>
      <c r="K107" s="0" t="s">
        <v>260</v>
      </c>
      <c r="L107" s="0" t="s">
        <v>847</v>
      </c>
      <c r="M107" s="0" t="s">
        <v>262</v>
      </c>
      <c r="N107" s="6" t="n">
        <v>46125</v>
      </c>
    </row>
    <row r="108" customFormat="false" ht="30" hidden="false" customHeight="true" outlineLevel="0" collapsed="false">
      <c r="B108" s="0" t="n">
        <v>212</v>
      </c>
      <c r="C108" s="0" t="s">
        <v>255</v>
      </c>
      <c r="D108" s="0" t="s">
        <v>853</v>
      </c>
      <c r="E108" s="0" t="s">
        <v>256</v>
      </c>
      <c r="F108" s="0" t="n">
        <v>1</v>
      </c>
      <c r="G108" s="0" t="s">
        <v>61</v>
      </c>
      <c r="H108" s="0" t="s">
        <v>257</v>
      </c>
      <c r="I108" s="2" t="s">
        <v>258</v>
      </c>
      <c r="J108" s="2" t="s">
        <v>259</v>
      </c>
      <c r="K108" s="0" t="s">
        <v>260</v>
      </c>
      <c r="L108" s="0" t="s">
        <v>847</v>
      </c>
      <c r="M108" s="0" t="s">
        <v>262</v>
      </c>
      <c r="N108" s="6" t="n">
        <v>46125</v>
      </c>
    </row>
    <row r="109" customFormat="false" ht="15" hidden="false" customHeight="false" outlineLevel="0" collapsed="false">
      <c r="B109" s="0" t="n">
        <v>689</v>
      </c>
      <c r="C109" s="0" t="s">
        <v>471</v>
      </c>
      <c r="D109" s="0" t="s">
        <v>854</v>
      </c>
      <c r="E109" s="0" t="s">
        <v>472</v>
      </c>
      <c r="F109" s="0" t="n">
        <v>1</v>
      </c>
      <c r="G109" s="0" t="s">
        <v>111</v>
      </c>
      <c r="H109" s="0" t="s">
        <v>473</v>
      </c>
      <c r="I109" s="0" t="s">
        <v>474</v>
      </c>
      <c r="J109" s="0" t="s">
        <v>475</v>
      </c>
      <c r="K109" s="0" t="s">
        <v>476</v>
      </c>
      <c r="L109" s="0" t="s">
        <v>476</v>
      </c>
      <c r="M109" s="0" t="s">
        <v>477</v>
      </c>
      <c r="N109" s="6" t="n">
        <v>46125</v>
      </c>
    </row>
    <row r="110" customFormat="false" ht="15" hidden="false" customHeight="false" outlineLevel="0" collapsed="false">
      <c r="B110" s="0" t="n">
        <v>662</v>
      </c>
      <c r="C110" s="0" t="s">
        <v>892</v>
      </c>
      <c r="D110" s="0" t="s">
        <v>854</v>
      </c>
      <c r="E110" s="0" t="s">
        <v>893</v>
      </c>
      <c r="F110" s="0" t="n">
        <v>1</v>
      </c>
      <c r="G110" s="0" t="s">
        <v>61</v>
      </c>
      <c r="H110" s="0" t="s">
        <v>894</v>
      </c>
      <c r="I110" s="0" t="s">
        <v>895</v>
      </c>
      <c r="J110" s="0" t="s">
        <v>896</v>
      </c>
      <c r="K110" s="0" t="s">
        <v>897</v>
      </c>
      <c r="L110" s="0" t="s">
        <v>897</v>
      </c>
      <c r="M110" s="0" t="s">
        <v>898</v>
      </c>
      <c r="N110" s="6" t="n">
        <v>46125</v>
      </c>
    </row>
    <row r="111" customFormat="false" ht="15" hidden="false" customHeight="false" outlineLevel="0" collapsed="false">
      <c r="B111" s="0" t="n">
        <v>424</v>
      </c>
      <c r="C111" s="0" t="s">
        <v>239</v>
      </c>
      <c r="D111" s="0" t="s">
        <v>855</v>
      </c>
      <c r="E111" s="0" t="s">
        <v>240</v>
      </c>
      <c r="F111" s="0" t="n">
        <v>1</v>
      </c>
      <c r="G111" s="0" t="s">
        <v>24</v>
      </c>
      <c r="H111" s="0" t="s">
        <v>241</v>
      </c>
      <c r="I111" s="0" t="s">
        <v>242</v>
      </c>
      <c r="J111" s="0" t="s">
        <v>243</v>
      </c>
      <c r="K111" s="0" t="s">
        <v>244</v>
      </c>
      <c r="L111" s="0" t="s">
        <v>714</v>
      </c>
      <c r="M111" s="0" t="s">
        <v>246</v>
      </c>
      <c r="N111" s="6" t="n">
        <v>46125</v>
      </c>
    </row>
    <row r="112" customFormat="false" ht="15" hidden="false" customHeight="false" outlineLevel="0" collapsed="false">
      <c r="B112" s="0" t="n">
        <v>654</v>
      </c>
      <c r="C112" s="0" t="s">
        <v>899</v>
      </c>
      <c r="D112" s="0" t="s">
        <v>854</v>
      </c>
      <c r="E112" s="0" t="s">
        <v>900</v>
      </c>
      <c r="F112" s="0" t="n">
        <v>2</v>
      </c>
      <c r="G112" s="0" t="s">
        <v>901</v>
      </c>
      <c r="H112" s="0" t="s">
        <v>902</v>
      </c>
      <c r="I112" s="0" t="s">
        <v>903</v>
      </c>
      <c r="J112" s="0" t="s">
        <v>904</v>
      </c>
      <c r="K112" s="0" t="s">
        <v>905</v>
      </c>
      <c r="L112" s="0" t="s">
        <v>906</v>
      </c>
      <c r="M112" s="0" t="s">
        <v>907</v>
      </c>
      <c r="N112" s="6" t="n">
        <v>46125</v>
      </c>
    </row>
    <row r="113" customFormat="false" ht="15" hidden="false" customHeight="false" outlineLevel="0" collapsed="false">
      <c r="B113" s="0" t="n">
        <v>415</v>
      </c>
      <c r="C113" s="0" t="s">
        <v>899</v>
      </c>
      <c r="D113" s="0" t="s">
        <v>855</v>
      </c>
      <c r="E113" s="0" t="s">
        <v>900</v>
      </c>
      <c r="F113" s="0" t="n">
        <v>1</v>
      </c>
      <c r="G113" s="0" t="s">
        <v>901</v>
      </c>
      <c r="H113" s="0" t="s">
        <v>902</v>
      </c>
      <c r="I113" s="0" t="s">
        <v>903</v>
      </c>
      <c r="J113" s="0" t="s">
        <v>904</v>
      </c>
      <c r="K113" s="0" t="s">
        <v>905</v>
      </c>
      <c r="L113" s="0" t="s">
        <v>906</v>
      </c>
      <c r="M113" s="0" t="s">
        <v>907</v>
      </c>
      <c r="N113" s="6" t="n">
        <v>46125</v>
      </c>
    </row>
    <row r="114" customFormat="false" ht="15" hidden="false" customHeight="false" outlineLevel="0" collapsed="false">
      <c r="B114" s="0" t="n">
        <v>553</v>
      </c>
      <c r="C114" s="0" t="s">
        <v>743</v>
      </c>
      <c r="D114" s="0" t="s">
        <v>856</v>
      </c>
      <c r="E114" s="0" t="s">
        <v>744</v>
      </c>
      <c r="F114" s="0" t="n">
        <v>1</v>
      </c>
      <c r="G114" s="0" t="s">
        <v>745</v>
      </c>
      <c r="H114" s="0" t="s">
        <v>746</v>
      </c>
      <c r="I114" s="0" t="s">
        <v>747</v>
      </c>
      <c r="J114" s="0" t="s">
        <v>748</v>
      </c>
      <c r="K114" s="0" t="s">
        <v>749</v>
      </c>
      <c r="L114" s="0" t="s">
        <v>750</v>
      </c>
      <c r="M114" s="0" t="s">
        <v>751</v>
      </c>
      <c r="N114" s="6" t="n">
        <v>46125</v>
      </c>
    </row>
    <row r="115" customFormat="false" ht="15" hidden="false" customHeight="false" outlineLevel="0" collapsed="false">
      <c r="B115" s="0" t="n">
        <v>550</v>
      </c>
      <c r="C115" s="0" t="s">
        <v>223</v>
      </c>
      <c r="D115" s="0" t="s">
        <v>856</v>
      </c>
      <c r="E115" s="0" t="s">
        <v>224</v>
      </c>
      <c r="F115" s="0" t="n">
        <v>1</v>
      </c>
      <c r="G115" s="0" t="s">
        <v>61</v>
      </c>
      <c r="H115" s="0" t="s">
        <v>225</v>
      </c>
      <c r="I115" s="0" t="s">
        <v>226</v>
      </c>
      <c r="J115" s="0" t="s">
        <v>227</v>
      </c>
      <c r="K115" s="0" t="s">
        <v>228</v>
      </c>
      <c r="L115" s="0" t="s">
        <v>229</v>
      </c>
      <c r="M115" s="0" t="s">
        <v>230</v>
      </c>
      <c r="N115" s="6" t="n">
        <v>46125</v>
      </c>
    </row>
    <row r="116" customFormat="false" ht="15" hidden="false" customHeight="false" outlineLevel="0" collapsed="false">
      <c r="B116" s="0" t="n">
        <v>428</v>
      </c>
      <c r="C116" s="0" t="s">
        <v>294</v>
      </c>
      <c r="D116" s="0" t="s">
        <v>855</v>
      </c>
      <c r="E116" s="0" t="s">
        <v>295</v>
      </c>
      <c r="F116" s="0" t="n">
        <v>1</v>
      </c>
      <c r="G116" s="0" t="s">
        <v>61</v>
      </c>
      <c r="H116" s="0" t="s">
        <v>908</v>
      </c>
      <c r="I116" s="0" t="s">
        <v>909</v>
      </c>
      <c r="J116" s="0" t="s">
        <v>910</v>
      </c>
      <c r="K116" s="0" t="s">
        <v>299</v>
      </c>
      <c r="L116" s="0" t="s">
        <v>300</v>
      </c>
      <c r="M116" s="0" t="s">
        <v>301</v>
      </c>
      <c r="N116" s="6" t="n">
        <v>46125</v>
      </c>
    </row>
    <row r="117" customFormat="false" ht="15" hidden="false" customHeight="false" outlineLevel="0" collapsed="false">
      <c r="F117" s="0" t="n">
        <f aca="false">SUBTOTAL(109,Table10[Kom.])</f>
        <v>213</v>
      </c>
      <c r="N117" s="6"/>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3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F137" activeCellId="0" sqref="F137"/>
    </sheetView>
  </sheetViews>
  <sheetFormatPr defaultColWidth="8.859375" defaultRowHeight="15" zeroHeight="false" outlineLevelRow="0" outlineLevelCol="0"/>
  <cols>
    <col collapsed="false" customWidth="true" hidden="false" outlineLevel="0" max="1" min="1" style="0" width="94"/>
    <col collapsed="false" customWidth="true" hidden="false" outlineLevel="0" max="2" min="2" style="0" width="16.85"/>
    <col collapsed="false" customWidth="true" hidden="false" outlineLevel="0" max="3" min="3" style="0" width="9.28"/>
    <col collapsed="false" customWidth="true" hidden="false" outlineLevel="0" max="4" min="4" style="0" width="8.14"/>
    <col collapsed="false" customWidth="true" hidden="false" outlineLevel="0" max="8" min="5" style="0" width="9.28"/>
    <col collapsed="false" customWidth="true" hidden="false" outlineLevel="0" max="9" min="9" style="0" width="7.28"/>
    <col collapsed="false" customWidth="true" hidden="false" outlineLevel="0" max="11" min="10" style="0" width="9.28"/>
    <col collapsed="false" customWidth="true" hidden="false" outlineLevel="0" max="13" min="12" style="0" width="11.28"/>
  </cols>
  <sheetData>
    <row r="1" customFormat="false" ht="15" hidden="false" customHeight="false" outlineLevel="0" collapsed="false">
      <c r="A1" s="10" t="s">
        <v>6</v>
      </c>
      <c r="B1" s="11" t="s">
        <v>911</v>
      </c>
    </row>
    <row r="3" customFormat="false" ht="15" hidden="false" customHeight="false" outlineLevel="0" collapsed="false">
      <c r="A3" s="12" t="s">
        <v>912</v>
      </c>
      <c r="B3" s="13"/>
      <c r="C3" s="14" t="s">
        <v>16</v>
      </c>
      <c r="D3" s="15"/>
      <c r="E3" s="15"/>
      <c r="F3" s="15"/>
      <c r="G3" s="15"/>
      <c r="H3" s="15"/>
      <c r="I3" s="15"/>
      <c r="J3" s="15"/>
      <c r="K3" s="15"/>
      <c r="L3" s="15"/>
      <c r="M3" s="16"/>
    </row>
    <row r="4" customFormat="false" ht="15" hidden="false" customHeight="false" outlineLevel="0" collapsed="false">
      <c r="A4" s="17" t="s">
        <v>8</v>
      </c>
      <c r="B4" s="18" t="s">
        <v>5</v>
      </c>
      <c r="C4" s="19" t="n">
        <v>46104</v>
      </c>
      <c r="D4" s="20" t="n">
        <v>46111</v>
      </c>
      <c r="E4" s="20" t="n">
        <v>46119</v>
      </c>
      <c r="F4" s="20" t="n">
        <v>46125</v>
      </c>
      <c r="G4" s="20" t="n">
        <v>46132</v>
      </c>
      <c r="H4" s="20" t="n">
        <v>46139</v>
      </c>
      <c r="I4" s="20" t="n">
        <v>46153</v>
      </c>
      <c r="J4" s="20" t="s">
        <v>913</v>
      </c>
      <c r="K4" s="20" t="n">
        <v>46160</v>
      </c>
      <c r="L4" s="20" t="n">
        <v>46167</v>
      </c>
      <c r="M4" s="21" t="s">
        <v>914</v>
      </c>
    </row>
    <row r="5" customFormat="false" ht="15" hidden="false" customHeight="false" outlineLevel="0" collapsed="false">
      <c r="A5" s="22" t="s">
        <v>637</v>
      </c>
      <c r="B5" s="23"/>
      <c r="C5" s="24"/>
      <c r="D5" s="25" t="n">
        <v>1</v>
      </c>
      <c r="E5" s="26"/>
      <c r="F5" s="26"/>
      <c r="G5" s="25" t="n">
        <v>1</v>
      </c>
      <c r="H5" s="26"/>
      <c r="I5" s="26"/>
      <c r="J5" s="26"/>
      <c r="K5" s="25" t="n">
        <v>2</v>
      </c>
      <c r="L5" s="27"/>
      <c r="M5" s="28" t="n">
        <v>4</v>
      </c>
    </row>
    <row r="6" customFormat="false" ht="15" hidden="false" customHeight="false" outlineLevel="0" collapsed="false">
      <c r="A6" s="29"/>
      <c r="B6" s="30" t="s">
        <v>636</v>
      </c>
      <c r="C6" s="31"/>
      <c r="D6" s="32" t="n">
        <v>1</v>
      </c>
      <c r="E6" s="33"/>
      <c r="F6" s="33"/>
      <c r="G6" s="32" t="n">
        <v>1</v>
      </c>
      <c r="H6" s="33"/>
      <c r="I6" s="33"/>
      <c r="J6" s="33"/>
      <c r="K6" s="32" t="n">
        <v>2</v>
      </c>
      <c r="L6" s="34"/>
      <c r="M6" s="35" t="n">
        <v>4</v>
      </c>
    </row>
    <row r="7" customFormat="false" ht="15" hidden="false" customHeight="false" outlineLevel="0" collapsed="false">
      <c r="A7" s="22" t="s">
        <v>813</v>
      </c>
      <c r="B7" s="23"/>
      <c r="C7" s="26"/>
      <c r="D7" s="26"/>
      <c r="E7" s="25" t="n">
        <v>9</v>
      </c>
      <c r="F7" s="25" t="n">
        <v>12</v>
      </c>
      <c r="G7" s="26"/>
      <c r="H7" s="26"/>
      <c r="I7" s="25" t="n">
        <v>59</v>
      </c>
      <c r="J7" s="26"/>
      <c r="K7" s="26"/>
      <c r="L7" s="26"/>
      <c r="M7" s="28" t="n">
        <v>80</v>
      </c>
    </row>
    <row r="8" customFormat="false" ht="15" hidden="false" customHeight="false" outlineLevel="0" collapsed="false">
      <c r="A8" s="29"/>
      <c r="B8" s="30" t="s">
        <v>812</v>
      </c>
      <c r="C8" s="33"/>
      <c r="D8" s="33"/>
      <c r="E8" s="32" t="n">
        <v>9</v>
      </c>
      <c r="F8" s="32" t="n">
        <v>12</v>
      </c>
      <c r="G8" s="33"/>
      <c r="H8" s="33"/>
      <c r="I8" s="32" t="n">
        <v>59</v>
      </c>
      <c r="J8" s="33"/>
      <c r="K8" s="33"/>
      <c r="L8" s="33"/>
      <c r="M8" s="35" t="n">
        <v>80</v>
      </c>
    </row>
    <row r="9" customFormat="false" ht="15" hidden="false" customHeight="false" outlineLevel="0" collapsed="false">
      <c r="A9" s="22" t="s">
        <v>784</v>
      </c>
      <c r="B9" s="23"/>
      <c r="C9" s="24"/>
      <c r="D9" s="26"/>
      <c r="E9" s="25" t="n">
        <v>1</v>
      </c>
      <c r="F9" s="26"/>
      <c r="G9" s="25" t="n">
        <v>1</v>
      </c>
      <c r="H9" s="26"/>
      <c r="I9" s="26"/>
      <c r="J9" s="26"/>
      <c r="K9" s="26"/>
      <c r="L9" s="27"/>
      <c r="M9" s="28" t="n">
        <v>2</v>
      </c>
    </row>
    <row r="10" customFormat="false" ht="15" hidden="false" customHeight="false" outlineLevel="0" collapsed="false">
      <c r="A10" s="29"/>
      <c r="B10" s="30" t="s">
        <v>783</v>
      </c>
      <c r="C10" s="31"/>
      <c r="D10" s="33"/>
      <c r="E10" s="32" t="n">
        <v>1</v>
      </c>
      <c r="F10" s="33"/>
      <c r="G10" s="32" t="n">
        <v>1</v>
      </c>
      <c r="H10" s="33"/>
      <c r="I10" s="33"/>
      <c r="J10" s="33"/>
      <c r="K10" s="33"/>
      <c r="L10" s="34"/>
      <c r="M10" s="35" t="n">
        <v>2</v>
      </c>
    </row>
    <row r="11" customFormat="false" ht="15" hidden="false" customHeight="false" outlineLevel="0" collapsed="false">
      <c r="A11" s="22" t="s">
        <v>717</v>
      </c>
      <c r="B11" s="23"/>
      <c r="C11" s="26"/>
      <c r="D11" s="25" t="n">
        <v>3</v>
      </c>
      <c r="E11" s="26"/>
      <c r="F11" s="26"/>
      <c r="G11" s="25" t="n">
        <v>1</v>
      </c>
      <c r="H11" s="25" t="n">
        <v>1</v>
      </c>
      <c r="I11" s="26"/>
      <c r="J11" s="26"/>
      <c r="K11" s="25" t="n">
        <v>1</v>
      </c>
      <c r="L11" s="26"/>
      <c r="M11" s="28" t="n">
        <v>6</v>
      </c>
    </row>
    <row r="12" customFormat="false" ht="15" hidden="false" customHeight="false" outlineLevel="0" collapsed="false">
      <c r="A12" s="29"/>
      <c r="B12" s="30" t="s">
        <v>716</v>
      </c>
      <c r="C12" s="33"/>
      <c r="D12" s="32" t="n">
        <v>3</v>
      </c>
      <c r="E12" s="33"/>
      <c r="F12" s="33"/>
      <c r="G12" s="32" t="n">
        <v>1</v>
      </c>
      <c r="H12" s="32" t="n">
        <v>1</v>
      </c>
      <c r="I12" s="33"/>
      <c r="J12" s="33"/>
      <c r="K12" s="32" t="n">
        <v>1</v>
      </c>
      <c r="L12" s="33"/>
      <c r="M12" s="35" t="n">
        <v>6</v>
      </c>
    </row>
    <row r="13" customFormat="false" ht="15" hidden="false" customHeight="false" outlineLevel="0" collapsed="false">
      <c r="A13" s="22" t="s">
        <v>573</v>
      </c>
      <c r="B13" s="23"/>
      <c r="C13" s="24"/>
      <c r="D13" s="25" t="n">
        <v>3</v>
      </c>
      <c r="E13" s="25" t="n">
        <v>1</v>
      </c>
      <c r="F13" s="25" t="n">
        <v>1</v>
      </c>
      <c r="G13" s="25" t="n">
        <v>3</v>
      </c>
      <c r="H13" s="25" t="n">
        <v>2</v>
      </c>
      <c r="I13" s="26"/>
      <c r="J13" s="26"/>
      <c r="K13" s="25" t="n">
        <v>3</v>
      </c>
      <c r="L13" s="27"/>
      <c r="M13" s="28" t="n">
        <v>13</v>
      </c>
    </row>
    <row r="14" customFormat="false" ht="15" hidden="false" customHeight="false" outlineLevel="0" collapsed="false">
      <c r="A14" s="29"/>
      <c r="B14" s="30" t="s">
        <v>572</v>
      </c>
      <c r="C14" s="31"/>
      <c r="D14" s="32" t="n">
        <v>3</v>
      </c>
      <c r="E14" s="32" t="n">
        <v>1</v>
      </c>
      <c r="F14" s="32" t="n">
        <v>1</v>
      </c>
      <c r="G14" s="32" t="n">
        <v>3</v>
      </c>
      <c r="H14" s="32" t="n">
        <v>2</v>
      </c>
      <c r="I14" s="33"/>
      <c r="J14" s="33"/>
      <c r="K14" s="32" t="n">
        <v>3</v>
      </c>
      <c r="L14" s="34"/>
      <c r="M14" s="35" t="n">
        <v>13</v>
      </c>
    </row>
    <row r="15" customFormat="false" ht="15" hidden="false" customHeight="false" outlineLevel="0" collapsed="false">
      <c r="A15" s="22" t="s">
        <v>736</v>
      </c>
      <c r="B15" s="23"/>
      <c r="C15" s="26"/>
      <c r="D15" s="25" t="n">
        <v>1</v>
      </c>
      <c r="E15" s="25" t="n">
        <v>1</v>
      </c>
      <c r="F15" s="26"/>
      <c r="G15" s="26"/>
      <c r="H15" s="25" t="n">
        <v>2</v>
      </c>
      <c r="I15" s="26"/>
      <c r="J15" s="26"/>
      <c r="K15" s="26"/>
      <c r="L15" s="26"/>
      <c r="M15" s="28" t="n">
        <v>4</v>
      </c>
    </row>
    <row r="16" customFormat="false" ht="15" hidden="false" customHeight="false" outlineLevel="0" collapsed="false">
      <c r="A16" s="29"/>
      <c r="B16" s="30" t="s">
        <v>735</v>
      </c>
      <c r="C16" s="33"/>
      <c r="D16" s="32" t="n">
        <v>1</v>
      </c>
      <c r="E16" s="32" t="n">
        <v>1</v>
      </c>
      <c r="F16" s="33"/>
      <c r="G16" s="33"/>
      <c r="H16" s="32" t="n">
        <v>2</v>
      </c>
      <c r="I16" s="33"/>
      <c r="J16" s="33"/>
      <c r="K16" s="33"/>
      <c r="L16" s="33"/>
      <c r="M16" s="35" t="n">
        <v>4</v>
      </c>
    </row>
    <row r="17" customFormat="false" ht="15" hidden="false" customHeight="false" outlineLevel="0" collapsed="false">
      <c r="A17" s="22" t="s">
        <v>901</v>
      </c>
      <c r="B17" s="23"/>
      <c r="C17" s="24"/>
      <c r="D17" s="26"/>
      <c r="E17" s="26"/>
      <c r="F17" s="25" t="n">
        <v>3</v>
      </c>
      <c r="G17" s="25" t="n">
        <v>1</v>
      </c>
      <c r="H17" s="25" t="n">
        <v>1</v>
      </c>
      <c r="I17" s="26"/>
      <c r="J17" s="26"/>
      <c r="K17" s="26"/>
      <c r="L17" s="27"/>
      <c r="M17" s="28" t="n">
        <v>5</v>
      </c>
    </row>
    <row r="18" customFormat="false" ht="15" hidden="false" customHeight="false" outlineLevel="0" collapsed="false">
      <c r="A18" s="29"/>
      <c r="B18" s="30" t="s">
        <v>900</v>
      </c>
      <c r="C18" s="31"/>
      <c r="D18" s="33"/>
      <c r="E18" s="33"/>
      <c r="F18" s="32" t="n">
        <v>3</v>
      </c>
      <c r="G18" s="32" t="n">
        <v>1</v>
      </c>
      <c r="H18" s="32" t="n">
        <v>1</v>
      </c>
      <c r="I18" s="33"/>
      <c r="J18" s="33"/>
      <c r="K18" s="33"/>
      <c r="L18" s="34"/>
      <c r="M18" s="35" t="n">
        <v>5</v>
      </c>
    </row>
    <row r="19" customFormat="false" ht="15" hidden="false" customHeight="false" outlineLevel="0" collapsed="false">
      <c r="A19" s="22" t="s">
        <v>804</v>
      </c>
      <c r="B19" s="23"/>
      <c r="C19" s="26"/>
      <c r="D19" s="26"/>
      <c r="E19" s="25" t="n">
        <v>2</v>
      </c>
      <c r="F19" s="25" t="n">
        <v>15</v>
      </c>
      <c r="G19" s="25" t="n">
        <v>17</v>
      </c>
      <c r="H19" s="25" t="n">
        <v>19</v>
      </c>
      <c r="I19" s="26"/>
      <c r="J19" s="26"/>
      <c r="K19" s="25" t="n">
        <v>17</v>
      </c>
      <c r="L19" s="25" t="n">
        <v>3</v>
      </c>
      <c r="M19" s="28" t="n">
        <v>73</v>
      </c>
    </row>
    <row r="20" customFormat="false" ht="15" hidden="false" customHeight="false" outlineLevel="0" collapsed="false">
      <c r="A20" s="29"/>
      <c r="B20" s="30" t="s">
        <v>803</v>
      </c>
      <c r="C20" s="33"/>
      <c r="D20" s="33"/>
      <c r="E20" s="32" t="n">
        <v>2</v>
      </c>
      <c r="F20" s="32" t="n">
        <v>15</v>
      </c>
      <c r="G20" s="32" t="n">
        <v>17</v>
      </c>
      <c r="H20" s="32" t="n">
        <v>19</v>
      </c>
      <c r="I20" s="33"/>
      <c r="J20" s="33"/>
      <c r="K20" s="32" t="n">
        <v>17</v>
      </c>
      <c r="L20" s="32" t="n">
        <v>3</v>
      </c>
      <c r="M20" s="35" t="n">
        <v>73</v>
      </c>
    </row>
    <row r="21" customFormat="false" ht="15" hidden="false" customHeight="false" outlineLevel="0" collapsed="false">
      <c r="A21" s="22" t="s">
        <v>727</v>
      </c>
      <c r="B21" s="23"/>
      <c r="C21" s="24"/>
      <c r="D21" s="25" t="n">
        <v>2</v>
      </c>
      <c r="E21" s="25" t="n">
        <v>4</v>
      </c>
      <c r="F21" s="26"/>
      <c r="G21" s="25" t="n">
        <v>3</v>
      </c>
      <c r="H21" s="25" t="n">
        <v>1</v>
      </c>
      <c r="I21" s="26"/>
      <c r="J21" s="26"/>
      <c r="K21" s="25" t="n">
        <v>6</v>
      </c>
      <c r="L21" s="27"/>
      <c r="M21" s="28" t="n">
        <v>16</v>
      </c>
    </row>
    <row r="22" customFormat="false" ht="15" hidden="false" customHeight="false" outlineLevel="0" collapsed="false">
      <c r="A22" s="29"/>
      <c r="B22" s="30" t="s">
        <v>726</v>
      </c>
      <c r="C22" s="31"/>
      <c r="D22" s="32" t="n">
        <v>2</v>
      </c>
      <c r="E22" s="32" t="n">
        <v>4</v>
      </c>
      <c r="F22" s="33"/>
      <c r="G22" s="32" t="n">
        <v>3</v>
      </c>
      <c r="H22" s="32" t="n">
        <v>1</v>
      </c>
      <c r="I22" s="33"/>
      <c r="J22" s="33"/>
      <c r="K22" s="32" t="n">
        <v>6</v>
      </c>
      <c r="L22" s="34"/>
      <c r="M22" s="35" t="n">
        <v>16</v>
      </c>
    </row>
    <row r="23" customFormat="false" ht="15" hidden="false" customHeight="false" outlineLevel="0" collapsed="false">
      <c r="A23" s="22" t="s">
        <v>417</v>
      </c>
      <c r="B23" s="23"/>
      <c r="C23" s="25" t="n">
        <v>1</v>
      </c>
      <c r="D23" s="25" t="n">
        <v>2</v>
      </c>
      <c r="E23" s="26"/>
      <c r="F23" s="26"/>
      <c r="G23" s="25" t="n">
        <v>1</v>
      </c>
      <c r="H23" s="26"/>
      <c r="I23" s="26"/>
      <c r="J23" s="26"/>
      <c r="K23" s="25" t="n">
        <v>2</v>
      </c>
      <c r="L23" s="26"/>
      <c r="M23" s="28" t="n">
        <v>6</v>
      </c>
    </row>
    <row r="24" customFormat="false" ht="15" hidden="false" customHeight="false" outlineLevel="0" collapsed="false">
      <c r="A24" s="29"/>
      <c r="B24" s="30" t="s">
        <v>416</v>
      </c>
      <c r="C24" s="32" t="n">
        <v>1</v>
      </c>
      <c r="D24" s="32" t="n">
        <v>2</v>
      </c>
      <c r="E24" s="33"/>
      <c r="F24" s="33"/>
      <c r="G24" s="32" t="n">
        <v>1</v>
      </c>
      <c r="H24" s="33"/>
      <c r="I24" s="33"/>
      <c r="J24" s="33"/>
      <c r="K24" s="32" t="n">
        <v>2</v>
      </c>
      <c r="L24" s="33"/>
      <c r="M24" s="35" t="n">
        <v>6</v>
      </c>
    </row>
    <row r="25" customFormat="false" ht="15" hidden="false" customHeight="false" outlineLevel="0" collapsed="false">
      <c r="A25" s="22" t="s">
        <v>152</v>
      </c>
      <c r="B25" s="23"/>
      <c r="C25" s="36" t="n">
        <v>11</v>
      </c>
      <c r="D25" s="25" t="n">
        <v>25</v>
      </c>
      <c r="E25" s="25" t="n">
        <v>10</v>
      </c>
      <c r="F25" s="25" t="n">
        <v>18</v>
      </c>
      <c r="G25" s="25" t="n">
        <v>27</v>
      </c>
      <c r="H25" s="25" t="n">
        <v>58</v>
      </c>
      <c r="I25" s="26"/>
      <c r="J25" s="26"/>
      <c r="K25" s="25" t="n">
        <v>33</v>
      </c>
      <c r="L25" s="37" t="n">
        <v>2</v>
      </c>
      <c r="M25" s="28" t="n">
        <v>184</v>
      </c>
    </row>
    <row r="26" customFormat="false" ht="15" hidden="false" customHeight="false" outlineLevel="0" collapsed="false">
      <c r="A26" s="38"/>
      <c r="B26" s="39" t="s">
        <v>915</v>
      </c>
      <c r="C26" s="40"/>
      <c r="D26" s="41"/>
      <c r="E26" s="41"/>
      <c r="F26" s="41"/>
      <c r="G26" s="42" t="n">
        <v>2</v>
      </c>
      <c r="H26" s="41"/>
      <c r="I26" s="41"/>
      <c r="J26" s="41"/>
      <c r="K26" s="42" t="n">
        <v>2</v>
      </c>
      <c r="L26" s="43"/>
      <c r="M26" s="44" t="n">
        <v>4</v>
      </c>
    </row>
    <row r="27" customFormat="false" ht="15" hidden="false" customHeight="false" outlineLevel="0" collapsed="false">
      <c r="A27" s="38"/>
      <c r="B27" s="39" t="s">
        <v>311</v>
      </c>
      <c r="C27" s="45" t="n">
        <v>1</v>
      </c>
      <c r="D27" s="42" t="n">
        <v>3</v>
      </c>
      <c r="E27" s="41"/>
      <c r="F27" s="42" t="n">
        <v>2</v>
      </c>
      <c r="G27" s="42" t="n">
        <v>2</v>
      </c>
      <c r="H27" s="42" t="n">
        <v>5</v>
      </c>
      <c r="I27" s="41"/>
      <c r="J27" s="41"/>
      <c r="K27" s="41"/>
      <c r="L27" s="43"/>
      <c r="M27" s="44" t="n">
        <v>13</v>
      </c>
    </row>
    <row r="28" customFormat="false" ht="15" hidden="false" customHeight="false" outlineLevel="0" collapsed="false">
      <c r="A28" s="38"/>
      <c r="B28" s="39" t="s">
        <v>487</v>
      </c>
      <c r="C28" s="45" t="n">
        <v>1</v>
      </c>
      <c r="D28" s="42" t="n">
        <v>2</v>
      </c>
      <c r="E28" s="41"/>
      <c r="F28" s="41"/>
      <c r="G28" s="42" t="n">
        <v>2</v>
      </c>
      <c r="H28" s="41"/>
      <c r="I28" s="41"/>
      <c r="J28" s="41"/>
      <c r="K28" s="42" t="n">
        <v>1</v>
      </c>
      <c r="L28" s="43"/>
      <c r="M28" s="44" t="n">
        <v>6</v>
      </c>
    </row>
    <row r="29" customFormat="false" ht="15" hidden="false" customHeight="false" outlineLevel="0" collapsed="false">
      <c r="A29" s="38"/>
      <c r="B29" s="39" t="s">
        <v>464</v>
      </c>
      <c r="C29" s="45" t="n">
        <v>1</v>
      </c>
      <c r="D29" s="41"/>
      <c r="E29" s="42" t="n">
        <v>4</v>
      </c>
      <c r="F29" s="42" t="n">
        <v>3</v>
      </c>
      <c r="G29" s="42" t="n">
        <v>2</v>
      </c>
      <c r="H29" s="42" t="n">
        <v>3</v>
      </c>
      <c r="I29" s="41"/>
      <c r="J29" s="41"/>
      <c r="K29" s="42" t="n">
        <v>2</v>
      </c>
      <c r="L29" s="46" t="n">
        <v>1</v>
      </c>
      <c r="M29" s="44" t="n">
        <v>16</v>
      </c>
    </row>
    <row r="30" customFormat="false" ht="15" hidden="false" customHeight="false" outlineLevel="0" collapsed="false">
      <c r="A30" s="38"/>
      <c r="B30" s="39" t="s">
        <v>327</v>
      </c>
      <c r="C30" s="45" t="n">
        <v>2</v>
      </c>
      <c r="D30" s="42" t="n">
        <v>1</v>
      </c>
      <c r="E30" s="42" t="n">
        <v>1</v>
      </c>
      <c r="F30" s="42" t="n">
        <v>2</v>
      </c>
      <c r="G30" s="42" t="n">
        <v>2</v>
      </c>
      <c r="H30" s="42" t="n">
        <v>2</v>
      </c>
      <c r="I30" s="41"/>
      <c r="J30" s="41"/>
      <c r="K30" s="42" t="n">
        <v>5</v>
      </c>
      <c r="L30" s="43"/>
      <c r="M30" s="44" t="n">
        <v>15</v>
      </c>
    </row>
    <row r="31" customFormat="false" ht="15" hidden="false" customHeight="false" outlineLevel="0" collapsed="false">
      <c r="A31" s="38"/>
      <c r="B31" s="39" t="s">
        <v>440</v>
      </c>
      <c r="C31" s="45" t="n">
        <v>1</v>
      </c>
      <c r="D31" s="42" t="n">
        <v>1</v>
      </c>
      <c r="E31" s="42" t="n">
        <v>1</v>
      </c>
      <c r="F31" s="41"/>
      <c r="G31" s="42" t="n">
        <v>2</v>
      </c>
      <c r="H31" s="42" t="n">
        <v>3</v>
      </c>
      <c r="I31" s="41"/>
      <c r="J31" s="41"/>
      <c r="K31" s="41"/>
      <c r="L31" s="43"/>
      <c r="M31" s="44" t="n">
        <v>8</v>
      </c>
    </row>
    <row r="32" customFormat="false" ht="15" hidden="false" customHeight="false" outlineLevel="0" collapsed="false">
      <c r="A32" s="38"/>
      <c r="B32" s="39" t="s">
        <v>175</v>
      </c>
      <c r="C32" s="45" t="n">
        <v>1</v>
      </c>
      <c r="D32" s="42" t="n">
        <v>11</v>
      </c>
      <c r="E32" s="42" t="n">
        <v>1</v>
      </c>
      <c r="F32" s="42" t="n">
        <v>2</v>
      </c>
      <c r="G32" s="42" t="n">
        <v>1</v>
      </c>
      <c r="H32" s="42" t="n">
        <v>6</v>
      </c>
      <c r="I32" s="41"/>
      <c r="J32" s="41"/>
      <c r="K32" s="42" t="n">
        <v>1</v>
      </c>
      <c r="L32" s="43"/>
      <c r="M32" s="44" t="n">
        <v>23</v>
      </c>
    </row>
    <row r="33" customFormat="false" ht="15" hidden="false" customHeight="false" outlineLevel="0" collapsed="false">
      <c r="A33" s="38"/>
      <c r="B33" s="39" t="s">
        <v>351</v>
      </c>
      <c r="C33" s="45" t="n">
        <v>1</v>
      </c>
      <c r="D33" s="42" t="n">
        <v>3</v>
      </c>
      <c r="E33" s="42" t="n">
        <v>1</v>
      </c>
      <c r="F33" s="42" t="n">
        <v>3</v>
      </c>
      <c r="G33" s="42" t="n">
        <v>3</v>
      </c>
      <c r="H33" s="42" t="n">
        <v>5</v>
      </c>
      <c r="I33" s="41"/>
      <c r="J33" s="41"/>
      <c r="K33" s="42" t="n">
        <v>7</v>
      </c>
      <c r="L33" s="43"/>
      <c r="M33" s="44" t="n">
        <v>23</v>
      </c>
    </row>
    <row r="34" customFormat="false" ht="15" hidden="false" customHeight="false" outlineLevel="0" collapsed="false">
      <c r="A34" s="38"/>
      <c r="B34" s="39" t="s">
        <v>916</v>
      </c>
      <c r="C34" s="40"/>
      <c r="D34" s="41"/>
      <c r="E34" s="41"/>
      <c r="F34" s="41"/>
      <c r="G34" s="41"/>
      <c r="H34" s="42" t="n">
        <v>4</v>
      </c>
      <c r="I34" s="41"/>
      <c r="J34" s="41"/>
      <c r="K34" s="42" t="n">
        <v>1</v>
      </c>
      <c r="L34" s="43"/>
      <c r="M34" s="44" t="n">
        <v>5</v>
      </c>
    </row>
    <row r="35" customFormat="false" ht="15" hidden="false" customHeight="false" outlineLevel="0" collapsed="false">
      <c r="A35" s="38"/>
      <c r="B35" s="39" t="s">
        <v>400</v>
      </c>
      <c r="C35" s="45" t="n">
        <v>1</v>
      </c>
      <c r="D35" s="41"/>
      <c r="E35" s="42" t="n">
        <v>1</v>
      </c>
      <c r="F35" s="42" t="n">
        <v>2</v>
      </c>
      <c r="G35" s="42" t="n">
        <v>1</v>
      </c>
      <c r="H35" s="42" t="n">
        <v>4</v>
      </c>
      <c r="I35" s="41"/>
      <c r="J35" s="41"/>
      <c r="K35" s="42" t="n">
        <v>2</v>
      </c>
      <c r="L35" s="43"/>
      <c r="M35" s="44" t="n">
        <v>11</v>
      </c>
    </row>
    <row r="36" customFormat="false" ht="15" hidden="false" customHeight="false" outlineLevel="0" collapsed="false">
      <c r="A36" s="38"/>
      <c r="B36" s="39" t="s">
        <v>627</v>
      </c>
      <c r="C36" s="40"/>
      <c r="D36" s="42" t="n">
        <v>1</v>
      </c>
      <c r="E36" s="41"/>
      <c r="F36" s="42" t="n">
        <v>1</v>
      </c>
      <c r="G36" s="41"/>
      <c r="H36" s="42" t="n">
        <v>5</v>
      </c>
      <c r="I36" s="41"/>
      <c r="J36" s="41"/>
      <c r="K36" s="41"/>
      <c r="L36" s="43"/>
      <c r="M36" s="44" t="n">
        <v>7</v>
      </c>
    </row>
    <row r="37" customFormat="false" ht="15" hidden="false" customHeight="false" outlineLevel="0" collapsed="false">
      <c r="A37" s="38"/>
      <c r="B37" s="39" t="s">
        <v>151</v>
      </c>
      <c r="C37" s="45" t="n">
        <v>1</v>
      </c>
      <c r="D37" s="41"/>
      <c r="E37" s="41"/>
      <c r="F37" s="42" t="n">
        <v>1</v>
      </c>
      <c r="G37" s="42" t="n">
        <v>2</v>
      </c>
      <c r="H37" s="42" t="n">
        <v>3</v>
      </c>
      <c r="I37" s="41"/>
      <c r="J37" s="41"/>
      <c r="K37" s="42" t="n">
        <v>2</v>
      </c>
      <c r="L37" s="43"/>
      <c r="M37" s="44" t="n">
        <v>9</v>
      </c>
    </row>
    <row r="38" customFormat="false" ht="15" hidden="false" customHeight="false" outlineLevel="0" collapsed="false">
      <c r="A38" s="38"/>
      <c r="B38" s="39" t="s">
        <v>660</v>
      </c>
      <c r="C38" s="40"/>
      <c r="D38" s="42" t="n">
        <v>1</v>
      </c>
      <c r="E38" s="41"/>
      <c r="F38" s="41"/>
      <c r="G38" s="41"/>
      <c r="H38" s="42" t="n">
        <v>1</v>
      </c>
      <c r="I38" s="41"/>
      <c r="J38" s="41"/>
      <c r="K38" s="41"/>
      <c r="L38" s="43"/>
      <c r="M38" s="44" t="n">
        <v>2</v>
      </c>
    </row>
    <row r="39" customFormat="false" ht="15" hidden="false" customHeight="false" outlineLevel="0" collapsed="false">
      <c r="A39" s="29"/>
      <c r="B39" s="30" t="s">
        <v>432</v>
      </c>
      <c r="C39" s="47" t="n">
        <v>1</v>
      </c>
      <c r="D39" s="32" t="n">
        <v>2</v>
      </c>
      <c r="E39" s="32" t="n">
        <v>1</v>
      </c>
      <c r="F39" s="32" t="n">
        <v>2</v>
      </c>
      <c r="G39" s="32" t="n">
        <v>8</v>
      </c>
      <c r="H39" s="32" t="n">
        <v>17</v>
      </c>
      <c r="I39" s="33"/>
      <c r="J39" s="33"/>
      <c r="K39" s="32" t="n">
        <v>10</v>
      </c>
      <c r="L39" s="48" t="n">
        <v>1</v>
      </c>
      <c r="M39" s="35" t="n">
        <v>42</v>
      </c>
    </row>
    <row r="40" customFormat="false" ht="15" hidden="false" customHeight="false" outlineLevel="0" collapsed="false">
      <c r="A40" s="22" t="s">
        <v>87</v>
      </c>
      <c r="B40" s="23"/>
      <c r="C40" s="25" t="n">
        <v>1</v>
      </c>
      <c r="D40" s="25" t="n">
        <v>2</v>
      </c>
      <c r="E40" s="25" t="n">
        <v>1</v>
      </c>
      <c r="F40" s="26"/>
      <c r="G40" s="25" t="n">
        <v>1</v>
      </c>
      <c r="H40" s="26"/>
      <c r="I40" s="26"/>
      <c r="J40" s="26"/>
      <c r="K40" s="25" t="n">
        <v>1</v>
      </c>
      <c r="L40" s="26"/>
      <c r="M40" s="28" t="n">
        <v>6</v>
      </c>
    </row>
    <row r="41" customFormat="false" ht="15" hidden="false" customHeight="false" outlineLevel="0" collapsed="false">
      <c r="A41" s="29"/>
      <c r="B41" s="30" t="s">
        <v>86</v>
      </c>
      <c r="C41" s="32" t="n">
        <v>1</v>
      </c>
      <c r="D41" s="32" t="n">
        <v>2</v>
      </c>
      <c r="E41" s="32" t="n">
        <v>1</v>
      </c>
      <c r="F41" s="33"/>
      <c r="G41" s="32" t="n">
        <v>1</v>
      </c>
      <c r="H41" s="33"/>
      <c r="I41" s="33"/>
      <c r="J41" s="33"/>
      <c r="K41" s="32" t="n">
        <v>1</v>
      </c>
      <c r="L41" s="33"/>
      <c r="M41" s="35" t="n">
        <v>6</v>
      </c>
    </row>
    <row r="42" customFormat="false" ht="15" hidden="false" customHeight="false" outlineLevel="0" collapsed="false">
      <c r="A42" s="22" t="s">
        <v>368</v>
      </c>
      <c r="B42" s="23"/>
      <c r="C42" s="36" t="n">
        <v>1</v>
      </c>
      <c r="D42" s="25" t="n">
        <v>2</v>
      </c>
      <c r="E42" s="25" t="n">
        <v>1</v>
      </c>
      <c r="F42" s="25" t="n">
        <v>7</v>
      </c>
      <c r="G42" s="25" t="n">
        <v>9</v>
      </c>
      <c r="H42" s="25" t="n">
        <v>10</v>
      </c>
      <c r="I42" s="26"/>
      <c r="J42" s="26"/>
      <c r="K42" s="25" t="n">
        <v>6</v>
      </c>
      <c r="L42" s="27"/>
      <c r="M42" s="28" t="n">
        <v>36</v>
      </c>
    </row>
    <row r="43" customFormat="false" ht="15" hidden="false" customHeight="false" outlineLevel="0" collapsed="false">
      <c r="A43" s="29"/>
      <c r="B43" s="30" t="s">
        <v>367</v>
      </c>
      <c r="C43" s="47" t="n">
        <v>1</v>
      </c>
      <c r="D43" s="32" t="n">
        <v>2</v>
      </c>
      <c r="E43" s="32" t="n">
        <v>1</v>
      </c>
      <c r="F43" s="32" t="n">
        <v>7</v>
      </c>
      <c r="G43" s="32" t="n">
        <v>9</v>
      </c>
      <c r="H43" s="32" t="n">
        <v>10</v>
      </c>
      <c r="I43" s="33"/>
      <c r="J43" s="33"/>
      <c r="K43" s="32" t="n">
        <v>6</v>
      </c>
      <c r="L43" s="34"/>
      <c r="M43" s="35" t="n">
        <v>36</v>
      </c>
    </row>
    <row r="44" customFormat="false" ht="15" hidden="false" customHeight="false" outlineLevel="0" collapsed="false">
      <c r="A44" s="22" t="s">
        <v>111</v>
      </c>
      <c r="B44" s="23"/>
      <c r="C44" s="25" t="n">
        <v>9</v>
      </c>
      <c r="D44" s="25" t="n">
        <v>37</v>
      </c>
      <c r="E44" s="25" t="n">
        <v>13</v>
      </c>
      <c r="F44" s="25" t="n">
        <v>17</v>
      </c>
      <c r="G44" s="25" t="n">
        <v>36</v>
      </c>
      <c r="H44" s="25" t="n">
        <v>55</v>
      </c>
      <c r="I44" s="26"/>
      <c r="J44" s="26"/>
      <c r="K44" s="25" t="n">
        <v>36</v>
      </c>
      <c r="L44" s="25" t="n">
        <v>3</v>
      </c>
      <c r="M44" s="28" t="n">
        <v>206</v>
      </c>
    </row>
    <row r="45" customFormat="false" ht="15" hidden="false" customHeight="false" outlineLevel="0" collapsed="false">
      <c r="A45" s="38"/>
      <c r="B45" s="39" t="s">
        <v>319</v>
      </c>
      <c r="C45" s="42" t="n">
        <v>1</v>
      </c>
      <c r="D45" s="42" t="n">
        <v>1</v>
      </c>
      <c r="E45" s="41"/>
      <c r="F45" s="42" t="n">
        <v>1</v>
      </c>
      <c r="G45" s="41"/>
      <c r="H45" s="42" t="n">
        <v>4</v>
      </c>
      <c r="I45" s="41"/>
      <c r="J45" s="41"/>
      <c r="K45" s="41"/>
      <c r="L45" s="41"/>
      <c r="M45" s="44" t="n">
        <v>7</v>
      </c>
    </row>
    <row r="46" customFormat="false" ht="15" hidden="false" customHeight="false" outlineLevel="0" collapsed="false">
      <c r="A46" s="38"/>
      <c r="B46" s="39" t="s">
        <v>537</v>
      </c>
      <c r="C46" s="41"/>
      <c r="D46" s="42" t="n">
        <v>1</v>
      </c>
      <c r="E46" s="41"/>
      <c r="F46" s="41"/>
      <c r="G46" s="41"/>
      <c r="H46" s="42" t="n">
        <v>8</v>
      </c>
      <c r="I46" s="41"/>
      <c r="J46" s="41"/>
      <c r="K46" s="42" t="n">
        <v>2</v>
      </c>
      <c r="L46" s="41"/>
      <c r="M46" s="44" t="n">
        <v>11</v>
      </c>
    </row>
    <row r="47" customFormat="false" ht="15" hidden="false" customHeight="false" outlineLevel="0" collapsed="false">
      <c r="A47" s="38"/>
      <c r="B47" s="39" t="s">
        <v>110</v>
      </c>
      <c r="C47" s="42" t="n">
        <v>1</v>
      </c>
      <c r="D47" s="42" t="n">
        <v>2</v>
      </c>
      <c r="E47" s="41"/>
      <c r="F47" s="41"/>
      <c r="G47" s="42" t="n">
        <v>5</v>
      </c>
      <c r="H47" s="42" t="n">
        <v>11</v>
      </c>
      <c r="I47" s="41"/>
      <c r="J47" s="41"/>
      <c r="K47" s="41"/>
      <c r="L47" s="41"/>
      <c r="M47" s="44" t="n">
        <v>19</v>
      </c>
    </row>
    <row r="48" customFormat="false" ht="15" hidden="false" customHeight="false" outlineLevel="0" collapsed="false">
      <c r="A48" s="38"/>
      <c r="B48" s="39" t="s">
        <v>392</v>
      </c>
      <c r="C48" s="42" t="n">
        <v>1</v>
      </c>
      <c r="D48" s="42" t="n">
        <v>1</v>
      </c>
      <c r="E48" s="42" t="n">
        <v>8</v>
      </c>
      <c r="F48" s="41"/>
      <c r="G48" s="41"/>
      <c r="H48" s="42" t="n">
        <v>3</v>
      </c>
      <c r="I48" s="41"/>
      <c r="J48" s="41"/>
      <c r="K48" s="42" t="n">
        <v>1</v>
      </c>
      <c r="L48" s="41"/>
      <c r="M48" s="44" t="n">
        <v>14</v>
      </c>
    </row>
    <row r="49" customFormat="false" ht="15" hidden="false" customHeight="false" outlineLevel="0" collapsed="false">
      <c r="A49" s="38"/>
      <c r="B49" s="39" t="s">
        <v>456</v>
      </c>
      <c r="C49" s="42" t="n">
        <v>1</v>
      </c>
      <c r="D49" s="42" t="n">
        <v>3</v>
      </c>
      <c r="E49" s="41"/>
      <c r="F49" s="42" t="n">
        <v>1</v>
      </c>
      <c r="G49" s="41"/>
      <c r="H49" s="42" t="n">
        <v>6</v>
      </c>
      <c r="I49" s="41"/>
      <c r="J49" s="41"/>
      <c r="K49" s="42" t="n">
        <v>1</v>
      </c>
      <c r="L49" s="41"/>
      <c r="M49" s="44" t="n">
        <v>12</v>
      </c>
    </row>
    <row r="50" customFormat="false" ht="15" hidden="false" customHeight="false" outlineLevel="0" collapsed="false">
      <c r="A50" s="38"/>
      <c r="B50" s="39" t="s">
        <v>479</v>
      </c>
      <c r="C50" s="42" t="n">
        <v>1</v>
      </c>
      <c r="D50" s="42" t="n">
        <v>3</v>
      </c>
      <c r="E50" s="41"/>
      <c r="F50" s="42" t="n">
        <v>1</v>
      </c>
      <c r="G50" s="42" t="n">
        <v>2</v>
      </c>
      <c r="H50" s="42" t="n">
        <v>5</v>
      </c>
      <c r="I50" s="41"/>
      <c r="J50" s="41"/>
      <c r="K50" s="42" t="n">
        <v>6</v>
      </c>
      <c r="L50" s="41"/>
      <c r="M50" s="44" t="n">
        <v>18</v>
      </c>
    </row>
    <row r="51" customFormat="false" ht="15" hidden="false" customHeight="false" outlineLevel="0" collapsed="false">
      <c r="A51" s="38"/>
      <c r="B51" s="39" t="s">
        <v>425</v>
      </c>
      <c r="C51" s="42" t="n">
        <v>1</v>
      </c>
      <c r="D51" s="42" t="n">
        <v>1</v>
      </c>
      <c r="E51" s="42" t="n">
        <v>1</v>
      </c>
      <c r="F51" s="42" t="n">
        <v>1</v>
      </c>
      <c r="G51" s="42" t="n">
        <v>2</v>
      </c>
      <c r="H51" s="42" t="n">
        <v>3</v>
      </c>
      <c r="I51" s="41"/>
      <c r="J51" s="41"/>
      <c r="K51" s="42" t="n">
        <v>3</v>
      </c>
      <c r="L51" s="41"/>
      <c r="M51" s="44" t="n">
        <v>12</v>
      </c>
    </row>
    <row r="52" customFormat="false" ht="15" hidden="false" customHeight="false" outlineLevel="0" collapsed="false">
      <c r="A52" s="38"/>
      <c r="B52" s="39" t="s">
        <v>652</v>
      </c>
      <c r="C52" s="41"/>
      <c r="D52" s="42" t="n">
        <v>1</v>
      </c>
      <c r="E52" s="42" t="n">
        <v>1</v>
      </c>
      <c r="F52" s="42" t="n">
        <v>2</v>
      </c>
      <c r="G52" s="41"/>
      <c r="H52" s="42" t="n">
        <v>1</v>
      </c>
      <c r="I52" s="41"/>
      <c r="J52" s="41"/>
      <c r="K52" s="42" t="n">
        <v>1</v>
      </c>
      <c r="L52" s="42" t="n">
        <v>1</v>
      </c>
      <c r="M52" s="44" t="n">
        <v>7</v>
      </c>
    </row>
    <row r="53" customFormat="false" ht="15" hidden="false" customHeight="false" outlineLevel="0" collapsed="false">
      <c r="A53" s="38"/>
      <c r="B53" s="39" t="s">
        <v>376</v>
      </c>
      <c r="C53" s="42" t="n">
        <v>1</v>
      </c>
      <c r="D53" s="42" t="n">
        <v>12</v>
      </c>
      <c r="E53" s="42" t="n">
        <v>2</v>
      </c>
      <c r="F53" s="42" t="n">
        <v>9</v>
      </c>
      <c r="G53" s="42" t="n">
        <v>22</v>
      </c>
      <c r="H53" s="42" t="n">
        <v>7</v>
      </c>
      <c r="I53" s="41"/>
      <c r="J53" s="41"/>
      <c r="K53" s="42" t="n">
        <v>21</v>
      </c>
      <c r="L53" s="42" t="n">
        <v>2</v>
      </c>
      <c r="M53" s="44" t="n">
        <v>76</v>
      </c>
    </row>
    <row r="54" customFormat="false" ht="15" hidden="false" customHeight="false" outlineLevel="0" collapsed="false">
      <c r="A54" s="38"/>
      <c r="B54" s="39" t="s">
        <v>707</v>
      </c>
      <c r="C54" s="41"/>
      <c r="D54" s="42" t="n">
        <v>2</v>
      </c>
      <c r="E54" s="41"/>
      <c r="F54" s="42" t="n">
        <v>1</v>
      </c>
      <c r="G54" s="42" t="n">
        <v>1</v>
      </c>
      <c r="H54" s="42" t="n">
        <v>3</v>
      </c>
      <c r="I54" s="41"/>
      <c r="J54" s="41"/>
      <c r="K54" s="41"/>
      <c r="L54" s="41"/>
      <c r="M54" s="44" t="n">
        <v>7</v>
      </c>
    </row>
    <row r="55" customFormat="false" ht="15" hidden="false" customHeight="false" outlineLevel="0" collapsed="false">
      <c r="A55" s="38"/>
      <c r="B55" s="39" t="s">
        <v>472</v>
      </c>
      <c r="C55" s="42" t="n">
        <v>1</v>
      </c>
      <c r="D55" s="42" t="n">
        <v>2</v>
      </c>
      <c r="E55" s="42" t="n">
        <v>1</v>
      </c>
      <c r="F55" s="42" t="n">
        <v>1</v>
      </c>
      <c r="G55" s="42" t="n">
        <v>2</v>
      </c>
      <c r="H55" s="42" t="n">
        <v>3</v>
      </c>
      <c r="I55" s="41"/>
      <c r="J55" s="41"/>
      <c r="K55" s="42" t="n">
        <v>1</v>
      </c>
      <c r="L55" s="41"/>
      <c r="M55" s="44" t="n">
        <v>11</v>
      </c>
    </row>
    <row r="56" customFormat="false" ht="15" hidden="false" customHeight="false" outlineLevel="0" collapsed="false">
      <c r="A56" s="29"/>
      <c r="B56" s="30" t="s">
        <v>183</v>
      </c>
      <c r="C56" s="32" t="n">
        <v>1</v>
      </c>
      <c r="D56" s="32" t="n">
        <v>8</v>
      </c>
      <c r="E56" s="33"/>
      <c r="F56" s="33"/>
      <c r="G56" s="32" t="n">
        <v>2</v>
      </c>
      <c r="H56" s="32" t="n">
        <v>1</v>
      </c>
      <c r="I56" s="33"/>
      <c r="J56" s="33"/>
      <c r="K56" s="33"/>
      <c r="L56" s="33"/>
      <c r="M56" s="35" t="n">
        <v>12</v>
      </c>
    </row>
    <row r="57" customFormat="false" ht="15" hidden="false" customHeight="false" outlineLevel="0" collapsed="false">
      <c r="A57" s="22" t="s">
        <v>861</v>
      </c>
      <c r="B57" s="23"/>
      <c r="C57" s="24"/>
      <c r="D57" s="26"/>
      <c r="E57" s="26"/>
      <c r="F57" s="25" t="n">
        <v>1</v>
      </c>
      <c r="G57" s="25" t="n">
        <v>3</v>
      </c>
      <c r="H57" s="26"/>
      <c r="I57" s="26"/>
      <c r="J57" s="26"/>
      <c r="K57" s="25" t="n">
        <v>1</v>
      </c>
      <c r="L57" s="27"/>
      <c r="M57" s="28" t="n">
        <v>5</v>
      </c>
    </row>
    <row r="58" customFormat="false" ht="15" hidden="false" customHeight="false" outlineLevel="0" collapsed="false">
      <c r="A58" s="29"/>
      <c r="B58" s="30" t="s">
        <v>860</v>
      </c>
      <c r="C58" s="31"/>
      <c r="D58" s="33"/>
      <c r="E58" s="33"/>
      <c r="F58" s="32" t="n">
        <v>1</v>
      </c>
      <c r="G58" s="32" t="n">
        <v>3</v>
      </c>
      <c r="H58" s="33"/>
      <c r="I58" s="33"/>
      <c r="J58" s="33"/>
      <c r="K58" s="32" t="n">
        <v>1</v>
      </c>
      <c r="L58" s="34"/>
      <c r="M58" s="35" t="n">
        <v>5</v>
      </c>
    </row>
    <row r="59" customFormat="false" ht="15" hidden="false" customHeight="false" outlineLevel="0" collapsed="false">
      <c r="A59" s="22" t="s">
        <v>200</v>
      </c>
      <c r="B59" s="23"/>
      <c r="C59" s="25" t="n">
        <v>1</v>
      </c>
      <c r="D59" s="25" t="n">
        <v>9</v>
      </c>
      <c r="E59" s="25" t="n">
        <v>2</v>
      </c>
      <c r="F59" s="25" t="n">
        <v>10</v>
      </c>
      <c r="G59" s="25" t="n">
        <v>5</v>
      </c>
      <c r="H59" s="25" t="n">
        <v>17</v>
      </c>
      <c r="I59" s="26"/>
      <c r="J59" s="26"/>
      <c r="K59" s="25" t="n">
        <v>12</v>
      </c>
      <c r="L59" s="25" t="n">
        <v>1</v>
      </c>
      <c r="M59" s="28" t="n">
        <v>57</v>
      </c>
    </row>
    <row r="60" customFormat="false" ht="15" hidden="false" customHeight="false" outlineLevel="0" collapsed="false">
      <c r="A60" s="29"/>
      <c r="B60" s="30" t="s">
        <v>199</v>
      </c>
      <c r="C60" s="32" t="n">
        <v>1</v>
      </c>
      <c r="D60" s="32" t="n">
        <v>9</v>
      </c>
      <c r="E60" s="32" t="n">
        <v>2</v>
      </c>
      <c r="F60" s="32" t="n">
        <v>10</v>
      </c>
      <c r="G60" s="32" t="n">
        <v>5</v>
      </c>
      <c r="H60" s="32" t="n">
        <v>17</v>
      </c>
      <c r="I60" s="33"/>
      <c r="J60" s="33"/>
      <c r="K60" s="32" t="n">
        <v>12</v>
      </c>
      <c r="L60" s="32" t="n">
        <v>1</v>
      </c>
      <c r="M60" s="35" t="n">
        <v>57</v>
      </c>
    </row>
    <row r="61" customFormat="false" ht="15" hidden="false" customHeight="false" outlineLevel="0" collapsed="false">
      <c r="A61" s="22" t="s">
        <v>24</v>
      </c>
      <c r="B61" s="23"/>
      <c r="C61" s="36" t="n">
        <v>10</v>
      </c>
      <c r="D61" s="25" t="n">
        <v>35</v>
      </c>
      <c r="E61" s="25" t="n">
        <v>13</v>
      </c>
      <c r="F61" s="25" t="n">
        <v>31</v>
      </c>
      <c r="G61" s="25" t="n">
        <v>47</v>
      </c>
      <c r="H61" s="25" t="n">
        <v>44</v>
      </c>
      <c r="I61" s="26"/>
      <c r="J61" s="26"/>
      <c r="K61" s="25" t="n">
        <v>24</v>
      </c>
      <c r="L61" s="37" t="n">
        <v>3</v>
      </c>
      <c r="M61" s="28" t="n">
        <v>207</v>
      </c>
    </row>
    <row r="62" customFormat="false" ht="15" hidden="false" customHeight="false" outlineLevel="0" collapsed="false">
      <c r="A62" s="38"/>
      <c r="B62" s="39" t="s">
        <v>448</v>
      </c>
      <c r="C62" s="45" t="n">
        <v>1</v>
      </c>
      <c r="D62" s="42" t="n">
        <v>2</v>
      </c>
      <c r="E62" s="42" t="n">
        <v>1</v>
      </c>
      <c r="F62" s="42" t="n">
        <v>3</v>
      </c>
      <c r="G62" s="42" t="n">
        <v>3</v>
      </c>
      <c r="H62" s="42" t="n">
        <v>2</v>
      </c>
      <c r="I62" s="41"/>
      <c r="J62" s="41"/>
      <c r="K62" s="42" t="n">
        <v>2</v>
      </c>
      <c r="L62" s="43"/>
      <c r="M62" s="44" t="n">
        <v>14</v>
      </c>
    </row>
    <row r="63" customFormat="false" ht="15" hidden="false" customHeight="false" outlineLevel="0" collapsed="false">
      <c r="A63" s="38"/>
      <c r="B63" s="39" t="s">
        <v>22</v>
      </c>
      <c r="C63" s="45" t="n">
        <v>1</v>
      </c>
      <c r="D63" s="42" t="n">
        <v>1</v>
      </c>
      <c r="E63" s="42" t="n">
        <v>1</v>
      </c>
      <c r="F63" s="42" t="n">
        <v>1</v>
      </c>
      <c r="G63" s="42" t="n">
        <v>1</v>
      </c>
      <c r="H63" s="42" t="n">
        <v>1</v>
      </c>
      <c r="I63" s="41"/>
      <c r="J63" s="41"/>
      <c r="K63" s="42" t="n">
        <v>2</v>
      </c>
      <c r="L63" s="43"/>
      <c r="M63" s="44" t="n">
        <v>8</v>
      </c>
    </row>
    <row r="64" customFormat="false" ht="15" hidden="false" customHeight="false" outlineLevel="0" collapsed="false">
      <c r="A64" s="38"/>
      <c r="B64" s="39" t="s">
        <v>545</v>
      </c>
      <c r="C64" s="40"/>
      <c r="D64" s="42" t="n">
        <v>4</v>
      </c>
      <c r="E64" s="41"/>
      <c r="F64" s="41"/>
      <c r="G64" s="42" t="n">
        <v>3</v>
      </c>
      <c r="H64" s="42" t="n">
        <v>5</v>
      </c>
      <c r="I64" s="41"/>
      <c r="J64" s="41"/>
      <c r="K64" s="41"/>
      <c r="L64" s="43"/>
      <c r="M64" s="44" t="n">
        <v>12</v>
      </c>
    </row>
    <row r="65" customFormat="false" ht="15" hidden="false" customHeight="false" outlineLevel="0" collapsed="false">
      <c r="A65" s="38"/>
      <c r="B65" s="39" t="s">
        <v>589</v>
      </c>
      <c r="C65" s="40"/>
      <c r="D65" s="42" t="n">
        <v>1</v>
      </c>
      <c r="E65" s="42" t="n">
        <v>1</v>
      </c>
      <c r="F65" s="42" t="n">
        <v>1</v>
      </c>
      <c r="G65" s="42" t="n">
        <v>3</v>
      </c>
      <c r="H65" s="42" t="n">
        <v>1</v>
      </c>
      <c r="I65" s="41"/>
      <c r="J65" s="41"/>
      <c r="K65" s="42" t="n">
        <v>1</v>
      </c>
      <c r="L65" s="46" t="n">
        <v>1</v>
      </c>
      <c r="M65" s="44" t="n">
        <v>9</v>
      </c>
    </row>
    <row r="66" customFormat="false" ht="15" hidden="false" customHeight="false" outlineLevel="0" collapsed="false">
      <c r="A66" s="38"/>
      <c r="B66" s="39" t="s">
        <v>216</v>
      </c>
      <c r="C66" s="45" t="n">
        <v>1</v>
      </c>
      <c r="D66" s="42" t="n">
        <v>2</v>
      </c>
      <c r="E66" s="42" t="n">
        <v>1</v>
      </c>
      <c r="F66" s="42" t="n">
        <v>1</v>
      </c>
      <c r="G66" s="42" t="n">
        <v>1</v>
      </c>
      <c r="H66" s="41"/>
      <c r="I66" s="41"/>
      <c r="J66" s="41"/>
      <c r="K66" s="42" t="n">
        <v>1</v>
      </c>
      <c r="L66" s="43"/>
      <c r="M66" s="44" t="n">
        <v>7</v>
      </c>
    </row>
    <row r="67" customFormat="false" ht="15" hidden="false" customHeight="false" outlineLevel="0" collapsed="false">
      <c r="A67" s="38"/>
      <c r="B67" s="39" t="s">
        <v>612</v>
      </c>
      <c r="C67" s="40"/>
      <c r="D67" s="42" t="n">
        <v>1</v>
      </c>
      <c r="E67" s="42" t="n">
        <v>1</v>
      </c>
      <c r="F67" s="42" t="n">
        <v>2</v>
      </c>
      <c r="G67" s="42" t="n">
        <v>1</v>
      </c>
      <c r="H67" s="42" t="n">
        <v>1</v>
      </c>
      <c r="I67" s="41"/>
      <c r="J67" s="41"/>
      <c r="K67" s="42" t="n">
        <v>1</v>
      </c>
      <c r="L67" s="43"/>
      <c r="M67" s="44" t="n">
        <v>7</v>
      </c>
    </row>
    <row r="68" customFormat="false" ht="15" hidden="false" customHeight="false" outlineLevel="0" collapsed="false">
      <c r="A68" s="38"/>
      <c r="B68" s="39" t="s">
        <v>343</v>
      </c>
      <c r="C68" s="45" t="n">
        <v>1</v>
      </c>
      <c r="D68" s="42" t="n">
        <v>1</v>
      </c>
      <c r="E68" s="42" t="n">
        <v>1</v>
      </c>
      <c r="F68" s="42" t="n">
        <v>2</v>
      </c>
      <c r="G68" s="42" t="n">
        <v>6</v>
      </c>
      <c r="H68" s="42" t="n">
        <v>1</v>
      </c>
      <c r="I68" s="41"/>
      <c r="J68" s="41"/>
      <c r="K68" s="42" t="n">
        <v>2</v>
      </c>
      <c r="L68" s="43"/>
      <c r="M68" s="44" t="n">
        <v>14</v>
      </c>
    </row>
    <row r="69" customFormat="false" ht="15" hidden="false" customHeight="false" outlineLevel="0" collapsed="false">
      <c r="A69" s="38"/>
      <c r="B69" s="39" t="s">
        <v>44</v>
      </c>
      <c r="C69" s="45" t="n">
        <v>1</v>
      </c>
      <c r="D69" s="42" t="n">
        <v>8</v>
      </c>
      <c r="E69" s="41"/>
      <c r="F69" s="42" t="n">
        <v>2</v>
      </c>
      <c r="G69" s="42" t="n">
        <v>1</v>
      </c>
      <c r="H69" s="42" t="n">
        <v>4</v>
      </c>
      <c r="I69" s="41"/>
      <c r="J69" s="41"/>
      <c r="K69" s="41"/>
      <c r="L69" s="43"/>
      <c r="M69" s="44" t="n">
        <v>16</v>
      </c>
    </row>
    <row r="70" customFormat="false" ht="15" hidden="false" customHeight="false" outlineLevel="0" collapsed="false">
      <c r="A70" s="38"/>
      <c r="B70" s="39" t="s">
        <v>135</v>
      </c>
      <c r="C70" s="45" t="n">
        <v>1</v>
      </c>
      <c r="D70" s="41"/>
      <c r="E70" s="42" t="n">
        <v>2</v>
      </c>
      <c r="F70" s="42" t="n">
        <v>2</v>
      </c>
      <c r="G70" s="42" t="n">
        <v>1</v>
      </c>
      <c r="H70" s="42" t="n">
        <v>5</v>
      </c>
      <c r="I70" s="41"/>
      <c r="J70" s="41"/>
      <c r="K70" s="42" t="n">
        <v>1</v>
      </c>
      <c r="L70" s="43"/>
      <c r="M70" s="44" t="n">
        <v>12</v>
      </c>
    </row>
    <row r="71" customFormat="false" ht="15" hidden="false" customHeight="false" outlineLevel="0" collapsed="false">
      <c r="A71" s="38"/>
      <c r="B71" s="39" t="s">
        <v>52</v>
      </c>
      <c r="C71" s="45" t="n">
        <v>1</v>
      </c>
      <c r="D71" s="42" t="n">
        <v>2</v>
      </c>
      <c r="E71" s="42" t="n">
        <v>2</v>
      </c>
      <c r="F71" s="42" t="n">
        <v>4</v>
      </c>
      <c r="G71" s="42" t="n">
        <v>5</v>
      </c>
      <c r="H71" s="41"/>
      <c r="I71" s="41"/>
      <c r="J71" s="41"/>
      <c r="K71" s="41"/>
      <c r="L71" s="43"/>
      <c r="M71" s="44" t="n">
        <v>14</v>
      </c>
    </row>
    <row r="72" customFormat="false" ht="15" hidden="false" customHeight="false" outlineLevel="0" collapsed="false">
      <c r="A72" s="38"/>
      <c r="B72" s="39" t="s">
        <v>118</v>
      </c>
      <c r="C72" s="45" t="n">
        <v>1</v>
      </c>
      <c r="D72" s="42" t="n">
        <v>1</v>
      </c>
      <c r="E72" s="41"/>
      <c r="F72" s="42" t="n">
        <v>2</v>
      </c>
      <c r="G72" s="42" t="n">
        <v>2</v>
      </c>
      <c r="H72" s="42" t="n">
        <v>2</v>
      </c>
      <c r="I72" s="41"/>
      <c r="J72" s="41"/>
      <c r="K72" s="42" t="n">
        <v>5</v>
      </c>
      <c r="L72" s="46" t="n">
        <v>1</v>
      </c>
      <c r="M72" s="44" t="n">
        <v>14</v>
      </c>
    </row>
    <row r="73" customFormat="false" ht="15" hidden="false" customHeight="false" outlineLevel="0" collapsed="false">
      <c r="A73" s="38"/>
      <c r="B73" s="39" t="s">
        <v>191</v>
      </c>
      <c r="C73" s="45" t="n">
        <v>1</v>
      </c>
      <c r="D73" s="42" t="n">
        <v>11</v>
      </c>
      <c r="E73" s="42" t="n">
        <v>2</v>
      </c>
      <c r="F73" s="42" t="n">
        <v>10</v>
      </c>
      <c r="G73" s="42" t="n">
        <v>17</v>
      </c>
      <c r="H73" s="42" t="n">
        <v>19</v>
      </c>
      <c r="I73" s="41"/>
      <c r="J73" s="41"/>
      <c r="K73" s="42" t="n">
        <v>6</v>
      </c>
      <c r="L73" s="46" t="n">
        <v>1</v>
      </c>
      <c r="M73" s="44" t="n">
        <v>67</v>
      </c>
    </row>
    <row r="74" customFormat="false" ht="15" hidden="false" customHeight="false" outlineLevel="0" collapsed="false">
      <c r="A74" s="29"/>
      <c r="B74" s="30" t="s">
        <v>240</v>
      </c>
      <c r="C74" s="47" t="n">
        <v>1</v>
      </c>
      <c r="D74" s="32" t="n">
        <v>1</v>
      </c>
      <c r="E74" s="32" t="n">
        <v>1</v>
      </c>
      <c r="F74" s="32" t="n">
        <v>1</v>
      </c>
      <c r="G74" s="32" t="n">
        <v>3</v>
      </c>
      <c r="H74" s="32" t="n">
        <v>3</v>
      </c>
      <c r="I74" s="33"/>
      <c r="J74" s="33"/>
      <c r="K74" s="32" t="n">
        <v>3</v>
      </c>
      <c r="L74" s="34"/>
      <c r="M74" s="35" t="n">
        <v>13</v>
      </c>
    </row>
    <row r="75" customFormat="false" ht="15" hidden="false" customHeight="false" outlineLevel="0" collapsed="false">
      <c r="A75" s="22" t="s">
        <v>359</v>
      </c>
      <c r="B75" s="23"/>
      <c r="C75" s="25" t="n">
        <v>1</v>
      </c>
      <c r="D75" s="26"/>
      <c r="E75" s="26"/>
      <c r="F75" s="26"/>
      <c r="G75" s="25" t="n">
        <v>1</v>
      </c>
      <c r="H75" s="26"/>
      <c r="I75" s="26"/>
      <c r="J75" s="26"/>
      <c r="K75" s="25" t="n">
        <v>1</v>
      </c>
      <c r="L75" s="26"/>
      <c r="M75" s="28" t="n">
        <v>3</v>
      </c>
    </row>
    <row r="76" customFormat="false" ht="15" hidden="false" customHeight="false" outlineLevel="0" collapsed="false">
      <c r="A76" s="29"/>
      <c r="B76" s="30" t="s">
        <v>358</v>
      </c>
      <c r="C76" s="32" t="n">
        <v>1</v>
      </c>
      <c r="D76" s="33"/>
      <c r="E76" s="33"/>
      <c r="F76" s="33"/>
      <c r="G76" s="32" t="n">
        <v>1</v>
      </c>
      <c r="H76" s="33"/>
      <c r="I76" s="33"/>
      <c r="J76" s="33"/>
      <c r="K76" s="32" t="n">
        <v>1</v>
      </c>
      <c r="L76" s="33"/>
      <c r="M76" s="35" t="n">
        <v>3</v>
      </c>
    </row>
    <row r="77" customFormat="false" ht="15" hidden="false" customHeight="false" outlineLevel="0" collapsed="false">
      <c r="A77" s="22" t="s">
        <v>36</v>
      </c>
      <c r="B77" s="23"/>
      <c r="C77" s="36" t="n">
        <v>3</v>
      </c>
      <c r="D77" s="25" t="n">
        <v>12</v>
      </c>
      <c r="E77" s="26"/>
      <c r="F77" s="25" t="n">
        <v>1</v>
      </c>
      <c r="G77" s="25" t="n">
        <v>16</v>
      </c>
      <c r="H77" s="25" t="n">
        <v>5</v>
      </c>
      <c r="I77" s="26"/>
      <c r="J77" s="26"/>
      <c r="K77" s="25" t="n">
        <v>16</v>
      </c>
      <c r="L77" s="37" t="n">
        <v>1</v>
      </c>
      <c r="M77" s="28" t="n">
        <v>54</v>
      </c>
    </row>
    <row r="78" customFormat="false" ht="15" hidden="false" customHeight="false" outlineLevel="0" collapsed="false">
      <c r="A78" s="38"/>
      <c r="B78" s="39" t="s">
        <v>35</v>
      </c>
      <c r="C78" s="45" t="n">
        <v>2</v>
      </c>
      <c r="D78" s="42" t="n">
        <v>11</v>
      </c>
      <c r="E78" s="41"/>
      <c r="F78" s="42" t="n">
        <v>1</v>
      </c>
      <c r="G78" s="42" t="n">
        <v>15</v>
      </c>
      <c r="H78" s="42" t="n">
        <v>3</v>
      </c>
      <c r="I78" s="41"/>
      <c r="J78" s="41"/>
      <c r="K78" s="42" t="n">
        <v>11</v>
      </c>
      <c r="L78" s="43"/>
      <c r="M78" s="44" t="n">
        <v>43</v>
      </c>
    </row>
    <row r="79" customFormat="false" ht="15" hidden="false" customHeight="false" outlineLevel="0" collapsed="false">
      <c r="A79" s="29"/>
      <c r="B79" s="30" t="s">
        <v>95</v>
      </c>
      <c r="C79" s="47" t="n">
        <v>1</v>
      </c>
      <c r="D79" s="32" t="n">
        <v>1</v>
      </c>
      <c r="E79" s="33"/>
      <c r="F79" s="33"/>
      <c r="G79" s="32" t="n">
        <v>1</v>
      </c>
      <c r="H79" s="32" t="n">
        <v>2</v>
      </c>
      <c r="I79" s="33"/>
      <c r="J79" s="33"/>
      <c r="K79" s="32" t="n">
        <v>5</v>
      </c>
      <c r="L79" s="48" t="n">
        <v>1</v>
      </c>
      <c r="M79" s="35" t="n">
        <v>11</v>
      </c>
    </row>
    <row r="80" customFormat="false" ht="15" hidden="false" customHeight="false" outlineLevel="0" collapsed="false">
      <c r="A80" s="22" t="s">
        <v>745</v>
      </c>
      <c r="B80" s="23"/>
      <c r="C80" s="26"/>
      <c r="D80" s="25" t="n">
        <v>6</v>
      </c>
      <c r="E80" s="26"/>
      <c r="F80" s="25" t="n">
        <v>1</v>
      </c>
      <c r="G80" s="25" t="n">
        <v>3</v>
      </c>
      <c r="H80" s="26"/>
      <c r="I80" s="26"/>
      <c r="J80" s="26"/>
      <c r="K80" s="25" t="n">
        <v>1</v>
      </c>
      <c r="L80" s="26"/>
      <c r="M80" s="28" t="n">
        <v>11</v>
      </c>
    </row>
    <row r="81" customFormat="false" ht="15" hidden="false" customHeight="false" outlineLevel="0" collapsed="false">
      <c r="A81" s="29"/>
      <c r="B81" s="30" t="s">
        <v>744</v>
      </c>
      <c r="C81" s="33"/>
      <c r="D81" s="32" t="n">
        <v>6</v>
      </c>
      <c r="E81" s="33"/>
      <c r="F81" s="32" t="n">
        <v>1</v>
      </c>
      <c r="G81" s="32" t="n">
        <v>3</v>
      </c>
      <c r="H81" s="33"/>
      <c r="I81" s="33"/>
      <c r="J81" s="33"/>
      <c r="K81" s="32" t="n">
        <v>1</v>
      </c>
      <c r="L81" s="33"/>
      <c r="M81" s="35" t="n">
        <v>11</v>
      </c>
    </row>
    <row r="82" customFormat="false" ht="15" hidden="false" customHeight="false" outlineLevel="0" collapsed="false">
      <c r="A82" s="22" t="s">
        <v>127</v>
      </c>
      <c r="B82" s="23"/>
      <c r="C82" s="36" t="n">
        <v>1</v>
      </c>
      <c r="D82" s="25" t="n">
        <v>2</v>
      </c>
      <c r="E82" s="25" t="n">
        <v>1</v>
      </c>
      <c r="F82" s="26"/>
      <c r="G82" s="25" t="n">
        <v>2</v>
      </c>
      <c r="H82" s="26"/>
      <c r="I82" s="26"/>
      <c r="J82" s="26"/>
      <c r="K82" s="25" t="n">
        <v>2</v>
      </c>
      <c r="L82" s="27"/>
      <c r="M82" s="28" t="n">
        <v>8</v>
      </c>
    </row>
    <row r="83" customFormat="false" ht="15" hidden="false" customHeight="false" outlineLevel="0" collapsed="false">
      <c r="A83" s="29"/>
      <c r="B83" s="30" t="s">
        <v>126</v>
      </c>
      <c r="C83" s="47" t="n">
        <v>1</v>
      </c>
      <c r="D83" s="32" t="n">
        <v>2</v>
      </c>
      <c r="E83" s="32" t="n">
        <v>1</v>
      </c>
      <c r="F83" s="33"/>
      <c r="G83" s="32" t="n">
        <v>2</v>
      </c>
      <c r="H83" s="33"/>
      <c r="I83" s="33"/>
      <c r="J83" s="33"/>
      <c r="K83" s="32" t="n">
        <v>2</v>
      </c>
      <c r="L83" s="34"/>
      <c r="M83" s="35" t="n">
        <v>8</v>
      </c>
    </row>
    <row r="84" customFormat="false" ht="15" hidden="false" customHeight="false" outlineLevel="0" collapsed="false">
      <c r="A84" s="22" t="s">
        <v>77</v>
      </c>
      <c r="B84" s="23"/>
      <c r="C84" s="25" t="n">
        <v>1</v>
      </c>
      <c r="D84" s="25" t="n">
        <v>3</v>
      </c>
      <c r="E84" s="25" t="n">
        <v>3</v>
      </c>
      <c r="F84" s="25" t="n">
        <v>16</v>
      </c>
      <c r="G84" s="25" t="n">
        <v>27</v>
      </c>
      <c r="H84" s="25" t="n">
        <v>12</v>
      </c>
      <c r="I84" s="26"/>
      <c r="J84" s="26"/>
      <c r="K84" s="25" t="n">
        <v>57</v>
      </c>
      <c r="L84" s="25" t="n">
        <v>3</v>
      </c>
      <c r="M84" s="28" t="n">
        <v>122</v>
      </c>
    </row>
    <row r="85" customFormat="false" ht="15" hidden="false" customHeight="false" outlineLevel="0" collapsed="false">
      <c r="A85" s="29"/>
      <c r="B85" s="30" t="s">
        <v>76</v>
      </c>
      <c r="C85" s="32" t="n">
        <v>1</v>
      </c>
      <c r="D85" s="32" t="n">
        <v>3</v>
      </c>
      <c r="E85" s="32" t="n">
        <v>3</v>
      </c>
      <c r="F85" s="32" t="n">
        <v>16</v>
      </c>
      <c r="G85" s="32" t="n">
        <v>27</v>
      </c>
      <c r="H85" s="32" t="n">
        <v>12</v>
      </c>
      <c r="I85" s="33"/>
      <c r="J85" s="33"/>
      <c r="K85" s="32" t="n">
        <v>57</v>
      </c>
      <c r="L85" s="32" t="n">
        <v>3</v>
      </c>
      <c r="M85" s="35" t="n">
        <v>122</v>
      </c>
    </row>
    <row r="86" customFormat="false" ht="15" hidden="false" customHeight="false" outlineLevel="0" collapsed="false">
      <c r="A86" s="22" t="s">
        <v>61</v>
      </c>
      <c r="B86" s="23"/>
      <c r="C86" s="36" t="n">
        <v>24</v>
      </c>
      <c r="D86" s="25" t="n">
        <v>53</v>
      </c>
      <c r="E86" s="25" t="n">
        <v>60</v>
      </c>
      <c r="F86" s="25" t="n">
        <v>80</v>
      </c>
      <c r="G86" s="25" t="n">
        <v>207</v>
      </c>
      <c r="H86" s="25" t="n">
        <v>72</v>
      </c>
      <c r="I86" s="26"/>
      <c r="J86" s="26"/>
      <c r="K86" s="25" t="n">
        <v>34</v>
      </c>
      <c r="L86" s="37" t="n">
        <v>4</v>
      </c>
      <c r="M86" s="28" t="n">
        <v>534</v>
      </c>
    </row>
    <row r="87" customFormat="false" ht="15" hidden="false" customHeight="false" outlineLevel="0" collapsed="false">
      <c r="A87" s="38"/>
      <c r="B87" s="39" t="s">
        <v>917</v>
      </c>
      <c r="C87" s="40"/>
      <c r="D87" s="41"/>
      <c r="E87" s="41"/>
      <c r="F87" s="41"/>
      <c r="G87" s="42" t="n">
        <v>2</v>
      </c>
      <c r="H87" s="42" t="n">
        <v>2</v>
      </c>
      <c r="I87" s="41"/>
      <c r="J87" s="41"/>
      <c r="K87" s="41"/>
      <c r="L87" s="43"/>
      <c r="M87" s="44" t="n">
        <v>4</v>
      </c>
    </row>
    <row r="88" customFormat="false" ht="15" hidden="false" customHeight="false" outlineLevel="0" collapsed="false">
      <c r="A88" s="38"/>
      <c r="B88" s="39" t="s">
        <v>303</v>
      </c>
      <c r="C88" s="45" t="n">
        <v>1</v>
      </c>
      <c r="D88" s="42" t="n">
        <v>2</v>
      </c>
      <c r="E88" s="42" t="n">
        <v>3</v>
      </c>
      <c r="F88" s="42" t="n">
        <v>1</v>
      </c>
      <c r="G88" s="42" t="n">
        <v>3</v>
      </c>
      <c r="H88" s="41"/>
      <c r="I88" s="41"/>
      <c r="J88" s="41"/>
      <c r="K88" s="42" t="n">
        <v>4</v>
      </c>
      <c r="L88" s="43"/>
      <c r="M88" s="44" t="n">
        <v>14</v>
      </c>
    </row>
    <row r="89" customFormat="false" ht="15" hidden="false" customHeight="false" outlineLevel="0" collapsed="false">
      <c r="A89" s="38"/>
      <c r="B89" s="39" t="s">
        <v>761</v>
      </c>
      <c r="C89" s="40"/>
      <c r="D89" s="41"/>
      <c r="E89" s="42" t="n">
        <v>1</v>
      </c>
      <c r="F89" s="42" t="n">
        <v>1</v>
      </c>
      <c r="G89" s="42" t="n">
        <v>9</v>
      </c>
      <c r="H89" s="42" t="n">
        <v>1</v>
      </c>
      <c r="I89" s="41"/>
      <c r="J89" s="41"/>
      <c r="K89" s="41"/>
      <c r="L89" s="43"/>
      <c r="M89" s="44" t="n">
        <v>12</v>
      </c>
    </row>
    <row r="90" customFormat="false" ht="15" hidden="false" customHeight="false" outlineLevel="0" collapsed="false">
      <c r="A90" s="38"/>
      <c r="B90" s="39" t="s">
        <v>248</v>
      </c>
      <c r="C90" s="45" t="n">
        <v>1</v>
      </c>
      <c r="D90" s="42" t="n">
        <v>3</v>
      </c>
      <c r="E90" s="42" t="n">
        <v>2</v>
      </c>
      <c r="F90" s="42" t="n">
        <v>2</v>
      </c>
      <c r="G90" s="42" t="n">
        <v>6</v>
      </c>
      <c r="H90" s="41"/>
      <c r="I90" s="41"/>
      <c r="J90" s="41"/>
      <c r="K90" s="42" t="n">
        <v>1</v>
      </c>
      <c r="L90" s="43"/>
      <c r="M90" s="44" t="n">
        <v>15</v>
      </c>
    </row>
    <row r="91" customFormat="false" ht="15" hidden="false" customHeight="false" outlineLevel="0" collapsed="false">
      <c r="A91" s="38"/>
      <c r="B91" s="39" t="s">
        <v>208</v>
      </c>
      <c r="C91" s="45" t="n">
        <v>1</v>
      </c>
      <c r="D91" s="41"/>
      <c r="E91" s="42" t="n">
        <v>1</v>
      </c>
      <c r="F91" s="41"/>
      <c r="G91" s="42" t="n">
        <v>1</v>
      </c>
      <c r="H91" s="42" t="n">
        <v>5</v>
      </c>
      <c r="I91" s="41"/>
      <c r="J91" s="41"/>
      <c r="K91" s="41"/>
      <c r="L91" s="43"/>
      <c r="M91" s="44" t="n">
        <v>8</v>
      </c>
    </row>
    <row r="92" customFormat="false" ht="15" hidden="false" customHeight="false" outlineLevel="0" collapsed="false">
      <c r="A92" s="38"/>
      <c r="B92" s="39" t="s">
        <v>769</v>
      </c>
      <c r="C92" s="40"/>
      <c r="D92" s="41"/>
      <c r="E92" s="42" t="n">
        <v>10</v>
      </c>
      <c r="F92" s="41"/>
      <c r="G92" s="42" t="n">
        <v>13</v>
      </c>
      <c r="H92" s="41"/>
      <c r="I92" s="41"/>
      <c r="J92" s="41"/>
      <c r="K92" s="41"/>
      <c r="L92" s="43"/>
      <c r="M92" s="44" t="n">
        <v>23</v>
      </c>
    </row>
    <row r="93" customFormat="false" ht="15" hidden="false" customHeight="false" outlineLevel="0" collapsed="false">
      <c r="A93" s="38"/>
      <c r="B93" s="39" t="s">
        <v>335</v>
      </c>
      <c r="C93" s="45" t="n">
        <v>1</v>
      </c>
      <c r="D93" s="42" t="n">
        <v>2</v>
      </c>
      <c r="E93" s="42" t="n">
        <v>1</v>
      </c>
      <c r="F93" s="42" t="n">
        <v>1</v>
      </c>
      <c r="G93" s="42" t="n">
        <v>4</v>
      </c>
      <c r="H93" s="42" t="n">
        <v>5</v>
      </c>
      <c r="I93" s="41"/>
      <c r="J93" s="41"/>
      <c r="K93" s="41"/>
      <c r="L93" s="43"/>
      <c r="M93" s="44" t="n">
        <v>14</v>
      </c>
    </row>
    <row r="94" customFormat="false" ht="15" hidden="false" customHeight="false" outlineLevel="0" collapsed="false">
      <c r="A94" s="38"/>
      <c r="B94" s="39" t="s">
        <v>160</v>
      </c>
      <c r="C94" s="45" t="n">
        <v>1</v>
      </c>
      <c r="D94" s="41"/>
      <c r="E94" s="42" t="n">
        <v>2</v>
      </c>
      <c r="F94" s="42" t="n">
        <v>3</v>
      </c>
      <c r="G94" s="42" t="n">
        <v>2</v>
      </c>
      <c r="H94" s="42" t="n">
        <v>1</v>
      </c>
      <c r="I94" s="41"/>
      <c r="J94" s="41"/>
      <c r="K94" s="41"/>
      <c r="L94" s="43"/>
      <c r="M94" s="44" t="n">
        <v>9</v>
      </c>
    </row>
    <row r="95" customFormat="false" ht="15" hidden="false" customHeight="false" outlineLevel="0" collapsed="false">
      <c r="A95" s="38"/>
      <c r="B95" s="39" t="s">
        <v>495</v>
      </c>
      <c r="C95" s="45" t="n">
        <v>1</v>
      </c>
      <c r="D95" s="42" t="n">
        <v>1</v>
      </c>
      <c r="E95" s="41"/>
      <c r="F95" s="42" t="n">
        <v>1</v>
      </c>
      <c r="G95" s="42" t="n">
        <v>7</v>
      </c>
      <c r="H95" s="41"/>
      <c r="I95" s="41"/>
      <c r="J95" s="41"/>
      <c r="K95" s="42" t="n">
        <v>1</v>
      </c>
      <c r="L95" s="43"/>
      <c r="M95" s="44" t="n">
        <v>11</v>
      </c>
    </row>
    <row r="96" customFormat="false" ht="15" hidden="false" customHeight="false" outlineLevel="0" collapsed="false">
      <c r="A96" s="38"/>
      <c r="B96" s="39" t="s">
        <v>408</v>
      </c>
      <c r="C96" s="45" t="n">
        <v>1</v>
      </c>
      <c r="D96" s="42" t="n">
        <v>1</v>
      </c>
      <c r="E96" s="41"/>
      <c r="F96" s="41"/>
      <c r="G96" s="42" t="n">
        <v>1</v>
      </c>
      <c r="H96" s="42" t="n">
        <v>1</v>
      </c>
      <c r="I96" s="41"/>
      <c r="J96" s="41"/>
      <c r="K96" s="41"/>
      <c r="L96" s="43"/>
      <c r="M96" s="44" t="n">
        <v>4</v>
      </c>
    </row>
    <row r="97" customFormat="false" ht="15" hidden="false" customHeight="false" outlineLevel="0" collapsed="false">
      <c r="A97" s="38"/>
      <c r="B97" s="39" t="s">
        <v>167</v>
      </c>
      <c r="C97" s="45" t="n">
        <v>1</v>
      </c>
      <c r="D97" s="42" t="n">
        <v>3</v>
      </c>
      <c r="E97" s="42" t="n">
        <v>2</v>
      </c>
      <c r="F97" s="42" t="n">
        <v>10</v>
      </c>
      <c r="G97" s="42" t="n">
        <v>23</v>
      </c>
      <c r="H97" s="41"/>
      <c r="I97" s="41"/>
      <c r="J97" s="41"/>
      <c r="K97" s="42" t="n">
        <v>4</v>
      </c>
      <c r="L97" s="43"/>
      <c r="M97" s="44" t="n">
        <v>43</v>
      </c>
    </row>
    <row r="98" customFormat="false" ht="15" hidden="false" customHeight="false" outlineLevel="0" collapsed="false">
      <c r="A98" s="38"/>
      <c r="B98" s="39" t="s">
        <v>555</v>
      </c>
      <c r="C98" s="40"/>
      <c r="D98" s="42" t="n">
        <v>3</v>
      </c>
      <c r="E98" s="42" t="n">
        <v>1</v>
      </c>
      <c r="F98" s="42" t="n">
        <v>2</v>
      </c>
      <c r="G98" s="42" t="n">
        <v>1</v>
      </c>
      <c r="H98" s="41"/>
      <c r="I98" s="41"/>
      <c r="J98" s="41"/>
      <c r="K98" s="42" t="n">
        <v>1</v>
      </c>
      <c r="L98" s="43"/>
      <c r="M98" s="44" t="n">
        <v>8</v>
      </c>
    </row>
    <row r="99" customFormat="false" ht="15" hidden="false" customHeight="false" outlineLevel="0" collapsed="false">
      <c r="A99" s="38"/>
      <c r="B99" s="39" t="s">
        <v>918</v>
      </c>
      <c r="C99" s="40"/>
      <c r="D99" s="41"/>
      <c r="E99" s="41"/>
      <c r="F99" s="41"/>
      <c r="G99" s="42" t="n">
        <v>1</v>
      </c>
      <c r="H99" s="41"/>
      <c r="I99" s="41"/>
      <c r="J99" s="41"/>
      <c r="K99" s="41"/>
      <c r="L99" s="43"/>
      <c r="M99" s="44" t="n">
        <v>1</v>
      </c>
    </row>
    <row r="100" customFormat="false" ht="15" hidden="false" customHeight="false" outlineLevel="0" collapsed="false">
      <c r="A100" s="38"/>
      <c r="B100" s="39" t="s">
        <v>563</v>
      </c>
      <c r="C100" s="40"/>
      <c r="D100" s="42" t="n">
        <v>1</v>
      </c>
      <c r="E100" s="42" t="n">
        <v>1</v>
      </c>
      <c r="F100" s="41"/>
      <c r="G100" s="41"/>
      <c r="H100" s="42" t="n">
        <v>6</v>
      </c>
      <c r="I100" s="41"/>
      <c r="J100" s="41"/>
      <c r="K100" s="41"/>
      <c r="L100" s="43"/>
      <c r="M100" s="44" t="n">
        <v>8</v>
      </c>
    </row>
    <row r="101" customFormat="false" ht="15" hidden="false" customHeight="false" outlineLevel="0" collapsed="false">
      <c r="A101" s="38"/>
      <c r="B101" s="39" t="s">
        <v>581</v>
      </c>
      <c r="C101" s="40"/>
      <c r="D101" s="42" t="n">
        <v>3</v>
      </c>
      <c r="E101" s="42" t="n">
        <v>1</v>
      </c>
      <c r="F101" s="41"/>
      <c r="G101" s="42" t="n">
        <v>6</v>
      </c>
      <c r="H101" s="42" t="n">
        <v>2</v>
      </c>
      <c r="I101" s="41"/>
      <c r="J101" s="41"/>
      <c r="K101" s="41"/>
      <c r="L101" s="43"/>
      <c r="M101" s="44" t="n">
        <v>12</v>
      </c>
    </row>
    <row r="102" customFormat="false" ht="15" hidden="false" customHeight="false" outlineLevel="0" collapsed="false">
      <c r="A102" s="38"/>
      <c r="B102" s="39" t="s">
        <v>597</v>
      </c>
      <c r="C102" s="40"/>
      <c r="D102" s="42" t="n">
        <v>1</v>
      </c>
      <c r="E102" s="42" t="n">
        <v>1</v>
      </c>
      <c r="F102" s="41"/>
      <c r="G102" s="42" t="n">
        <v>3</v>
      </c>
      <c r="H102" s="41"/>
      <c r="I102" s="41"/>
      <c r="J102" s="41"/>
      <c r="K102" s="41"/>
      <c r="L102" s="43"/>
      <c r="M102" s="44" t="n">
        <v>5</v>
      </c>
    </row>
    <row r="103" customFormat="false" ht="15" hidden="false" customHeight="false" outlineLevel="0" collapsed="false">
      <c r="A103" s="38"/>
      <c r="B103" s="39" t="s">
        <v>264</v>
      </c>
      <c r="C103" s="45" t="n">
        <v>1</v>
      </c>
      <c r="D103" s="42" t="n">
        <v>1</v>
      </c>
      <c r="E103" s="42" t="n">
        <v>1</v>
      </c>
      <c r="F103" s="42" t="n">
        <v>2</v>
      </c>
      <c r="G103" s="42" t="n">
        <v>8</v>
      </c>
      <c r="H103" s="41"/>
      <c r="I103" s="41"/>
      <c r="J103" s="41"/>
      <c r="K103" s="42" t="n">
        <v>3</v>
      </c>
      <c r="L103" s="43"/>
      <c r="M103" s="44" t="n">
        <v>16</v>
      </c>
    </row>
    <row r="104" customFormat="false" ht="15" hidden="false" customHeight="false" outlineLevel="0" collapsed="false">
      <c r="A104" s="38"/>
      <c r="B104" s="39" t="s">
        <v>605</v>
      </c>
      <c r="C104" s="40"/>
      <c r="D104" s="42" t="n">
        <v>2</v>
      </c>
      <c r="E104" s="41"/>
      <c r="F104" s="42" t="n">
        <v>1</v>
      </c>
      <c r="G104" s="42" t="n">
        <v>3</v>
      </c>
      <c r="H104" s="41"/>
      <c r="I104" s="41"/>
      <c r="J104" s="41"/>
      <c r="K104" s="41"/>
      <c r="L104" s="43"/>
      <c r="M104" s="44" t="n">
        <v>6</v>
      </c>
    </row>
    <row r="105" customFormat="false" ht="15" hidden="false" customHeight="false" outlineLevel="0" collapsed="false">
      <c r="A105" s="38"/>
      <c r="B105" s="39" t="s">
        <v>143</v>
      </c>
      <c r="C105" s="45" t="n">
        <v>1</v>
      </c>
      <c r="D105" s="41"/>
      <c r="E105" s="42" t="n">
        <v>1</v>
      </c>
      <c r="F105" s="42" t="n">
        <v>2</v>
      </c>
      <c r="G105" s="42" t="n">
        <v>4</v>
      </c>
      <c r="H105" s="41"/>
      <c r="I105" s="41"/>
      <c r="J105" s="41"/>
      <c r="K105" s="41"/>
      <c r="L105" s="43"/>
      <c r="M105" s="44" t="n">
        <v>8</v>
      </c>
    </row>
    <row r="106" customFormat="false" ht="15" hidden="false" customHeight="false" outlineLevel="0" collapsed="false">
      <c r="A106" s="38"/>
      <c r="B106" s="39" t="s">
        <v>60</v>
      </c>
      <c r="C106" s="45" t="n">
        <v>1</v>
      </c>
      <c r="D106" s="42" t="n">
        <v>3</v>
      </c>
      <c r="E106" s="42" t="n">
        <v>7</v>
      </c>
      <c r="F106" s="42" t="n">
        <v>18</v>
      </c>
      <c r="G106" s="42" t="n">
        <v>15</v>
      </c>
      <c r="H106" s="42" t="n">
        <v>15</v>
      </c>
      <c r="I106" s="41"/>
      <c r="J106" s="41"/>
      <c r="K106" s="42" t="n">
        <v>4</v>
      </c>
      <c r="L106" s="43"/>
      <c r="M106" s="44" t="n">
        <v>63</v>
      </c>
    </row>
    <row r="107" customFormat="false" ht="15" hidden="false" customHeight="false" outlineLevel="0" collapsed="false">
      <c r="A107" s="38"/>
      <c r="B107" s="39" t="s">
        <v>287</v>
      </c>
      <c r="C107" s="45" t="n">
        <v>1</v>
      </c>
      <c r="D107" s="42" t="n">
        <v>2</v>
      </c>
      <c r="E107" s="42" t="n">
        <v>1</v>
      </c>
      <c r="F107" s="42" t="n">
        <v>1</v>
      </c>
      <c r="G107" s="42" t="n">
        <v>4</v>
      </c>
      <c r="H107" s="41"/>
      <c r="I107" s="41"/>
      <c r="J107" s="41"/>
      <c r="K107" s="41"/>
      <c r="L107" s="43"/>
      <c r="M107" s="44" t="n">
        <v>9</v>
      </c>
    </row>
    <row r="108" customFormat="false" ht="15" hidden="false" customHeight="false" outlineLevel="0" collapsed="false">
      <c r="A108" s="38"/>
      <c r="B108" s="39" t="s">
        <v>619</v>
      </c>
      <c r="C108" s="40"/>
      <c r="D108" s="42" t="n">
        <v>4</v>
      </c>
      <c r="E108" s="42" t="n">
        <v>2</v>
      </c>
      <c r="F108" s="41"/>
      <c r="G108" s="42" t="n">
        <v>1</v>
      </c>
      <c r="H108" s="41"/>
      <c r="I108" s="41"/>
      <c r="J108" s="41"/>
      <c r="K108" s="41"/>
      <c r="L108" s="43"/>
      <c r="M108" s="44" t="n">
        <v>7</v>
      </c>
    </row>
    <row r="109" customFormat="false" ht="15" hidden="false" customHeight="false" outlineLevel="0" collapsed="false">
      <c r="A109" s="38"/>
      <c r="B109" s="39" t="s">
        <v>271</v>
      </c>
      <c r="C109" s="45" t="n">
        <v>1</v>
      </c>
      <c r="D109" s="41"/>
      <c r="E109" s="42" t="n">
        <v>1</v>
      </c>
      <c r="F109" s="42" t="n">
        <v>5</v>
      </c>
      <c r="G109" s="42" t="n">
        <v>1</v>
      </c>
      <c r="H109" s="42" t="n">
        <v>2</v>
      </c>
      <c r="I109" s="41"/>
      <c r="J109" s="41"/>
      <c r="K109" s="42" t="n">
        <v>1</v>
      </c>
      <c r="L109" s="46" t="n">
        <v>1</v>
      </c>
      <c r="M109" s="44" t="n">
        <v>12</v>
      </c>
    </row>
    <row r="110" customFormat="false" ht="15" hidden="false" customHeight="false" outlineLevel="0" collapsed="false">
      <c r="A110" s="38"/>
      <c r="B110" s="39" t="s">
        <v>509</v>
      </c>
      <c r="C110" s="45" t="n">
        <v>1</v>
      </c>
      <c r="D110" s="42" t="n">
        <v>1</v>
      </c>
      <c r="E110" s="42" t="n">
        <v>3</v>
      </c>
      <c r="F110" s="42" t="n">
        <v>2</v>
      </c>
      <c r="G110" s="42" t="n">
        <v>12</v>
      </c>
      <c r="H110" s="41"/>
      <c r="I110" s="41"/>
      <c r="J110" s="41"/>
      <c r="K110" s="41"/>
      <c r="L110" s="43"/>
      <c r="M110" s="44" t="n">
        <v>19</v>
      </c>
    </row>
    <row r="111" customFormat="false" ht="15" hidden="false" customHeight="false" outlineLevel="0" collapsed="false">
      <c r="A111" s="38"/>
      <c r="B111" s="39" t="s">
        <v>103</v>
      </c>
      <c r="C111" s="45" t="n">
        <v>1</v>
      </c>
      <c r="D111" s="42" t="n">
        <v>2</v>
      </c>
      <c r="E111" s="41"/>
      <c r="F111" s="42" t="n">
        <v>1</v>
      </c>
      <c r="G111" s="42" t="n">
        <v>8</v>
      </c>
      <c r="H111" s="42" t="n">
        <v>3</v>
      </c>
      <c r="I111" s="41"/>
      <c r="J111" s="41"/>
      <c r="K111" s="41"/>
      <c r="L111" s="43"/>
      <c r="M111" s="44" t="n">
        <v>15</v>
      </c>
    </row>
    <row r="112" customFormat="false" ht="15" hidden="false" customHeight="false" outlineLevel="0" collapsed="false">
      <c r="A112" s="38"/>
      <c r="B112" s="39" t="s">
        <v>645</v>
      </c>
      <c r="C112" s="40"/>
      <c r="D112" s="42" t="n">
        <v>1</v>
      </c>
      <c r="E112" s="42" t="n">
        <v>1</v>
      </c>
      <c r="F112" s="42" t="n">
        <v>3</v>
      </c>
      <c r="G112" s="42" t="n">
        <v>4</v>
      </c>
      <c r="H112" s="42" t="n">
        <v>1</v>
      </c>
      <c r="I112" s="41"/>
      <c r="J112" s="41"/>
      <c r="K112" s="42" t="n">
        <v>6</v>
      </c>
      <c r="L112" s="43"/>
      <c r="M112" s="44" t="n">
        <v>16</v>
      </c>
    </row>
    <row r="113" customFormat="false" ht="15" hidden="false" customHeight="false" outlineLevel="0" collapsed="false">
      <c r="A113" s="38"/>
      <c r="B113" s="39" t="s">
        <v>796</v>
      </c>
      <c r="C113" s="40"/>
      <c r="D113" s="41"/>
      <c r="E113" s="42" t="n">
        <v>5</v>
      </c>
      <c r="F113" s="41"/>
      <c r="G113" s="41"/>
      <c r="H113" s="41"/>
      <c r="I113" s="41"/>
      <c r="J113" s="41"/>
      <c r="K113" s="41"/>
      <c r="L113" s="43"/>
      <c r="M113" s="44" t="n">
        <v>5</v>
      </c>
    </row>
    <row r="114" customFormat="false" ht="15" hidden="false" customHeight="false" outlineLevel="0" collapsed="false">
      <c r="A114" s="38"/>
      <c r="B114" s="39" t="s">
        <v>279</v>
      </c>
      <c r="C114" s="45" t="n">
        <v>1</v>
      </c>
      <c r="D114" s="42" t="n">
        <v>3</v>
      </c>
      <c r="E114" s="42" t="n">
        <v>1</v>
      </c>
      <c r="F114" s="41"/>
      <c r="G114" s="42" t="n">
        <v>9</v>
      </c>
      <c r="H114" s="42" t="n">
        <v>4</v>
      </c>
      <c r="I114" s="41"/>
      <c r="J114" s="41"/>
      <c r="K114" s="41"/>
      <c r="L114" s="43"/>
      <c r="M114" s="44" t="n">
        <v>18</v>
      </c>
    </row>
    <row r="115" customFormat="false" ht="15" hidden="false" customHeight="false" outlineLevel="0" collapsed="false">
      <c r="A115" s="38"/>
      <c r="B115" s="39" t="s">
        <v>668</v>
      </c>
      <c r="C115" s="40"/>
      <c r="D115" s="42" t="n">
        <v>3</v>
      </c>
      <c r="E115" s="41"/>
      <c r="F115" s="42" t="n">
        <v>1</v>
      </c>
      <c r="G115" s="42" t="n">
        <v>10</v>
      </c>
      <c r="H115" s="42" t="n">
        <v>3</v>
      </c>
      <c r="I115" s="41"/>
      <c r="J115" s="41"/>
      <c r="K115" s="41"/>
      <c r="L115" s="43"/>
      <c r="M115" s="44" t="n">
        <v>17</v>
      </c>
    </row>
    <row r="116" customFormat="false" ht="15" hidden="false" customHeight="false" outlineLevel="0" collapsed="false">
      <c r="A116" s="38"/>
      <c r="B116" s="39" t="s">
        <v>503</v>
      </c>
      <c r="C116" s="45" t="n">
        <v>1</v>
      </c>
      <c r="D116" s="42" t="n">
        <v>2</v>
      </c>
      <c r="E116" s="41"/>
      <c r="F116" s="42" t="n">
        <v>2</v>
      </c>
      <c r="G116" s="42" t="n">
        <v>5</v>
      </c>
      <c r="H116" s="42" t="n">
        <v>1</v>
      </c>
      <c r="I116" s="41"/>
      <c r="J116" s="41"/>
      <c r="K116" s="42" t="n">
        <v>1</v>
      </c>
      <c r="L116" s="43"/>
      <c r="M116" s="44" t="n">
        <v>12</v>
      </c>
    </row>
    <row r="117" customFormat="false" ht="15" hidden="false" customHeight="false" outlineLevel="0" collapsed="false">
      <c r="A117" s="38"/>
      <c r="B117" s="39" t="s">
        <v>384</v>
      </c>
      <c r="C117" s="45" t="n">
        <v>1</v>
      </c>
      <c r="D117" s="42" t="n">
        <v>2</v>
      </c>
      <c r="E117" s="42" t="n">
        <v>1</v>
      </c>
      <c r="F117" s="42" t="n">
        <v>7</v>
      </c>
      <c r="G117" s="42" t="n">
        <v>12</v>
      </c>
      <c r="H117" s="42" t="n">
        <v>2</v>
      </c>
      <c r="I117" s="41"/>
      <c r="J117" s="41"/>
      <c r="K117" s="42" t="n">
        <v>2</v>
      </c>
      <c r="L117" s="46" t="n">
        <v>1</v>
      </c>
      <c r="M117" s="44" t="n">
        <v>28</v>
      </c>
    </row>
    <row r="118" customFormat="false" ht="15" hidden="false" customHeight="false" outlineLevel="0" collapsed="false">
      <c r="A118" s="38"/>
      <c r="B118" s="39" t="s">
        <v>517</v>
      </c>
      <c r="C118" s="45" t="n">
        <v>1</v>
      </c>
      <c r="D118" s="41"/>
      <c r="E118" s="41"/>
      <c r="F118" s="42" t="n">
        <v>1</v>
      </c>
      <c r="G118" s="42" t="n">
        <v>5</v>
      </c>
      <c r="H118" s="42" t="n">
        <v>3</v>
      </c>
      <c r="I118" s="41"/>
      <c r="J118" s="41"/>
      <c r="K118" s="42" t="n">
        <v>2</v>
      </c>
      <c r="L118" s="43"/>
      <c r="M118" s="44" t="n">
        <v>12</v>
      </c>
    </row>
    <row r="119" customFormat="false" ht="15" hidden="false" customHeight="false" outlineLevel="0" collapsed="false">
      <c r="A119" s="38"/>
      <c r="B119" s="39" t="s">
        <v>232</v>
      </c>
      <c r="C119" s="45" t="n">
        <v>1</v>
      </c>
      <c r="D119" s="42" t="n">
        <v>4</v>
      </c>
      <c r="E119" s="42" t="n">
        <v>2</v>
      </c>
      <c r="F119" s="42" t="n">
        <v>3</v>
      </c>
      <c r="G119" s="42" t="n">
        <v>8</v>
      </c>
      <c r="H119" s="42" t="n">
        <v>3</v>
      </c>
      <c r="I119" s="41"/>
      <c r="J119" s="41"/>
      <c r="K119" s="42" t="n">
        <v>2</v>
      </c>
      <c r="L119" s="43"/>
      <c r="M119" s="44" t="n">
        <v>23</v>
      </c>
    </row>
    <row r="120" customFormat="false" ht="15" hidden="false" customHeight="false" outlineLevel="0" collapsed="false">
      <c r="A120" s="38"/>
      <c r="B120" s="39" t="s">
        <v>69</v>
      </c>
      <c r="C120" s="45" t="n">
        <v>1</v>
      </c>
      <c r="D120" s="42" t="n">
        <v>1</v>
      </c>
      <c r="E120" s="42" t="n">
        <v>5</v>
      </c>
      <c r="F120" s="42" t="n">
        <v>5</v>
      </c>
      <c r="G120" s="42" t="n">
        <v>7</v>
      </c>
      <c r="H120" s="42" t="n">
        <v>10</v>
      </c>
      <c r="I120" s="41"/>
      <c r="J120" s="41"/>
      <c r="K120" s="41"/>
      <c r="L120" s="46" t="n">
        <v>1</v>
      </c>
      <c r="M120" s="44" t="n">
        <v>30</v>
      </c>
    </row>
    <row r="121" customFormat="false" ht="15" hidden="false" customHeight="false" outlineLevel="0" collapsed="false">
      <c r="A121" s="38"/>
      <c r="B121" s="39" t="s">
        <v>256</v>
      </c>
      <c r="C121" s="45" t="n">
        <v>1</v>
      </c>
      <c r="D121" s="41"/>
      <c r="E121" s="42" t="n">
        <v>2</v>
      </c>
      <c r="F121" s="42" t="n">
        <v>2</v>
      </c>
      <c r="G121" s="41"/>
      <c r="H121" s="41"/>
      <c r="I121" s="41"/>
      <c r="J121" s="41"/>
      <c r="K121" s="41"/>
      <c r="L121" s="43"/>
      <c r="M121" s="44" t="n">
        <v>5</v>
      </c>
    </row>
    <row r="122" customFormat="false" ht="15" hidden="false" customHeight="false" outlineLevel="0" collapsed="false">
      <c r="A122" s="38"/>
      <c r="B122" s="39" t="s">
        <v>893</v>
      </c>
      <c r="C122" s="40"/>
      <c r="D122" s="41"/>
      <c r="E122" s="41"/>
      <c r="F122" s="42" t="n">
        <v>1</v>
      </c>
      <c r="G122" s="42" t="n">
        <v>4</v>
      </c>
      <c r="H122" s="41"/>
      <c r="I122" s="41"/>
      <c r="J122" s="41"/>
      <c r="K122" s="42" t="n">
        <v>1</v>
      </c>
      <c r="L122" s="43"/>
      <c r="M122" s="44" t="n">
        <v>6</v>
      </c>
    </row>
    <row r="123" customFormat="false" ht="15" hidden="false" customHeight="false" outlineLevel="0" collapsed="false">
      <c r="A123" s="38"/>
      <c r="B123" s="39" t="s">
        <v>224</v>
      </c>
      <c r="C123" s="45" t="n">
        <v>1</v>
      </c>
      <c r="D123" s="42" t="n">
        <v>2</v>
      </c>
      <c r="E123" s="42" t="n">
        <v>1</v>
      </c>
      <c r="F123" s="42" t="n">
        <v>1</v>
      </c>
      <c r="G123" s="42" t="n">
        <v>3</v>
      </c>
      <c r="H123" s="42" t="n">
        <v>1</v>
      </c>
      <c r="I123" s="41"/>
      <c r="J123" s="41"/>
      <c r="K123" s="41"/>
      <c r="L123" s="43"/>
      <c r="M123" s="44" t="n">
        <v>9</v>
      </c>
    </row>
    <row r="124" customFormat="false" ht="15" hidden="false" customHeight="false" outlineLevel="0" collapsed="false">
      <c r="A124" s="29"/>
      <c r="B124" s="30" t="s">
        <v>295</v>
      </c>
      <c r="C124" s="47" t="n">
        <v>1</v>
      </c>
      <c r="D124" s="33"/>
      <c r="E124" s="33"/>
      <c r="F124" s="32" t="n">
        <v>1</v>
      </c>
      <c r="G124" s="32" t="n">
        <v>2</v>
      </c>
      <c r="H124" s="32" t="n">
        <v>1</v>
      </c>
      <c r="I124" s="33"/>
      <c r="J124" s="33"/>
      <c r="K124" s="32" t="n">
        <v>1</v>
      </c>
      <c r="L124" s="48" t="n">
        <v>1</v>
      </c>
      <c r="M124" s="35" t="n">
        <v>7</v>
      </c>
    </row>
    <row r="125" customFormat="false" ht="15" hidden="false" customHeight="false" outlineLevel="0" collapsed="false">
      <c r="A125" s="22" t="s">
        <v>913</v>
      </c>
      <c r="B125" s="23"/>
      <c r="C125" s="26"/>
      <c r="D125" s="26"/>
      <c r="E125" s="26"/>
      <c r="F125" s="26"/>
      <c r="G125" s="26"/>
      <c r="H125" s="26"/>
      <c r="I125" s="26"/>
      <c r="J125" s="25" t="n">
        <v>1642</v>
      </c>
      <c r="K125" s="26"/>
      <c r="L125" s="26"/>
      <c r="M125" s="28" t="n">
        <v>1642</v>
      </c>
    </row>
    <row r="126" customFormat="false" ht="15" hidden="false" customHeight="false" outlineLevel="0" collapsed="false">
      <c r="A126" s="29"/>
      <c r="B126" s="30" t="s">
        <v>913</v>
      </c>
      <c r="C126" s="33"/>
      <c r="D126" s="33"/>
      <c r="E126" s="33"/>
      <c r="F126" s="33"/>
      <c r="G126" s="33"/>
      <c r="H126" s="33"/>
      <c r="I126" s="33"/>
      <c r="J126" s="32" t="n">
        <v>1642</v>
      </c>
      <c r="K126" s="33"/>
      <c r="L126" s="33"/>
      <c r="M126" s="35" t="n">
        <v>1642</v>
      </c>
    </row>
    <row r="127" customFormat="false" ht="15" hidden="false" customHeight="false" outlineLevel="0" collapsed="false">
      <c r="A127" s="49" t="s">
        <v>914</v>
      </c>
      <c r="B127" s="50"/>
      <c r="C127" s="51" t="n">
        <v>64</v>
      </c>
      <c r="D127" s="52" t="n">
        <v>198</v>
      </c>
      <c r="E127" s="52" t="n">
        <v>122</v>
      </c>
      <c r="F127" s="52" t="n">
        <v>213</v>
      </c>
      <c r="G127" s="52" t="n">
        <v>412</v>
      </c>
      <c r="H127" s="52" t="n">
        <v>299</v>
      </c>
      <c r="I127" s="52" t="n">
        <v>59</v>
      </c>
      <c r="J127" s="52" t="n">
        <v>1642</v>
      </c>
      <c r="K127" s="52" t="n">
        <v>255</v>
      </c>
      <c r="L127" s="53" t="n">
        <v>20</v>
      </c>
      <c r="M127" s="54" t="n">
        <v>3284</v>
      </c>
    </row>
    <row r="137" customFormat="false" ht="15" hidden="false" customHeight="false" outlineLevel="0" collapsed="false">
      <c r="F137" s="55" t="n">
        <v>46125</v>
      </c>
      <c r="G137" s="56" t="n">
        <f aca="false">597/1642</f>
        <v>0.363580998781973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T818"/>
  <sheetViews>
    <sheetView showFormulas="false" showGridLines="true" showRowColHeaders="true" showZeros="true" rightToLeft="false" tabSelected="true" showOutlineSymbols="true" defaultGridColor="true" view="normal" topLeftCell="A1" colorId="64" zoomScale="115" zoomScaleNormal="115" zoomScalePageLayoutView="100" workbookViewId="0">
      <pane xSplit="0" ySplit="2" topLeftCell="A485" activePane="bottomLeft" state="frozen"/>
      <selection pane="topLeft" activeCell="A1" activeCellId="0" sqref="A1"/>
      <selection pane="bottomLeft" activeCell="B497" activeCellId="0" sqref="B497"/>
    </sheetView>
  </sheetViews>
  <sheetFormatPr defaultColWidth="9.14453125" defaultRowHeight="15" zeroHeight="false" outlineLevelRow="2" outlineLevelCol="0"/>
  <cols>
    <col collapsed="false" customWidth="false" hidden="false" outlineLevel="0" max="1" min="1" style="57" width="9.14"/>
    <col collapsed="false" customWidth="true" hidden="false" outlineLevel="0" max="2" min="2" style="57" width="6.43"/>
    <col collapsed="false" customWidth="true" hidden="false" outlineLevel="0" max="3" min="3" style="58" width="7"/>
    <col collapsed="false" customWidth="true" hidden="false" outlineLevel="0" max="4" min="4" style="57" width="5.43"/>
    <col collapsed="false" customWidth="true" hidden="false" outlineLevel="0" max="5" min="5" style="57" width="53.71"/>
    <col collapsed="false" customWidth="true" hidden="false" outlineLevel="0" max="6" min="6" style="58" width="78.85"/>
    <col collapsed="false" customWidth="true" hidden="false" outlineLevel="0" max="7" min="7" style="59" width="8.14"/>
    <col collapsed="false" customWidth="true" hidden="false" outlineLevel="0" max="8" min="8" style="57" width="14.14"/>
    <col collapsed="false" customWidth="true" hidden="false" outlineLevel="0" max="9" min="9" style="60" width="35.85"/>
    <col collapsed="false" customWidth="true" hidden="false" outlineLevel="0" max="10" min="10" style="61" width="41.28"/>
    <col collapsed="false" customWidth="true" hidden="false" outlineLevel="0" max="11" min="11" style="57" width="49.43"/>
    <col collapsed="false" customWidth="true" hidden="false" outlineLevel="0" max="12" min="12" style="57" width="39"/>
    <col collapsed="false" customWidth="true" hidden="false" outlineLevel="0" max="13" min="13" style="58" width="52.28"/>
    <col collapsed="false" customWidth="true" hidden="false" outlineLevel="0" max="14" min="14" style="62" width="12.28"/>
    <col collapsed="false" customWidth="true" hidden="false" outlineLevel="0" max="15" min="15" style="57" width="28.42"/>
    <col collapsed="false" customWidth="true" hidden="false" outlineLevel="0" max="17" min="16" style="57" width="12.43"/>
    <col collapsed="false" customWidth="true" hidden="false" outlineLevel="0" max="18" min="18" style="57" width="15.85"/>
    <col collapsed="false" customWidth="true" hidden="false" outlineLevel="0" max="19" min="19" style="57" width="17.43"/>
    <col collapsed="false" customWidth="true" hidden="false" outlineLevel="0" max="20" min="20" style="57" width="59.85"/>
    <col collapsed="false" customWidth="false" hidden="false" outlineLevel="0" max="1024" min="21" style="57" width="9.14"/>
  </cols>
  <sheetData>
    <row r="2" s="63" customFormat="true" ht="36" hidden="false" customHeight="true" outlineLevel="0" collapsed="false">
      <c r="B2" s="64" t="s">
        <v>1</v>
      </c>
      <c r="C2" s="64" t="s">
        <v>753</v>
      </c>
      <c r="D2" s="64" t="s">
        <v>4</v>
      </c>
      <c r="E2" s="64" t="s">
        <v>6</v>
      </c>
      <c r="F2" s="64" t="s">
        <v>5</v>
      </c>
      <c r="G2" s="64" t="s">
        <v>7</v>
      </c>
      <c r="H2" s="64" t="s">
        <v>8</v>
      </c>
      <c r="I2" s="64" t="s">
        <v>9</v>
      </c>
      <c r="J2" s="64" t="s">
        <v>10</v>
      </c>
      <c r="K2" s="64" t="s">
        <v>11</v>
      </c>
      <c r="L2" s="64" t="s">
        <v>12</v>
      </c>
      <c r="M2" s="65" t="s">
        <v>13</v>
      </c>
      <c r="N2" s="64" t="s">
        <v>14</v>
      </c>
      <c r="O2" s="66" t="s">
        <v>16</v>
      </c>
      <c r="P2" s="64" t="s">
        <v>17</v>
      </c>
      <c r="Q2" s="64" t="s">
        <v>18</v>
      </c>
      <c r="R2" s="67" t="s">
        <v>19</v>
      </c>
      <c r="S2" s="67" t="s">
        <v>20</v>
      </c>
      <c r="T2" s="63" t="s">
        <v>919</v>
      </c>
    </row>
    <row r="3" s="68" customFormat="true" ht="15" hidden="false" customHeight="false" outlineLevel="0" collapsed="false">
      <c r="B3" s="69"/>
      <c r="C3" s="70"/>
      <c r="D3" s="71"/>
      <c r="E3" s="72" t="s">
        <v>920</v>
      </c>
      <c r="F3" s="73"/>
      <c r="G3" s="74" t="n">
        <f aca="false">SUM(G4:G7)</f>
        <v>4</v>
      </c>
      <c r="H3" s="71"/>
      <c r="I3" s="71"/>
      <c r="J3" s="71"/>
      <c r="K3" s="71"/>
      <c r="L3" s="71"/>
      <c r="M3" s="70"/>
      <c r="N3" s="71"/>
      <c r="O3" s="75"/>
      <c r="P3" s="76"/>
      <c r="Q3" s="76"/>
      <c r="R3" s="74" t="s">
        <v>31</v>
      </c>
      <c r="S3" s="74"/>
    </row>
    <row r="4" s="77" customFormat="true" ht="15" hidden="false" customHeight="false" outlineLevel="1" collapsed="false">
      <c r="B4" s="78"/>
      <c r="C4" s="79" t="n">
        <v>67</v>
      </c>
      <c r="D4" s="80" t="s">
        <v>580</v>
      </c>
      <c r="E4" s="81" t="s">
        <v>920</v>
      </c>
      <c r="F4" s="82" t="s">
        <v>581</v>
      </c>
      <c r="G4" s="83" t="n">
        <v>1</v>
      </c>
      <c r="H4" s="84" t="s">
        <v>61</v>
      </c>
      <c r="I4" s="80" t="s">
        <v>582</v>
      </c>
      <c r="J4" s="80" t="s">
        <v>583</v>
      </c>
      <c r="K4" s="80" t="s">
        <v>584</v>
      </c>
      <c r="L4" s="80" t="s">
        <v>585</v>
      </c>
      <c r="M4" s="79" t="s">
        <v>586</v>
      </c>
      <c r="N4" s="80" t="s">
        <v>587</v>
      </c>
      <c r="O4" s="85" t="n">
        <v>46132</v>
      </c>
      <c r="P4" s="86"/>
      <c r="Q4" s="86"/>
      <c r="R4" s="87" t="s">
        <v>31</v>
      </c>
      <c r="S4" s="87" t="s">
        <v>84</v>
      </c>
    </row>
    <row r="5" s="77" customFormat="true" ht="15" hidden="false" customHeight="false" outlineLevel="1" collapsed="false">
      <c r="B5" s="78"/>
      <c r="C5" s="79" t="n">
        <v>68</v>
      </c>
      <c r="D5" s="80" t="s">
        <v>743</v>
      </c>
      <c r="E5" s="81" t="s">
        <v>920</v>
      </c>
      <c r="F5" s="82" t="s">
        <v>744</v>
      </c>
      <c r="G5" s="88" t="n">
        <v>1</v>
      </c>
      <c r="H5" s="84" t="s">
        <v>745</v>
      </c>
      <c r="I5" s="80" t="s">
        <v>746</v>
      </c>
      <c r="J5" s="80" t="s">
        <v>747</v>
      </c>
      <c r="K5" s="80" t="s">
        <v>748</v>
      </c>
      <c r="L5" s="80" t="s">
        <v>749</v>
      </c>
      <c r="M5" s="79" t="s">
        <v>750</v>
      </c>
      <c r="N5" s="80" t="s">
        <v>751</v>
      </c>
      <c r="O5" s="85" t="n">
        <v>46132</v>
      </c>
      <c r="P5" s="86"/>
      <c r="Q5" s="86"/>
      <c r="R5" s="87" t="s">
        <v>31</v>
      </c>
      <c r="S5" s="87" t="s">
        <v>84</v>
      </c>
    </row>
    <row r="6" s="77" customFormat="true" ht="15" hidden="false" customHeight="false" outlineLevel="1" collapsed="false">
      <c r="B6" s="78"/>
      <c r="C6" s="79" t="n">
        <v>69</v>
      </c>
      <c r="D6" s="80" t="s">
        <v>407</v>
      </c>
      <c r="E6" s="81" t="s">
        <v>920</v>
      </c>
      <c r="F6" s="82" t="s">
        <v>408</v>
      </c>
      <c r="G6" s="83" t="n">
        <v>1</v>
      </c>
      <c r="H6" s="84" t="s">
        <v>61</v>
      </c>
      <c r="I6" s="80" t="s">
        <v>409</v>
      </c>
      <c r="J6" s="80" t="s">
        <v>410</v>
      </c>
      <c r="K6" s="80" t="s">
        <v>411</v>
      </c>
      <c r="L6" s="80" t="s">
        <v>412</v>
      </c>
      <c r="M6" s="79" t="s">
        <v>921</v>
      </c>
      <c r="N6" s="80" t="s">
        <v>414</v>
      </c>
      <c r="O6" s="85" t="n">
        <v>46132</v>
      </c>
      <c r="P6" s="86"/>
      <c r="Q6" s="86"/>
      <c r="R6" s="87" t="s">
        <v>31</v>
      </c>
      <c r="S6" s="87" t="s">
        <v>84</v>
      </c>
    </row>
    <row r="7" s="77" customFormat="true" ht="15" hidden="false" customHeight="false" outlineLevel="1" collapsed="false">
      <c r="B7" s="78"/>
      <c r="C7" s="79" t="n">
        <v>70</v>
      </c>
      <c r="D7" s="80" t="s">
        <v>644</v>
      </c>
      <c r="E7" s="81" t="s">
        <v>920</v>
      </c>
      <c r="F7" s="82" t="s">
        <v>645</v>
      </c>
      <c r="G7" s="88" t="n">
        <v>1</v>
      </c>
      <c r="H7" s="84" t="s">
        <v>61</v>
      </c>
      <c r="I7" s="80" t="s">
        <v>646</v>
      </c>
      <c r="J7" s="80" t="s">
        <v>647</v>
      </c>
      <c r="K7" s="80" t="s">
        <v>648</v>
      </c>
      <c r="L7" s="80" t="s">
        <v>649</v>
      </c>
      <c r="M7" s="79" t="s">
        <v>650</v>
      </c>
      <c r="N7" s="80"/>
      <c r="O7" s="85" t="n">
        <v>46132</v>
      </c>
      <c r="P7" s="86"/>
      <c r="Q7" s="86"/>
      <c r="R7" s="87" t="s">
        <v>31</v>
      </c>
      <c r="S7" s="87" t="s">
        <v>793</v>
      </c>
    </row>
    <row r="8" s="68" customFormat="true" ht="15" hidden="false" customHeight="false" outlineLevel="0" collapsed="false">
      <c r="B8" s="69"/>
      <c r="C8" s="70"/>
      <c r="D8" s="71"/>
      <c r="E8" s="72" t="s">
        <v>922</v>
      </c>
      <c r="F8" s="73"/>
      <c r="G8" s="74" t="n">
        <f aca="false">SUM(G9:G18)</f>
        <v>13</v>
      </c>
      <c r="H8" s="71"/>
      <c r="I8" s="71"/>
      <c r="J8" s="71"/>
      <c r="K8" s="71"/>
      <c r="L8" s="71"/>
      <c r="M8" s="70"/>
      <c r="N8" s="89"/>
      <c r="O8" s="76"/>
      <c r="P8" s="76"/>
      <c r="Q8" s="90"/>
      <c r="R8" s="74" t="s">
        <v>31</v>
      </c>
      <c r="S8" s="69"/>
    </row>
    <row r="9" s="77" customFormat="true" ht="15" hidden="false" customHeight="false" outlineLevel="1" collapsed="false">
      <c r="B9" s="78"/>
      <c r="C9" s="79" t="n">
        <v>71</v>
      </c>
      <c r="D9" s="80" t="s">
        <v>59</v>
      </c>
      <c r="E9" s="81" t="s">
        <v>922</v>
      </c>
      <c r="F9" s="82" t="s">
        <v>60</v>
      </c>
      <c r="G9" s="88" t="n">
        <v>1</v>
      </c>
      <c r="H9" s="84" t="s">
        <v>61</v>
      </c>
      <c r="I9" s="80" t="s">
        <v>62</v>
      </c>
      <c r="J9" s="80" t="s">
        <v>63</v>
      </c>
      <c r="K9" s="80" t="s">
        <v>64</v>
      </c>
      <c r="L9" s="80" t="s">
        <v>65</v>
      </c>
      <c r="M9" s="79" t="s">
        <v>66</v>
      </c>
      <c r="N9" s="80" t="s">
        <v>67</v>
      </c>
      <c r="O9" s="85" t="n">
        <v>46132</v>
      </c>
      <c r="P9" s="84"/>
      <c r="Q9" s="84"/>
      <c r="R9" s="87" t="s">
        <v>31</v>
      </c>
      <c r="S9" s="87" t="s">
        <v>31</v>
      </c>
    </row>
    <row r="10" s="77" customFormat="true" ht="30" hidden="false" customHeight="true" outlineLevel="1" collapsed="false">
      <c r="B10" s="78"/>
      <c r="C10" s="79" t="s">
        <v>923</v>
      </c>
      <c r="D10" s="80" t="s">
        <v>75</v>
      </c>
      <c r="E10" s="81" t="s">
        <v>922</v>
      </c>
      <c r="F10" s="82" t="s">
        <v>76</v>
      </c>
      <c r="G10" s="88" t="n">
        <v>2</v>
      </c>
      <c r="H10" s="84" t="s">
        <v>77</v>
      </c>
      <c r="I10" s="80" t="s">
        <v>924</v>
      </c>
      <c r="J10" s="80" t="s">
        <v>925</v>
      </c>
      <c r="K10" s="80" t="s">
        <v>926</v>
      </c>
      <c r="L10" s="80" t="s">
        <v>81</v>
      </c>
      <c r="M10" s="79" t="s">
        <v>927</v>
      </c>
      <c r="N10" s="80" t="s">
        <v>83</v>
      </c>
      <c r="O10" s="85" t="n">
        <v>46132</v>
      </c>
      <c r="P10" s="84"/>
      <c r="Q10" s="84"/>
      <c r="R10" s="87" t="s">
        <v>31</v>
      </c>
      <c r="S10" s="87" t="s">
        <v>84</v>
      </c>
    </row>
    <row r="11" s="77" customFormat="true" ht="15" hidden="false" customHeight="false" outlineLevel="1" collapsed="false">
      <c r="B11" s="78"/>
      <c r="C11" s="79" t="n">
        <v>73</v>
      </c>
      <c r="D11" s="80" t="s">
        <v>899</v>
      </c>
      <c r="E11" s="82" t="s">
        <v>922</v>
      </c>
      <c r="F11" s="82" t="s">
        <v>900</v>
      </c>
      <c r="G11" s="91" t="n">
        <v>1</v>
      </c>
      <c r="H11" s="84" t="s">
        <v>901</v>
      </c>
      <c r="I11" s="80" t="s">
        <v>902</v>
      </c>
      <c r="J11" s="80" t="s">
        <v>903</v>
      </c>
      <c r="K11" s="80" t="s">
        <v>904</v>
      </c>
      <c r="L11" s="80" t="s">
        <v>905</v>
      </c>
      <c r="M11" s="79" t="s">
        <v>928</v>
      </c>
      <c r="N11" s="80" t="s">
        <v>907</v>
      </c>
      <c r="O11" s="85" t="n">
        <v>46132</v>
      </c>
      <c r="P11" s="84"/>
      <c r="Q11" s="84"/>
      <c r="R11" s="87" t="s">
        <v>31</v>
      </c>
      <c r="S11" s="87" t="s">
        <v>31</v>
      </c>
    </row>
    <row r="12" s="77" customFormat="true" ht="15" hidden="false" customHeight="false" outlineLevel="1" collapsed="false">
      <c r="B12" s="78"/>
      <c r="C12" s="79" t="n">
        <v>74</v>
      </c>
      <c r="D12" s="80" t="s">
        <v>715</v>
      </c>
      <c r="E12" s="82" t="s">
        <v>922</v>
      </c>
      <c r="F12" s="82" t="s">
        <v>716</v>
      </c>
      <c r="G12" s="88" t="n">
        <v>1</v>
      </c>
      <c r="H12" s="84" t="s">
        <v>717</v>
      </c>
      <c r="I12" s="80" t="s">
        <v>718</v>
      </c>
      <c r="J12" s="80" t="s">
        <v>719</v>
      </c>
      <c r="K12" s="80" t="s">
        <v>720</v>
      </c>
      <c r="L12" s="80" t="s">
        <v>721</v>
      </c>
      <c r="M12" s="79" t="s">
        <v>722</v>
      </c>
      <c r="N12" s="80" t="s">
        <v>723</v>
      </c>
      <c r="O12" s="85" t="n">
        <v>46132</v>
      </c>
      <c r="P12" s="84"/>
      <c r="Q12" s="84"/>
      <c r="R12" s="87" t="s">
        <v>31</v>
      </c>
      <c r="S12" s="87" t="s">
        <v>31</v>
      </c>
    </row>
    <row r="13" s="77" customFormat="true" ht="30" hidden="false" customHeight="true" outlineLevel="1" collapsed="false">
      <c r="B13" s="78"/>
      <c r="C13" s="79" t="s">
        <v>929</v>
      </c>
      <c r="D13" s="80" t="s">
        <v>802</v>
      </c>
      <c r="E13" s="82" t="s">
        <v>922</v>
      </c>
      <c r="F13" s="82" t="s">
        <v>803</v>
      </c>
      <c r="G13" s="88" t="n">
        <v>2</v>
      </c>
      <c r="H13" s="84" t="s">
        <v>804</v>
      </c>
      <c r="I13" s="80" t="s">
        <v>874</v>
      </c>
      <c r="J13" s="80" t="s">
        <v>875</v>
      </c>
      <c r="K13" s="80" t="s">
        <v>876</v>
      </c>
      <c r="L13" s="80" t="s">
        <v>808</v>
      </c>
      <c r="M13" s="79" t="s">
        <v>930</v>
      </c>
      <c r="N13" s="80" t="s">
        <v>810</v>
      </c>
      <c r="O13" s="85" t="n">
        <v>46132</v>
      </c>
      <c r="P13" s="84"/>
      <c r="Q13" s="84"/>
      <c r="R13" s="87" t="s">
        <v>31</v>
      </c>
      <c r="S13" s="87" t="s">
        <v>84</v>
      </c>
    </row>
    <row r="14" s="77" customFormat="true" ht="15" hidden="false" customHeight="false" outlineLevel="1" collapsed="false">
      <c r="B14" s="78"/>
      <c r="C14" s="79" t="n">
        <v>76</v>
      </c>
      <c r="D14" s="80" t="s">
        <v>366</v>
      </c>
      <c r="E14" s="82" t="s">
        <v>922</v>
      </c>
      <c r="F14" s="82" t="s">
        <v>367</v>
      </c>
      <c r="G14" s="88" t="n">
        <v>1</v>
      </c>
      <c r="H14" s="84" t="s">
        <v>368</v>
      </c>
      <c r="I14" s="80" t="s">
        <v>369</v>
      </c>
      <c r="J14" s="80" t="s">
        <v>370</v>
      </c>
      <c r="K14" s="80" t="s">
        <v>371</v>
      </c>
      <c r="L14" s="80" t="s">
        <v>372</v>
      </c>
      <c r="M14" s="79" t="s">
        <v>682</v>
      </c>
      <c r="N14" s="80" t="s">
        <v>374</v>
      </c>
      <c r="O14" s="85" t="n">
        <v>46132</v>
      </c>
      <c r="P14" s="84"/>
      <c r="Q14" s="84"/>
      <c r="R14" s="87" t="s">
        <v>31</v>
      </c>
      <c r="S14" s="87" t="s">
        <v>84</v>
      </c>
    </row>
    <row r="15" s="77" customFormat="true" ht="15" hidden="false" customHeight="false" outlineLevel="1" collapsed="false">
      <c r="B15" s="78"/>
      <c r="C15" s="79" t="n">
        <v>77</v>
      </c>
      <c r="D15" s="80" t="s">
        <v>375</v>
      </c>
      <c r="E15" s="82" t="s">
        <v>922</v>
      </c>
      <c r="F15" s="82" t="s">
        <v>376</v>
      </c>
      <c r="G15" s="88" t="n">
        <v>1</v>
      </c>
      <c r="H15" s="84" t="s">
        <v>111</v>
      </c>
      <c r="I15" s="80" t="s">
        <v>377</v>
      </c>
      <c r="J15" s="80" t="s">
        <v>378</v>
      </c>
      <c r="K15" s="80" t="s">
        <v>379</v>
      </c>
      <c r="L15" s="80" t="s">
        <v>380</v>
      </c>
      <c r="M15" s="79" t="s">
        <v>381</v>
      </c>
      <c r="N15" s="80" t="s">
        <v>382</v>
      </c>
      <c r="O15" s="85" t="n">
        <v>46132</v>
      </c>
      <c r="P15" s="84"/>
      <c r="Q15" s="84"/>
      <c r="R15" s="87" t="s">
        <v>31</v>
      </c>
      <c r="S15" s="87" t="s">
        <v>31</v>
      </c>
    </row>
    <row r="16" s="77" customFormat="true" ht="15" hidden="false" customHeight="false" outlineLevel="1" collapsed="false">
      <c r="B16" s="78"/>
      <c r="C16" s="79" t="n">
        <v>78</v>
      </c>
      <c r="D16" s="80" t="s">
        <v>383</v>
      </c>
      <c r="E16" s="82" t="s">
        <v>922</v>
      </c>
      <c r="F16" s="82" t="s">
        <v>384</v>
      </c>
      <c r="G16" s="91" t="n">
        <v>1</v>
      </c>
      <c r="H16" s="84" t="s">
        <v>61</v>
      </c>
      <c r="I16" s="80" t="s">
        <v>385</v>
      </c>
      <c r="J16" s="80" t="s">
        <v>386</v>
      </c>
      <c r="K16" s="80" t="s">
        <v>387</v>
      </c>
      <c r="L16" s="80" t="s">
        <v>388</v>
      </c>
      <c r="M16" s="79" t="s">
        <v>389</v>
      </c>
      <c r="N16" s="80" t="s">
        <v>390</v>
      </c>
      <c r="O16" s="85" t="n">
        <v>46132</v>
      </c>
      <c r="P16" s="84"/>
      <c r="Q16" s="84"/>
      <c r="R16" s="87" t="s">
        <v>31</v>
      </c>
      <c r="S16" s="87" t="s">
        <v>84</v>
      </c>
    </row>
    <row r="17" s="77" customFormat="true" ht="15" hidden="false" customHeight="false" outlineLevel="1" collapsed="false">
      <c r="B17" s="78"/>
      <c r="C17" s="79" t="n">
        <v>79</v>
      </c>
      <c r="D17" s="80" t="s">
        <v>415</v>
      </c>
      <c r="E17" s="82" t="s">
        <v>922</v>
      </c>
      <c r="F17" s="82" t="s">
        <v>416</v>
      </c>
      <c r="G17" s="88" t="n">
        <v>1</v>
      </c>
      <c r="H17" s="84" t="s">
        <v>417</v>
      </c>
      <c r="I17" s="80" t="s">
        <v>418</v>
      </c>
      <c r="J17" s="80" t="s">
        <v>419</v>
      </c>
      <c r="K17" s="80" t="s">
        <v>420</v>
      </c>
      <c r="L17" s="80" t="s">
        <v>421</v>
      </c>
      <c r="M17" s="79" t="s">
        <v>422</v>
      </c>
      <c r="N17" s="80" t="s">
        <v>423</v>
      </c>
      <c r="O17" s="85" t="n">
        <v>46132</v>
      </c>
      <c r="P17" s="84"/>
      <c r="Q17" s="84"/>
      <c r="R17" s="87" t="s">
        <v>31</v>
      </c>
      <c r="S17" s="87" t="s">
        <v>31</v>
      </c>
    </row>
    <row r="18" s="77" customFormat="true" ht="15" hidden="false" customHeight="false" outlineLevel="1" collapsed="false">
      <c r="B18" s="78"/>
      <c r="C18" s="79" t="n">
        <v>80</v>
      </c>
      <c r="D18" s="80" t="s">
        <v>516</v>
      </c>
      <c r="E18" s="82" t="s">
        <v>922</v>
      </c>
      <c r="F18" s="92" t="s">
        <v>517</v>
      </c>
      <c r="G18" s="88" t="n">
        <v>2</v>
      </c>
      <c r="H18" s="84" t="s">
        <v>61</v>
      </c>
      <c r="I18" s="80" t="s">
        <v>518</v>
      </c>
      <c r="J18" s="80" t="s">
        <v>519</v>
      </c>
      <c r="K18" s="93" t="s">
        <v>520</v>
      </c>
      <c r="L18" s="94" t="s">
        <v>521</v>
      </c>
      <c r="M18" s="79" t="s">
        <v>522</v>
      </c>
      <c r="N18" s="80" t="s">
        <v>523</v>
      </c>
      <c r="O18" s="85" t="n">
        <v>46132</v>
      </c>
      <c r="P18" s="84"/>
      <c r="Q18" s="84"/>
      <c r="R18" s="87" t="s">
        <v>31</v>
      </c>
      <c r="S18" s="87" t="s">
        <v>31</v>
      </c>
    </row>
    <row r="19" s="68" customFormat="true" ht="15" hidden="false" customHeight="false" outlineLevel="0" collapsed="false">
      <c r="B19" s="69"/>
      <c r="C19" s="89"/>
      <c r="D19" s="71"/>
      <c r="E19" s="72" t="s">
        <v>931</v>
      </c>
      <c r="F19" s="73"/>
      <c r="G19" s="74" t="n">
        <f aca="false">SUM(G20:G27)</f>
        <v>8</v>
      </c>
      <c r="H19" s="71"/>
      <c r="I19" s="71"/>
      <c r="J19" s="71"/>
      <c r="K19" s="71"/>
      <c r="L19" s="71"/>
      <c r="M19" s="89"/>
      <c r="N19" s="75"/>
      <c r="O19" s="76"/>
      <c r="P19" s="90"/>
      <c r="Q19" s="74"/>
      <c r="R19" s="74" t="s">
        <v>932</v>
      </c>
      <c r="S19" s="69"/>
    </row>
    <row r="20" s="77" customFormat="true" ht="15" hidden="false" customHeight="false" outlineLevel="1" collapsed="false">
      <c r="B20" s="78"/>
      <c r="C20" s="79" t="n">
        <v>81</v>
      </c>
      <c r="D20" s="80" t="s">
        <v>75</v>
      </c>
      <c r="E20" s="82" t="s">
        <v>931</v>
      </c>
      <c r="F20" s="82" t="s">
        <v>76</v>
      </c>
      <c r="G20" s="88" t="n">
        <v>1</v>
      </c>
      <c r="H20" s="84" t="s">
        <v>77</v>
      </c>
      <c r="I20" s="80" t="s">
        <v>933</v>
      </c>
      <c r="J20" s="80" t="s">
        <v>934</v>
      </c>
      <c r="K20" s="80" t="s">
        <v>935</v>
      </c>
      <c r="L20" s="80" t="s">
        <v>81</v>
      </c>
      <c r="M20" s="79" t="s">
        <v>936</v>
      </c>
      <c r="N20" s="80" t="s">
        <v>83</v>
      </c>
      <c r="O20" s="85" t="n">
        <v>46132</v>
      </c>
      <c r="P20" s="84"/>
      <c r="Q20" s="84"/>
      <c r="R20" s="87" t="s">
        <v>932</v>
      </c>
      <c r="S20" s="87" t="s">
        <v>84</v>
      </c>
    </row>
    <row r="21" s="77" customFormat="true" ht="15" hidden="false" customHeight="false" outlineLevel="1" collapsed="false">
      <c r="B21" s="78"/>
      <c r="C21" s="79" t="n">
        <v>82</v>
      </c>
      <c r="D21" s="80" t="s">
        <v>94</v>
      </c>
      <c r="E21" s="82" t="s">
        <v>931</v>
      </c>
      <c r="F21" s="82" t="s">
        <v>95</v>
      </c>
      <c r="G21" s="91" t="n">
        <v>1</v>
      </c>
      <c r="H21" s="84" t="s">
        <v>36</v>
      </c>
      <c r="I21" s="80" t="s">
        <v>96</v>
      </c>
      <c r="J21" s="80" t="s">
        <v>97</v>
      </c>
      <c r="K21" s="80" t="s">
        <v>98</v>
      </c>
      <c r="L21" s="80" t="s">
        <v>99</v>
      </c>
      <c r="M21" s="79" t="s">
        <v>100</v>
      </c>
      <c r="N21" s="80" t="s">
        <v>101</v>
      </c>
      <c r="O21" s="85" t="n">
        <v>46132</v>
      </c>
      <c r="P21" s="84"/>
      <c r="Q21" s="84"/>
      <c r="R21" s="87" t="s">
        <v>932</v>
      </c>
      <c r="S21" s="87" t="s">
        <v>31</v>
      </c>
    </row>
    <row r="22" s="77" customFormat="true" ht="15" hidden="false" customHeight="false" outlineLevel="1" collapsed="false">
      <c r="B22" s="78"/>
      <c r="C22" s="79" t="n">
        <v>83</v>
      </c>
      <c r="D22" s="80" t="s">
        <v>134</v>
      </c>
      <c r="E22" s="82" t="s">
        <v>931</v>
      </c>
      <c r="F22" s="82" t="s">
        <v>135</v>
      </c>
      <c r="G22" s="88" t="n">
        <v>1</v>
      </c>
      <c r="H22" s="84" t="s">
        <v>24</v>
      </c>
      <c r="I22" s="80" t="s">
        <v>136</v>
      </c>
      <c r="J22" s="80" t="s">
        <v>137</v>
      </c>
      <c r="K22" s="80" t="s">
        <v>138</v>
      </c>
      <c r="L22" s="80" t="s">
        <v>139</v>
      </c>
      <c r="M22" s="79" t="s">
        <v>140</v>
      </c>
      <c r="N22" s="80" t="s">
        <v>141</v>
      </c>
      <c r="O22" s="85" t="n">
        <v>46132</v>
      </c>
      <c r="P22" s="84"/>
      <c r="Q22" s="84"/>
      <c r="R22" s="87" t="s">
        <v>932</v>
      </c>
      <c r="S22" s="87" t="s">
        <v>31</v>
      </c>
    </row>
    <row r="23" s="77" customFormat="true" ht="15" hidden="false" customHeight="false" outlineLevel="1" collapsed="false">
      <c r="B23" s="78"/>
      <c r="C23" s="79" t="n">
        <v>84</v>
      </c>
      <c r="D23" s="80" t="s">
        <v>182</v>
      </c>
      <c r="E23" s="82" t="s">
        <v>931</v>
      </c>
      <c r="F23" s="82" t="s">
        <v>183</v>
      </c>
      <c r="G23" s="88" t="n">
        <v>1</v>
      </c>
      <c r="H23" s="84" t="s">
        <v>111</v>
      </c>
      <c r="I23" s="80" t="s">
        <v>184</v>
      </c>
      <c r="J23" s="80" t="s">
        <v>185</v>
      </c>
      <c r="K23" s="80" t="s">
        <v>186</v>
      </c>
      <c r="L23" s="80" t="s">
        <v>187</v>
      </c>
      <c r="M23" s="79" t="s">
        <v>188</v>
      </c>
      <c r="N23" s="80" t="s">
        <v>189</v>
      </c>
      <c r="O23" s="85" t="n">
        <v>46132</v>
      </c>
      <c r="P23" s="84"/>
      <c r="Q23" s="84"/>
      <c r="R23" s="87" t="s">
        <v>932</v>
      </c>
      <c r="S23" s="87" t="s">
        <v>84</v>
      </c>
    </row>
    <row r="24" s="77" customFormat="true" ht="15" hidden="false" customHeight="false" outlineLevel="1" collapsed="false">
      <c r="B24" s="78"/>
      <c r="C24" s="79" t="n">
        <v>85</v>
      </c>
      <c r="D24" s="80" t="s">
        <v>302</v>
      </c>
      <c r="E24" s="82" t="s">
        <v>931</v>
      </c>
      <c r="F24" s="82" t="s">
        <v>303</v>
      </c>
      <c r="G24" s="91" t="n">
        <v>1</v>
      </c>
      <c r="H24" s="84" t="s">
        <v>61</v>
      </c>
      <c r="I24" s="80" t="s">
        <v>304</v>
      </c>
      <c r="J24" s="80" t="s">
        <v>305</v>
      </c>
      <c r="K24" s="80" t="s">
        <v>306</v>
      </c>
      <c r="L24" s="80" t="s">
        <v>307</v>
      </c>
      <c r="M24" s="79" t="s">
        <v>526</v>
      </c>
      <c r="N24" s="80" t="s">
        <v>309</v>
      </c>
      <c r="O24" s="85" t="n">
        <v>46132</v>
      </c>
      <c r="P24" s="84"/>
      <c r="Q24" s="84"/>
      <c r="R24" s="87" t="s">
        <v>932</v>
      </c>
      <c r="S24" s="87" t="s">
        <v>84</v>
      </c>
    </row>
    <row r="25" s="77" customFormat="true" ht="15" hidden="false" customHeight="false" outlineLevel="1" collapsed="false">
      <c r="B25" s="78"/>
      <c r="C25" s="79" t="n">
        <v>86</v>
      </c>
      <c r="D25" s="80" t="s">
        <v>357</v>
      </c>
      <c r="E25" s="82" t="s">
        <v>931</v>
      </c>
      <c r="F25" s="82" t="s">
        <v>358</v>
      </c>
      <c r="G25" s="88" t="n">
        <v>1</v>
      </c>
      <c r="H25" s="84" t="s">
        <v>359</v>
      </c>
      <c r="I25" s="80" t="s">
        <v>360</v>
      </c>
      <c r="J25" s="80" t="s">
        <v>361</v>
      </c>
      <c r="K25" s="80" t="s">
        <v>362</v>
      </c>
      <c r="L25" s="80" t="s">
        <v>363</v>
      </c>
      <c r="M25" s="79" t="s">
        <v>364</v>
      </c>
      <c r="N25" s="80" t="s">
        <v>365</v>
      </c>
      <c r="O25" s="85" t="n">
        <v>46132</v>
      </c>
      <c r="P25" s="84"/>
      <c r="Q25" s="84"/>
      <c r="R25" s="87" t="s">
        <v>932</v>
      </c>
      <c r="S25" s="87" t="s">
        <v>84</v>
      </c>
    </row>
    <row r="26" s="77" customFormat="true" ht="15" hidden="false" customHeight="false" outlineLevel="1" collapsed="false">
      <c r="B26" s="78"/>
      <c r="C26" s="79" t="n">
        <v>87</v>
      </c>
      <c r="D26" s="80" t="s">
        <v>447</v>
      </c>
      <c r="E26" s="82" t="s">
        <v>931</v>
      </c>
      <c r="F26" s="82" t="s">
        <v>448</v>
      </c>
      <c r="G26" s="88" t="n">
        <v>1</v>
      </c>
      <c r="H26" s="84" t="s">
        <v>24</v>
      </c>
      <c r="I26" s="80" t="s">
        <v>449</v>
      </c>
      <c r="J26" s="80" t="s">
        <v>450</v>
      </c>
      <c r="K26" s="80" t="s">
        <v>451</v>
      </c>
      <c r="L26" s="80" t="s">
        <v>452</v>
      </c>
      <c r="M26" s="79" t="s">
        <v>453</v>
      </c>
      <c r="N26" s="80" t="s">
        <v>454</v>
      </c>
      <c r="O26" s="85" t="n">
        <v>46132</v>
      </c>
      <c r="P26" s="84"/>
      <c r="Q26" s="84"/>
      <c r="R26" s="87" t="s">
        <v>932</v>
      </c>
      <c r="S26" s="87" t="s">
        <v>31</v>
      </c>
    </row>
    <row r="27" s="77" customFormat="true" ht="15" hidden="false" customHeight="false" outlineLevel="1" collapsed="false">
      <c r="B27" s="78"/>
      <c r="C27" s="79" t="n">
        <v>88</v>
      </c>
      <c r="D27" s="80" t="s">
        <v>486</v>
      </c>
      <c r="E27" s="82" t="s">
        <v>931</v>
      </c>
      <c r="F27" s="82" t="s">
        <v>487</v>
      </c>
      <c r="G27" s="88" t="n">
        <v>1</v>
      </c>
      <c r="H27" s="84" t="s">
        <v>152</v>
      </c>
      <c r="I27" s="80" t="s">
        <v>488</v>
      </c>
      <c r="J27" s="80" t="s">
        <v>489</v>
      </c>
      <c r="K27" s="80" t="s">
        <v>490</v>
      </c>
      <c r="L27" s="80" t="s">
        <v>491</v>
      </c>
      <c r="M27" s="79" t="s">
        <v>492</v>
      </c>
      <c r="N27" s="80" t="s">
        <v>493</v>
      </c>
      <c r="O27" s="85" t="n">
        <v>46132</v>
      </c>
      <c r="P27" s="84"/>
      <c r="Q27" s="84"/>
      <c r="R27" s="87" t="s">
        <v>932</v>
      </c>
      <c r="S27" s="87" t="s">
        <v>84</v>
      </c>
    </row>
    <row r="28" s="68" customFormat="true" ht="15" hidden="false" customHeight="false" outlineLevel="0" collapsed="false">
      <c r="B28" s="69"/>
      <c r="C28" s="95"/>
      <c r="D28" s="71"/>
      <c r="E28" s="72" t="s">
        <v>937</v>
      </c>
      <c r="F28" s="73"/>
      <c r="G28" s="74" t="n">
        <f aca="false">SUM(G29:G46)</f>
        <v>18</v>
      </c>
      <c r="H28" s="71"/>
      <c r="I28" s="71"/>
      <c r="J28" s="71"/>
      <c r="K28" s="71"/>
      <c r="L28" s="89"/>
      <c r="M28" s="95"/>
      <c r="N28" s="76"/>
      <c r="O28" s="90"/>
      <c r="P28" s="74"/>
      <c r="Q28" s="69"/>
      <c r="R28" s="74" t="s">
        <v>932</v>
      </c>
      <c r="S28" s="69"/>
    </row>
    <row r="29" s="77" customFormat="true" ht="15" hidden="false" customHeight="false" outlineLevel="1" collapsed="false">
      <c r="B29" s="78"/>
      <c r="C29" s="79" t="n">
        <v>89</v>
      </c>
      <c r="D29" s="80" t="s">
        <v>782</v>
      </c>
      <c r="E29" s="82" t="s">
        <v>937</v>
      </c>
      <c r="F29" s="82" t="s">
        <v>783</v>
      </c>
      <c r="G29" s="88" t="n">
        <v>1</v>
      </c>
      <c r="H29" s="84" t="s">
        <v>784</v>
      </c>
      <c r="I29" s="80" t="s">
        <v>785</v>
      </c>
      <c r="J29" s="80" t="s">
        <v>786</v>
      </c>
      <c r="K29" s="80" t="s">
        <v>787</v>
      </c>
      <c r="L29" s="80" t="s">
        <v>788</v>
      </c>
      <c r="M29" s="79" t="s">
        <v>789</v>
      </c>
      <c r="N29" s="80" t="s">
        <v>790</v>
      </c>
      <c r="O29" s="85" t="n">
        <v>46132</v>
      </c>
      <c r="P29" s="84"/>
      <c r="Q29" s="84"/>
      <c r="R29" s="87" t="s">
        <v>932</v>
      </c>
      <c r="S29" s="87" t="s">
        <v>31</v>
      </c>
    </row>
    <row r="30" s="77" customFormat="true" ht="30" hidden="false" customHeight="true" outlineLevel="1" collapsed="false">
      <c r="B30" s="78"/>
      <c r="C30" s="79" t="n">
        <v>90</v>
      </c>
      <c r="D30" s="80" t="s">
        <v>68</v>
      </c>
      <c r="E30" s="82" t="s">
        <v>937</v>
      </c>
      <c r="F30" s="82" t="s">
        <v>69</v>
      </c>
      <c r="G30" s="91" t="n">
        <v>1</v>
      </c>
      <c r="H30" s="84" t="s">
        <v>61</v>
      </c>
      <c r="I30" s="80" t="s">
        <v>938</v>
      </c>
      <c r="J30" s="80" t="s">
        <v>939</v>
      </c>
      <c r="K30" s="80" t="s">
        <v>940</v>
      </c>
      <c r="L30" s="80" t="s">
        <v>73</v>
      </c>
      <c r="M30" s="79" t="s">
        <v>73</v>
      </c>
      <c r="N30" s="80" t="s">
        <v>74</v>
      </c>
      <c r="O30" s="85" t="n">
        <v>46132</v>
      </c>
      <c r="P30" s="84"/>
      <c r="Q30" s="84"/>
      <c r="R30" s="87" t="s">
        <v>932</v>
      </c>
      <c r="S30" s="87" t="s">
        <v>31</v>
      </c>
    </row>
    <row r="31" s="77" customFormat="true" ht="15" hidden="false" customHeight="false" outlineLevel="1" collapsed="false">
      <c r="B31" s="78"/>
      <c r="C31" s="79" t="n">
        <v>91</v>
      </c>
      <c r="D31" s="80" t="s">
        <v>75</v>
      </c>
      <c r="E31" s="82" t="s">
        <v>937</v>
      </c>
      <c r="F31" s="82" t="s">
        <v>76</v>
      </c>
      <c r="G31" s="88" t="n">
        <v>1</v>
      </c>
      <c r="H31" s="84" t="s">
        <v>77</v>
      </c>
      <c r="I31" s="80" t="s">
        <v>941</v>
      </c>
      <c r="J31" s="80" t="s">
        <v>942</v>
      </c>
      <c r="K31" s="80" t="s">
        <v>943</v>
      </c>
      <c r="L31" s="80" t="s">
        <v>81</v>
      </c>
      <c r="M31" s="79" t="s">
        <v>944</v>
      </c>
      <c r="N31" s="80" t="s">
        <v>83</v>
      </c>
      <c r="O31" s="85" t="n">
        <v>46132</v>
      </c>
      <c r="P31" s="84"/>
      <c r="Q31" s="84"/>
      <c r="R31" s="87" t="s">
        <v>932</v>
      </c>
      <c r="S31" s="87" t="s">
        <v>84</v>
      </c>
    </row>
    <row r="32" s="77" customFormat="true" ht="15" hidden="false" customHeight="false" outlineLevel="1" collapsed="false">
      <c r="B32" s="78"/>
      <c r="C32" s="79" t="n">
        <v>92</v>
      </c>
      <c r="D32" s="80" t="s">
        <v>85</v>
      </c>
      <c r="E32" s="82" t="s">
        <v>937</v>
      </c>
      <c r="F32" s="82" t="s">
        <v>86</v>
      </c>
      <c r="G32" s="88" t="n">
        <v>1</v>
      </c>
      <c r="H32" s="84" t="s">
        <v>87</v>
      </c>
      <c r="I32" s="80" t="s">
        <v>88</v>
      </c>
      <c r="J32" s="80" t="s">
        <v>89</v>
      </c>
      <c r="K32" s="80" t="s">
        <v>90</v>
      </c>
      <c r="L32" s="80" t="s">
        <v>91</v>
      </c>
      <c r="M32" s="79" t="s">
        <v>92</v>
      </c>
      <c r="N32" s="80" t="s">
        <v>93</v>
      </c>
      <c r="O32" s="85" t="n">
        <v>46132</v>
      </c>
      <c r="P32" s="84"/>
      <c r="Q32" s="84"/>
      <c r="R32" s="87" t="s">
        <v>932</v>
      </c>
      <c r="S32" s="87" t="s">
        <v>84</v>
      </c>
    </row>
    <row r="33" s="77" customFormat="true" ht="15" hidden="false" customHeight="false" outlineLevel="1" collapsed="false">
      <c r="B33" s="78"/>
      <c r="C33" s="79" t="n">
        <v>93</v>
      </c>
      <c r="D33" s="80" t="s">
        <v>125</v>
      </c>
      <c r="E33" s="82" t="s">
        <v>937</v>
      </c>
      <c r="F33" s="82" t="s">
        <v>126</v>
      </c>
      <c r="G33" s="88" t="n">
        <v>1</v>
      </c>
      <c r="H33" s="84" t="s">
        <v>127</v>
      </c>
      <c r="I33" s="80" t="s">
        <v>128</v>
      </c>
      <c r="J33" s="80" t="s">
        <v>129</v>
      </c>
      <c r="K33" s="80" t="s">
        <v>130</v>
      </c>
      <c r="L33" s="80" t="s">
        <v>131</v>
      </c>
      <c r="M33" s="79" t="s">
        <v>132</v>
      </c>
      <c r="N33" s="80" t="s">
        <v>133</v>
      </c>
      <c r="O33" s="85" t="n">
        <v>46132</v>
      </c>
      <c r="P33" s="84"/>
      <c r="Q33" s="84"/>
      <c r="R33" s="87" t="s">
        <v>932</v>
      </c>
      <c r="S33" s="87" t="s">
        <v>84</v>
      </c>
    </row>
    <row r="34" s="77" customFormat="true" ht="36" hidden="false" customHeight="true" outlineLevel="1" collapsed="false">
      <c r="B34" s="78"/>
      <c r="C34" s="79" t="n">
        <v>94</v>
      </c>
      <c r="D34" s="80" t="s">
        <v>945</v>
      </c>
      <c r="E34" s="82" t="s">
        <v>937</v>
      </c>
      <c r="F34" s="82" t="s">
        <v>918</v>
      </c>
      <c r="G34" s="88" t="n">
        <v>1</v>
      </c>
      <c r="H34" s="84" t="s">
        <v>61</v>
      </c>
      <c r="I34" s="80" t="s">
        <v>946</v>
      </c>
      <c r="J34" s="80" t="s">
        <v>947</v>
      </c>
      <c r="K34" s="80" t="s">
        <v>948</v>
      </c>
      <c r="L34" s="80" t="s">
        <v>949</v>
      </c>
      <c r="M34" s="79" t="s">
        <v>950</v>
      </c>
      <c r="N34" s="80" t="s">
        <v>951</v>
      </c>
      <c r="O34" s="85" t="n">
        <v>46132</v>
      </c>
      <c r="P34" s="84"/>
      <c r="Q34" s="84"/>
      <c r="R34" s="87" t="s">
        <v>932</v>
      </c>
      <c r="S34" s="87" t="s">
        <v>31</v>
      </c>
    </row>
    <row r="35" s="77" customFormat="true" ht="30" hidden="false" customHeight="true" outlineLevel="1" collapsed="false">
      <c r="B35" s="78"/>
      <c r="C35" s="79" t="n">
        <v>95</v>
      </c>
      <c r="D35" s="80" t="s">
        <v>190</v>
      </c>
      <c r="E35" s="82" t="s">
        <v>937</v>
      </c>
      <c r="F35" s="82" t="s">
        <v>191</v>
      </c>
      <c r="G35" s="91" t="n">
        <v>1</v>
      </c>
      <c r="H35" s="84" t="s">
        <v>24</v>
      </c>
      <c r="I35" s="96" t="s">
        <v>952</v>
      </c>
      <c r="J35" s="96" t="s">
        <v>953</v>
      </c>
      <c r="K35" s="96" t="s">
        <v>954</v>
      </c>
      <c r="L35" s="80" t="s">
        <v>195</v>
      </c>
      <c r="M35" s="79" t="s">
        <v>955</v>
      </c>
      <c r="N35" s="80" t="s">
        <v>197</v>
      </c>
      <c r="O35" s="85" t="n">
        <v>46132</v>
      </c>
      <c r="P35" s="84"/>
      <c r="Q35" s="84"/>
      <c r="R35" s="87" t="s">
        <v>932</v>
      </c>
      <c r="S35" s="87" t="s">
        <v>31</v>
      </c>
    </row>
    <row r="36" s="77" customFormat="true" ht="30" hidden="false" customHeight="true" outlineLevel="1" collapsed="false">
      <c r="B36" s="78"/>
      <c r="C36" s="79" t="n">
        <v>96</v>
      </c>
      <c r="D36" s="80" t="s">
        <v>231</v>
      </c>
      <c r="E36" s="82" t="s">
        <v>937</v>
      </c>
      <c r="F36" s="82" t="s">
        <v>232</v>
      </c>
      <c r="G36" s="88" t="n">
        <v>1</v>
      </c>
      <c r="H36" s="84" t="s">
        <v>61</v>
      </c>
      <c r="I36" s="80" t="s">
        <v>233</v>
      </c>
      <c r="J36" s="80" t="s">
        <v>234</v>
      </c>
      <c r="K36" s="80" t="s">
        <v>235</v>
      </c>
      <c r="L36" s="80" t="s">
        <v>236</v>
      </c>
      <c r="M36" s="79" t="s">
        <v>237</v>
      </c>
      <c r="N36" s="80" t="s">
        <v>238</v>
      </c>
      <c r="O36" s="85" t="n">
        <v>46132</v>
      </c>
      <c r="P36" s="84"/>
      <c r="Q36" s="84"/>
      <c r="R36" s="87" t="s">
        <v>932</v>
      </c>
      <c r="S36" s="87" t="s">
        <v>84</v>
      </c>
    </row>
    <row r="37" s="77" customFormat="true" ht="15" hidden="false" customHeight="false" outlineLevel="1" collapsed="false">
      <c r="B37" s="78"/>
      <c r="C37" s="79" t="n">
        <v>97</v>
      </c>
      <c r="D37" s="80" t="s">
        <v>239</v>
      </c>
      <c r="E37" s="82" t="s">
        <v>937</v>
      </c>
      <c r="F37" s="82" t="s">
        <v>240</v>
      </c>
      <c r="G37" s="88" t="n">
        <v>1</v>
      </c>
      <c r="H37" s="84" t="s">
        <v>24</v>
      </c>
      <c r="I37" s="80" t="s">
        <v>241</v>
      </c>
      <c r="J37" s="80" t="s">
        <v>242</v>
      </c>
      <c r="K37" s="80" t="s">
        <v>243</v>
      </c>
      <c r="L37" s="80" t="s">
        <v>244</v>
      </c>
      <c r="M37" s="79" t="s">
        <v>956</v>
      </c>
      <c r="N37" s="80" t="s">
        <v>246</v>
      </c>
      <c r="O37" s="85" t="n">
        <v>46132</v>
      </c>
      <c r="P37" s="84"/>
      <c r="Q37" s="84"/>
      <c r="R37" s="87" t="s">
        <v>932</v>
      </c>
      <c r="S37" s="87" t="s">
        <v>31</v>
      </c>
    </row>
    <row r="38" s="77" customFormat="true" ht="15" hidden="false" customHeight="false" outlineLevel="1" collapsed="false">
      <c r="B38" s="78"/>
      <c r="C38" s="79" t="n">
        <v>98</v>
      </c>
      <c r="D38" s="80" t="s">
        <v>247</v>
      </c>
      <c r="E38" s="82" t="s">
        <v>937</v>
      </c>
      <c r="F38" s="82" t="s">
        <v>248</v>
      </c>
      <c r="G38" s="88" t="n">
        <v>1</v>
      </c>
      <c r="H38" s="84" t="s">
        <v>61</v>
      </c>
      <c r="I38" s="80" t="s">
        <v>532</v>
      </c>
      <c r="J38" s="80" t="s">
        <v>533</v>
      </c>
      <c r="K38" s="78" t="s">
        <v>534</v>
      </c>
      <c r="L38" s="80" t="s">
        <v>252</v>
      </c>
      <c r="M38" s="79" t="s">
        <v>535</v>
      </c>
      <c r="N38" s="80" t="s">
        <v>254</v>
      </c>
      <c r="O38" s="85" t="n">
        <v>46132</v>
      </c>
      <c r="P38" s="84"/>
      <c r="Q38" s="84"/>
      <c r="R38" s="87" t="s">
        <v>932</v>
      </c>
      <c r="S38" s="87" t="s">
        <v>84</v>
      </c>
    </row>
    <row r="39" s="77" customFormat="true" ht="15" hidden="false" customHeight="false" outlineLevel="1" collapsed="false">
      <c r="B39" s="78"/>
      <c r="C39" s="79" t="n">
        <v>99</v>
      </c>
      <c r="D39" s="80" t="s">
        <v>286</v>
      </c>
      <c r="E39" s="82" t="s">
        <v>937</v>
      </c>
      <c r="F39" s="82" t="s">
        <v>287</v>
      </c>
      <c r="G39" s="88" t="n">
        <v>1</v>
      </c>
      <c r="H39" s="84" t="s">
        <v>61</v>
      </c>
      <c r="I39" s="80" t="s">
        <v>288</v>
      </c>
      <c r="J39" s="80" t="s">
        <v>289</v>
      </c>
      <c r="K39" s="80" t="s">
        <v>290</v>
      </c>
      <c r="L39" s="80" t="s">
        <v>291</v>
      </c>
      <c r="M39" s="79" t="s">
        <v>292</v>
      </c>
      <c r="N39" s="80" t="s">
        <v>293</v>
      </c>
      <c r="O39" s="85" t="n">
        <v>46132</v>
      </c>
      <c r="P39" s="84"/>
      <c r="Q39" s="84"/>
      <c r="R39" s="87" t="s">
        <v>932</v>
      </c>
      <c r="S39" s="87" t="s">
        <v>84</v>
      </c>
    </row>
    <row r="40" s="77" customFormat="true" ht="30" hidden="false" customHeight="true" outlineLevel="1" collapsed="false">
      <c r="B40" s="78"/>
      <c r="C40" s="79" t="n">
        <v>100</v>
      </c>
      <c r="D40" s="80" t="s">
        <v>802</v>
      </c>
      <c r="E40" s="82" t="s">
        <v>937</v>
      </c>
      <c r="F40" s="82" t="s">
        <v>803</v>
      </c>
      <c r="G40" s="88" t="n">
        <v>1</v>
      </c>
      <c r="H40" s="84" t="s">
        <v>804</v>
      </c>
      <c r="I40" s="80" t="s">
        <v>957</v>
      </c>
      <c r="J40" s="80" t="s">
        <v>958</v>
      </c>
      <c r="K40" s="97" t="s">
        <v>959</v>
      </c>
      <c r="L40" s="80" t="s">
        <v>808</v>
      </c>
      <c r="M40" s="79" t="s">
        <v>960</v>
      </c>
      <c r="N40" s="80" t="s">
        <v>810</v>
      </c>
      <c r="O40" s="85" t="n">
        <v>46132</v>
      </c>
      <c r="P40" s="84"/>
      <c r="Q40" s="84"/>
      <c r="R40" s="87" t="s">
        <v>932</v>
      </c>
      <c r="S40" s="87" t="s">
        <v>84</v>
      </c>
    </row>
    <row r="41" s="77" customFormat="true" ht="15" hidden="false" customHeight="false" outlineLevel="1" collapsed="false">
      <c r="B41" s="78"/>
      <c r="C41" s="79" t="n">
        <v>101</v>
      </c>
      <c r="D41" s="80" t="s">
        <v>961</v>
      </c>
      <c r="E41" s="82" t="s">
        <v>937</v>
      </c>
      <c r="F41" s="82" t="s">
        <v>915</v>
      </c>
      <c r="G41" s="88" t="n">
        <v>1</v>
      </c>
      <c r="H41" s="84" t="s">
        <v>152</v>
      </c>
      <c r="I41" s="80" t="s">
        <v>962</v>
      </c>
      <c r="J41" s="80" t="s">
        <v>963</v>
      </c>
      <c r="K41" s="80" t="s">
        <v>964</v>
      </c>
      <c r="L41" s="80" t="s">
        <v>965</v>
      </c>
      <c r="M41" s="79" t="s">
        <v>966</v>
      </c>
      <c r="N41" s="80" t="s">
        <v>967</v>
      </c>
      <c r="O41" s="85" t="n">
        <v>46132</v>
      </c>
      <c r="P41" s="84"/>
      <c r="Q41" s="84"/>
      <c r="R41" s="87" t="s">
        <v>932</v>
      </c>
      <c r="S41" s="87" t="s">
        <v>84</v>
      </c>
    </row>
    <row r="42" s="77" customFormat="true" ht="15" hidden="false" customHeight="false" outlineLevel="1" collapsed="false">
      <c r="B42" s="78"/>
      <c r="C42" s="79" t="n">
        <v>102</v>
      </c>
      <c r="D42" s="80" t="s">
        <v>366</v>
      </c>
      <c r="E42" s="82" t="s">
        <v>937</v>
      </c>
      <c r="F42" s="82" t="s">
        <v>367</v>
      </c>
      <c r="G42" s="88" t="n">
        <v>1</v>
      </c>
      <c r="H42" s="84" t="s">
        <v>368</v>
      </c>
      <c r="I42" s="80" t="s">
        <v>369</v>
      </c>
      <c r="J42" s="80" t="s">
        <v>370</v>
      </c>
      <c r="K42" s="80" t="s">
        <v>371</v>
      </c>
      <c r="L42" s="80" t="s">
        <v>372</v>
      </c>
      <c r="M42" s="79" t="s">
        <v>682</v>
      </c>
      <c r="N42" s="80" t="s">
        <v>374</v>
      </c>
      <c r="O42" s="85" t="n">
        <v>46132</v>
      </c>
      <c r="P42" s="84"/>
      <c r="Q42" s="84"/>
      <c r="R42" s="87" t="s">
        <v>932</v>
      </c>
      <c r="S42" s="87" t="s">
        <v>84</v>
      </c>
    </row>
    <row r="43" s="77" customFormat="true" ht="30" hidden="false" customHeight="true" outlineLevel="1" collapsed="false">
      <c r="B43" s="78"/>
      <c r="C43" s="79" t="n">
        <v>103</v>
      </c>
      <c r="D43" s="80" t="s">
        <v>431</v>
      </c>
      <c r="E43" s="80" t="s">
        <v>937</v>
      </c>
      <c r="F43" s="82" t="s">
        <v>432</v>
      </c>
      <c r="G43" s="88" t="n">
        <v>1</v>
      </c>
      <c r="H43" s="84" t="s">
        <v>152</v>
      </c>
      <c r="I43" s="80" t="s">
        <v>968</v>
      </c>
      <c r="J43" s="80" t="s">
        <v>969</v>
      </c>
      <c r="K43" s="80" t="s">
        <v>970</v>
      </c>
      <c r="L43" s="80" t="s">
        <v>436</v>
      </c>
      <c r="M43" s="79" t="s">
        <v>871</v>
      </c>
      <c r="N43" s="80" t="s">
        <v>438</v>
      </c>
      <c r="O43" s="85" t="n">
        <v>46132</v>
      </c>
      <c r="P43" s="84"/>
      <c r="Q43" s="84"/>
      <c r="R43" s="87" t="s">
        <v>932</v>
      </c>
      <c r="S43" s="87" t="s">
        <v>31</v>
      </c>
    </row>
    <row r="44" s="77" customFormat="true" ht="15" hidden="false" customHeight="false" outlineLevel="1" collapsed="false">
      <c r="B44" s="78"/>
      <c r="C44" s="79" t="n">
        <v>104</v>
      </c>
      <c r="D44" s="80" t="s">
        <v>494</v>
      </c>
      <c r="E44" s="82" t="s">
        <v>937</v>
      </c>
      <c r="F44" s="82" t="s">
        <v>495</v>
      </c>
      <c r="G44" s="88" t="n">
        <v>1</v>
      </c>
      <c r="H44" s="84" t="s">
        <v>61</v>
      </c>
      <c r="I44" s="80" t="s">
        <v>496</v>
      </c>
      <c r="J44" s="80" t="s">
        <v>497</v>
      </c>
      <c r="K44" s="80" t="s">
        <v>498</v>
      </c>
      <c r="L44" s="80" t="s">
        <v>499</v>
      </c>
      <c r="M44" s="79" t="s">
        <v>500</v>
      </c>
      <c r="N44" s="80" t="s">
        <v>501</v>
      </c>
      <c r="O44" s="85" t="n">
        <v>46132</v>
      </c>
      <c r="P44" s="84"/>
      <c r="Q44" s="84"/>
      <c r="R44" s="87" t="s">
        <v>932</v>
      </c>
      <c r="S44" s="87" t="s">
        <v>84</v>
      </c>
    </row>
    <row r="45" s="77" customFormat="true" ht="15" hidden="false" customHeight="false" outlineLevel="1" collapsed="false">
      <c r="B45" s="78"/>
      <c r="C45" s="79" t="n">
        <v>105</v>
      </c>
      <c r="D45" s="80" t="s">
        <v>508</v>
      </c>
      <c r="E45" s="82" t="s">
        <v>937</v>
      </c>
      <c r="F45" s="82" t="s">
        <v>509</v>
      </c>
      <c r="G45" s="88" t="n">
        <v>1</v>
      </c>
      <c r="H45" s="84" t="s">
        <v>61</v>
      </c>
      <c r="I45" s="80" t="s">
        <v>510</v>
      </c>
      <c r="J45" s="80" t="s">
        <v>511</v>
      </c>
      <c r="K45" s="80" t="s">
        <v>512</v>
      </c>
      <c r="L45" s="80" t="s">
        <v>513</v>
      </c>
      <c r="M45" s="79" t="s">
        <v>514</v>
      </c>
      <c r="N45" s="80" t="s">
        <v>515</v>
      </c>
      <c r="O45" s="85" t="n">
        <v>46132</v>
      </c>
      <c r="P45" s="84"/>
      <c r="Q45" s="84"/>
      <c r="R45" s="87" t="s">
        <v>932</v>
      </c>
      <c r="S45" s="87" t="s">
        <v>31</v>
      </c>
    </row>
    <row r="46" s="77" customFormat="true" ht="15" hidden="false" customHeight="false" outlineLevel="1" collapsed="false">
      <c r="B46" s="78"/>
      <c r="C46" s="79" t="n">
        <v>106</v>
      </c>
      <c r="D46" s="80" t="s">
        <v>516</v>
      </c>
      <c r="E46" s="82" t="s">
        <v>937</v>
      </c>
      <c r="F46" s="92" t="s">
        <v>517</v>
      </c>
      <c r="G46" s="88" t="n">
        <v>1</v>
      </c>
      <c r="H46" s="84" t="s">
        <v>61</v>
      </c>
      <c r="I46" s="80" t="s">
        <v>518</v>
      </c>
      <c r="J46" s="80" t="s">
        <v>519</v>
      </c>
      <c r="K46" s="80" t="s">
        <v>520</v>
      </c>
      <c r="L46" s="94" t="s">
        <v>521</v>
      </c>
      <c r="M46" s="79" t="s">
        <v>522</v>
      </c>
      <c r="N46" s="80" t="s">
        <v>523</v>
      </c>
      <c r="O46" s="85" t="n">
        <v>46132</v>
      </c>
      <c r="P46" s="84"/>
      <c r="Q46" s="84"/>
      <c r="R46" s="87" t="s">
        <v>932</v>
      </c>
      <c r="S46" s="87" t="s">
        <v>31</v>
      </c>
    </row>
    <row r="47" s="68" customFormat="true" ht="15" hidden="false" customHeight="false" outlineLevel="0" collapsed="false">
      <c r="B47" s="69"/>
      <c r="C47" s="98"/>
      <c r="D47" s="71"/>
      <c r="E47" s="72" t="s">
        <v>780</v>
      </c>
      <c r="F47" s="73"/>
      <c r="G47" s="74" t="n">
        <f aca="false">SUM(G48:G98)</f>
        <v>75</v>
      </c>
      <c r="H47" s="71"/>
      <c r="I47" s="71"/>
      <c r="J47" s="71"/>
      <c r="K47" s="89"/>
      <c r="L47" s="75"/>
      <c r="M47" s="98"/>
      <c r="N47" s="76"/>
      <c r="O47" s="74"/>
      <c r="P47" s="69"/>
      <c r="Q47" s="69"/>
      <c r="R47" s="74" t="s">
        <v>31</v>
      </c>
      <c r="S47" s="69"/>
    </row>
    <row r="48" s="77" customFormat="true" ht="15" hidden="false" customHeight="false" outlineLevel="1" collapsed="false">
      <c r="B48" s="78"/>
      <c r="C48" s="79" t="n">
        <v>107</v>
      </c>
      <c r="D48" s="80" t="s">
        <v>21</v>
      </c>
      <c r="E48" s="82" t="s">
        <v>780</v>
      </c>
      <c r="F48" s="82" t="s">
        <v>22</v>
      </c>
      <c r="G48" s="88" t="n">
        <v>1</v>
      </c>
      <c r="H48" s="84" t="s">
        <v>24</v>
      </c>
      <c r="I48" s="80" t="s">
        <v>25</v>
      </c>
      <c r="J48" s="80" t="s">
        <v>26</v>
      </c>
      <c r="K48" s="80" t="s">
        <v>27</v>
      </c>
      <c r="L48" s="80" t="s">
        <v>28</v>
      </c>
      <c r="M48" s="79" t="s">
        <v>29</v>
      </c>
      <c r="N48" s="80" t="s">
        <v>30</v>
      </c>
      <c r="O48" s="85" t="n">
        <v>46132</v>
      </c>
      <c r="P48" s="84"/>
      <c r="Q48" s="84"/>
      <c r="R48" s="87" t="s">
        <v>31</v>
      </c>
      <c r="S48" s="87" t="s">
        <v>31</v>
      </c>
    </row>
    <row r="49" s="77" customFormat="true" ht="15" hidden="false" customHeight="false" outlineLevel="1" collapsed="false">
      <c r="B49" s="78"/>
      <c r="C49" s="79" t="n">
        <v>108</v>
      </c>
      <c r="D49" s="80" t="s">
        <v>811</v>
      </c>
      <c r="E49" s="82" t="s">
        <v>780</v>
      </c>
      <c r="F49" s="82" t="s">
        <v>812</v>
      </c>
      <c r="G49" s="88" t="n">
        <v>1</v>
      </c>
      <c r="H49" s="84" t="s">
        <v>813</v>
      </c>
      <c r="I49" s="80" t="s">
        <v>814</v>
      </c>
      <c r="J49" s="80" t="s">
        <v>815</v>
      </c>
      <c r="K49" s="80" t="s">
        <v>816</v>
      </c>
      <c r="L49" s="80" t="s">
        <v>817</v>
      </c>
      <c r="M49" s="79" t="s">
        <v>818</v>
      </c>
      <c r="N49" s="80" t="s">
        <v>819</v>
      </c>
      <c r="O49" s="85" t="n">
        <v>46153</v>
      </c>
      <c r="P49" s="84"/>
      <c r="Q49" s="84"/>
      <c r="R49" s="87" t="s">
        <v>31</v>
      </c>
      <c r="S49" s="87" t="s">
        <v>84</v>
      </c>
    </row>
    <row r="50" s="77" customFormat="true" ht="15" hidden="false" customHeight="false" outlineLevel="1" collapsed="false">
      <c r="B50" s="78"/>
      <c r="C50" s="79" t="n">
        <v>109</v>
      </c>
      <c r="D50" s="80" t="s">
        <v>43</v>
      </c>
      <c r="E50" s="82" t="s">
        <v>780</v>
      </c>
      <c r="F50" s="82" t="s">
        <v>44</v>
      </c>
      <c r="G50" s="88" t="n">
        <v>1</v>
      </c>
      <c r="H50" s="84" t="s">
        <v>24</v>
      </c>
      <c r="I50" s="80" t="s">
        <v>45</v>
      </c>
      <c r="J50" s="80" t="s">
        <v>46</v>
      </c>
      <c r="K50" s="80" t="s">
        <v>47</v>
      </c>
      <c r="L50" s="80" t="s">
        <v>48</v>
      </c>
      <c r="M50" s="79" t="s">
        <v>49</v>
      </c>
      <c r="N50" s="80" t="s">
        <v>50</v>
      </c>
      <c r="O50" s="85" t="n">
        <v>46132</v>
      </c>
      <c r="P50" s="84"/>
      <c r="Q50" s="84"/>
      <c r="R50" s="87" t="s">
        <v>31</v>
      </c>
      <c r="S50" s="87" t="s">
        <v>31</v>
      </c>
    </row>
    <row r="51" s="77" customFormat="true" ht="15" hidden="false" customHeight="false" outlineLevel="1" collapsed="false">
      <c r="B51" s="78"/>
      <c r="C51" s="79" t="n">
        <v>110</v>
      </c>
      <c r="D51" s="80" t="s">
        <v>51</v>
      </c>
      <c r="E51" s="82" t="s">
        <v>780</v>
      </c>
      <c r="F51" s="82" t="s">
        <v>52</v>
      </c>
      <c r="G51" s="88" t="n">
        <v>1</v>
      </c>
      <c r="H51" s="84" t="s">
        <v>24</v>
      </c>
      <c r="I51" s="80" t="s">
        <v>53</v>
      </c>
      <c r="J51" s="80" t="s">
        <v>54</v>
      </c>
      <c r="K51" s="80" t="s">
        <v>55</v>
      </c>
      <c r="L51" s="80" t="s">
        <v>56</v>
      </c>
      <c r="M51" s="79" t="s">
        <v>57</v>
      </c>
      <c r="N51" s="80" t="s">
        <v>58</v>
      </c>
      <c r="O51" s="85" t="n">
        <v>46132</v>
      </c>
      <c r="P51" s="84"/>
      <c r="Q51" s="84"/>
      <c r="R51" s="87" t="s">
        <v>31</v>
      </c>
      <c r="S51" s="87" t="s">
        <v>31</v>
      </c>
    </row>
    <row r="52" s="77" customFormat="true" ht="15" hidden="false" customHeight="false" outlineLevel="1" collapsed="false">
      <c r="B52" s="78"/>
      <c r="C52" s="79" t="n">
        <v>111</v>
      </c>
      <c r="D52" s="80" t="s">
        <v>562</v>
      </c>
      <c r="E52" s="82" t="s">
        <v>780</v>
      </c>
      <c r="F52" s="82" t="s">
        <v>563</v>
      </c>
      <c r="G52" s="88" t="n">
        <v>1</v>
      </c>
      <c r="H52" s="84" t="s">
        <v>61</v>
      </c>
      <c r="I52" s="80" t="s">
        <v>564</v>
      </c>
      <c r="J52" s="80" t="s">
        <v>565</v>
      </c>
      <c r="K52" s="80" t="s">
        <v>566</v>
      </c>
      <c r="L52" s="80" t="s">
        <v>567</v>
      </c>
      <c r="M52" s="79" t="s">
        <v>568</v>
      </c>
      <c r="N52" s="80" t="s">
        <v>569</v>
      </c>
      <c r="O52" s="85" t="n">
        <v>46119</v>
      </c>
      <c r="P52" s="84"/>
      <c r="Q52" s="84"/>
      <c r="R52" s="87" t="s">
        <v>31</v>
      </c>
      <c r="S52" s="87" t="s">
        <v>31</v>
      </c>
    </row>
    <row r="53" s="77" customFormat="true" ht="15" hidden="false" customHeight="false" outlineLevel="1" collapsed="false">
      <c r="B53" s="78"/>
      <c r="C53" s="79" t="n">
        <v>112</v>
      </c>
      <c r="D53" s="80" t="s">
        <v>59</v>
      </c>
      <c r="E53" s="82" t="s">
        <v>780</v>
      </c>
      <c r="F53" s="82" t="s">
        <v>60</v>
      </c>
      <c r="G53" s="88" t="n">
        <v>2</v>
      </c>
      <c r="H53" s="84" t="s">
        <v>61</v>
      </c>
      <c r="I53" s="80" t="s">
        <v>62</v>
      </c>
      <c r="J53" s="80" t="s">
        <v>63</v>
      </c>
      <c r="K53" s="80" t="s">
        <v>64</v>
      </c>
      <c r="L53" s="80" t="s">
        <v>65</v>
      </c>
      <c r="M53" s="79" t="s">
        <v>66</v>
      </c>
      <c r="N53" s="80" t="s">
        <v>67</v>
      </c>
      <c r="O53" s="85" t="n">
        <v>46119</v>
      </c>
      <c r="P53" s="84"/>
      <c r="Q53" s="84"/>
      <c r="R53" s="87" t="s">
        <v>31</v>
      </c>
      <c r="S53" s="87" t="s">
        <v>31</v>
      </c>
    </row>
    <row r="54" s="77" customFormat="true" ht="90" hidden="false" customHeight="true" outlineLevel="1" collapsed="false">
      <c r="B54" s="78"/>
      <c r="C54" s="79" t="s">
        <v>971</v>
      </c>
      <c r="D54" s="80" t="s">
        <v>68</v>
      </c>
      <c r="E54" s="82" t="s">
        <v>780</v>
      </c>
      <c r="F54" s="82" t="s">
        <v>69</v>
      </c>
      <c r="G54" s="88" t="n">
        <v>6</v>
      </c>
      <c r="H54" s="84" t="s">
        <v>61</v>
      </c>
      <c r="I54" s="80" t="s">
        <v>972</v>
      </c>
      <c r="J54" s="80" t="s">
        <v>973</v>
      </c>
      <c r="K54" s="80" t="s">
        <v>974</v>
      </c>
      <c r="L54" s="80" t="s">
        <v>73</v>
      </c>
      <c r="M54" s="79" t="s">
        <v>975</v>
      </c>
      <c r="N54" s="80" t="s">
        <v>74</v>
      </c>
      <c r="O54" s="85" t="n">
        <v>46132</v>
      </c>
      <c r="P54" s="84"/>
      <c r="Q54" s="84"/>
      <c r="R54" s="87" t="s">
        <v>31</v>
      </c>
      <c r="S54" s="87" t="s">
        <v>31</v>
      </c>
    </row>
    <row r="55" s="77" customFormat="true" ht="30" hidden="false" customHeight="true" outlineLevel="1" collapsed="false">
      <c r="B55" s="78"/>
      <c r="C55" s="79" t="n">
        <v>114</v>
      </c>
      <c r="D55" s="80" t="s">
        <v>75</v>
      </c>
      <c r="E55" s="82" t="s">
        <v>780</v>
      </c>
      <c r="F55" s="82" t="s">
        <v>76</v>
      </c>
      <c r="G55" s="88" t="n">
        <v>3</v>
      </c>
      <c r="H55" s="84" t="s">
        <v>77</v>
      </c>
      <c r="I55" s="80" t="s">
        <v>78</v>
      </c>
      <c r="J55" s="80" t="s">
        <v>79</v>
      </c>
      <c r="K55" s="99" t="s">
        <v>80</v>
      </c>
      <c r="L55" s="80" t="s">
        <v>81</v>
      </c>
      <c r="M55" s="79" t="s">
        <v>976</v>
      </c>
      <c r="N55" s="80" t="s">
        <v>83</v>
      </c>
      <c r="O55" s="85" t="n">
        <v>46132</v>
      </c>
      <c r="P55" s="84"/>
      <c r="Q55" s="84"/>
      <c r="R55" s="87" t="s">
        <v>31</v>
      </c>
      <c r="S55" s="87" t="s">
        <v>84</v>
      </c>
    </row>
    <row r="56" s="77" customFormat="true" ht="15" hidden="false" customHeight="false" outlineLevel="1" collapsed="false">
      <c r="B56" s="78"/>
      <c r="C56" s="79" t="n">
        <v>115</v>
      </c>
      <c r="D56" s="80" t="s">
        <v>580</v>
      </c>
      <c r="E56" s="82" t="s">
        <v>780</v>
      </c>
      <c r="F56" s="82" t="s">
        <v>581</v>
      </c>
      <c r="G56" s="88" t="n">
        <v>1</v>
      </c>
      <c r="H56" s="84" t="s">
        <v>61</v>
      </c>
      <c r="I56" s="80" t="s">
        <v>582</v>
      </c>
      <c r="J56" s="80" t="s">
        <v>583</v>
      </c>
      <c r="K56" s="80" t="s">
        <v>584</v>
      </c>
      <c r="L56" s="80" t="s">
        <v>585</v>
      </c>
      <c r="M56" s="79" t="s">
        <v>586</v>
      </c>
      <c r="N56" s="80" t="s">
        <v>587</v>
      </c>
      <c r="O56" s="85" t="n">
        <v>46132</v>
      </c>
      <c r="P56" s="84"/>
      <c r="Q56" s="84"/>
      <c r="R56" s="87" t="s">
        <v>31</v>
      </c>
      <c r="S56" s="87" t="s">
        <v>84</v>
      </c>
    </row>
    <row r="57" s="77" customFormat="true" ht="30" hidden="false" customHeight="true" outlineLevel="1" collapsed="false">
      <c r="B57" s="78"/>
      <c r="C57" s="79" t="n">
        <v>116</v>
      </c>
      <c r="D57" s="80" t="s">
        <v>725</v>
      </c>
      <c r="E57" s="82" t="s">
        <v>780</v>
      </c>
      <c r="F57" s="82" t="s">
        <v>726</v>
      </c>
      <c r="G57" s="88" t="n">
        <v>1</v>
      </c>
      <c r="H57" s="84" t="s">
        <v>727</v>
      </c>
      <c r="I57" s="80" t="s">
        <v>728</v>
      </c>
      <c r="J57" s="80" t="s">
        <v>729</v>
      </c>
      <c r="K57" s="80" t="s">
        <v>730</v>
      </c>
      <c r="L57" s="80" t="s">
        <v>731</v>
      </c>
      <c r="M57" s="79" t="s">
        <v>732</v>
      </c>
      <c r="N57" s="80" t="s">
        <v>733</v>
      </c>
      <c r="O57" s="85" t="n">
        <v>46132</v>
      </c>
      <c r="P57" s="84"/>
      <c r="Q57" s="84"/>
      <c r="R57" s="87" t="s">
        <v>31</v>
      </c>
      <c r="S57" s="87" t="s">
        <v>31</v>
      </c>
    </row>
    <row r="58" s="77" customFormat="true" ht="15" hidden="false" customHeight="false" outlineLevel="1" collapsed="false">
      <c r="B58" s="78"/>
      <c r="C58" s="79" t="n">
        <v>117</v>
      </c>
      <c r="D58" s="80" t="s">
        <v>117</v>
      </c>
      <c r="E58" s="82" t="s">
        <v>780</v>
      </c>
      <c r="F58" s="82" t="s">
        <v>118</v>
      </c>
      <c r="G58" s="88" t="n">
        <v>1</v>
      </c>
      <c r="H58" s="84" t="s">
        <v>24</v>
      </c>
      <c r="I58" s="80" t="s">
        <v>119</v>
      </c>
      <c r="J58" s="80" t="s">
        <v>120</v>
      </c>
      <c r="K58" s="80" t="s">
        <v>121</v>
      </c>
      <c r="L58" s="80" t="s">
        <v>122</v>
      </c>
      <c r="M58" s="79" t="s">
        <v>123</v>
      </c>
      <c r="N58" s="80" t="s">
        <v>124</v>
      </c>
      <c r="O58" s="85" t="n">
        <v>46132</v>
      </c>
      <c r="P58" s="84"/>
      <c r="Q58" s="84"/>
      <c r="R58" s="87" t="s">
        <v>31</v>
      </c>
      <c r="S58" s="87" t="s">
        <v>31</v>
      </c>
    </row>
    <row r="59" s="77" customFormat="true" ht="15" hidden="false" customHeight="false" outlineLevel="1" collapsed="false">
      <c r="B59" s="78"/>
      <c r="C59" s="79" t="n">
        <v>118</v>
      </c>
      <c r="D59" s="80" t="s">
        <v>125</v>
      </c>
      <c r="E59" s="82" t="s">
        <v>780</v>
      </c>
      <c r="F59" s="82" t="s">
        <v>126</v>
      </c>
      <c r="G59" s="88" t="n">
        <v>1</v>
      </c>
      <c r="H59" s="84" t="s">
        <v>127</v>
      </c>
      <c r="I59" s="80" t="s">
        <v>128</v>
      </c>
      <c r="J59" s="80" t="s">
        <v>129</v>
      </c>
      <c r="K59" s="80" t="s">
        <v>130</v>
      </c>
      <c r="L59" s="80" t="s">
        <v>131</v>
      </c>
      <c r="M59" s="79" t="s">
        <v>132</v>
      </c>
      <c r="N59" s="80" t="s">
        <v>133</v>
      </c>
      <c r="O59" s="85" t="n">
        <v>46132</v>
      </c>
      <c r="P59" s="84"/>
      <c r="Q59" s="84"/>
      <c r="R59" s="87" t="s">
        <v>31</v>
      </c>
      <c r="S59" s="87" t="s">
        <v>84</v>
      </c>
    </row>
    <row r="60" s="77" customFormat="true" ht="15" hidden="false" customHeight="false" outlineLevel="1" collapsed="false">
      <c r="B60" s="78"/>
      <c r="C60" s="79" t="n">
        <v>119</v>
      </c>
      <c r="D60" s="80" t="s">
        <v>142</v>
      </c>
      <c r="E60" s="82" t="s">
        <v>780</v>
      </c>
      <c r="F60" s="82" t="s">
        <v>143</v>
      </c>
      <c r="G60" s="88" t="n">
        <v>2</v>
      </c>
      <c r="H60" s="84" t="s">
        <v>61</v>
      </c>
      <c r="I60" s="80" t="s">
        <v>144</v>
      </c>
      <c r="J60" s="80" t="s">
        <v>145</v>
      </c>
      <c r="K60" s="80" t="s">
        <v>146</v>
      </c>
      <c r="L60" s="80" t="s">
        <v>147</v>
      </c>
      <c r="M60" s="79" t="s">
        <v>148</v>
      </c>
      <c r="N60" s="80" t="s">
        <v>149</v>
      </c>
      <c r="O60" s="85" t="n">
        <v>46132</v>
      </c>
      <c r="P60" s="84"/>
      <c r="Q60" s="84"/>
      <c r="R60" s="87" t="s">
        <v>31</v>
      </c>
      <c r="S60" s="87" t="s">
        <v>84</v>
      </c>
    </row>
    <row r="61" s="77" customFormat="true" ht="15" hidden="false" customHeight="false" outlineLevel="1" collapsed="false">
      <c r="B61" s="78"/>
      <c r="C61" s="79" t="n">
        <v>120</v>
      </c>
      <c r="D61" s="80" t="s">
        <v>159</v>
      </c>
      <c r="E61" s="82" t="s">
        <v>780</v>
      </c>
      <c r="F61" s="82" t="s">
        <v>160</v>
      </c>
      <c r="G61" s="88" t="n">
        <v>1</v>
      </c>
      <c r="H61" s="84" t="s">
        <v>61</v>
      </c>
      <c r="I61" s="80" t="s">
        <v>161</v>
      </c>
      <c r="J61" s="80" t="s">
        <v>162</v>
      </c>
      <c r="K61" s="80" t="s">
        <v>163</v>
      </c>
      <c r="L61" s="80" t="s">
        <v>164</v>
      </c>
      <c r="M61" s="79" t="s">
        <v>164</v>
      </c>
      <c r="N61" s="80" t="s">
        <v>165</v>
      </c>
      <c r="O61" s="85" t="n">
        <v>46132</v>
      </c>
      <c r="P61" s="84"/>
      <c r="Q61" s="84"/>
      <c r="R61" s="87" t="s">
        <v>31</v>
      </c>
      <c r="S61" s="87" t="s">
        <v>31</v>
      </c>
    </row>
    <row r="62" s="77" customFormat="true" ht="15" hidden="false" customHeight="false" outlineLevel="1" collapsed="false">
      <c r="B62" s="78"/>
      <c r="C62" s="79" t="n">
        <v>121</v>
      </c>
      <c r="D62" s="80" t="s">
        <v>166</v>
      </c>
      <c r="E62" s="82" t="s">
        <v>780</v>
      </c>
      <c r="F62" s="82" t="s">
        <v>167</v>
      </c>
      <c r="G62" s="88" t="n">
        <v>3</v>
      </c>
      <c r="H62" s="84" t="s">
        <v>61</v>
      </c>
      <c r="I62" s="80" t="s">
        <v>168</v>
      </c>
      <c r="J62" s="80" t="s">
        <v>169</v>
      </c>
      <c r="K62" s="80" t="s">
        <v>170</v>
      </c>
      <c r="L62" s="80" t="s">
        <v>171</v>
      </c>
      <c r="M62" s="79" t="s">
        <v>172</v>
      </c>
      <c r="N62" s="80" t="s">
        <v>173</v>
      </c>
      <c r="O62" s="85" t="n">
        <v>46132</v>
      </c>
      <c r="P62" s="84"/>
      <c r="Q62" s="84"/>
      <c r="R62" s="87" t="s">
        <v>31</v>
      </c>
      <c r="S62" s="87" t="s">
        <v>84</v>
      </c>
    </row>
    <row r="63" s="77" customFormat="true" ht="15" hidden="false" customHeight="false" outlineLevel="1" collapsed="false">
      <c r="B63" s="78"/>
      <c r="C63" s="79" t="n">
        <v>122</v>
      </c>
      <c r="D63" s="80" t="s">
        <v>182</v>
      </c>
      <c r="E63" s="82" t="s">
        <v>780</v>
      </c>
      <c r="F63" s="82" t="s">
        <v>183</v>
      </c>
      <c r="G63" s="88" t="n">
        <v>1</v>
      </c>
      <c r="H63" s="84" t="s">
        <v>111</v>
      </c>
      <c r="I63" s="80" t="s">
        <v>184</v>
      </c>
      <c r="J63" s="80" t="s">
        <v>185</v>
      </c>
      <c r="K63" s="80" t="s">
        <v>186</v>
      </c>
      <c r="L63" s="80" t="s">
        <v>187</v>
      </c>
      <c r="M63" s="79" t="s">
        <v>188</v>
      </c>
      <c r="N63" s="80" t="s">
        <v>189</v>
      </c>
      <c r="O63" s="85" t="n">
        <v>46132</v>
      </c>
      <c r="P63" s="84"/>
      <c r="Q63" s="84"/>
      <c r="R63" s="87" t="s">
        <v>31</v>
      </c>
      <c r="S63" s="87" t="s">
        <v>84</v>
      </c>
    </row>
    <row r="64" s="77" customFormat="true" ht="90" hidden="false" customHeight="true" outlineLevel="1" collapsed="false">
      <c r="B64" s="78"/>
      <c r="C64" s="100" t="s">
        <v>977</v>
      </c>
      <c r="D64" s="80" t="s">
        <v>190</v>
      </c>
      <c r="E64" s="82" t="s">
        <v>780</v>
      </c>
      <c r="F64" s="82" t="s">
        <v>191</v>
      </c>
      <c r="G64" s="88" t="n">
        <v>6</v>
      </c>
      <c r="H64" s="84" t="s">
        <v>24</v>
      </c>
      <c r="I64" s="96" t="s">
        <v>978</v>
      </c>
      <c r="J64" s="96" t="s">
        <v>979</v>
      </c>
      <c r="K64" s="96" t="s">
        <v>980</v>
      </c>
      <c r="L64" s="80" t="s">
        <v>195</v>
      </c>
      <c r="M64" s="100" t="s">
        <v>981</v>
      </c>
      <c r="N64" s="80" t="s">
        <v>197</v>
      </c>
      <c r="O64" s="85" t="n">
        <v>46132</v>
      </c>
      <c r="P64" s="84"/>
      <c r="Q64" s="84"/>
      <c r="R64" s="87" t="s">
        <v>31</v>
      </c>
      <c r="S64" s="87" t="s">
        <v>31</v>
      </c>
    </row>
    <row r="65" s="77" customFormat="true" ht="15" hidden="false" customHeight="false" outlineLevel="1" collapsed="false">
      <c r="B65" s="78"/>
      <c r="C65" s="79" t="n">
        <v>124</v>
      </c>
      <c r="D65" s="80" t="s">
        <v>635</v>
      </c>
      <c r="E65" s="82" t="s">
        <v>780</v>
      </c>
      <c r="F65" s="82" t="s">
        <v>636</v>
      </c>
      <c r="G65" s="88" t="n">
        <v>1</v>
      </c>
      <c r="H65" s="84" t="s">
        <v>637</v>
      </c>
      <c r="I65" s="80" t="s">
        <v>638</v>
      </c>
      <c r="J65" s="80" t="s">
        <v>639</v>
      </c>
      <c r="K65" s="80" t="s">
        <v>640</v>
      </c>
      <c r="L65" s="80" t="s">
        <v>641</v>
      </c>
      <c r="M65" s="79" t="s">
        <v>642</v>
      </c>
      <c r="N65" s="80" t="s">
        <v>643</v>
      </c>
      <c r="O65" s="85" t="n">
        <v>46132</v>
      </c>
      <c r="P65" s="84"/>
      <c r="Q65" s="84"/>
      <c r="R65" s="87" t="s">
        <v>31</v>
      </c>
      <c r="S65" s="87" t="s">
        <v>31</v>
      </c>
    </row>
    <row r="66" s="77" customFormat="true" ht="15" hidden="false" customHeight="false" outlineLevel="1" collapsed="false">
      <c r="B66" s="78"/>
      <c r="C66" s="79" t="n">
        <v>125</v>
      </c>
      <c r="D66" s="80" t="s">
        <v>198</v>
      </c>
      <c r="E66" s="82" t="s">
        <v>780</v>
      </c>
      <c r="F66" s="82" t="s">
        <v>199</v>
      </c>
      <c r="G66" s="88" t="n">
        <v>2</v>
      </c>
      <c r="H66" s="84" t="s">
        <v>200</v>
      </c>
      <c r="I66" s="80" t="s">
        <v>201</v>
      </c>
      <c r="J66" s="80" t="s">
        <v>202</v>
      </c>
      <c r="K66" s="80" t="s">
        <v>203</v>
      </c>
      <c r="L66" s="80" t="s">
        <v>204</v>
      </c>
      <c r="M66" s="79" t="s">
        <v>205</v>
      </c>
      <c r="N66" s="80" t="s">
        <v>206</v>
      </c>
      <c r="O66" s="85" t="n">
        <v>46132</v>
      </c>
      <c r="P66" s="84"/>
      <c r="Q66" s="84"/>
      <c r="R66" s="87" t="s">
        <v>31</v>
      </c>
      <c r="S66" s="87" t="s">
        <v>84</v>
      </c>
    </row>
    <row r="67" s="77" customFormat="true" ht="15" hidden="false" customHeight="false" outlineLevel="1" collapsed="false">
      <c r="B67" s="78"/>
      <c r="C67" s="79" t="n">
        <v>126</v>
      </c>
      <c r="D67" s="80" t="s">
        <v>207</v>
      </c>
      <c r="E67" s="82" t="s">
        <v>780</v>
      </c>
      <c r="F67" s="82" t="s">
        <v>208</v>
      </c>
      <c r="G67" s="88" t="n">
        <v>1</v>
      </c>
      <c r="H67" s="84" t="s">
        <v>61</v>
      </c>
      <c r="I67" s="80" t="s">
        <v>209</v>
      </c>
      <c r="J67" s="80" t="s">
        <v>210</v>
      </c>
      <c r="K67" s="80" t="s">
        <v>211</v>
      </c>
      <c r="L67" s="80" t="s">
        <v>212</v>
      </c>
      <c r="M67" s="79" t="s">
        <v>213</v>
      </c>
      <c r="N67" s="80" t="s">
        <v>214</v>
      </c>
      <c r="O67" s="85" t="n">
        <v>46132</v>
      </c>
      <c r="P67" s="84"/>
      <c r="Q67" s="84"/>
      <c r="R67" s="87" t="s">
        <v>31</v>
      </c>
      <c r="S67" s="87" t="s">
        <v>31</v>
      </c>
    </row>
    <row r="68" s="77" customFormat="true" ht="30" hidden="false" customHeight="true" outlineLevel="1" collapsed="false">
      <c r="B68" s="78"/>
      <c r="C68" s="79" t="n">
        <v>127</v>
      </c>
      <c r="D68" s="80" t="s">
        <v>231</v>
      </c>
      <c r="E68" s="82" t="s">
        <v>780</v>
      </c>
      <c r="F68" s="82" t="s">
        <v>232</v>
      </c>
      <c r="G68" s="88" t="n">
        <v>2</v>
      </c>
      <c r="H68" s="84" t="s">
        <v>61</v>
      </c>
      <c r="I68" s="80" t="s">
        <v>233</v>
      </c>
      <c r="J68" s="80" t="s">
        <v>234</v>
      </c>
      <c r="K68" s="80" t="s">
        <v>235</v>
      </c>
      <c r="L68" s="80" t="s">
        <v>236</v>
      </c>
      <c r="M68" s="79" t="s">
        <v>891</v>
      </c>
      <c r="N68" s="80" t="s">
        <v>238</v>
      </c>
      <c r="O68" s="85" t="n">
        <v>46132</v>
      </c>
      <c r="P68" s="84"/>
      <c r="Q68" s="84"/>
      <c r="R68" s="87" t="s">
        <v>31</v>
      </c>
      <c r="S68" s="87" t="s">
        <v>84</v>
      </c>
    </row>
    <row r="69" s="77" customFormat="true" ht="15" hidden="false" customHeight="false" outlineLevel="1" collapsed="false">
      <c r="B69" s="78"/>
      <c r="C69" s="79" t="n">
        <v>128</v>
      </c>
      <c r="D69" s="80" t="s">
        <v>239</v>
      </c>
      <c r="E69" s="82" t="s">
        <v>780</v>
      </c>
      <c r="F69" s="82" t="s">
        <v>240</v>
      </c>
      <c r="G69" s="88" t="n">
        <v>1</v>
      </c>
      <c r="H69" s="84" t="s">
        <v>24</v>
      </c>
      <c r="I69" s="80" t="s">
        <v>241</v>
      </c>
      <c r="J69" s="80" t="s">
        <v>242</v>
      </c>
      <c r="K69" s="80" t="s">
        <v>243</v>
      </c>
      <c r="L69" s="80" t="s">
        <v>244</v>
      </c>
      <c r="M69" s="79" t="s">
        <v>982</v>
      </c>
      <c r="N69" s="80" t="s">
        <v>246</v>
      </c>
      <c r="O69" s="85" t="n">
        <v>46132</v>
      </c>
      <c r="P69" s="84"/>
      <c r="Q69" s="84"/>
      <c r="R69" s="87" t="s">
        <v>31</v>
      </c>
      <c r="S69" s="87" t="s">
        <v>31</v>
      </c>
    </row>
    <row r="70" s="77" customFormat="true" ht="15" hidden="false" customHeight="false" outlineLevel="1" collapsed="false">
      <c r="B70" s="78"/>
      <c r="C70" s="79" t="n">
        <v>129</v>
      </c>
      <c r="D70" s="80" t="s">
        <v>247</v>
      </c>
      <c r="E70" s="82" t="s">
        <v>780</v>
      </c>
      <c r="F70" s="82" t="s">
        <v>248</v>
      </c>
      <c r="G70" s="88" t="n">
        <v>1</v>
      </c>
      <c r="H70" s="84" t="s">
        <v>61</v>
      </c>
      <c r="I70" s="80" t="s">
        <v>532</v>
      </c>
      <c r="J70" s="80" t="s">
        <v>533</v>
      </c>
      <c r="K70" s="78" t="s">
        <v>534</v>
      </c>
      <c r="L70" s="80" t="s">
        <v>252</v>
      </c>
      <c r="M70" s="79" t="s">
        <v>535</v>
      </c>
      <c r="N70" s="80" t="s">
        <v>254</v>
      </c>
      <c r="O70" s="85" t="n">
        <v>46132</v>
      </c>
      <c r="P70" s="84"/>
      <c r="Q70" s="84"/>
      <c r="R70" s="87" t="s">
        <v>31</v>
      </c>
      <c r="S70" s="87" t="s">
        <v>84</v>
      </c>
    </row>
    <row r="71" s="77" customFormat="true" ht="15" hidden="false" customHeight="false" outlineLevel="1" collapsed="false">
      <c r="B71" s="78"/>
      <c r="C71" s="79" t="n">
        <v>130</v>
      </c>
      <c r="D71" s="80" t="s">
        <v>263</v>
      </c>
      <c r="E71" s="82" t="s">
        <v>780</v>
      </c>
      <c r="F71" s="82" t="s">
        <v>264</v>
      </c>
      <c r="G71" s="88" t="n">
        <v>2</v>
      </c>
      <c r="H71" s="84" t="s">
        <v>61</v>
      </c>
      <c r="I71" s="80" t="s">
        <v>265</v>
      </c>
      <c r="J71" s="80" t="s">
        <v>266</v>
      </c>
      <c r="K71" s="80" t="s">
        <v>267</v>
      </c>
      <c r="L71" s="80" t="s">
        <v>252</v>
      </c>
      <c r="M71" s="79" t="s">
        <v>268</v>
      </c>
      <c r="N71" s="80" t="s">
        <v>269</v>
      </c>
      <c r="O71" s="85" t="n">
        <v>46132</v>
      </c>
      <c r="P71" s="84"/>
      <c r="Q71" s="84"/>
      <c r="R71" s="87" t="s">
        <v>31</v>
      </c>
      <c r="S71" s="87" t="s">
        <v>31</v>
      </c>
    </row>
    <row r="72" s="77" customFormat="true" ht="15" hidden="false" customHeight="false" outlineLevel="1" collapsed="false">
      <c r="B72" s="78"/>
      <c r="C72" s="79" t="n">
        <v>131</v>
      </c>
      <c r="D72" s="80" t="s">
        <v>706</v>
      </c>
      <c r="E72" s="82" t="s">
        <v>780</v>
      </c>
      <c r="F72" s="82" t="s">
        <v>707</v>
      </c>
      <c r="G72" s="88" t="n">
        <v>1</v>
      </c>
      <c r="H72" s="84" t="s">
        <v>111</v>
      </c>
      <c r="I72" s="80" t="s">
        <v>708</v>
      </c>
      <c r="J72" s="80" t="s">
        <v>709</v>
      </c>
      <c r="K72" s="80" t="s">
        <v>710</v>
      </c>
      <c r="L72" s="80" t="s">
        <v>711</v>
      </c>
      <c r="M72" s="79" t="s">
        <v>712</v>
      </c>
      <c r="N72" s="80" t="s">
        <v>713</v>
      </c>
      <c r="O72" s="85" t="n">
        <v>46132</v>
      </c>
      <c r="P72" s="84"/>
      <c r="Q72" s="84"/>
      <c r="R72" s="87" t="s">
        <v>31</v>
      </c>
      <c r="S72" s="87" t="s">
        <v>84</v>
      </c>
    </row>
    <row r="73" s="77" customFormat="true" ht="15" hidden="false" customHeight="false" outlineLevel="1" collapsed="false">
      <c r="B73" s="78"/>
      <c r="C73" s="79" t="n">
        <v>132</v>
      </c>
      <c r="D73" s="80" t="s">
        <v>859</v>
      </c>
      <c r="E73" s="82" t="s">
        <v>780</v>
      </c>
      <c r="F73" s="82" t="s">
        <v>860</v>
      </c>
      <c r="G73" s="88" t="n">
        <v>1</v>
      </c>
      <c r="H73" s="84" t="s">
        <v>861</v>
      </c>
      <c r="I73" s="80" t="s">
        <v>862</v>
      </c>
      <c r="J73" s="80" t="s">
        <v>863</v>
      </c>
      <c r="K73" s="80" t="s">
        <v>864</v>
      </c>
      <c r="L73" s="80" t="s">
        <v>865</v>
      </c>
      <c r="M73" s="79" t="s">
        <v>866</v>
      </c>
      <c r="N73" s="80" t="s">
        <v>867</v>
      </c>
      <c r="O73" s="85" t="n">
        <v>46132</v>
      </c>
      <c r="P73" s="84"/>
      <c r="Q73" s="84"/>
      <c r="R73" s="87" t="s">
        <v>31</v>
      </c>
      <c r="S73" s="87" t="s">
        <v>31</v>
      </c>
    </row>
    <row r="74" s="77" customFormat="true" ht="15" hidden="false" customHeight="false" outlineLevel="1" collapsed="false">
      <c r="B74" s="78"/>
      <c r="C74" s="79" t="n">
        <v>133</v>
      </c>
      <c r="D74" s="80" t="s">
        <v>286</v>
      </c>
      <c r="E74" s="82" t="s">
        <v>780</v>
      </c>
      <c r="F74" s="82" t="s">
        <v>287</v>
      </c>
      <c r="G74" s="88" t="n">
        <v>1</v>
      </c>
      <c r="H74" s="84" t="s">
        <v>61</v>
      </c>
      <c r="I74" s="80" t="s">
        <v>288</v>
      </c>
      <c r="J74" s="80" t="s">
        <v>289</v>
      </c>
      <c r="K74" s="80" t="s">
        <v>290</v>
      </c>
      <c r="L74" s="80" t="s">
        <v>291</v>
      </c>
      <c r="M74" s="79" t="s">
        <v>292</v>
      </c>
      <c r="N74" s="80" t="s">
        <v>293</v>
      </c>
      <c r="O74" s="85" t="n">
        <v>46132</v>
      </c>
      <c r="P74" s="84"/>
      <c r="Q74" s="84"/>
      <c r="R74" s="87" t="s">
        <v>31</v>
      </c>
      <c r="S74" s="87" t="s">
        <v>84</v>
      </c>
    </row>
    <row r="75" s="77" customFormat="true" ht="15" hidden="false" customHeight="false" outlineLevel="1" collapsed="false">
      <c r="B75" s="78"/>
      <c r="C75" s="79" t="n">
        <v>134</v>
      </c>
      <c r="D75" s="80" t="s">
        <v>294</v>
      </c>
      <c r="E75" s="82" t="s">
        <v>780</v>
      </c>
      <c r="F75" s="82" t="s">
        <v>295</v>
      </c>
      <c r="G75" s="88" t="n">
        <v>1</v>
      </c>
      <c r="H75" s="84" t="s">
        <v>61</v>
      </c>
      <c r="I75" s="80" t="s">
        <v>908</v>
      </c>
      <c r="J75" s="80" t="s">
        <v>909</v>
      </c>
      <c r="K75" s="80" t="s">
        <v>910</v>
      </c>
      <c r="L75" s="80" t="s">
        <v>299</v>
      </c>
      <c r="M75" s="79" t="s">
        <v>300</v>
      </c>
      <c r="N75" s="80" t="s">
        <v>301</v>
      </c>
      <c r="O75" s="85" t="n">
        <v>46132</v>
      </c>
      <c r="P75" s="84"/>
      <c r="Q75" s="84"/>
      <c r="R75" s="87" t="s">
        <v>31</v>
      </c>
      <c r="S75" s="87" t="s">
        <v>31</v>
      </c>
    </row>
    <row r="76" s="77" customFormat="true" ht="15" hidden="false" customHeight="false" outlineLevel="1" collapsed="false">
      <c r="B76" s="78"/>
      <c r="C76" s="79" t="n">
        <v>135</v>
      </c>
      <c r="D76" s="80" t="s">
        <v>342</v>
      </c>
      <c r="E76" s="82" t="s">
        <v>780</v>
      </c>
      <c r="F76" s="82" t="s">
        <v>343</v>
      </c>
      <c r="G76" s="88" t="n">
        <v>1</v>
      </c>
      <c r="H76" s="84" t="s">
        <v>24</v>
      </c>
      <c r="I76" s="80" t="s">
        <v>344</v>
      </c>
      <c r="J76" s="80" t="s">
        <v>345</v>
      </c>
      <c r="K76" s="80" t="s">
        <v>346</v>
      </c>
      <c r="L76" s="80" t="s">
        <v>347</v>
      </c>
      <c r="M76" s="79" t="s">
        <v>348</v>
      </c>
      <c r="N76" s="80" t="s">
        <v>349</v>
      </c>
      <c r="O76" s="85" t="n">
        <v>46132</v>
      </c>
      <c r="P76" s="84"/>
      <c r="Q76" s="84"/>
      <c r="R76" s="87" t="s">
        <v>31</v>
      </c>
      <c r="S76" s="87" t="s">
        <v>31</v>
      </c>
    </row>
    <row r="77" s="77" customFormat="true" ht="15" hidden="false" customHeight="false" outlineLevel="1" collapsed="false">
      <c r="B77" s="78"/>
      <c r="C77" s="79" t="n">
        <v>136</v>
      </c>
      <c r="D77" s="80" t="s">
        <v>802</v>
      </c>
      <c r="E77" s="82" t="s">
        <v>780</v>
      </c>
      <c r="F77" s="82" t="s">
        <v>803</v>
      </c>
      <c r="G77" s="88" t="n">
        <v>1</v>
      </c>
      <c r="H77" s="84" t="s">
        <v>804</v>
      </c>
      <c r="I77" s="80" t="s">
        <v>805</v>
      </c>
      <c r="J77" s="80" t="s">
        <v>806</v>
      </c>
      <c r="K77" s="78" t="s">
        <v>807</v>
      </c>
      <c r="L77" s="80" t="s">
        <v>808</v>
      </c>
      <c r="M77" s="79" t="s">
        <v>809</v>
      </c>
      <c r="N77" s="80" t="s">
        <v>810</v>
      </c>
      <c r="O77" s="85" t="n">
        <v>46132</v>
      </c>
      <c r="P77" s="84"/>
      <c r="Q77" s="84"/>
      <c r="R77" s="87" t="s">
        <v>31</v>
      </c>
      <c r="S77" s="87" t="s">
        <v>84</v>
      </c>
    </row>
    <row r="78" s="77" customFormat="true" ht="15" hidden="false" customHeight="false" outlineLevel="1" collapsed="false">
      <c r="B78" s="78"/>
      <c r="C78" s="79" t="n">
        <v>137</v>
      </c>
      <c r="D78" s="80" t="s">
        <v>961</v>
      </c>
      <c r="E78" s="82" t="s">
        <v>780</v>
      </c>
      <c r="F78" s="82" t="s">
        <v>915</v>
      </c>
      <c r="G78" s="88" t="n">
        <v>1</v>
      </c>
      <c r="H78" s="84" t="s">
        <v>152</v>
      </c>
      <c r="I78" s="80" t="s">
        <v>962</v>
      </c>
      <c r="J78" s="80" t="s">
        <v>963</v>
      </c>
      <c r="K78" s="80" t="s">
        <v>964</v>
      </c>
      <c r="L78" s="80" t="s">
        <v>965</v>
      </c>
      <c r="M78" s="79" t="s">
        <v>983</v>
      </c>
      <c r="N78" s="80" t="s">
        <v>967</v>
      </c>
      <c r="O78" s="85" t="n">
        <v>46132</v>
      </c>
      <c r="P78" s="84"/>
      <c r="Q78" s="84"/>
      <c r="R78" s="87" t="s">
        <v>31</v>
      </c>
      <c r="S78" s="87" t="s">
        <v>84</v>
      </c>
    </row>
    <row r="79" s="77" customFormat="true" ht="15" hidden="false" customHeight="false" outlineLevel="1" collapsed="false">
      <c r="B79" s="78"/>
      <c r="C79" s="79" t="n">
        <v>138</v>
      </c>
      <c r="D79" s="80" t="s">
        <v>366</v>
      </c>
      <c r="E79" s="82" t="s">
        <v>780</v>
      </c>
      <c r="F79" s="82" t="s">
        <v>367</v>
      </c>
      <c r="G79" s="88" t="n">
        <v>1</v>
      </c>
      <c r="H79" s="84" t="s">
        <v>368</v>
      </c>
      <c r="I79" s="80" t="s">
        <v>369</v>
      </c>
      <c r="J79" s="80" t="s">
        <v>370</v>
      </c>
      <c r="K79" s="80" t="s">
        <v>371</v>
      </c>
      <c r="L79" s="80" t="s">
        <v>372</v>
      </c>
      <c r="M79" s="79" t="s">
        <v>682</v>
      </c>
      <c r="N79" s="80" t="s">
        <v>374</v>
      </c>
      <c r="O79" s="85" t="n">
        <v>46132</v>
      </c>
      <c r="P79" s="84"/>
      <c r="Q79" s="84"/>
      <c r="R79" s="87" t="s">
        <v>31</v>
      </c>
      <c r="S79" s="87" t="s">
        <v>84</v>
      </c>
    </row>
    <row r="80" s="77" customFormat="true" ht="15" hidden="false" customHeight="false" outlineLevel="1" collapsed="false">
      <c r="B80" s="78"/>
      <c r="C80" s="79" t="n">
        <v>139</v>
      </c>
      <c r="D80" s="80" t="s">
        <v>604</v>
      </c>
      <c r="E80" s="82" t="s">
        <v>780</v>
      </c>
      <c r="F80" s="82" t="s">
        <v>605</v>
      </c>
      <c r="G80" s="88" t="n">
        <v>1</v>
      </c>
      <c r="H80" s="84" t="s">
        <v>61</v>
      </c>
      <c r="I80" s="80" t="s">
        <v>606</v>
      </c>
      <c r="J80" s="80" t="s">
        <v>607</v>
      </c>
      <c r="K80" s="80" t="s">
        <v>608</v>
      </c>
      <c r="L80" s="80" t="s">
        <v>252</v>
      </c>
      <c r="M80" s="79" t="s">
        <v>609</v>
      </c>
      <c r="N80" s="80" t="s">
        <v>610</v>
      </c>
      <c r="O80" s="85" t="n">
        <v>46132</v>
      </c>
      <c r="P80" s="84"/>
      <c r="Q80" s="84"/>
      <c r="R80" s="87" t="s">
        <v>31</v>
      </c>
      <c r="S80" s="87" t="s">
        <v>31</v>
      </c>
    </row>
    <row r="81" s="77" customFormat="true" ht="15" hidden="false" customHeight="false" outlineLevel="1" collapsed="false">
      <c r="B81" s="78"/>
      <c r="C81" s="79" t="n">
        <v>140</v>
      </c>
      <c r="D81" s="80" t="s">
        <v>375</v>
      </c>
      <c r="E81" s="82" t="s">
        <v>780</v>
      </c>
      <c r="F81" s="82" t="s">
        <v>376</v>
      </c>
      <c r="G81" s="88" t="n">
        <v>3</v>
      </c>
      <c r="H81" s="84" t="s">
        <v>111</v>
      </c>
      <c r="I81" s="80" t="s">
        <v>377</v>
      </c>
      <c r="J81" s="80" t="s">
        <v>378</v>
      </c>
      <c r="K81" s="97" t="s">
        <v>379</v>
      </c>
      <c r="L81" s="80" t="s">
        <v>380</v>
      </c>
      <c r="M81" s="79" t="s">
        <v>984</v>
      </c>
      <c r="N81" s="80" t="s">
        <v>382</v>
      </c>
      <c r="O81" s="85" t="n">
        <v>46132</v>
      </c>
      <c r="P81" s="84"/>
      <c r="Q81" s="84"/>
      <c r="R81" s="87" t="s">
        <v>31</v>
      </c>
      <c r="S81" s="87" t="s">
        <v>31</v>
      </c>
    </row>
    <row r="82" s="77" customFormat="true" ht="15" hidden="false" customHeight="false" outlineLevel="1" collapsed="false">
      <c r="B82" s="78"/>
      <c r="C82" s="79" t="n">
        <v>141</v>
      </c>
      <c r="D82" s="80" t="s">
        <v>383</v>
      </c>
      <c r="E82" s="82" t="s">
        <v>780</v>
      </c>
      <c r="F82" s="82" t="s">
        <v>384</v>
      </c>
      <c r="G82" s="88" t="n">
        <v>1</v>
      </c>
      <c r="H82" s="84" t="s">
        <v>61</v>
      </c>
      <c r="I82" s="80" t="s">
        <v>385</v>
      </c>
      <c r="J82" s="80" t="s">
        <v>386</v>
      </c>
      <c r="K82" s="80" t="s">
        <v>387</v>
      </c>
      <c r="L82" s="80" t="s">
        <v>388</v>
      </c>
      <c r="M82" s="79" t="s">
        <v>389</v>
      </c>
      <c r="N82" s="80" t="s">
        <v>390</v>
      </c>
      <c r="O82" s="85" t="n">
        <v>46132</v>
      </c>
      <c r="P82" s="84"/>
      <c r="Q82" s="84"/>
      <c r="R82" s="87" t="s">
        <v>31</v>
      </c>
      <c r="S82" s="87" t="s">
        <v>84</v>
      </c>
    </row>
    <row r="83" s="77" customFormat="true" ht="15" hidden="false" customHeight="false" outlineLevel="1" collapsed="false">
      <c r="B83" s="78"/>
      <c r="C83" s="79" t="n">
        <v>142</v>
      </c>
      <c r="D83" s="80" t="s">
        <v>399</v>
      </c>
      <c r="E83" s="82" t="s">
        <v>780</v>
      </c>
      <c r="F83" s="82" t="s">
        <v>400</v>
      </c>
      <c r="G83" s="88" t="n">
        <v>1</v>
      </c>
      <c r="H83" s="84" t="s">
        <v>152</v>
      </c>
      <c r="I83" s="80" t="s">
        <v>401</v>
      </c>
      <c r="J83" s="80" t="s">
        <v>402</v>
      </c>
      <c r="K83" s="80" t="s">
        <v>403</v>
      </c>
      <c r="L83" s="80" t="s">
        <v>404</v>
      </c>
      <c r="M83" s="79" t="s">
        <v>791</v>
      </c>
      <c r="N83" s="80" t="s">
        <v>406</v>
      </c>
      <c r="O83" s="85" t="n">
        <v>46132</v>
      </c>
      <c r="P83" s="84"/>
      <c r="Q83" s="84"/>
      <c r="R83" s="87" t="s">
        <v>31</v>
      </c>
      <c r="S83" s="87" t="s">
        <v>84</v>
      </c>
    </row>
    <row r="84" s="77" customFormat="true" ht="30" hidden="false" customHeight="true" outlineLevel="1" collapsed="false">
      <c r="B84" s="78"/>
      <c r="C84" s="79" t="s">
        <v>985</v>
      </c>
      <c r="D84" s="80" t="s">
        <v>892</v>
      </c>
      <c r="E84" s="82" t="s">
        <v>780</v>
      </c>
      <c r="F84" s="82" t="s">
        <v>893</v>
      </c>
      <c r="G84" s="88" t="n">
        <v>2</v>
      </c>
      <c r="H84" s="84" t="s">
        <v>61</v>
      </c>
      <c r="I84" s="80" t="s">
        <v>986</v>
      </c>
      <c r="J84" s="80" t="s">
        <v>987</v>
      </c>
      <c r="K84" s="80" t="s">
        <v>988</v>
      </c>
      <c r="L84" s="80" t="s">
        <v>989</v>
      </c>
      <c r="M84" s="79" t="s">
        <v>990</v>
      </c>
      <c r="N84" s="80" t="s">
        <v>898</v>
      </c>
      <c r="O84" s="85" t="n">
        <v>46132</v>
      </c>
      <c r="P84" s="84"/>
      <c r="Q84" s="84"/>
      <c r="R84" s="87" t="s">
        <v>31</v>
      </c>
      <c r="S84" s="87" t="s">
        <v>84</v>
      </c>
    </row>
    <row r="85" s="77" customFormat="true" ht="15" hidden="false" customHeight="false" outlineLevel="1" collapsed="false">
      <c r="B85" s="78"/>
      <c r="C85" s="79" t="n">
        <v>144</v>
      </c>
      <c r="D85" s="80" t="s">
        <v>424</v>
      </c>
      <c r="E85" s="82" t="s">
        <v>780</v>
      </c>
      <c r="F85" s="82" t="s">
        <v>425</v>
      </c>
      <c r="G85" s="88" t="n">
        <v>1</v>
      </c>
      <c r="H85" s="84" t="s">
        <v>111</v>
      </c>
      <c r="I85" s="80" t="s">
        <v>426</v>
      </c>
      <c r="J85" s="80" t="s">
        <v>427</v>
      </c>
      <c r="K85" s="80" t="s">
        <v>428</v>
      </c>
      <c r="L85" s="80" t="s">
        <v>429</v>
      </c>
      <c r="M85" s="79" t="s">
        <v>429</v>
      </c>
      <c r="N85" s="80" t="s">
        <v>430</v>
      </c>
      <c r="O85" s="85" t="n">
        <v>46132</v>
      </c>
      <c r="P85" s="84"/>
      <c r="Q85" s="84"/>
      <c r="R85" s="87" t="s">
        <v>31</v>
      </c>
      <c r="S85" s="87" t="s">
        <v>84</v>
      </c>
    </row>
    <row r="86" s="77" customFormat="true" ht="45" hidden="false" customHeight="true" outlineLevel="1" collapsed="false">
      <c r="B86" s="78"/>
      <c r="C86" s="79" t="s">
        <v>991</v>
      </c>
      <c r="D86" s="80" t="s">
        <v>431</v>
      </c>
      <c r="E86" s="80" t="s">
        <v>780</v>
      </c>
      <c r="F86" s="82" t="s">
        <v>432</v>
      </c>
      <c r="G86" s="88" t="n">
        <v>3</v>
      </c>
      <c r="H86" s="84" t="s">
        <v>152</v>
      </c>
      <c r="I86" s="80" t="s">
        <v>992</v>
      </c>
      <c r="J86" s="80" t="s">
        <v>993</v>
      </c>
      <c r="K86" s="80" t="s">
        <v>994</v>
      </c>
      <c r="L86" s="80" t="s">
        <v>436</v>
      </c>
      <c r="M86" s="79" t="s">
        <v>995</v>
      </c>
      <c r="N86" s="80" t="s">
        <v>438</v>
      </c>
      <c r="O86" s="85" t="n">
        <v>46132</v>
      </c>
      <c r="P86" s="84"/>
      <c r="Q86" s="84"/>
      <c r="R86" s="87" t="s">
        <v>31</v>
      </c>
      <c r="S86" s="87" t="s">
        <v>31</v>
      </c>
    </row>
    <row r="87" s="77" customFormat="true" ht="15" hidden="false" customHeight="false" outlineLevel="1" collapsed="false">
      <c r="B87" s="78"/>
      <c r="C87" s="79" t="n">
        <v>146</v>
      </c>
      <c r="D87" s="80" t="s">
        <v>544</v>
      </c>
      <c r="E87" s="82" t="s">
        <v>780</v>
      </c>
      <c r="F87" s="82" t="s">
        <v>545</v>
      </c>
      <c r="G87" s="88" t="n">
        <v>1</v>
      </c>
      <c r="H87" s="84" t="s">
        <v>24</v>
      </c>
      <c r="I87" s="80" t="s">
        <v>546</v>
      </c>
      <c r="J87" s="80" t="s">
        <v>547</v>
      </c>
      <c r="K87" s="80" t="s">
        <v>548</v>
      </c>
      <c r="L87" s="80" t="s">
        <v>549</v>
      </c>
      <c r="M87" s="79" t="s">
        <v>550</v>
      </c>
      <c r="N87" s="80" t="s">
        <v>551</v>
      </c>
      <c r="O87" s="85" t="n">
        <v>46132</v>
      </c>
      <c r="P87" s="84"/>
      <c r="Q87" s="84"/>
      <c r="R87" s="87" t="s">
        <v>31</v>
      </c>
      <c r="S87" s="87" t="s">
        <v>31</v>
      </c>
    </row>
    <row r="88" s="77" customFormat="true" ht="30" hidden="false" customHeight="true" outlineLevel="1" collapsed="false">
      <c r="B88" s="78"/>
      <c r="C88" s="79" t="n">
        <v>147</v>
      </c>
      <c r="D88" s="80" t="s">
        <v>439</v>
      </c>
      <c r="E88" s="82" t="s">
        <v>780</v>
      </c>
      <c r="F88" s="82" t="s">
        <v>440</v>
      </c>
      <c r="G88" s="88" t="n">
        <v>1</v>
      </c>
      <c r="H88" s="84" t="s">
        <v>152</v>
      </c>
      <c r="I88" s="80" t="s">
        <v>441</v>
      </c>
      <c r="J88" s="80" t="s">
        <v>442</v>
      </c>
      <c r="K88" s="80" t="s">
        <v>443</v>
      </c>
      <c r="L88" s="80" t="s">
        <v>444</v>
      </c>
      <c r="M88" s="79" t="s">
        <v>570</v>
      </c>
      <c r="N88" s="80" t="s">
        <v>446</v>
      </c>
      <c r="O88" s="85" t="n">
        <v>46132</v>
      </c>
      <c r="P88" s="84"/>
      <c r="Q88" s="84"/>
      <c r="R88" s="87" t="s">
        <v>31</v>
      </c>
      <c r="S88" s="87" t="s">
        <v>31</v>
      </c>
    </row>
    <row r="89" s="77" customFormat="true" ht="15" hidden="false" customHeight="false" outlineLevel="1" collapsed="false">
      <c r="B89" s="78"/>
      <c r="C89" s="79" t="n">
        <v>148</v>
      </c>
      <c r="D89" s="80" t="s">
        <v>596</v>
      </c>
      <c r="E89" s="82" t="s">
        <v>780</v>
      </c>
      <c r="F89" s="82" t="s">
        <v>597</v>
      </c>
      <c r="G89" s="88" t="n">
        <v>1</v>
      </c>
      <c r="H89" s="84" t="s">
        <v>61</v>
      </c>
      <c r="I89" s="80" t="s">
        <v>598</v>
      </c>
      <c r="J89" s="80" t="s">
        <v>599</v>
      </c>
      <c r="K89" s="80" t="s">
        <v>600</v>
      </c>
      <c r="L89" s="80" t="s">
        <v>601</v>
      </c>
      <c r="M89" s="79" t="s">
        <v>602</v>
      </c>
      <c r="N89" s="80" t="s">
        <v>603</v>
      </c>
      <c r="O89" s="85" t="n">
        <v>46132</v>
      </c>
      <c r="P89" s="84"/>
      <c r="Q89" s="84"/>
      <c r="R89" s="87" t="s">
        <v>31</v>
      </c>
      <c r="S89" s="87" t="s">
        <v>84</v>
      </c>
    </row>
    <row r="90" s="77" customFormat="true" ht="15" hidden="false" customHeight="false" outlineLevel="1" collapsed="false">
      <c r="B90" s="78"/>
      <c r="C90" s="79" t="n">
        <v>149</v>
      </c>
      <c r="D90" s="80" t="s">
        <v>463</v>
      </c>
      <c r="E90" s="82" t="s">
        <v>780</v>
      </c>
      <c r="F90" s="82" t="s">
        <v>464</v>
      </c>
      <c r="G90" s="88" t="n">
        <v>1</v>
      </c>
      <c r="H90" s="84" t="s">
        <v>152</v>
      </c>
      <c r="I90" s="80" t="s">
        <v>465</v>
      </c>
      <c r="J90" s="80" t="s">
        <v>466</v>
      </c>
      <c r="K90" s="80" t="s">
        <v>467</v>
      </c>
      <c r="L90" s="80" t="s">
        <v>468</v>
      </c>
      <c r="M90" s="79" t="s">
        <v>469</v>
      </c>
      <c r="N90" s="80" t="s">
        <v>470</v>
      </c>
      <c r="O90" s="85" t="n">
        <v>46132</v>
      </c>
      <c r="P90" s="84"/>
      <c r="Q90" s="84"/>
      <c r="R90" s="87" t="s">
        <v>31</v>
      </c>
      <c r="S90" s="87" t="s">
        <v>31</v>
      </c>
    </row>
    <row r="91" s="77" customFormat="true" ht="15" hidden="false" customHeight="false" outlineLevel="1" collapsed="false">
      <c r="B91" s="78"/>
      <c r="C91" s="79" t="n">
        <v>150</v>
      </c>
      <c r="D91" s="80" t="s">
        <v>760</v>
      </c>
      <c r="E91" s="82" t="s">
        <v>780</v>
      </c>
      <c r="F91" s="82" t="s">
        <v>761</v>
      </c>
      <c r="G91" s="88" t="n">
        <v>1</v>
      </c>
      <c r="H91" s="84" t="s">
        <v>61</v>
      </c>
      <c r="I91" s="80" t="s">
        <v>762</v>
      </c>
      <c r="J91" s="80" t="s">
        <v>763</v>
      </c>
      <c r="K91" s="80" t="s">
        <v>764</v>
      </c>
      <c r="L91" s="80" t="s">
        <v>765</v>
      </c>
      <c r="M91" s="79" t="s">
        <v>765</v>
      </c>
      <c r="N91" s="80" t="s">
        <v>766</v>
      </c>
      <c r="O91" s="85" t="n">
        <v>46132</v>
      </c>
      <c r="P91" s="84"/>
      <c r="Q91" s="84"/>
      <c r="R91" s="87" t="s">
        <v>31</v>
      </c>
      <c r="S91" s="87" t="s">
        <v>84</v>
      </c>
    </row>
    <row r="92" s="77" customFormat="true" ht="15" hidden="false" customHeight="false" outlineLevel="1" collapsed="false">
      <c r="B92" s="78"/>
      <c r="C92" s="79" t="n">
        <v>151</v>
      </c>
      <c r="D92" s="80" t="s">
        <v>471</v>
      </c>
      <c r="E92" s="82" t="s">
        <v>780</v>
      </c>
      <c r="F92" s="82" t="s">
        <v>472</v>
      </c>
      <c r="G92" s="88" t="n">
        <v>1</v>
      </c>
      <c r="H92" s="84" t="s">
        <v>111</v>
      </c>
      <c r="I92" s="80" t="s">
        <v>473</v>
      </c>
      <c r="J92" s="80" t="s">
        <v>474</v>
      </c>
      <c r="K92" s="80" t="s">
        <v>475</v>
      </c>
      <c r="L92" s="80" t="s">
        <v>476</v>
      </c>
      <c r="M92" s="79" t="s">
        <v>476</v>
      </c>
      <c r="N92" s="80" t="s">
        <v>477</v>
      </c>
      <c r="O92" s="85" t="n">
        <v>46132</v>
      </c>
      <c r="P92" s="84"/>
      <c r="Q92" s="84"/>
      <c r="R92" s="87" t="s">
        <v>31</v>
      </c>
      <c r="S92" s="87" t="s">
        <v>84</v>
      </c>
    </row>
    <row r="93" s="77" customFormat="true" ht="15" hidden="false" customHeight="false" outlineLevel="1" collapsed="false">
      <c r="B93" s="78"/>
      <c r="C93" s="79" t="n">
        <v>152</v>
      </c>
      <c r="D93" s="80" t="s">
        <v>588</v>
      </c>
      <c r="E93" s="82" t="s">
        <v>780</v>
      </c>
      <c r="F93" s="82" t="s">
        <v>589</v>
      </c>
      <c r="G93" s="88" t="n">
        <v>1</v>
      </c>
      <c r="H93" s="84" t="s">
        <v>24</v>
      </c>
      <c r="I93" s="80" t="s">
        <v>590</v>
      </c>
      <c r="J93" s="80" t="s">
        <v>591</v>
      </c>
      <c r="K93" s="80" t="s">
        <v>592</v>
      </c>
      <c r="L93" s="80" t="s">
        <v>593</v>
      </c>
      <c r="M93" s="79" t="s">
        <v>594</v>
      </c>
      <c r="N93" s="80" t="s">
        <v>595</v>
      </c>
      <c r="O93" s="85" t="n">
        <v>46132</v>
      </c>
      <c r="P93" s="84"/>
      <c r="Q93" s="84"/>
      <c r="R93" s="87" t="s">
        <v>31</v>
      </c>
      <c r="S93" s="87" t="s">
        <v>31</v>
      </c>
    </row>
    <row r="94" s="77" customFormat="true" ht="15" hidden="false" customHeight="false" outlineLevel="1" collapsed="false">
      <c r="B94" s="78"/>
      <c r="C94" s="79" t="n">
        <v>153</v>
      </c>
      <c r="D94" s="80" t="s">
        <v>486</v>
      </c>
      <c r="E94" s="82" t="s">
        <v>780</v>
      </c>
      <c r="F94" s="82" t="s">
        <v>487</v>
      </c>
      <c r="G94" s="88" t="n">
        <v>1</v>
      </c>
      <c r="H94" s="84" t="s">
        <v>152</v>
      </c>
      <c r="I94" s="80" t="s">
        <v>488</v>
      </c>
      <c r="J94" s="80" t="s">
        <v>489</v>
      </c>
      <c r="K94" s="80" t="s">
        <v>490</v>
      </c>
      <c r="L94" s="80" t="s">
        <v>491</v>
      </c>
      <c r="M94" s="79" t="s">
        <v>492</v>
      </c>
      <c r="N94" s="80" t="s">
        <v>493</v>
      </c>
      <c r="O94" s="85" t="n">
        <v>46132</v>
      </c>
      <c r="P94" s="84"/>
      <c r="Q94" s="84"/>
      <c r="R94" s="87" t="s">
        <v>31</v>
      </c>
      <c r="S94" s="87" t="s">
        <v>84</v>
      </c>
    </row>
    <row r="95" s="77" customFormat="true" ht="15" hidden="false" customHeight="false" outlineLevel="1" collapsed="false">
      <c r="B95" s="78"/>
      <c r="C95" s="79" t="n">
        <v>154</v>
      </c>
      <c r="D95" s="80" t="s">
        <v>494</v>
      </c>
      <c r="E95" s="82" t="s">
        <v>780</v>
      </c>
      <c r="F95" s="82" t="s">
        <v>495</v>
      </c>
      <c r="G95" s="88" t="n">
        <v>1</v>
      </c>
      <c r="H95" s="84" t="s">
        <v>61</v>
      </c>
      <c r="I95" s="80" t="s">
        <v>496</v>
      </c>
      <c r="J95" s="80" t="s">
        <v>497</v>
      </c>
      <c r="K95" s="80" t="s">
        <v>498</v>
      </c>
      <c r="L95" s="80" t="s">
        <v>499</v>
      </c>
      <c r="M95" s="79" t="s">
        <v>500</v>
      </c>
      <c r="N95" s="80" t="s">
        <v>501</v>
      </c>
      <c r="O95" s="85" t="n">
        <v>46132</v>
      </c>
      <c r="P95" s="84"/>
      <c r="Q95" s="84"/>
      <c r="R95" s="87" t="s">
        <v>31</v>
      </c>
      <c r="S95" s="87" t="s">
        <v>84</v>
      </c>
    </row>
    <row r="96" s="77" customFormat="true" ht="15" hidden="false" customHeight="false" outlineLevel="1" collapsed="false">
      <c r="B96" s="78"/>
      <c r="C96" s="79" t="n">
        <v>155</v>
      </c>
      <c r="D96" s="80" t="s">
        <v>502</v>
      </c>
      <c r="E96" s="82" t="s">
        <v>780</v>
      </c>
      <c r="F96" s="82" t="s">
        <v>503</v>
      </c>
      <c r="G96" s="88" t="n">
        <v>1</v>
      </c>
      <c r="H96" s="84" t="s">
        <v>61</v>
      </c>
      <c r="I96" s="80" t="s">
        <v>504</v>
      </c>
      <c r="J96" s="80" t="s">
        <v>505</v>
      </c>
      <c r="K96" s="80" t="s">
        <v>506</v>
      </c>
      <c r="L96" s="80" t="s">
        <v>283</v>
      </c>
      <c r="M96" s="79" t="s">
        <v>284</v>
      </c>
      <c r="N96" s="80" t="s">
        <v>507</v>
      </c>
      <c r="O96" s="85" t="n">
        <v>46132</v>
      </c>
      <c r="P96" s="84"/>
      <c r="Q96" s="84"/>
      <c r="R96" s="87" t="s">
        <v>31</v>
      </c>
      <c r="S96" s="87" t="s">
        <v>84</v>
      </c>
    </row>
    <row r="97" s="77" customFormat="true" ht="15" hidden="false" customHeight="false" outlineLevel="1" collapsed="false">
      <c r="B97" s="78"/>
      <c r="C97" s="79" t="n">
        <v>156</v>
      </c>
      <c r="D97" s="80" t="s">
        <v>508</v>
      </c>
      <c r="E97" s="82" t="s">
        <v>780</v>
      </c>
      <c r="F97" s="82" t="s">
        <v>509</v>
      </c>
      <c r="G97" s="88" t="n">
        <v>1</v>
      </c>
      <c r="H97" s="84" t="s">
        <v>61</v>
      </c>
      <c r="I97" s="80" t="s">
        <v>510</v>
      </c>
      <c r="J97" s="80" t="s">
        <v>511</v>
      </c>
      <c r="K97" s="80" t="s">
        <v>512</v>
      </c>
      <c r="L97" s="80" t="s">
        <v>513</v>
      </c>
      <c r="M97" s="79" t="s">
        <v>514</v>
      </c>
      <c r="N97" s="80" t="s">
        <v>515</v>
      </c>
      <c r="O97" s="85" t="n">
        <v>46132</v>
      </c>
      <c r="P97" s="84"/>
      <c r="Q97" s="84"/>
      <c r="R97" s="87" t="s">
        <v>31</v>
      </c>
      <c r="S97" s="87" t="s">
        <v>31</v>
      </c>
    </row>
    <row r="98" s="77" customFormat="true" ht="15" hidden="false" customHeight="false" outlineLevel="1" collapsed="false">
      <c r="B98" s="78"/>
      <c r="C98" s="79" t="n">
        <v>157</v>
      </c>
      <c r="D98" s="80" t="s">
        <v>644</v>
      </c>
      <c r="E98" s="82" t="s">
        <v>780</v>
      </c>
      <c r="F98" s="82" t="s">
        <v>645</v>
      </c>
      <c r="G98" s="88" t="n">
        <v>1</v>
      </c>
      <c r="H98" s="84" t="s">
        <v>61</v>
      </c>
      <c r="I98" s="80" t="s">
        <v>646</v>
      </c>
      <c r="J98" s="80" t="s">
        <v>647</v>
      </c>
      <c r="K98" s="80" t="s">
        <v>648</v>
      </c>
      <c r="L98" s="80" t="s">
        <v>649</v>
      </c>
      <c r="M98" s="79" t="s">
        <v>650</v>
      </c>
      <c r="N98" s="80"/>
      <c r="O98" s="85" t="n">
        <v>46132</v>
      </c>
      <c r="P98" s="84"/>
      <c r="Q98" s="84"/>
      <c r="R98" s="87" t="s">
        <v>31</v>
      </c>
      <c r="S98" s="87" t="s">
        <v>793</v>
      </c>
    </row>
    <row r="99" s="68" customFormat="true" ht="15" hidden="false" customHeight="false" outlineLevel="0" collapsed="false">
      <c r="B99" s="69"/>
      <c r="C99" s="98"/>
      <c r="D99" s="71"/>
      <c r="E99" s="72" t="s">
        <v>996</v>
      </c>
      <c r="F99" s="73"/>
      <c r="G99" s="74" t="n">
        <f aca="false">SUM(G100:G127)</f>
        <v>77</v>
      </c>
      <c r="H99" s="71"/>
      <c r="I99" s="71"/>
      <c r="J99" s="89"/>
      <c r="K99" s="75"/>
      <c r="L99" s="76"/>
      <c r="M99" s="98"/>
      <c r="N99" s="90"/>
      <c r="O99" s="69"/>
      <c r="P99" s="69"/>
      <c r="Q99" s="69"/>
      <c r="R99" s="74" t="s">
        <v>31</v>
      </c>
      <c r="S99" s="69"/>
    </row>
    <row r="100" s="77" customFormat="true" ht="15" hidden="false" customHeight="false" outlineLevel="1" collapsed="false">
      <c r="B100" s="78"/>
      <c r="C100" s="79" t="n">
        <v>158</v>
      </c>
      <c r="D100" s="80" t="s">
        <v>34</v>
      </c>
      <c r="E100" s="82" t="s">
        <v>996</v>
      </c>
      <c r="F100" s="82" t="s">
        <v>35</v>
      </c>
      <c r="G100" s="88" t="n">
        <v>2</v>
      </c>
      <c r="H100" s="84" t="s">
        <v>36</v>
      </c>
      <c r="I100" s="80" t="s">
        <v>37</v>
      </c>
      <c r="J100" s="80" t="s">
        <v>38</v>
      </c>
      <c r="K100" s="80" t="s">
        <v>39</v>
      </c>
      <c r="L100" s="80" t="s">
        <v>40</v>
      </c>
      <c r="M100" s="79" t="s">
        <v>858</v>
      </c>
      <c r="N100" s="80" t="s">
        <v>42</v>
      </c>
      <c r="O100" s="85" t="n">
        <v>46139</v>
      </c>
      <c r="P100" s="84"/>
      <c r="Q100" s="84"/>
      <c r="R100" s="87" t="s">
        <v>31</v>
      </c>
      <c r="S100" s="87" t="s">
        <v>31</v>
      </c>
    </row>
    <row r="101" s="77" customFormat="true" ht="15" hidden="false" customHeight="false" outlineLevel="1" collapsed="false">
      <c r="B101" s="78"/>
      <c r="C101" s="79" t="n">
        <v>159</v>
      </c>
      <c r="D101" s="80" t="s">
        <v>562</v>
      </c>
      <c r="E101" s="82" t="s">
        <v>996</v>
      </c>
      <c r="F101" s="82" t="s">
        <v>563</v>
      </c>
      <c r="G101" s="88" t="n">
        <v>1</v>
      </c>
      <c r="H101" s="84" t="s">
        <v>61</v>
      </c>
      <c r="I101" s="80" t="s">
        <v>564</v>
      </c>
      <c r="J101" s="80" t="s">
        <v>565</v>
      </c>
      <c r="K101" s="80" t="s">
        <v>566</v>
      </c>
      <c r="L101" s="80" t="s">
        <v>567</v>
      </c>
      <c r="M101" s="79" t="s">
        <v>568</v>
      </c>
      <c r="N101" s="80" t="s">
        <v>569</v>
      </c>
      <c r="O101" s="85" t="n">
        <v>46139</v>
      </c>
      <c r="P101" s="84"/>
      <c r="Q101" s="84"/>
      <c r="R101" s="87" t="s">
        <v>31</v>
      </c>
      <c r="S101" s="87" t="s">
        <v>31</v>
      </c>
    </row>
    <row r="102" s="77" customFormat="true" ht="36" hidden="false" customHeight="true" outlineLevel="1" collapsed="false">
      <c r="B102" s="78"/>
      <c r="C102" s="79" t="s">
        <v>997</v>
      </c>
      <c r="D102" s="80" t="s">
        <v>68</v>
      </c>
      <c r="E102" s="82" t="s">
        <v>996</v>
      </c>
      <c r="F102" s="82" t="s">
        <v>69</v>
      </c>
      <c r="G102" s="88" t="n">
        <v>10</v>
      </c>
      <c r="H102" s="84" t="s">
        <v>61</v>
      </c>
      <c r="I102" s="80" t="s">
        <v>998</v>
      </c>
      <c r="J102" s="80" t="s">
        <v>999</v>
      </c>
      <c r="K102" s="80" t="s">
        <v>1000</v>
      </c>
      <c r="L102" s="80" t="s">
        <v>73</v>
      </c>
      <c r="M102" s="79" t="s">
        <v>1001</v>
      </c>
      <c r="N102" s="80" t="s">
        <v>74</v>
      </c>
      <c r="O102" s="85" t="n">
        <v>46139</v>
      </c>
      <c r="P102" s="84"/>
      <c r="Q102" s="84"/>
      <c r="R102" s="87" t="s">
        <v>31</v>
      </c>
      <c r="S102" s="87" t="s">
        <v>31</v>
      </c>
    </row>
    <row r="103" s="77" customFormat="true" ht="45" hidden="false" customHeight="true" outlineLevel="1" collapsed="false">
      <c r="B103" s="78"/>
      <c r="C103" s="79" t="s">
        <v>1002</v>
      </c>
      <c r="D103" s="80" t="s">
        <v>75</v>
      </c>
      <c r="E103" s="82" t="s">
        <v>996</v>
      </c>
      <c r="F103" s="82" t="s">
        <v>76</v>
      </c>
      <c r="G103" s="88" t="n">
        <v>4</v>
      </c>
      <c r="H103" s="84" t="s">
        <v>77</v>
      </c>
      <c r="I103" s="80" t="s">
        <v>1003</v>
      </c>
      <c r="J103" s="80" t="s">
        <v>1004</v>
      </c>
      <c r="K103" s="80" t="s">
        <v>1005</v>
      </c>
      <c r="L103" s="80" t="s">
        <v>81</v>
      </c>
      <c r="M103" s="79" t="s">
        <v>1006</v>
      </c>
      <c r="N103" s="80" t="s">
        <v>83</v>
      </c>
      <c r="O103" s="85" t="n">
        <v>46139</v>
      </c>
      <c r="P103" s="84"/>
      <c r="Q103" s="84"/>
      <c r="R103" s="87" t="s">
        <v>31</v>
      </c>
      <c r="S103" s="87" t="s">
        <v>84</v>
      </c>
    </row>
    <row r="104" s="77" customFormat="true" ht="15" hidden="false" customHeight="false" outlineLevel="1" collapsed="false">
      <c r="B104" s="78"/>
      <c r="C104" s="79" t="n">
        <v>162</v>
      </c>
      <c r="D104" s="80" t="s">
        <v>580</v>
      </c>
      <c r="E104" s="82" t="s">
        <v>996</v>
      </c>
      <c r="F104" s="82" t="s">
        <v>581</v>
      </c>
      <c r="G104" s="88" t="n">
        <v>1</v>
      </c>
      <c r="H104" s="84" t="s">
        <v>61</v>
      </c>
      <c r="I104" s="80" t="s">
        <v>582</v>
      </c>
      <c r="J104" s="80" t="s">
        <v>583</v>
      </c>
      <c r="K104" s="80" t="s">
        <v>584</v>
      </c>
      <c r="L104" s="80" t="s">
        <v>585</v>
      </c>
      <c r="M104" s="79" t="s">
        <v>1007</v>
      </c>
      <c r="N104" s="80" t="s">
        <v>587</v>
      </c>
      <c r="O104" s="85" t="n">
        <v>46139</v>
      </c>
      <c r="P104" s="84"/>
      <c r="Q104" s="84"/>
      <c r="R104" s="87" t="s">
        <v>31</v>
      </c>
      <c r="S104" s="87" t="s">
        <v>84</v>
      </c>
    </row>
    <row r="105" s="77" customFormat="true" ht="15" hidden="false" customHeight="false" outlineLevel="1" collapsed="false">
      <c r="B105" s="78"/>
      <c r="C105" s="79" t="n">
        <v>163</v>
      </c>
      <c r="D105" s="80" t="s">
        <v>626</v>
      </c>
      <c r="E105" s="82" t="s">
        <v>996</v>
      </c>
      <c r="F105" s="82" t="s">
        <v>627</v>
      </c>
      <c r="G105" s="88" t="n">
        <v>2</v>
      </c>
      <c r="H105" s="84" t="s">
        <v>152</v>
      </c>
      <c r="I105" s="80" t="s">
        <v>628</v>
      </c>
      <c r="J105" s="80" t="s">
        <v>629</v>
      </c>
      <c r="K105" s="80" t="s">
        <v>630</v>
      </c>
      <c r="L105" s="80" t="s">
        <v>631</v>
      </c>
      <c r="M105" s="79" t="s">
        <v>632</v>
      </c>
      <c r="N105" s="80" t="s">
        <v>633</v>
      </c>
      <c r="O105" s="85" t="n">
        <v>46139</v>
      </c>
      <c r="P105" s="84"/>
      <c r="Q105" s="84"/>
      <c r="R105" s="87" t="s">
        <v>31</v>
      </c>
      <c r="S105" s="87" t="s">
        <v>84</v>
      </c>
    </row>
    <row r="106" s="77" customFormat="true" ht="15" hidden="false" customHeight="false" outlineLevel="1" collapsed="false">
      <c r="B106" s="78"/>
      <c r="C106" s="79" t="n">
        <v>164</v>
      </c>
      <c r="D106" s="80" t="s">
        <v>102</v>
      </c>
      <c r="E106" s="82" t="s">
        <v>996</v>
      </c>
      <c r="F106" s="82" t="s">
        <v>103</v>
      </c>
      <c r="G106" s="88" t="n">
        <v>2</v>
      </c>
      <c r="H106" s="84" t="s">
        <v>61</v>
      </c>
      <c r="I106" s="80" t="s">
        <v>104</v>
      </c>
      <c r="J106" s="80" t="s">
        <v>105</v>
      </c>
      <c r="K106" s="80" t="s">
        <v>106</v>
      </c>
      <c r="L106" s="80" t="s">
        <v>107</v>
      </c>
      <c r="M106" s="79" t="s">
        <v>107</v>
      </c>
      <c r="N106" s="80" t="s">
        <v>108</v>
      </c>
      <c r="O106" s="85" t="n">
        <v>46139</v>
      </c>
      <c r="P106" s="84"/>
      <c r="Q106" s="84"/>
      <c r="R106" s="87" t="s">
        <v>31</v>
      </c>
      <c r="S106" s="87" t="s">
        <v>84</v>
      </c>
    </row>
    <row r="107" s="77" customFormat="true" ht="15" hidden="false" customHeight="false" outlineLevel="1" collapsed="false">
      <c r="B107" s="78"/>
      <c r="C107" s="79" t="n">
        <v>165</v>
      </c>
      <c r="D107" s="80" t="s">
        <v>109</v>
      </c>
      <c r="E107" s="82" t="s">
        <v>996</v>
      </c>
      <c r="F107" s="82" t="s">
        <v>110</v>
      </c>
      <c r="G107" s="88" t="n">
        <v>6</v>
      </c>
      <c r="H107" s="84" t="s">
        <v>111</v>
      </c>
      <c r="I107" s="80" t="s">
        <v>112</v>
      </c>
      <c r="J107" s="80" t="s">
        <v>113</v>
      </c>
      <c r="K107" s="80" t="s">
        <v>114</v>
      </c>
      <c r="L107" s="80" t="s">
        <v>115</v>
      </c>
      <c r="M107" s="79" t="s">
        <v>115</v>
      </c>
      <c r="N107" s="80" t="s">
        <v>116</v>
      </c>
      <c r="O107" s="85" t="n">
        <v>46139</v>
      </c>
      <c r="P107" s="84"/>
      <c r="Q107" s="84"/>
      <c r="R107" s="87" t="s">
        <v>31</v>
      </c>
      <c r="S107" s="87" t="s">
        <v>84</v>
      </c>
    </row>
    <row r="108" s="77" customFormat="true" ht="15" hidden="false" customHeight="false" outlineLevel="1" collapsed="false">
      <c r="B108" s="78"/>
      <c r="C108" s="79" t="n">
        <v>166</v>
      </c>
      <c r="D108" s="80" t="s">
        <v>182</v>
      </c>
      <c r="E108" s="82" t="s">
        <v>996</v>
      </c>
      <c r="F108" s="82" t="s">
        <v>183</v>
      </c>
      <c r="G108" s="88" t="n">
        <v>1</v>
      </c>
      <c r="H108" s="84" t="s">
        <v>111</v>
      </c>
      <c r="I108" s="80" t="s">
        <v>184</v>
      </c>
      <c r="J108" s="80" t="s">
        <v>185</v>
      </c>
      <c r="K108" s="80" t="s">
        <v>186</v>
      </c>
      <c r="L108" s="80" t="s">
        <v>187</v>
      </c>
      <c r="M108" s="79" t="s">
        <v>188</v>
      </c>
      <c r="N108" s="80" t="s">
        <v>189</v>
      </c>
      <c r="O108" s="85" t="n">
        <v>46139</v>
      </c>
      <c r="P108" s="84"/>
      <c r="Q108" s="84"/>
      <c r="R108" s="87" t="s">
        <v>31</v>
      </c>
      <c r="S108" s="87" t="s">
        <v>84</v>
      </c>
    </row>
    <row r="109" s="77" customFormat="true" ht="36" hidden="false" customHeight="true" outlineLevel="1" collapsed="false">
      <c r="B109" s="78"/>
      <c r="C109" s="79" t="s">
        <v>1008</v>
      </c>
      <c r="D109" s="80" t="s">
        <v>190</v>
      </c>
      <c r="E109" s="82" t="s">
        <v>996</v>
      </c>
      <c r="F109" s="82" t="s">
        <v>191</v>
      </c>
      <c r="G109" s="88" t="n">
        <v>2</v>
      </c>
      <c r="H109" s="84" t="s">
        <v>24</v>
      </c>
      <c r="I109" s="96" t="s">
        <v>1009</v>
      </c>
      <c r="J109" s="96" t="s">
        <v>1010</v>
      </c>
      <c r="K109" s="96" t="s">
        <v>1011</v>
      </c>
      <c r="L109" s="80" t="s">
        <v>195</v>
      </c>
      <c r="M109" s="79" t="s">
        <v>1012</v>
      </c>
      <c r="N109" s="80" t="s">
        <v>197</v>
      </c>
      <c r="O109" s="85" t="n">
        <v>46139</v>
      </c>
      <c r="P109" s="84"/>
      <c r="Q109" s="84"/>
      <c r="R109" s="87" t="s">
        <v>31</v>
      </c>
      <c r="S109" s="87" t="s">
        <v>31</v>
      </c>
    </row>
    <row r="110" s="77" customFormat="true" ht="15" hidden="false" customHeight="false" outlineLevel="1" collapsed="false">
      <c r="B110" s="78"/>
      <c r="C110" s="79" t="n">
        <v>168</v>
      </c>
      <c r="D110" s="80" t="s">
        <v>198</v>
      </c>
      <c r="E110" s="82" t="s">
        <v>996</v>
      </c>
      <c r="F110" s="82" t="s">
        <v>199</v>
      </c>
      <c r="G110" s="88" t="n">
        <v>7</v>
      </c>
      <c r="H110" s="84" t="s">
        <v>200</v>
      </c>
      <c r="I110" s="80" t="s">
        <v>201</v>
      </c>
      <c r="J110" s="80" t="s">
        <v>202</v>
      </c>
      <c r="K110" s="80" t="s">
        <v>203</v>
      </c>
      <c r="L110" s="80" t="s">
        <v>204</v>
      </c>
      <c r="M110" s="79" t="s">
        <v>1013</v>
      </c>
      <c r="N110" s="80" t="s">
        <v>206</v>
      </c>
      <c r="O110" s="85" t="n">
        <v>46139</v>
      </c>
      <c r="P110" s="84"/>
      <c r="Q110" s="84"/>
      <c r="R110" s="87" t="s">
        <v>31</v>
      </c>
      <c r="S110" s="87" t="s">
        <v>84</v>
      </c>
    </row>
    <row r="111" s="77" customFormat="true" ht="15" hidden="false" customHeight="false" outlineLevel="1" collapsed="false">
      <c r="B111" s="78"/>
      <c r="C111" s="79" t="n">
        <v>169</v>
      </c>
      <c r="D111" s="80" t="s">
        <v>207</v>
      </c>
      <c r="E111" s="82" t="s">
        <v>996</v>
      </c>
      <c r="F111" s="82" t="s">
        <v>208</v>
      </c>
      <c r="G111" s="88" t="n">
        <v>3</v>
      </c>
      <c r="H111" s="84" t="s">
        <v>61</v>
      </c>
      <c r="I111" s="80" t="s">
        <v>209</v>
      </c>
      <c r="J111" s="80" t="s">
        <v>210</v>
      </c>
      <c r="K111" s="80" t="s">
        <v>211</v>
      </c>
      <c r="L111" s="80" t="s">
        <v>212</v>
      </c>
      <c r="M111" s="79" t="s">
        <v>213</v>
      </c>
      <c r="N111" s="80" t="s">
        <v>214</v>
      </c>
      <c r="O111" s="85" t="n">
        <v>46139</v>
      </c>
      <c r="P111" s="84"/>
      <c r="Q111" s="84"/>
      <c r="R111" s="87" t="s">
        <v>31</v>
      </c>
      <c r="S111" s="87" t="s">
        <v>31</v>
      </c>
    </row>
    <row r="112" s="77" customFormat="true" ht="15" hidden="false" customHeight="false" outlineLevel="1" collapsed="false">
      <c r="B112" s="78"/>
      <c r="C112" s="79" t="n">
        <v>170</v>
      </c>
      <c r="D112" s="80" t="s">
        <v>715</v>
      </c>
      <c r="E112" s="82" t="s">
        <v>996</v>
      </c>
      <c r="F112" s="82" t="s">
        <v>716</v>
      </c>
      <c r="G112" s="88" t="n">
        <v>1</v>
      </c>
      <c r="H112" s="84" t="s">
        <v>717</v>
      </c>
      <c r="I112" s="80" t="s">
        <v>718</v>
      </c>
      <c r="J112" s="80" t="s">
        <v>719</v>
      </c>
      <c r="K112" s="80" t="s">
        <v>720</v>
      </c>
      <c r="L112" s="80" t="s">
        <v>721</v>
      </c>
      <c r="M112" s="79" t="s">
        <v>722</v>
      </c>
      <c r="N112" s="80" t="s">
        <v>723</v>
      </c>
      <c r="O112" s="85" t="n">
        <v>46139</v>
      </c>
      <c r="P112" s="84"/>
      <c r="Q112" s="84"/>
      <c r="R112" s="87" t="s">
        <v>31</v>
      </c>
      <c r="S112" s="87" t="s">
        <v>31</v>
      </c>
    </row>
    <row r="113" s="77" customFormat="true" ht="15" hidden="false" customHeight="false" outlineLevel="1" collapsed="false">
      <c r="B113" s="78"/>
      <c r="C113" s="79" t="n">
        <v>171</v>
      </c>
      <c r="D113" s="80" t="s">
        <v>278</v>
      </c>
      <c r="E113" s="82" t="s">
        <v>996</v>
      </c>
      <c r="F113" s="82" t="s">
        <v>279</v>
      </c>
      <c r="G113" s="88" t="n">
        <v>2</v>
      </c>
      <c r="H113" s="84" t="s">
        <v>61</v>
      </c>
      <c r="I113" s="80" t="s">
        <v>280</v>
      </c>
      <c r="J113" s="80" t="s">
        <v>281</v>
      </c>
      <c r="K113" s="80" t="s">
        <v>282</v>
      </c>
      <c r="L113" s="80" t="s">
        <v>283</v>
      </c>
      <c r="M113" s="79" t="s">
        <v>284</v>
      </c>
      <c r="N113" s="80" t="s">
        <v>285</v>
      </c>
      <c r="O113" s="85" t="n">
        <v>46139</v>
      </c>
      <c r="P113" s="84"/>
      <c r="Q113" s="84"/>
      <c r="R113" s="87" t="s">
        <v>31</v>
      </c>
      <c r="S113" s="87" t="s">
        <v>31</v>
      </c>
    </row>
    <row r="114" s="77" customFormat="true" ht="15" hidden="false" customHeight="false" outlineLevel="1" collapsed="false">
      <c r="B114" s="78"/>
      <c r="C114" s="79" t="n">
        <v>172</v>
      </c>
      <c r="D114" s="80" t="s">
        <v>334</v>
      </c>
      <c r="E114" s="82" t="s">
        <v>996</v>
      </c>
      <c r="F114" s="82" t="s">
        <v>335</v>
      </c>
      <c r="G114" s="88" t="n">
        <v>2</v>
      </c>
      <c r="H114" s="84" t="s">
        <v>61</v>
      </c>
      <c r="I114" s="80" t="s">
        <v>336</v>
      </c>
      <c r="J114" s="80" t="s">
        <v>337</v>
      </c>
      <c r="K114" s="80" t="s">
        <v>338</v>
      </c>
      <c r="L114" s="80" t="s">
        <v>339</v>
      </c>
      <c r="M114" s="79" t="s">
        <v>543</v>
      </c>
      <c r="N114" s="80" t="s">
        <v>341</v>
      </c>
      <c r="O114" s="85" t="n">
        <v>46139</v>
      </c>
      <c r="P114" s="101"/>
      <c r="Q114" s="84"/>
      <c r="R114" s="87" t="s">
        <v>31</v>
      </c>
      <c r="S114" s="87" t="s">
        <v>84</v>
      </c>
    </row>
    <row r="115" s="77" customFormat="true" ht="15" hidden="false" customHeight="false" outlineLevel="1" collapsed="false">
      <c r="B115" s="78"/>
      <c r="C115" s="79" t="n">
        <v>173</v>
      </c>
      <c r="D115" s="80" t="s">
        <v>802</v>
      </c>
      <c r="E115" s="82" t="s">
        <v>996</v>
      </c>
      <c r="F115" s="82" t="s">
        <v>803</v>
      </c>
      <c r="G115" s="88" t="n">
        <v>10</v>
      </c>
      <c r="H115" s="84" t="s">
        <v>804</v>
      </c>
      <c r="I115" s="80" t="s">
        <v>805</v>
      </c>
      <c r="J115" s="80" t="s">
        <v>806</v>
      </c>
      <c r="K115" s="78" t="s">
        <v>807</v>
      </c>
      <c r="L115" s="80" t="s">
        <v>808</v>
      </c>
      <c r="M115" s="79" t="s">
        <v>809</v>
      </c>
      <c r="N115" s="80" t="s">
        <v>810</v>
      </c>
      <c r="O115" s="85" t="n">
        <v>46139</v>
      </c>
      <c r="P115" s="101"/>
      <c r="Q115" s="84"/>
      <c r="R115" s="87" t="s">
        <v>31</v>
      </c>
      <c r="S115" s="87" t="s">
        <v>84</v>
      </c>
    </row>
    <row r="116" s="77" customFormat="true" ht="15" hidden="false" customHeight="false" outlineLevel="1" collapsed="false">
      <c r="B116" s="78"/>
      <c r="C116" s="79" t="n">
        <v>174</v>
      </c>
      <c r="D116" s="80" t="s">
        <v>366</v>
      </c>
      <c r="E116" s="82" t="s">
        <v>996</v>
      </c>
      <c r="F116" s="82" t="s">
        <v>367</v>
      </c>
      <c r="G116" s="88" t="n">
        <v>1</v>
      </c>
      <c r="H116" s="84" t="s">
        <v>368</v>
      </c>
      <c r="I116" s="80" t="s">
        <v>369</v>
      </c>
      <c r="J116" s="80" t="s">
        <v>370</v>
      </c>
      <c r="K116" s="80" t="s">
        <v>371</v>
      </c>
      <c r="L116" s="80" t="s">
        <v>372</v>
      </c>
      <c r="M116" s="79" t="s">
        <v>682</v>
      </c>
      <c r="N116" s="80" t="s">
        <v>374</v>
      </c>
      <c r="O116" s="85" t="n">
        <v>46139</v>
      </c>
      <c r="P116" s="101"/>
      <c r="Q116" s="84"/>
      <c r="R116" s="87" t="s">
        <v>31</v>
      </c>
      <c r="S116" s="87" t="s">
        <v>84</v>
      </c>
    </row>
    <row r="117" s="77" customFormat="true" ht="15" hidden="false" customHeight="false" outlineLevel="1" collapsed="false">
      <c r="B117" s="78"/>
      <c r="C117" s="79" t="n">
        <v>175</v>
      </c>
      <c r="D117" s="80" t="s">
        <v>734</v>
      </c>
      <c r="E117" s="82" t="s">
        <v>996</v>
      </c>
      <c r="F117" s="82" t="s">
        <v>735</v>
      </c>
      <c r="G117" s="88" t="n">
        <v>2</v>
      </c>
      <c r="H117" s="84" t="s">
        <v>736</v>
      </c>
      <c r="I117" s="80" t="s">
        <v>737</v>
      </c>
      <c r="J117" s="80" t="s">
        <v>738</v>
      </c>
      <c r="K117" s="80" t="s">
        <v>739</v>
      </c>
      <c r="L117" s="80" t="s">
        <v>740</v>
      </c>
      <c r="M117" s="79" t="s">
        <v>741</v>
      </c>
      <c r="N117" s="80" t="s">
        <v>742</v>
      </c>
      <c r="O117" s="85" t="n">
        <v>46139</v>
      </c>
      <c r="P117" s="101"/>
      <c r="Q117" s="84"/>
      <c r="R117" s="87" t="s">
        <v>31</v>
      </c>
      <c r="S117" s="87" t="s">
        <v>84</v>
      </c>
    </row>
    <row r="118" s="77" customFormat="true" ht="15" hidden="false" customHeight="false" outlineLevel="1" collapsed="false">
      <c r="B118" s="78"/>
      <c r="C118" s="79" t="n">
        <v>176</v>
      </c>
      <c r="D118" s="80" t="s">
        <v>375</v>
      </c>
      <c r="E118" s="82" t="s">
        <v>996</v>
      </c>
      <c r="F118" s="82" t="s">
        <v>376</v>
      </c>
      <c r="G118" s="88" t="n">
        <v>1</v>
      </c>
      <c r="H118" s="84" t="s">
        <v>111</v>
      </c>
      <c r="I118" s="80" t="s">
        <v>473</v>
      </c>
      <c r="J118" s="80" t="s">
        <v>878</v>
      </c>
      <c r="K118" s="97" t="s">
        <v>475</v>
      </c>
      <c r="L118" s="80" t="s">
        <v>380</v>
      </c>
      <c r="M118" s="79" t="s">
        <v>381</v>
      </c>
      <c r="N118" s="80" t="s">
        <v>382</v>
      </c>
      <c r="O118" s="85" t="n">
        <v>46139</v>
      </c>
      <c r="P118" s="101"/>
      <c r="Q118" s="84"/>
      <c r="R118" s="87" t="s">
        <v>31</v>
      </c>
      <c r="S118" s="87" t="s">
        <v>31</v>
      </c>
    </row>
    <row r="119" s="77" customFormat="true" ht="15" hidden="false" customHeight="false" outlineLevel="1" collapsed="false">
      <c r="B119" s="78"/>
      <c r="C119" s="79" t="n">
        <v>177</v>
      </c>
      <c r="D119" s="80" t="s">
        <v>407</v>
      </c>
      <c r="E119" s="82" t="s">
        <v>996</v>
      </c>
      <c r="F119" s="82" t="s">
        <v>408</v>
      </c>
      <c r="G119" s="88" t="n">
        <v>1</v>
      </c>
      <c r="H119" s="84" t="s">
        <v>61</v>
      </c>
      <c r="I119" s="80" t="s">
        <v>409</v>
      </c>
      <c r="J119" s="80" t="s">
        <v>410</v>
      </c>
      <c r="K119" s="80" t="s">
        <v>411</v>
      </c>
      <c r="L119" s="80" t="s">
        <v>412</v>
      </c>
      <c r="M119" s="79" t="s">
        <v>552</v>
      </c>
      <c r="N119" s="80" t="s">
        <v>414</v>
      </c>
      <c r="O119" s="85" t="n">
        <v>46139</v>
      </c>
      <c r="P119" s="101"/>
      <c r="Q119" s="84"/>
      <c r="R119" s="87" t="s">
        <v>31</v>
      </c>
      <c r="S119" s="87" t="s">
        <v>84</v>
      </c>
    </row>
    <row r="120" s="77" customFormat="true" ht="15" hidden="false" customHeight="false" outlineLevel="1" collapsed="false">
      <c r="B120" s="78"/>
      <c r="C120" s="79" t="n">
        <v>178</v>
      </c>
      <c r="D120" s="80" t="s">
        <v>1014</v>
      </c>
      <c r="E120" s="82" t="s">
        <v>996</v>
      </c>
      <c r="F120" s="82" t="s">
        <v>917</v>
      </c>
      <c r="G120" s="88" t="n">
        <v>2</v>
      </c>
      <c r="H120" s="84" t="s">
        <v>61</v>
      </c>
      <c r="I120" s="80" t="s">
        <v>1015</v>
      </c>
      <c r="J120" s="80" t="s">
        <v>1016</v>
      </c>
      <c r="K120" s="80" t="s">
        <v>1017</v>
      </c>
      <c r="L120" s="80" t="s">
        <v>1018</v>
      </c>
      <c r="M120" s="79" t="s">
        <v>1019</v>
      </c>
      <c r="N120" s="80" t="s">
        <v>1020</v>
      </c>
      <c r="O120" s="85" t="n">
        <v>46139</v>
      </c>
      <c r="P120" s="101"/>
      <c r="Q120" s="84"/>
      <c r="R120" s="87" t="s">
        <v>31</v>
      </c>
      <c r="S120" s="87" t="s">
        <v>31</v>
      </c>
    </row>
    <row r="121" s="77" customFormat="true" ht="30" hidden="false" customHeight="true" outlineLevel="1" collapsed="false">
      <c r="B121" s="78"/>
      <c r="C121" s="79" t="s">
        <v>1021</v>
      </c>
      <c r="D121" s="80" t="s">
        <v>431</v>
      </c>
      <c r="E121" s="80" t="s">
        <v>996</v>
      </c>
      <c r="F121" s="82" t="s">
        <v>432</v>
      </c>
      <c r="G121" s="88" t="n">
        <v>5</v>
      </c>
      <c r="H121" s="84" t="s">
        <v>152</v>
      </c>
      <c r="I121" s="80" t="s">
        <v>1022</v>
      </c>
      <c r="J121" s="80" t="s">
        <v>1023</v>
      </c>
      <c r="K121" s="80" t="s">
        <v>1024</v>
      </c>
      <c r="L121" s="80" t="s">
        <v>436</v>
      </c>
      <c r="M121" s="79" t="s">
        <v>1025</v>
      </c>
      <c r="N121" s="80" t="s">
        <v>438</v>
      </c>
      <c r="O121" s="85" t="n">
        <v>46139</v>
      </c>
      <c r="P121" s="101"/>
      <c r="Q121" s="84"/>
      <c r="R121" s="87" t="s">
        <v>31</v>
      </c>
      <c r="S121" s="87" t="s">
        <v>31</v>
      </c>
    </row>
    <row r="122" s="77" customFormat="true" ht="15" hidden="false" customHeight="false" outlineLevel="1" collapsed="false">
      <c r="B122" s="78"/>
      <c r="C122" s="79" t="n">
        <v>180</v>
      </c>
      <c r="D122" s="80" t="s">
        <v>439</v>
      </c>
      <c r="E122" s="82" t="s">
        <v>996</v>
      </c>
      <c r="F122" s="82" t="s">
        <v>440</v>
      </c>
      <c r="G122" s="88" t="n">
        <v>1</v>
      </c>
      <c r="H122" s="84" t="s">
        <v>152</v>
      </c>
      <c r="I122" s="80" t="s">
        <v>1026</v>
      </c>
      <c r="J122" s="80" t="s">
        <v>1027</v>
      </c>
      <c r="K122" s="78" t="s">
        <v>1028</v>
      </c>
      <c r="L122" s="80" t="s">
        <v>444</v>
      </c>
      <c r="M122" s="79" t="s">
        <v>1029</v>
      </c>
      <c r="N122" s="80" t="s">
        <v>446</v>
      </c>
      <c r="O122" s="85" t="n">
        <v>46139</v>
      </c>
      <c r="P122" s="101"/>
      <c r="Q122" s="84"/>
      <c r="R122" s="87" t="s">
        <v>31</v>
      </c>
      <c r="S122" s="87" t="s">
        <v>31</v>
      </c>
    </row>
    <row r="123" s="77" customFormat="true" ht="15" hidden="false" customHeight="false" outlineLevel="1" collapsed="false">
      <c r="B123" s="78"/>
      <c r="C123" s="79" t="n">
        <v>181</v>
      </c>
      <c r="D123" s="80" t="s">
        <v>447</v>
      </c>
      <c r="E123" s="82" t="s">
        <v>996</v>
      </c>
      <c r="F123" s="82" t="s">
        <v>448</v>
      </c>
      <c r="G123" s="88" t="n">
        <v>2</v>
      </c>
      <c r="H123" s="84" t="s">
        <v>24</v>
      </c>
      <c r="I123" s="80" t="s">
        <v>449</v>
      </c>
      <c r="J123" s="80" t="s">
        <v>450</v>
      </c>
      <c r="K123" s="80" t="s">
        <v>451</v>
      </c>
      <c r="L123" s="80" t="s">
        <v>452</v>
      </c>
      <c r="M123" s="79" t="s">
        <v>453</v>
      </c>
      <c r="N123" s="80" t="s">
        <v>454</v>
      </c>
      <c r="O123" s="85" t="n">
        <v>46139</v>
      </c>
      <c r="P123" s="101"/>
      <c r="Q123" s="84"/>
      <c r="R123" s="87" t="s">
        <v>31</v>
      </c>
      <c r="S123" s="87" t="s">
        <v>31</v>
      </c>
    </row>
    <row r="124" s="77" customFormat="true" ht="15" hidden="false" customHeight="false" outlineLevel="1" collapsed="false">
      <c r="B124" s="78"/>
      <c r="C124" s="79" t="n">
        <v>182</v>
      </c>
      <c r="D124" s="80" t="s">
        <v>760</v>
      </c>
      <c r="E124" s="82" t="s">
        <v>996</v>
      </c>
      <c r="F124" s="82" t="s">
        <v>761</v>
      </c>
      <c r="G124" s="88" t="n">
        <v>1</v>
      </c>
      <c r="H124" s="84" t="s">
        <v>61</v>
      </c>
      <c r="I124" s="80" t="s">
        <v>762</v>
      </c>
      <c r="J124" s="80" t="s">
        <v>763</v>
      </c>
      <c r="K124" s="80" t="s">
        <v>764</v>
      </c>
      <c r="L124" s="80" t="s">
        <v>765</v>
      </c>
      <c r="M124" s="79" t="s">
        <v>765</v>
      </c>
      <c r="N124" s="80" t="s">
        <v>766</v>
      </c>
      <c r="O124" s="85" t="n">
        <v>46139</v>
      </c>
      <c r="P124" s="101"/>
      <c r="Q124" s="84"/>
      <c r="R124" s="87" t="s">
        <v>31</v>
      </c>
      <c r="S124" s="87" t="s">
        <v>84</v>
      </c>
    </row>
    <row r="125" s="77" customFormat="true" ht="15" hidden="false" customHeight="false" outlineLevel="1" collapsed="false">
      <c r="B125" s="78"/>
      <c r="C125" s="79" t="n">
        <v>183</v>
      </c>
      <c r="D125" s="80" t="s">
        <v>659</v>
      </c>
      <c r="E125" s="82" t="s">
        <v>996</v>
      </c>
      <c r="F125" s="82" t="s">
        <v>660</v>
      </c>
      <c r="G125" s="88" t="n">
        <v>1</v>
      </c>
      <c r="H125" s="84" t="s">
        <v>152</v>
      </c>
      <c r="I125" s="80" t="s">
        <v>661</v>
      </c>
      <c r="J125" s="80" t="s">
        <v>662</v>
      </c>
      <c r="K125" s="80" t="s">
        <v>663</v>
      </c>
      <c r="L125" s="80" t="s">
        <v>664</v>
      </c>
      <c r="M125" s="79" t="s">
        <v>665</v>
      </c>
      <c r="N125" s="80" t="s">
        <v>666</v>
      </c>
      <c r="O125" s="85" t="n">
        <v>46139</v>
      </c>
      <c r="P125" s="101"/>
      <c r="Q125" s="84"/>
      <c r="R125" s="87" t="s">
        <v>31</v>
      </c>
      <c r="S125" s="87" t="s">
        <v>31</v>
      </c>
    </row>
    <row r="126" s="77" customFormat="true" ht="15" hidden="false" customHeight="false" outlineLevel="1" collapsed="false">
      <c r="B126" s="78"/>
      <c r="C126" s="79" t="n">
        <v>184</v>
      </c>
      <c r="D126" s="80" t="s">
        <v>516</v>
      </c>
      <c r="E126" s="82" t="s">
        <v>996</v>
      </c>
      <c r="F126" s="92" t="s">
        <v>517</v>
      </c>
      <c r="G126" s="88" t="n">
        <v>3</v>
      </c>
      <c r="H126" s="84" t="s">
        <v>61</v>
      </c>
      <c r="I126" s="80" t="s">
        <v>518</v>
      </c>
      <c r="J126" s="80" t="s">
        <v>519</v>
      </c>
      <c r="K126" s="80" t="s">
        <v>520</v>
      </c>
      <c r="L126" s="94" t="s">
        <v>521</v>
      </c>
      <c r="M126" s="79" t="s">
        <v>522</v>
      </c>
      <c r="N126" s="80" t="s">
        <v>523</v>
      </c>
      <c r="O126" s="85" t="n">
        <v>46139</v>
      </c>
      <c r="P126" s="101"/>
      <c r="Q126" s="84"/>
      <c r="R126" s="87" t="s">
        <v>31</v>
      </c>
      <c r="S126" s="87" t="s">
        <v>31</v>
      </c>
    </row>
    <row r="127" s="77" customFormat="true" ht="15" hidden="false" customHeight="false" outlineLevel="1" collapsed="false">
      <c r="B127" s="78"/>
      <c r="C127" s="79" t="n">
        <v>185</v>
      </c>
      <c r="D127" s="80" t="s">
        <v>644</v>
      </c>
      <c r="E127" s="82" t="s">
        <v>996</v>
      </c>
      <c r="F127" s="82" t="s">
        <v>645</v>
      </c>
      <c r="G127" s="88" t="n">
        <v>1</v>
      </c>
      <c r="H127" s="84" t="s">
        <v>61</v>
      </c>
      <c r="I127" s="80" t="s">
        <v>646</v>
      </c>
      <c r="J127" s="80" t="s">
        <v>647</v>
      </c>
      <c r="K127" s="80" t="s">
        <v>648</v>
      </c>
      <c r="L127" s="80" t="s">
        <v>649</v>
      </c>
      <c r="M127" s="79" t="s">
        <v>650</v>
      </c>
      <c r="N127" s="80"/>
      <c r="O127" s="85" t="n">
        <v>46139</v>
      </c>
      <c r="P127" s="101"/>
      <c r="Q127" s="84"/>
      <c r="R127" s="87" t="s">
        <v>31</v>
      </c>
      <c r="S127" s="87" t="s">
        <v>793</v>
      </c>
    </row>
    <row r="128" s="68" customFormat="true" ht="15" hidden="false" customHeight="false" outlineLevel="0" collapsed="false">
      <c r="B128" s="69"/>
      <c r="C128" s="102"/>
      <c r="D128" s="71"/>
      <c r="E128" s="72" t="s">
        <v>1030</v>
      </c>
      <c r="F128" s="73"/>
      <c r="G128" s="74" t="n">
        <f aca="false">SUM(G129:G146)</f>
        <v>49</v>
      </c>
      <c r="H128" s="71"/>
      <c r="I128" s="89"/>
      <c r="J128" s="75"/>
      <c r="K128" s="76"/>
      <c r="L128" s="76"/>
      <c r="M128" s="102"/>
      <c r="N128" s="74"/>
      <c r="O128" s="69"/>
      <c r="P128" s="69"/>
      <c r="Q128" s="69"/>
      <c r="R128" s="74" t="s">
        <v>31</v>
      </c>
      <c r="S128" s="69"/>
    </row>
    <row r="129" s="77" customFormat="true" ht="30" hidden="false" customHeight="true" outlineLevel="1" collapsed="false">
      <c r="B129" s="78"/>
      <c r="C129" s="79" t="s">
        <v>1031</v>
      </c>
      <c r="D129" s="80" t="s">
        <v>811</v>
      </c>
      <c r="E129" s="82" t="s">
        <v>1030</v>
      </c>
      <c r="F129" s="82" t="s">
        <v>812</v>
      </c>
      <c r="G129" s="88" t="n">
        <v>9</v>
      </c>
      <c r="H129" s="84" t="s">
        <v>813</v>
      </c>
      <c r="I129" s="80" t="s">
        <v>814</v>
      </c>
      <c r="J129" s="80" t="s">
        <v>815</v>
      </c>
      <c r="K129" s="80" t="s">
        <v>816</v>
      </c>
      <c r="L129" s="80" t="s">
        <v>817</v>
      </c>
      <c r="M129" s="79" t="s">
        <v>1032</v>
      </c>
      <c r="N129" s="80" t="s">
        <v>819</v>
      </c>
      <c r="O129" s="85" t="n">
        <v>46153</v>
      </c>
      <c r="P129" s="101"/>
      <c r="Q129" s="84"/>
      <c r="R129" s="87" t="s">
        <v>31</v>
      </c>
      <c r="S129" s="87" t="s">
        <v>84</v>
      </c>
    </row>
    <row r="130" s="77" customFormat="true" ht="15" hidden="false" customHeight="false" outlineLevel="1" collapsed="false">
      <c r="B130" s="78"/>
      <c r="C130" s="79" t="n">
        <v>187</v>
      </c>
      <c r="D130" s="80" t="s">
        <v>562</v>
      </c>
      <c r="E130" s="82" t="s">
        <v>1030</v>
      </c>
      <c r="F130" s="82" t="s">
        <v>563</v>
      </c>
      <c r="G130" s="88" t="n">
        <v>5</v>
      </c>
      <c r="H130" s="84" t="s">
        <v>61</v>
      </c>
      <c r="I130" s="80" t="s">
        <v>564</v>
      </c>
      <c r="J130" s="80" t="s">
        <v>565</v>
      </c>
      <c r="K130" s="80" t="s">
        <v>566</v>
      </c>
      <c r="L130" s="80" t="s">
        <v>567</v>
      </c>
      <c r="M130" s="79" t="s">
        <v>568</v>
      </c>
      <c r="N130" s="80" t="s">
        <v>569</v>
      </c>
      <c r="O130" s="85" t="n">
        <v>46139</v>
      </c>
      <c r="P130" s="101"/>
      <c r="Q130" s="84"/>
      <c r="R130" s="87" t="s">
        <v>31</v>
      </c>
      <c r="S130" s="87" t="s">
        <v>31</v>
      </c>
    </row>
    <row r="131" s="77" customFormat="true" ht="15" hidden="false" customHeight="false" outlineLevel="1" collapsed="false">
      <c r="B131" s="78"/>
      <c r="C131" s="79" t="n">
        <v>188</v>
      </c>
      <c r="D131" s="80" t="s">
        <v>580</v>
      </c>
      <c r="E131" s="82" t="s">
        <v>1030</v>
      </c>
      <c r="F131" s="82" t="s">
        <v>581</v>
      </c>
      <c r="G131" s="88" t="n">
        <v>1</v>
      </c>
      <c r="H131" s="84" t="s">
        <v>61</v>
      </c>
      <c r="I131" s="80" t="s">
        <v>582</v>
      </c>
      <c r="J131" s="80" t="s">
        <v>583</v>
      </c>
      <c r="K131" s="80" t="s">
        <v>584</v>
      </c>
      <c r="L131" s="80" t="s">
        <v>585</v>
      </c>
      <c r="M131" s="79" t="s">
        <v>1007</v>
      </c>
      <c r="N131" s="80" t="s">
        <v>587</v>
      </c>
      <c r="O131" s="85" t="n">
        <v>46139</v>
      </c>
      <c r="P131" s="101"/>
      <c r="Q131" s="84"/>
      <c r="R131" s="87" t="s">
        <v>31</v>
      </c>
      <c r="S131" s="87" t="s">
        <v>84</v>
      </c>
    </row>
    <row r="132" s="77" customFormat="true" ht="15" hidden="false" customHeight="false" outlineLevel="1" collapsed="false">
      <c r="B132" s="78"/>
      <c r="C132" s="79" t="n">
        <v>189</v>
      </c>
      <c r="D132" s="80" t="s">
        <v>626</v>
      </c>
      <c r="E132" s="82" t="s">
        <v>1030</v>
      </c>
      <c r="F132" s="82" t="s">
        <v>627</v>
      </c>
      <c r="G132" s="88" t="n">
        <v>3</v>
      </c>
      <c r="H132" s="84" t="s">
        <v>152</v>
      </c>
      <c r="I132" s="80" t="s">
        <v>628</v>
      </c>
      <c r="J132" s="80" t="s">
        <v>629</v>
      </c>
      <c r="K132" s="80" t="s">
        <v>630</v>
      </c>
      <c r="L132" s="80" t="s">
        <v>631</v>
      </c>
      <c r="M132" s="79" t="s">
        <v>632</v>
      </c>
      <c r="N132" s="80" t="s">
        <v>633</v>
      </c>
      <c r="O132" s="85" t="n">
        <v>46139</v>
      </c>
      <c r="P132" s="101"/>
      <c r="Q132" s="84"/>
      <c r="R132" s="87" t="s">
        <v>31</v>
      </c>
      <c r="S132" s="87" t="s">
        <v>84</v>
      </c>
    </row>
    <row r="133" s="77" customFormat="true" ht="15" hidden="false" customHeight="false" outlineLevel="1" collapsed="false">
      <c r="B133" s="78"/>
      <c r="C133" s="79" t="n">
        <v>190</v>
      </c>
      <c r="D133" s="80" t="s">
        <v>109</v>
      </c>
      <c r="E133" s="82" t="s">
        <v>1030</v>
      </c>
      <c r="F133" s="82" t="s">
        <v>110</v>
      </c>
      <c r="G133" s="88" t="n">
        <v>3</v>
      </c>
      <c r="H133" s="84" t="s">
        <v>111</v>
      </c>
      <c r="I133" s="80" t="s">
        <v>112</v>
      </c>
      <c r="J133" s="80" t="s">
        <v>113</v>
      </c>
      <c r="K133" s="80" t="s">
        <v>114</v>
      </c>
      <c r="L133" s="80" t="s">
        <v>115</v>
      </c>
      <c r="M133" s="79" t="s">
        <v>115</v>
      </c>
      <c r="N133" s="80" t="s">
        <v>116</v>
      </c>
      <c r="O133" s="85" t="n">
        <v>46139</v>
      </c>
      <c r="P133" s="101"/>
      <c r="Q133" s="84"/>
      <c r="R133" s="87" t="s">
        <v>31</v>
      </c>
      <c r="S133" s="87" t="s">
        <v>84</v>
      </c>
    </row>
    <row r="134" s="77" customFormat="true" ht="15" hidden="false" customHeight="false" outlineLevel="1" collapsed="false">
      <c r="B134" s="78"/>
      <c r="C134" s="79" t="n">
        <v>191</v>
      </c>
      <c r="D134" s="80" t="s">
        <v>667</v>
      </c>
      <c r="E134" s="82" t="s">
        <v>1030</v>
      </c>
      <c r="F134" s="82" t="s">
        <v>668</v>
      </c>
      <c r="G134" s="88" t="n">
        <v>1</v>
      </c>
      <c r="H134" s="84" t="s">
        <v>61</v>
      </c>
      <c r="I134" s="80" t="s">
        <v>1033</v>
      </c>
      <c r="J134" s="80" t="s">
        <v>1034</v>
      </c>
      <c r="K134" s="96" t="s">
        <v>1035</v>
      </c>
      <c r="L134" s="80" t="s">
        <v>672</v>
      </c>
      <c r="M134" s="79" t="s">
        <v>1036</v>
      </c>
      <c r="N134" s="80" t="s">
        <v>673</v>
      </c>
      <c r="O134" s="85" t="n">
        <v>46139</v>
      </c>
      <c r="P134" s="101"/>
      <c r="Q134" s="84"/>
      <c r="R134" s="87" t="s">
        <v>31</v>
      </c>
      <c r="S134" s="87" t="s">
        <v>84</v>
      </c>
    </row>
    <row r="135" s="77" customFormat="true" ht="15" hidden="false" customHeight="false" outlineLevel="1" collapsed="false">
      <c r="B135" s="78"/>
      <c r="C135" s="79" t="n">
        <v>192</v>
      </c>
      <c r="D135" s="80" t="s">
        <v>207</v>
      </c>
      <c r="E135" s="82" t="s">
        <v>1030</v>
      </c>
      <c r="F135" s="82" t="s">
        <v>208</v>
      </c>
      <c r="G135" s="88" t="n">
        <v>2</v>
      </c>
      <c r="H135" s="84" t="s">
        <v>61</v>
      </c>
      <c r="I135" s="80" t="s">
        <v>209</v>
      </c>
      <c r="J135" s="80" t="s">
        <v>210</v>
      </c>
      <c r="K135" s="80" t="s">
        <v>211</v>
      </c>
      <c r="L135" s="80" t="s">
        <v>212</v>
      </c>
      <c r="M135" s="79" t="s">
        <v>213</v>
      </c>
      <c r="N135" s="80" t="s">
        <v>214</v>
      </c>
      <c r="O135" s="85" t="n">
        <v>46139</v>
      </c>
      <c r="P135" s="101"/>
      <c r="Q135" s="84"/>
      <c r="R135" s="87" t="s">
        <v>31</v>
      </c>
      <c r="S135" s="87" t="s">
        <v>31</v>
      </c>
    </row>
    <row r="136" s="77" customFormat="true" ht="15" hidden="false" customHeight="false" outlineLevel="1" collapsed="false">
      <c r="B136" s="78"/>
      <c r="C136" s="79" t="n">
        <v>193</v>
      </c>
      <c r="D136" s="80" t="s">
        <v>278</v>
      </c>
      <c r="E136" s="82" t="s">
        <v>1030</v>
      </c>
      <c r="F136" s="82" t="s">
        <v>279</v>
      </c>
      <c r="G136" s="88" t="n">
        <v>2</v>
      </c>
      <c r="H136" s="84" t="s">
        <v>61</v>
      </c>
      <c r="I136" s="80" t="s">
        <v>280</v>
      </c>
      <c r="J136" s="80" t="s">
        <v>281</v>
      </c>
      <c r="K136" s="80" t="s">
        <v>282</v>
      </c>
      <c r="L136" s="80" t="s">
        <v>283</v>
      </c>
      <c r="M136" s="79" t="s">
        <v>284</v>
      </c>
      <c r="N136" s="80" t="s">
        <v>285</v>
      </c>
      <c r="O136" s="85" t="n">
        <v>46139</v>
      </c>
      <c r="P136" s="101"/>
      <c r="Q136" s="84"/>
      <c r="R136" s="87" t="s">
        <v>31</v>
      </c>
      <c r="S136" s="87" t="s">
        <v>31</v>
      </c>
    </row>
    <row r="137" s="77" customFormat="true" ht="15" hidden="false" customHeight="false" outlineLevel="1" collapsed="false">
      <c r="B137" s="78"/>
      <c r="C137" s="79" t="n">
        <v>194</v>
      </c>
      <c r="D137" s="80" t="s">
        <v>318</v>
      </c>
      <c r="E137" s="82" t="s">
        <v>1030</v>
      </c>
      <c r="F137" s="82" t="s">
        <v>319</v>
      </c>
      <c r="G137" s="88" t="n">
        <v>1</v>
      </c>
      <c r="H137" s="84" t="s">
        <v>111</v>
      </c>
      <c r="I137" s="80" t="s">
        <v>320</v>
      </c>
      <c r="J137" s="80" t="s">
        <v>321</v>
      </c>
      <c r="K137" s="80" t="s">
        <v>322</v>
      </c>
      <c r="L137" s="80" t="s">
        <v>323</v>
      </c>
      <c r="M137" s="79" t="s">
        <v>324</v>
      </c>
      <c r="N137" s="80" t="s">
        <v>325</v>
      </c>
      <c r="O137" s="85" t="n">
        <v>46139</v>
      </c>
      <c r="P137" s="101"/>
      <c r="Q137" s="84"/>
      <c r="R137" s="87" t="s">
        <v>31</v>
      </c>
      <c r="S137" s="87" t="s">
        <v>84</v>
      </c>
    </row>
    <row r="138" s="77" customFormat="true" ht="15" hidden="false" customHeight="false" outlineLevel="1" collapsed="false">
      <c r="B138" s="78"/>
      <c r="C138" s="79" t="n">
        <v>195</v>
      </c>
      <c r="D138" s="80" t="s">
        <v>334</v>
      </c>
      <c r="E138" s="82" t="s">
        <v>1030</v>
      </c>
      <c r="F138" s="82" t="s">
        <v>335</v>
      </c>
      <c r="G138" s="88" t="n">
        <v>3</v>
      </c>
      <c r="H138" s="84" t="s">
        <v>61</v>
      </c>
      <c r="I138" s="80" t="s">
        <v>336</v>
      </c>
      <c r="J138" s="80" t="s">
        <v>337</v>
      </c>
      <c r="K138" s="80" t="s">
        <v>338</v>
      </c>
      <c r="L138" s="80" t="s">
        <v>339</v>
      </c>
      <c r="M138" s="79" t="s">
        <v>543</v>
      </c>
      <c r="N138" s="80" t="s">
        <v>341</v>
      </c>
      <c r="O138" s="85" t="n">
        <v>46139</v>
      </c>
      <c r="P138" s="101"/>
      <c r="Q138" s="84"/>
      <c r="R138" s="87" t="s">
        <v>31</v>
      </c>
      <c r="S138" s="87" t="s">
        <v>84</v>
      </c>
    </row>
    <row r="139" s="77" customFormat="true" ht="15" hidden="false" customHeight="false" outlineLevel="1" collapsed="false">
      <c r="B139" s="78"/>
      <c r="C139" s="79" t="n">
        <v>196</v>
      </c>
      <c r="D139" s="80" t="s">
        <v>366</v>
      </c>
      <c r="E139" s="82" t="s">
        <v>1030</v>
      </c>
      <c r="F139" s="82" t="s">
        <v>367</v>
      </c>
      <c r="G139" s="88" t="n">
        <v>1</v>
      </c>
      <c r="H139" s="84" t="s">
        <v>368</v>
      </c>
      <c r="I139" s="80" t="s">
        <v>369</v>
      </c>
      <c r="J139" s="80" t="s">
        <v>370</v>
      </c>
      <c r="K139" s="80" t="s">
        <v>371</v>
      </c>
      <c r="L139" s="80" t="s">
        <v>372</v>
      </c>
      <c r="M139" s="79" t="s">
        <v>682</v>
      </c>
      <c r="N139" s="80" t="s">
        <v>374</v>
      </c>
      <c r="O139" s="85" t="n">
        <v>46139</v>
      </c>
      <c r="P139" s="101"/>
      <c r="Q139" s="84"/>
      <c r="R139" s="87" t="s">
        <v>31</v>
      </c>
      <c r="S139" s="87" t="s">
        <v>84</v>
      </c>
    </row>
    <row r="140" s="77" customFormat="true" ht="30" hidden="false" customHeight="true" outlineLevel="1" collapsed="false">
      <c r="B140" s="78"/>
      <c r="C140" s="79" t="n">
        <v>197</v>
      </c>
      <c r="D140" s="80" t="s">
        <v>375</v>
      </c>
      <c r="E140" s="82" t="s">
        <v>1030</v>
      </c>
      <c r="F140" s="82" t="s">
        <v>376</v>
      </c>
      <c r="G140" s="88" t="n">
        <v>1</v>
      </c>
      <c r="H140" s="84" t="s">
        <v>111</v>
      </c>
      <c r="I140" s="80" t="s">
        <v>1037</v>
      </c>
      <c r="J140" s="80" t="s">
        <v>1038</v>
      </c>
      <c r="K140" s="80" t="s">
        <v>1039</v>
      </c>
      <c r="L140" s="80" t="s">
        <v>380</v>
      </c>
      <c r="M140" s="79" t="s">
        <v>1040</v>
      </c>
      <c r="N140" s="80" t="s">
        <v>382</v>
      </c>
      <c r="O140" s="85" t="n">
        <v>46139</v>
      </c>
      <c r="P140" s="101"/>
      <c r="Q140" s="84"/>
      <c r="R140" s="87" t="s">
        <v>31</v>
      </c>
      <c r="S140" s="87" t="s">
        <v>31</v>
      </c>
    </row>
    <row r="141" s="77" customFormat="true" ht="30" hidden="false" customHeight="true" outlineLevel="1" collapsed="false">
      <c r="B141" s="78"/>
      <c r="C141" s="79" t="s">
        <v>1041</v>
      </c>
      <c r="D141" s="80" t="s">
        <v>399</v>
      </c>
      <c r="E141" s="82" t="s">
        <v>1030</v>
      </c>
      <c r="F141" s="82" t="s">
        <v>400</v>
      </c>
      <c r="G141" s="88" t="n">
        <v>3</v>
      </c>
      <c r="H141" s="84" t="s">
        <v>152</v>
      </c>
      <c r="I141" s="80" t="s">
        <v>401</v>
      </c>
      <c r="J141" s="80" t="s">
        <v>402</v>
      </c>
      <c r="K141" s="80" t="s">
        <v>403</v>
      </c>
      <c r="L141" s="80" t="s">
        <v>404</v>
      </c>
      <c r="M141" s="79" t="s">
        <v>1042</v>
      </c>
      <c r="N141" s="80" t="s">
        <v>406</v>
      </c>
      <c r="O141" s="85" t="n">
        <v>46139</v>
      </c>
      <c r="P141" s="101"/>
      <c r="Q141" s="84"/>
      <c r="R141" s="87" t="s">
        <v>31</v>
      </c>
      <c r="S141" s="87" t="s">
        <v>84</v>
      </c>
    </row>
    <row r="142" s="77" customFormat="true" ht="45" hidden="false" customHeight="true" outlineLevel="1" collapsed="false">
      <c r="B142" s="78"/>
      <c r="C142" s="79" t="s">
        <v>1043</v>
      </c>
      <c r="D142" s="80" t="s">
        <v>431</v>
      </c>
      <c r="E142" s="80" t="s">
        <v>1030</v>
      </c>
      <c r="F142" s="82" t="s">
        <v>432</v>
      </c>
      <c r="G142" s="88" t="n">
        <v>10</v>
      </c>
      <c r="H142" s="84" t="s">
        <v>152</v>
      </c>
      <c r="I142" s="80" t="s">
        <v>1044</v>
      </c>
      <c r="J142" s="80" t="s">
        <v>1045</v>
      </c>
      <c r="K142" s="80" t="s">
        <v>1046</v>
      </c>
      <c r="L142" s="80" t="s">
        <v>436</v>
      </c>
      <c r="M142" s="79" t="s">
        <v>1047</v>
      </c>
      <c r="N142" s="80" t="s">
        <v>438</v>
      </c>
      <c r="O142" s="85" t="n">
        <v>46139</v>
      </c>
      <c r="P142" s="101"/>
      <c r="Q142" s="84"/>
      <c r="R142" s="87" t="s">
        <v>31</v>
      </c>
      <c r="S142" s="87" t="s">
        <v>31</v>
      </c>
    </row>
    <row r="143" s="77" customFormat="true" ht="15" hidden="false" customHeight="false" outlineLevel="1" collapsed="false">
      <c r="B143" s="78"/>
      <c r="C143" s="79" t="n">
        <v>200</v>
      </c>
      <c r="D143" s="80" t="s">
        <v>544</v>
      </c>
      <c r="E143" s="82" t="s">
        <v>1030</v>
      </c>
      <c r="F143" s="82" t="s">
        <v>545</v>
      </c>
      <c r="G143" s="88" t="n">
        <v>1</v>
      </c>
      <c r="H143" s="84" t="s">
        <v>24</v>
      </c>
      <c r="I143" s="80" t="s">
        <v>546</v>
      </c>
      <c r="J143" s="80" t="s">
        <v>547</v>
      </c>
      <c r="K143" s="80" t="s">
        <v>548</v>
      </c>
      <c r="L143" s="80" t="s">
        <v>549</v>
      </c>
      <c r="M143" s="79" t="s">
        <v>550</v>
      </c>
      <c r="N143" s="80" t="s">
        <v>551</v>
      </c>
      <c r="O143" s="85" t="n">
        <v>46139</v>
      </c>
      <c r="P143" s="101"/>
      <c r="Q143" s="84"/>
      <c r="R143" s="87" t="s">
        <v>31</v>
      </c>
      <c r="S143" s="87" t="s">
        <v>31</v>
      </c>
    </row>
    <row r="144" s="77" customFormat="true" ht="15" hidden="false" customHeight="false" outlineLevel="1" collapsed="false">
      <c r="B144" s="78"/>
      <c r="C144" s="79" t="n">
        <v>201</v>
      </c>
      <c r="D144" s="80" t="s">
        <v>439</v>
      </c>
      <c r="E144" s="82" t="s">
        <v>1030</v>
      </c>
      <c r="F144" s="82" t="s">
        <v>440</v>
      </c>
      <c r="G144" s="88" t="n">
        <v>1</v>
      </c>
      <c r="H144" s="84" t="s">
        <v>152</v>
      </c>
      <c r="I144" s="80" t="s">
        <v>1026</v>
      </c>
      <c r="J144" s="80" t="s">
        <v>1027</v>
      </c>
      <c r="K144" s="78" t="s">
        <v>1028</v>
      </c>
      <c r="L144" s="80" t="s">
        <v>444</v>
      </c>
      <c r="M144" s="79" t="s">
        <v>1029</v>
      </c>
      <c r="N144" s="80" t="s">
        <v>446</v>
      </c>
      <c r="O144" s="85" t="n">
        <v>46139</v>
      </c>
      <c r="P144" s="101"/>
      <c r="Q144" s="84"/>
      <c r="R144" s="87" t="s">
        <v>31</v>
      </c>
      <c r="S144" s="87" t="s">
        <v>31</v>
      </c>
    </row>
    <row r="145" s="77" customFormat="true" ht="15" hidden="false" customHeight="false" outlineLevel="1" collapsed="false">
      <c r="B145" s="78"/>
      <c r="C145" s="79" t="n">
        <v>202</v>
      </c>
      <c r="D145" s="80" t="s">
        <v>471</v>
      </c>
      <c r="E145" s="82" t="s">
        <v>1030</v>
      </c>
      <c r="F145" s="82" t="s">
        <v>472</v>
      </c>
      <c r="G145" s="88" t="n">
        <v>1</v>
      </c>
      <c r="H145" s="84" t="s">
        <v>111</v>
      </c>
      <c r="I145" s="80" t="s">
        <v>473</v>
      </c>
      <c r="J145" s="80" t="s">
        <v>474</v>
      </c>
      <c r="K145" s="80" t="s">
        <v>475</v>
      </c>
      <c r="L145" s="80" t="s">
        <v>476</v>
      </c>
      <c r="M145" s="79" t="s">
        <v>476</v>
      </c>
      <c r="N145" s="80" t="s">
        <v>477</v>
      </c>
      <c r="O145" s="85" t="n">
        <v>46139</v>
      </c>
      <c r="P145" s="101"/>
      <c r="Q145" s="84"/>
      <c r="R145" s="87" t="s">
        <v>31</v>
      </c>
      <c r="S145" s="87" t="s">
        <v>84</v>
      </c>
    </row>
    <row r="146" s="77" customFormat="true" ht="15" hidden="false" customHeight="false" outlineLevel="1" collapsed="false">
      <c r="B146" s="78"/>
      <c r="C146" s="79" t="n">
        <v>203</v>
      </c>
      <c r="D146" s="80" t="s">
        <v>502</v>
      </c>
      <c r="E146" s="82" t="s">
        <v>1030</v>
      </c>
      <c r="F146" s="82" t="s">
        <v>503</v>
      </c>
      <c r="G146" s="88" t="n">
        <v>1</v>
      </c>
      <c r="H146" s="84" t="s">
        <v>61</v>
      </c>
      <c r="I146" s="80" t="s">
        <v>504</v>
      </c>
      <c r="J146" s="80" t="s">
        <v>505</v>
      </c>
      <c r="K146" s="80" t="s">
        <v>506</v>
      </c>
      <c r="L146" s="80" t="s">
        <v>283</v>
      </c>
      <c r="M146" s="79" t="s">
        <v>284</v>
      </c>
      <c r="N146" s="80" t="s">
        <v>507</v>
      </c>
      <c r="O146" s="85" t="n">
        <v>46139</v>
      </c>
      <c r="P146" s="101"/>
      <c r="Q146" s="84"/>
      <c r="R146" s="87" t="s">
        <v>31</v>
      </c>
      <c r="S146" s="87" t="s">
        <v>84</v>
      </c>
    </row>
    <row r="147" s="68" customFormat="true" ht="15" hidden="false" customHeight="false" outlineLevel="0" collapsed="false">
      <c r="B147" s="69"/>
      <c r="C147" s="103"/>
      <c r="D147" s="71"/>
      <c r="E147" s="72" t="s">
        <v>853</v>
      </c>
      <c r="F147" s="73"/>
      <c r="G147" s="74" t="n">
        <f aca="false">SUM(G148:G164)</f>
        <v>32</v>
      </c>
      <c r="H147" s="89"/>
      <c r="I147" s="75"/>
      <c r="J147" s="76"/>
      <c r="K147" s="76"/>
      <c r="L147" s="90"/>
      <c r="M147" s="103"/>
      <c r="N147" s="69"/>
      <c r="O147" s="69"/>
      <c r="P147" s="69"/>
      <c r="Q147" s="69"/>
      <c r="R147" s="69"/>
      <c r="S147" s="69"/>
    </row>
    <row r="148" s="77" customFormat="true" ht="15" hidden="false" customHeight="false" outlineLevel="2" collapsed="false">
      <c r="B148" s="78"/>
      <c r="C148" s="79" t="n">
        <v>204</v>
      </c>
      <c r="D148" s="80" t="s">
        <v>811</v>
      </c>
      <c r="E148" s="82" t="s">
        <v>853</v>
      </c>
      <c r="F148" s="82" t="s">
        <v>812</v>
      </c>
      <c r="G148" s="88" t="n">
        <v>1</v>
      </c>
      <c r="H148" s="84" t="s">
        <v>813</v>
      </c>
      <c r="I148" s="80" t="s">
        <v>814</v>
      </c>
      <c r="J148" s="80" t="s">
        <v>815</v>
      </c>
      <c r="K148" s="80" t="s">
        <v>816</v>
      </c>
      <c r="L148" s="80" t="s">
        <v>817</v>
      </c>
      <c r="M148" s="79" t="s">
        <v>818</v>
      </c>
      <c r="N148" s="80" t="s">
        <v>819</v>
      </c>
      <c r="O148" s="85" t="n">
        <v>46125</v>
      </c>
      <c r="P148" s="101"/>
      <c r="Q148" s="84"/>
      <c r="R148" s="87"/>
      <c r="S148" s="87"/>
    </row>
    <row r="149" s="77" customFormat="true" ht="15" hidden="false" customHeight="false" outlineLevel="2" collapsed="false">
      <c r="B149" s="78"/>
      <c r="C149" s="79" t="n">
        <v>205</v>
      </c>
      <c r="D149" s="80" t="s">
        <v>59</v>
      </c>
      <c r="E149" s="82" t="s">
        <v>853</v>
      </c>
      <c r="F149" s="82" t="s">
        <v>60</v>
      </c>
      <c r="G149" s="88" t="n">
        <v>5</v>
      </c>
      <c r="H149" s="84" t="s">
        <v>61</v>
      </c>
      <c r="I149" s="80" t="s">
        <v>62</v>
      </c>
      <c r="J149" s="80" t="s">
        <v>63</v>
      </c>
      <c r="K149" s="80" t="s">
        <v>64</v>
      </c>
      <c r="L149" s="80" t="s">
        <v>65</v>
      </c>
      <c r="M149" s="79" t="s">
        <v>66</v>
      </c>
      <c r="N149" s="80" t="s">
        <v>67</v>
      </c>
      <c r="O149" s="85" t="n">
        <v>46125</v>
      </c>
      <c r="P149" s="101"/>
      <c r="Q149" s="84"/>
      <c r="R149" s="87"/>
      <c r="S149" s="87"/>
    </row>
    <row r="150" s="77" customFormat="true" ht="15" hidden="false" customHeight="false" outlineLevel="2" collapsed="false">
      <c r="B150" s="78"/>
      <c r="C150" s="79" t="n">
        <v>206</v>
      </c>
      <c r="D150" s="80" t="s">
        <v>68</v>
      </c>
      <c r="E150" s="82" t="s">
        <v>853</v>
      </c>
      <c r="F150" s="82" t="s">
        <v>69</v>
      </c>
      <c r="G150" s="88" t="n">
        <v>4</v>
      </c>
      <c r="H150" s="84" t="s">
        <v>61</v>
      </c>
      <c r="I150" s="80" t="s">
        <v>70</v>
      </c>
      <c r="J150" s="80" t="s">
        <v>71</v>
      </c>
      <c r="K150" s="78" t="s">
        <v>72</v>
      </c>
      <c r="L150" s="80" t="s">
        <v>73</v>
      </c>
      <c r="M150" s="79" t="s">
        <v>73</v>
      </c>
      <c r="N150" s="80" t="s">
        <v>74</v>
      </c>
      <c r="O150" s="85" t="n">
        <v>46125</v>
      </c>
      <c r="P150" s="101"/>
      <c r="Q150" s="84"/>
      <c r="R150" s="87"/>
      <c r="S150" s="87"/>
    </row>
    <row r="151" s="77" customFormat="true" ht="15" hidden="false" customHeight="false" outlineLevel="2" collapsed="false">
      <c r="B151" s="78"/>
      <c r="C151" s="79" t="n">
        <v>207</v>
      </c>
      <c r="D151" s="80" t="s">
        <v>75</v>
      </c>
      <c r="E151" s="82" t="s">
        <v>853</v>
      </c>
      <c r="F151" s="82" t="s">
        <v>76</v>
      </c>
      <c r="G151" s="88" t="n">
        <v>3</v>
      </c>
      <c r="H151" s="84" t="s">
        <v>77</v>
      </c>
      <c r="I151" s="80" t="s">
        <v>78</v>
      </c>
      <c r="J151" s="80" t="s">
        <v>79</v>
      </c>
      <c r="K151" s="80" t="s">
        <v>80</v>
      </c>
      <c r="L151" s="80" t="s">
        <v>81</v>
      </c>
      <c r="M151" s="79" t="s">
        <v>82</v>
      </c>
      <c r="N151" s="80" t="s">
        <v>83</v>
      </c>
      <c r="O151" s="85" t="n">
        <v>46125</v>
      </c>
      <c r="P151" s="101"/>
      <c r="Q151" s="84"/>
      <c r="R151" s="87"/>
      <c r="S151" s="87"/>
    </row>
    <row r="152" s="77" customFormat="true" ht="15" hidden="false" customHeight="false" outlineLevel="2" collapsed="false">
      <c r="B152" s="78"/>
      <c r="C152" s="79" t="n">
        <v>208</v>
      </c>
      <c r="D152" s="80" t="s">
        <v>150</v>
      </c>
      <c r="E152" s="82" t="s">
        <v>853</v>
      </c>
      <c r="F152" s="82" t="s">
        <v>151</v>
      </c>
      <c r="G152" s="88" t="n">
        <v>1</v>
      </c>
      <c r="H152" s="84" t="s">
        <v>152</v>
      </c>
      <c r="I152" s="80" t="s">
        <v>153</v>
      </c>
      <c r="J152" s="80" t="s">
        <v>154</v>
      </c>
      <c r="K152" s="80" t="s">
        <v>155</v>
      </c>
      <c r="L152" s="80" t="s">
        <v>156</v>
      </c>
      <c r="M152" s="79" t="s">
        <v>157</v>
      </c>
      <c r="N152" s="80" t="s">
        <v>158</v>
      </c>
      <c r="O152" s="85" t="n">
        <v>46125</v>
      </c>
      <c r="P152" s="101"/>
      <c r="Q152" s="84"/>
      <c r="R152" s="87"/>
      <c r="S152" s="87"/>
    </row>
    <row r="153" s="77" customFormat="true" ht="15" hidden="false" customHeight="false" outlineLevel="2" collapsed="false">
      <c r="B153" s="78"/>
      <c r="C153" s="79" t="n">
        <v>209</v>
      </c>
      <c r="D153" s="80" t="s">
        <v>159</v>
      </c>
      <c r="E153" s="82" t="s">
        <v>853</v>
      </c>
      <c r="F153" s="82" t="s">
        <v>160</v>
      </c>
      <c r="G153" s="88" t="n">
        <v>1</v>
      </c>
      <c r="H153" s="84" t="s">
        <v>61</v>
      </c>
      <c r="I153" s="80" t="s">
        <v>161</v>
      </c>
      <c r="J153" s="80" t="s">
        <v>162</v>
      </c>
      <c r="K153" s="80" t="s">
        <v>163</v>
      </c>
      <c r="L153" s="80" t="s">
        <v>164</v>
      </c>
      <c r="M153" s="79" t="s">
        <v>164</v>
      </c>
      <c r="N153" s="80" t="s">
        <v>165</v>
      </c>
      <c r="O153" s="85" t="n">
        <v>46125</v>
      </c>
      <c r="P153" s="101"/>
      <c r="Q153" s="84"/>
      <c r="R153" s="87"/>
      <c r="S153" s="87"/>
    </row>
    <row r="154" s="77" customFormat="true" ht="15" hidden="false" customHeight="false" outlineLevel="2" collapsed="false">
      <c r="B154" s="78"/>
      <c r="C154" s="79" t="n">
        <v>210</v>
      </c>
      <c r="D154" s="80" t="s">
        <v>166</v>
      </c>
      <c r="E154" s="82" t="s">
        <v>853</v>
      </c>
      <c r="F154" s="82" t="s">
        <v>167</v>
      </c>
      <c r="G154" s="88" t="n">
        <v>1</v>
      </c>
      <c r="H154" s="84" t="s">
        <v>61</v>
      </c>
      <c r="I154" s="80" t="s">
        <v>168</v>
      </c>
      <c r="J154" s="80" t="s">
        <v>169</v>
      </c>
      <c r="K154" s="80" t="s">
        <v>170</v>
      </c>
      <c r="L154" s="80" t="s">
        <v>171</v>
      </c>
      <c r="M154" s="79" t="s">
        <v>172</v>
      </c>
      <c r="N154" s="80" t="s">
        <v>173</v>
      </c>
      <c r="O154" s="85" t="n">
        <v>46125</v>
      </c>
      <c r="P154" s="101"/>
      <c r="Q154" s="84"/>
      <c r="R154" s="87"/>
      <c r="S154" s="87"/>
    </row>
    <row r="155" s="77" customFormat="true" ht="15" hidden="false" customHeight="false" outlineLevel="2" collapsed="false">
      <c r="B155" s="78"/>
      <c r="C155" s="79" t="n">
        <v>211</v>
      </c>
      <c r="D155" s="80" t="s">
        <v>198</v>
      </c>
      <c r="E155" s="82" t="s">
        <v>853</v>
      </c>
      <c r="F155" s="82" t="s">
        <v>199</v>
      </c>
      <c r="G155" s="88" t="n">
        <v>1</v>
      </c>
      <c r="H155" s="84" t="s">
        <v>200</v>
      </c>
      <c r="I155" s="80" t="s">
        <v>201</v>
      </c>
      <c r="J155" s="80" t="s">
        <v>202</v>
      </c>
      <c r="K155" s="80" t="s">
        <v>203</v>
      </c>
      <c r="L155" s="80" t="s">
        <v>204</v>
      </c>
      <c r="M155" s="79" t="s">
        <v>205</v>
      </c>
      <c r="N155" s="80" t="s">
        <v>206</v>
      </c>
      <c r="O155" s="85" t="n">
        <v>46125</v>
      </c>
      <c r="P155" s="101"/>
      <c r="Q155" s="84"/>
      <c r="R155" s="87"/>
      <c r="S155" s="87"/>
    </row>
    <row r="156" s="77" customFormat="true" ht="30" hidden="false" customHeight="true" outlineLevel="2" collapsed="false">
      <c r="B156" s="78"/>
      <c r="C156" s="79" t="n">
        <v>212</v>
      </c>
      <c r="D156" s="80" t="s">
        <v>255</v>
      </c>
      <c r="E156" s="82" t="s">
        <v>853</v>
      </c>
      <c r="F156" s="82" t="s">
        <v>256</v>
      </c>
      <c r="G156" s="88" t="n">
        <v>1</v>
      </c>
      <c r="H156" s="84" t="s">
        <v>61</v>
      </c>
      <c r="I156" s="80" t="s">
        <v>257</v>
      </c>
      <c r="J156" s="80" t="s">
        <v>258</v>
      </c>
      <c r="K156" s="104" t="s">
        <v>259</v>
      </c>
      <c r="L156" s="80" t="s">
        <v>260</v>
      </c>
      <c r="M156" s="79" t="s">
        <v>847</v>
      </c>
      <c r="N156" s="80" t="s">
        <v>262</v>
      </c>
      <c r="O156" s="85" t="n">
        <v>46125</v>
      </c>
      <c r="P156" s="101"/>
      <c r="Q156" s="84"/>
      <c r="R156" s="87"/>
      <c r="S156" s="87"/>
    </row>
    <row r="157" s="77" customFormat="true" ht="15" hidden="false" customHeight="false" outlineLevel="2" collapsed="false">
      <c r="B157" s="78"/>
      <c r="C157" s="79" t="n">
        <v>213</v>
      </c>
      <c r="D157" s="80" t="s">
        <v>270</v>
      </c>
      <c r="E157" s="82" t="s">
        <v>853</v>
      </c>
      <c r="F157" s="82" t="s">
        <v>271</v>
      </c>
      <c r="G157" s="88" t="n">
        <v>1</v>
      </c>
      <c r="H157" s="84" t="s">
        <v>61</v>
      </c>
      <c r="I157" s="80" t="s">
        <v>272</v>
      </c>
      <c r="J157" s="80" t="s">
        <v>273</v>
      </c>
      <c r="K157" s="80" t="s">
        <v>274</v>
      </c>
      <c r="L157" s="80" t="s">
        <v>275</v>
      </c>
      <c r="M157" s="79" t="s">
        <v>792</v>
      </c>
      <c r="N157" s="80" t="s">
        <v>277</v>
      </c>
      <c r="O157" s="85" t="n">
        <v>46125</v>
      </c>
      <c r="P157" s="101"/>
      <c r="Q157" s="84"/>
      <c r="R157" s="87"/>
      <c r="S157" s="87"/>
    </row>
    <row r="158" s="77" customFormat="true" ht="15" hidden="false" customHeight="false" outlineLevel="2" collapsed="false">
      <c r="B158" s="78"/>
      <c r="C158" s="79" t="n">
        <v>214</v>
      </c>
      <c r="D158" s="80" t="s">
        <v>302</v>
      </c>
      <c r="E158" s="82" t="s">
        <v>853</v>
      </c>
      <c r="F158" s="82" t="s">
        <v>303</v>
      </c>
      <c r="G158" s="88" t="n">
        <v>1</v>
      </c>
      <c r="H158" s="84" t="s">
        <v>61</v>
      </c>
      <c r="I158" s="80" t="s">
        <v>304</v>
      </c>
      <c r="J158" s="80" t="s">
        <v>305</v>
      </c>
      <c r="K158" s="80" t="s">
        <v>306</v>
      </c>
      <c r="L158" s="80" t="s">
        <v>307</v>
      </c>
      <c r="M158" s="79" t="s">
        <v>526</v>
      </c>
      <c r="N158" s="80" t="s">
        <v>309</v>
      </c>
      <c r="O158" s="85" t="n">
        <v>46125</v>
      </c>
      <c r="P158" s="101"/>
      <c r="Q158" s="84"/>
      <c r="R158" s="87"/>
      <c r="S158" s="87"/>
    </row>
    <row r="159" s="77" customFormat="true" ht="15" hidden="false" customHeight="false" outlineLevel="2" collapsed="false">
      <c r="B159" s="78"/>
      <c r="C159" s="79" t="n">
        <v>215</v>
      </c>
      <c r="D159" s="80" t="s">
        <v>342</v>
      </c>
      <c r="E159" s="82" t="s">
        <v>853</v>
      </c>
      <c r="F159" s="82" t="s">
        <v>343</v>
      </c>
      <c r="G159" s="88" t="n">
        <v>1</v>
      </c>
      <c r="H159" s="84" t="s">
        <v>24</v>
      </c>
      <c r="I159" s="80" t="s">
        <v>344</v>
      </c>
      <c r="J159" s="80" t="s">
        <v>345</v>
      </c>
      <c r="K159" s="80" t="s">
        <v>346</v>
      </c>
      <c r="L159" s="80" t="s">
        <v>347</v>
      </c>
      <c r="M159" s="79" t="s">
        <v>348</v>
      </c>
      <c r="N159" s="80" t="s">
        <v>349</v>
      </c>
      <c r="O159" s="85" t="n">
        <v>46125</v>
      </c>
      <c r="P159" s="101"/>
      <c r="Q159" s="84"/>
      <c r="R159" s="87"/>
      <c r="S159" s="87"/>
    </row>
    <row r="160" s="77" customFormat="true" ht="15" hidden="false" customHeight="false" outlineLevel="2" collapsed="false">
      <c r="B160" s="78"/>
      <c r="C160" s="79" t="n">
        <v>216</v>
      </c>
      <c r="D160" s="80" t="s">
        <v>350</v>
      </c>
      <c r="E160" s="82" t="s">
        <v>853</v>
      </c>
      <c r="F160" s="82" t="s">
        <v>351</v>
      </c>
      <c r="G160" s="88" t="n">
        <v>1</v>
      </c>
      <c r="H160" s="84" t="s">
        <v>152</v>
      </c>
      <c r="I160" s="80" t="s">
        <v>352</v>
      </c>
      <c r="J160" s="80" t="s">
        <v>353</v>
      </c>
      <c r="K160" s="80" t="s">
        <v>354</v>
      </c>
      <c r="L160" s="80" t="s">
        <v>355</v>
      </c>
      <c r="M160" s="79" t="s">
        <v>355</v>
      </c>
      <c r="N160" s="80" t="s">
        <v>356</v>
      </c>
      <c r="O160" s="85" t="n">
        <v>46125</v>
      </c>
      <c r="P160" s="101"/>
      <c r="Q160" s="84"/>
      <c r="R160" s="87"/>
      <c r="S160" s="87"/>
    </row>
    <row r="161" s="77" customFormat="true" ht="30" hidden="false" customHeight="true" outlineLevel="2" collapsed="false">
      <c r="B161" s="78"/>
      <c r="C161" s="79" t="s">
        <v>873</v>
      </c>
      <c r="D161" s="80" t="s">
        <v>802</v>
      </c>
      <c r="E161" s="82" t="s">
        <v>853</v>
      </c>
      <c r="F161" s="82" t="s">
        <v>803</v>
      </c>
      <c r="G161" s="88" t="n">
        <v>6</v>
      </c>
      <c r="H161" s="84" t="s">
        <v>804</v>
      </c>
      <c r="I161" s="80" t="s">
        <v>874</v>
      </c>
      <c r="J161" s="80" t="s">
        <v>875</v>
      </c>
      <c r="K161" s="80" t="s">
        <v>876</v>
      </c>
      <c r="L161" s="80" t="s">
        <v>808</v>
      </c>
      <c r="M161" s="79" t="s">
        <v>877</v>
      </c>
      <c r="N161" s="80" t="s">
        <v>810</v>
      </c>
      <c r="O161" s="85" t="n">
        <v>46125</v>
      </c>
      <c r="P161" s="101"/>
      <c r="Q161" s="84"/>
      <c r="R161" s="87"/>
      <c r="S161" s="87"/>
    </row>
    <row r="162" s="77" customFormat="true" ht="15" hidden="false" customHeight="false" outlineLevel="2" collapsed="false">
      <c r="B162" s="78"/>
      <c r="C162" s="79" t="n">
        <v>218</v>
      </c>
      <c r="D162" s="80" t="s">
        <v>375</v>
      </c>
      <c r="E162" s="82" t="s">
        <v>853</v>
      </c>
      <c r="F162" s="82" t="s">
        <v>376</v>
      </c>
      <c r="G162" s="88" t="n">
        <v>2</v>
      </c>
      <c r="H162" s="84" t="s">
        <v>111</v>
      </c>
      <c r="I162" s="80" t="s">
        <v>377</v>
      </c>
      <c r="J162" s="80" t="s">
        <v>378</v>
      </c>
      <c r="K162" s="80" t="s">
        <v>379</v>
      </c>
      <c r="L162" s="80" t="s">
        <v>380</v>
      </c>
      <c r="M162" s="79" t="s">
        <v>381</v>
      </c>
      <c r="N162" s="80" t="s">
        <v>382</v>
      </c>
      <c r="O162" s="85" t="n">
        <v>46125</v>
      </c>
      <c r="P162" s="101"/>
      <c r="Q162" s="84"/>
      <c r="R162" s="87"/>
      <c r="S162" s="87"/>
    </row>
    <row r="163" s="77" customFormat="true" ht="15" hidden="false" customHeight="false" outlineLevel="2" collapsed="false">
      <c r="B163" s="78"/>
      <c r="C163" s="79" t="n">
        <v>219</v>
      </c>
      <c r="D163" s="80" t="s">
        <v>383</v>
      </c>
      <c r="E163" s="82" t="s">
        <v>853</v>
      </c>
      <c r="F163" s="82" t="s">
        <v>384</v>
      </c>
      <c r="G163" s="88" t="n">
        <v>1</v>
      </c>
      <c r="H163" s="84" t="s">
        <v>61</v>
      </c>
      <c r="I163" s="80" t="s">
        <v>385</v>
      </c>
      <c r="J163" s="80" t="s">
        <v>386</v>
      </c>
      <c r="K163" s="80" t="s">
        <v>387</v>
      </c>
      <c r="L163" s="80" t="s">
        <v>388</v>
      </c>
      <c r="M163" s="79" t="s">
        <v>389</v>
      </c>
      <c r="N163" s="80" t="s">
        <v>390</v>
      </c>
      <c r="O163" s="85" t="n">
        <v>46125</v>
      </c>
      <c r="P163" s="101"/>
      <c r="Q163" s="84"/>
      <c r="R163" s="87"/>
      <c r="S163" s="87"/>
    </row>
    <row r="164" s="77" customFormat="true" ht="15" hidden="false" customHeight="false" outlineLevel="2" collapsed="false">
      <c r="B164" s="78"/>
      <c r="C164" s="79" t="n">
        <v>220</v>
      </c>
      <c r="D164" s="80" t="s">
        <v>447</v>
      </c>
      <c r="E164" s="82" t="s">
        <v>853</v>
      </c>
      <c r="F164" s="82" t="s">
        <v>448</v>
      </c>
      <c r="G164" s="88" t="n">
        <v>1</v>
      </c>
      <c r="H164" s="84" t="s">
        <v>24</v>
      </c>
      <c r="I164" s="80" t="s">
        <v>449</v>
      </c>
      <c r="J164" s="80" t="s">
        <v>450</v>
      </c>
      <c r="K164" s="80" t="s">
        <v>451</v>
      </c>
      <c r="L164" s="80" t="s">
        <v>452</v>
      </c>
      <c r="M164" s="79" t="s">
        <v>453</v>
      </c>
      <c r="N164" s="80" t="s">
        <v>454</v>
      </c>
      <c r="O164" s="105" t="n">
        <v>46125</v>
      </c>
      <c r="P164" s="101"/>
      <c r="Q164" s="84"/>
      <c r="R164" s="87"/>
      <c r="S164" s="87"/>
    </row>
    <row r="165" s="68" customFormat="true" ht="15" hidden="false" customHeight="false" outlineLevel="0" collapsed="false">
      <c r="B165" s="69"/>
      <c r="C165" s="102"/>
      <c r="D165" s="71"/>
      <c r="E165" s="72" t="s">
        <v>1048</v>
      </c>
      <c r="F165" s="73"/>
      <c r="G165" s="74" t="n">
        <f aca="false">SUM(G166:G207)</f>
        <v>101</v>
      </c>
      <c r="H165" s="75"/>
      <c r="I165" s="76"/>
      <c r="J165" s="76"/>
      <c r="K165" s="90"/>
      <c r="L165" s="74"/>
      <c r="M165" s="102"/>
      <c r="N165" s="69"/>
      <c r="O165" s="69"/>
      <c r="P165" s="69"/>
      <c r="Q165" s="69"/>
      <c r="R165" s="69"/>
      <c r="S165" s="69"/>
    </row>
    <row r="166" s="77" customFormat="true" ht="15" hidden="false" customHeight="false" outlineLevel="1" collapsed="false">
      <c r="B166" s="78"/>
      <c r="C166" s="79" t="n">
        <v>221</v>
      </c>
      <c r="D166" s="80" t="s">
        <v>811</v>
      </c>
      <c r="E166" s="82" t="s">
        <v>1048</v>
      </c>
      <c r="F166" s="82" t="s">
        <v>812</v>
      </c>
      <c r="G166" s="88" t="n">
        <v>2</v>
      </c>
      <c r="H166" s="84" t="s">
        <v>813</v>
      </c>
      <c r="I166" s="80" t="s">
        <v>814</v>
      </c>
      <c r="J166" s="80" t="s">
        <v>815</v>
      </c>
      <c r="K166" s="80" t="s">
        <v>816</v>
      </c>
      <c r="L166" s="80" t="s">
        <v>817</v>
      </c>
      <c r="M166" s="79" t="s">
        <v>818</v>
      </c>
      <c r="N166" s="80" t="s">
        <v>819</v>
      </c>
      <c r="O166" s="85" t="n">
        <v>46153</v>
      </c>
      <c r="P166" s="101"/>
      <c r="Q166" s="84"/>
      <c r="R166" s="87"/>
      <c r="S166" s="87"/>
    </row>
    <row r="167" s="77" customFormat="true" ht="15" hidden="false" customHeight="false" outlineLevel="1" collapsed="false">
      <c r="B167" s="78"/>
      <c r="C167" s="79" t="n">
        <v>222</v>
      </c>
      <c r="D167" s="80" t="s">
        <v>51</v>
      </c>
      <c r="E167" s="82" t="s">
        <v>1048</v>
      </c>
      <c r="F167" s="82" t="s">
        <v>52</v>
      </c>
      <c r="G167" s="88" t="n">
        <v>4</v>
      </c>
      <c r="H167" s="84" t="s">
        <v>24</v>
      </c>
      <c r="I167" s="80" t="s">
        <v>53</v>
      </c>
      <c r="J167" s="80" t="s">
        <v>54</v>
      </c>
      <c r="K167" s="80" t="s">
        <v>55</v>
      </c>
      <c r="L167" s="80" t="s">
        <v>56</v>
      </c>
      <c r="M167" s="79" t="s">
        <v>57</v>
      </c>
      <c r="N167" s="80" t="s">
        <v>58</v>
      </c>
      <c r="O167" s="85" t="n">
        <v>46132</v>
      </c>
      <c r="P167" s="101"/>
      <c r="Q167" s="84"/>
      <c r="R167" s="87"/>
      <c r="S167" s="87"/>
    </row>
    <row r="168" s="77" customFormat="true" ht="15" hidden="false" customHeight="false" outlineLevel="1" collapsed="false">
      <c r="B168" s="78"/>
      <c r="C168" s="79" t="n">
        <v>223</v>
      </c>
      <c r="D168" s="80" t="s">
        <v>59</v>
      </c>
      <c r="E168" s="82" t="s">
        <v>1048</v>
      </c>
      <c r="F168" s="82" t="s">
        <v>60</v>
      </c>
      <c r="G168" s="88" t="n">
        <v>12</v>
      </c>
      <c r="H168" s="84" t="s">
        <v>61</v>
      </c>
      <c r="I168" s="80" t="s">
        <v>62</v>
      </c>
      <c r="J168" s="80" t="s">
        <v>63</v>
      </c>
      <c r="K168" s="80" t="s">
        <v>64</v>
      </c>
      <c r="L168" s="80" t="s">
        <v>65</v>
      </c>
      <c r="M168" s="79" t="s">
        <v>66</v>
      </c>
      <c r="N168" s="80" t="s">
        <v>67</v>
      </c>
      <c r="O168" s="85" t="n">
        <v>46132</v>
      </c>
      <c r="P168" s="101"/>
      <c r="Q168" s="84"/>
      <c r="R168" s="87"/>
      <c r="S168" s="87"/>
    </row>
    <row r="169" s="77" customFormat="true" ht="15" hidden="false" customHeight="false" outlineLevel="1" collapsed="false">
      <c r="B169" s="78"/>
      <c r="C169" s="79" t="n">
        <v>224</v>
      </c>
      <c r="D169" s="80" t="s">
        <v>75</v>
      </c>
      <c r="E169" s="82" t="s">
        <v>1048</v>
      </c>
      <c r="F169" s="82" t="s">
        <v>76</v>
      </c>
      <c r="G169" s="88" t="n">
        <v>9</v>
      </c>
      <c r="H169" s="84" t="s">
        <v>77</v>
      </c>
      <c r="I169" s="80" t="s">
        <v>78</v>
      </c>
      <c r="J169" s="80" t="s">
        <v>79</v>
      </c>
      <c r="K169" s="80" t="s">
        <v>80</v>
      </c>
      <c r="L169" s="80" t="s">
        <v>81</v>
      </c>
      <c r="M169" s="79" t="s">
        <v>82</v>
      </c>
      <c r="N169" s="80" t="s">
        <v>83</v>
      </c>
      <c r="O169" s="85" t="n">
        <v>46132</v>
      </c>
      <c r="P169" s="101"/>
      <c r="Q169" s="84"/>
      <c r="R169" s="87"/>
      <c r="S169" s="87"/>
    </row>
    <row r="170" s="77" customFormat="true" ht="15" hidden="false" customHeight="false" outlineLevel="1" collapsed="false">
      <c r="B170" s="78"/>
      <c r="C170" s="79" t="n">
        <v>225</v>
      </c>
      <c r="D170" s="80" t="s">
        <v>109</v>
      </c>
      <c r="E170" s="82" t="s">
        <v>1048</v>
      </c>
      <c r="F170" s="82" t="s">
        <v>110</v>
      </c>
      <c r="G170" s="88" t="n">
        <v>5</v>
      </c>
      <c r="H170" s="84" t="s">
        <v>111</v>
      </c>
      <c r="I170" s="80" t="s">
        <v>112</v>
      </c>
      <c r="J170" s="80" t="s">
        <v>113</v>
      </c>
      <c r="K170" s="80" t="s">
        <v>114</v>
      </c>
      <c r="L170" s="80" t="s">
        <v>115</v>
      </c>
      <c r="M170" s="79" t="s">
        <v>115</v>
      </c>
      <c r="N170" s="80" t="s">
        <v>116</v>
      </c>
      <c r="O170" s="85" t="n">
        <v>46132</v>
      </c>
      <c r="P170" s="101"/>
      <c r="Q170" s="84"/>
      <c r="R170" s="87"/>
      <c r="S170" s="87"/>
    </row>
    <row r="171" s="77" customFormat="true" ht="15" hidden="false" customHeight="false" outlineLevel="1" collapsed="false">
      <c r="B171" s="78"/>
      <c r="C171" s="79" t="n">
        <v>226</v>
      </c>
      <c r="D171" s="80" t="s">
        <v>117</v>
      </c>
      <c r="E171" s="82" t="s">
        <v>1048</v>
      </c>
      <c r="F171" s="82" t="s">
        <v>118</v>
      </c>
      <c r="G171" s="88" t="n">
        <v>1</v>
      </c>
      <c r="H171" s="84" t="s">
        <v>24</v>
      </c>
      <c r="I171" s="80" t="s">
        <v>119</v>
      </c>
      <c r="J171" s="80" t="s">
        <v>120</v>
      </c>
      <c r="K171" s="80" t="s">
        <v>121</v>
      </c>
      <c r="L171" s="80" t="s">
        <v>122</v>
      </c>
      <c r="M171" s="79" t="s">
        <v>123</v>
      </c>
      <c r="N171" s="80" t="s">
        <v>124</v>
      </c>
      <c r="O171" s="85" t="n">
        <v>46132</v>
      </c>
      <c r="P171" s="101"/>
      <c r="Q171" s="84"/>
      <c r="R171" s="87"/>
      <c r="S171" s="87"/>
    </row>
    <row r="172" s="77" customFormat="true" ht="15" hidden="false" customHeight="false" outlineLevel="1" collapsed="false">
      <c r="B172" s="78"/>
      <c r="C172" s="79" t="n">
        <v>227</v>
      </c>
      <c r="D172" s="80" t="s">
        <v>142</v>
      </c>
      <c r="E172" s="82" t="s">
        <v>1048</v>
      </c>
      <c r="F172" s="82" t="s">
        <v>143</v>
      </c>
      <c r="G172" s="88" t="n">
        <v>1</v>
      </c>
      <c r="H172" s="84" t="s">
        <v>61</v>
      </c>
      <c r="I172" s="80" t="s">
        <v>144</v>
      </c>
      <c r="J172" s="80" t="s">
        <v>145</v>
      </c>
      <c r="K172" s="80" t="s">
        <v>146</v>
      </c>
      <c r="L172" s="80" t="s">
        <v>147</v>
      </c>
      <c r="M172" s="79" t="s">
        <v>148</v>
      </c>
      <c r="N172" s="80" t="s">
        <v>149</v>
      </c>
      <c r="O172" s="85" t="n">
        <v>46132</v>
      </c>
      <c r="P172" s="101"/>
      <c r="Q172" s="84"/>
      <c r="R172" s="87"/>
      <c r="S172" s="87"/>
    </row>
    <row r="173" s="77" customFormat="true" ht="15" hidden="false" customHeight="false" outlineLevel="1" collapsed="false">
      <c r="B173" s="78"/>
      <c r="C173" s="79" t="n">
        <v>228</v>
      </c>
      <c r="D173" s="80" t="s">
        <v>159</v>
      </c>
      <c r="E173" s="82" t="s">
        <v>1048</v>
      </c>
      <c r="F173" s="82" t="s">
        <v>160</v>
      </c>
      <c r="G173" s="88" t="n">
        <v>1</v>
      </c>
      <c r="H173" s="84" t="s">
        <v>61</v>
      </c>
      <c r="I173" s="80" t="s">
        <v>161</v>
      </c>
      <c r="J173" s="80" t="s">
        <v>162</v>
      </c>
      <c r="K173" s="80" t="s">
        <v>163</v>
      </c>
      <c r="L173" s="80" t="s">
        <v>164</v>
      </c>
      <c r="M173" s="79" t="s">
        <v>164</v>
      </c>
      <c r="N173" s="80" t="s">
        <v>165</v>
      </c>
      <c r="O173" s="85" t="n">
        <v>46132</v>
      </c>
      <c r="P173" s="101"/>
      <c r="Q173" s="84"/>
      <c r="R173" s="87"/>
      <c r="S173" s="87"/>
    </row>
    <row r="174" s="77" customFormat="true" ht="15" hidden="false" customHeight="false" outlineLevel="1" collapsed="false">
      <c r="B174" s="78"/>
      <c r="C174" s="79" t="n">
        <v>229</v>
      </c>
      <c r="D174" s="80" t="s">
        <v>166</v>
      </c>
      <c r="E174" s="82" t="s">
        <v>1048</v>
      </c>
      <c r="F174" s="82" t="s">
        <v>167</v>
      </c>
      <c r="G174" s="88" t="n">
        <v>5</v>
      </c>
      <c r="H174" s="84" t="s">
        <v>61</v>
      </c>
      <c r="I174" s="80" t="s">
        <v>168</v>
      </c>
      <c r="J174" s="80" t="s">
        <v>169</v>
      </c>
      <c r="K174" s="80" t="s">
        <v>170</v>
      </c>
      <c r="L174" s="80" t="s">
        <v>171</v>
      </c>
      <c r="M174" s="79" t="s">
        <v>172</v>
      </c>
      <c r="N174" s="80" t="s">
        <v>173</v>
      </c>
      <c r="O174" s="85" t="n">
        <v>46132</v>
      </c>
      <c r="P174" s="101"/>
      <c r="Q174" s="84"/>
      <c r="R174" s="87"/>
      <c r="S174" s="87"/>
    </row>
    <row r="175" s="77" customFormat="true" ht="15" hidden="false" customHeight="false" outlineLevel="1" collapsed="false">
      <c r="B175" s="78"/>
      <c r="C175" s="79" t="n">
        <v>230</v>
      </c>
      <c r="D175" s="80" t="s">
        <v>174</v>
      </c>
      <c r="E175" s="82" t="s">
        <v>1048</v>
      </c>
      <c r="F175" s="82" t="s">
        <v>175</v>
      </c>
      <c r="G175" s="88" t="n">
        <v>1</v>
      </c>
      <c r="H175" s="84" t="s">
        <v>152</v>
      </c>
      <c r="I175" s="80" t="s">
        <v>176</v>
      </c>
      <c r="J175" s="80" t="s">
        <v>177</v>
      </c>
      <c r="K175" s="80" t="s">
        <v>178</v>
      </c>
      <c r="L175" s="80" t="s">
        <v>179</v>
      </c>
      <c r="M175" s="79" t="s">
        <v>180</v>
      </c>
      <c r="N175" s="80" t="s">
        <v>181</v>
      </c>
      <c r="O175" s="85" t="n">
        <v>46132</v>
      </c>
      <c r="P175" s="101"/>
      <c r="Q175" s="84"/>
      <c r="R175" s="87"/>
      <c r="S175" s="87"/>
    </row>
    <row r="176" s="77" customFormat="true" ht="15" hidden="false" customHeight="false" outlineLevel="1" collapsed="false">
      <c r="B176" s="78"/>
      <c r="C176" s="79" t="n">
        <v>231</v>
      </c>
      <c r="D176" s="80" t="s">
        <v>667</v>
      </c>
      <c r="E176" s="82" t="s">
        <v>1048</v>
      </c>
      <c r="F176" s="82" t="s">
        <v>668</v>
      </c>
      <c r="G176" s="88" t="n">
        <v>2</v>
      </c>
      <c r="H176" s="84" t="s">
        <v>61</v>
      </c>
      <c r="I176" s="80" t="s">
        <v>669</v>
      </c>
      <c r="J176" s="80" t="s">
        <v>670</v>
      </c>
      <c r="K176" s="78" t="s">
        <v>671</v>
      </c>
      <c r="L176" s="80" t="s">
        <v>672</v>
      </c>
      <c r="M176" s="79" t="s">
        <v>672</v>
      </c>
      <c r="N176" s="80" t="s">
        <v>673</v>
      </c>
      <c r="O176" s="85" t="n">
        <v>46132</v>
      </c>
      <c r="P176" s="101"/>
      <c r="Q176" s="84"/>
      <c r="R176" s="87"/>
      <c r="S176" s="87"/>
    </row>
    <row r="177" s="77" customFormat="true" ht="45" hidden="false" customHeight="true" outlineLevel="1" collapsed="false">
      <c r="B177" s="78"/>
      <c r="C177" s="79" t="s">
        <v>1049</v>
      </c>
      <c r="D177" s="80" t="s">
        <v>190</v>
      </c>
      <c r="E177" s="82" t="s">
        <v>1048</v>
      </c>
      <c r="F177" s="82" t="s">
        <v>191</v>
      </c>
      <c r="G177" s="88" t="n">
        <v>6</v>
      </c>
      <c r="H177" s="84" t="s">
        <v>24</v>
      </c>
      <c r="I177" s="96" t="s">
        <v>1050</v>
      </c>
      <c r="J177" s="96" t="s">
        <v>1051</v>
      </c>
      <c r="K177" s="96" t="s">
        <v>1052</v>
      </c>
      <c r="L177" s="80" t="s">
        <v>195</v>
      </c>
      <c r="M177" s="79" t="s">
        <v>1053</v>
      </c>
      <c r="N177" s="80" t="s">
        <v>197</v>
      </c>
      <c r="O177" s="85" t="n">
        <v>46132</v>
      </c>
      <c r="P177" s="101"/>
      <c r="Q177" s="84"/>
      <c r="R177" s="87"/>
      <c r="S177" s="87"/>
    </row>
    <row r="178" s="77" customFormat="true" ht="15" hidden="false" customHeight="false" outlineLevel="1" collapsed="false">
      <c r="B178" s="78"/>
      <c r="C178" s="79" t="n">
        <v>233</v>
      </c>
      <c r="D178" s="80" t="s">
        <v>198</v>
      </c>
      <c r="E178" s="82" t="s">
        <v>1048</v>
      </c>
      <c r="F178" s="82" t="s">
        <v>199</v>
      </c>
      <c r="G178" s="88" t="n">
        <v>1</v>
      </c>
      <c r="H178" s="84" t="s">
        <v>200</v>
      </c>
      <c r="I178" s="80" t="s">
        <v>201</v>
      </c>
      <c r="J178" s="80" t="s">
        <v>202</v>
      </c>
      <c r="K178" s="80" t="s">
        <v>203</v>
      </c>
      <c r="L178" s="80" t="s">
        <v>204</v>
      </c>
      <c r="M178" s="79" t="s">
        <v>205</v>
      </c>
      <c r="N178" s="80" t="s">
        <v>206</v>
      </c>
      <c r="O178" s="85" t="n">
        <v>46132</v>
      </c>
      <c r="P178" s="101"/>
      <c r="Q178" s="84"/>
      <c r="R178" s="87"/>
      <c r="S178" s="87"/>
    </row>
    <row r="179" s="77" customFormat="true" ht="15" hidden="false" customHeight="false" outlineLevel="1" collapsed="false">
      <c r="B179" s="78"/>
      <c r="C179" s="79" t="n">
        <v>234</v>
      </c>
      <c r="D179" s="80" t="s">
        <v>215</v>
      </c>
      <c r="E179" s="82" t="s">
        <v>1048</v>
      </c>
      <c r="F179" s="82" t="s">
        <v>216</v>
      </c>
      <c r="G179" s="88" t="n">
        <v>1</v>
      </c>
      <c r="H179" s="84" t="s">
        <v>24</v>
      </c>
      <c r="I179" s="80" t="s">
        <v>217</v>
      </c>
      <c r="J179" s="80" t="s">
        <v>218</v>
      </c>
      <c r="K179" s="80" t="s">
        <v>219</v>
      </c>
      <c r="L179" s="80" t="s">
        <v>220</v>
      </c>
      <c r="M179" s="79" t="s">
        <v>221</v>
      </c>
      <c r="N179" s="80" t="s">
        <v>222</v>
      </c>
      <c r="O179" s="85" t="n">
        <v>46132</v>
      </c>
      <c r="P179" s="101"/>
      <c r="Q179" s="84"/>
      <c r="R179" s="87"/>
      <c r="S179" s="87"/>
    </row>
    <row r="180" s="77" customFormat="true" ht="15" hidden="false" customHeight="false" outlineLevel="1" collapsed="false">
      <c r="B180" s="78"/>
      <c r="C180" s="79" t="n">
        <v>235</v>
      </c>
      <c r="D180" s="80" t="s">
        <v>223</v>
      </c>
      <c r="E180" s="82" t="s">
        <v>1048</v>
      </c>
      <c r="F180" s="82" t="s">
        <v>224</v>
      </c>
      <c r="G180" s="88" t="n">
        <v>1</v>
      </c>
      <c r="H180" s="84" t="s">
        <v>61</v>
      </c>
      <c r="I180" s="80" t="s">
        <v>225</v>
      </c>
      <c r="J180" s="80" t="s">
        <v>226</v>
      </c>
      <c r="K180" s="80" t="s">
        <v>227</v>
      </c>
      <c r="L180" s="80" t="s">
        <v>228</v>
      </c>
      <c r="M180" s="79" t="s">
        <v>229</v>
      </c>
      <c r="N180" s="80" t="s">
        <v>230</v>
      </c>
      <c r="O180" s="85" t="n">
        <v>46132</v>
      </c>
      <c r="P180" s="101"/>
      <c r="Q180" s="84"/>
      <c r="R180" s="87"/>
      <c r="S180" s="87"/>
    </row>
    <row r="181" s="77" customFormat="true" ht="30" hidden="false" customHeight="true" outlineLevel="1" collapsed="false">
      <c r="B181" s="78"/>
      <c r="C181" s="79" t="s">
        <v>1054</v>
      </c>
      <c r="D181" s="80" t="s">
        <v>231</v>
      </c>
      <c r="E181" s="82" t="s">
        <v>1048</v>
      </c>
      <c r="F181" s="82" t="s">
        <v>232</v>
      </c>
      <c r="G181" s="88" t="n">
        <v>2</v>
      </c>
      <c r="H181" s="84" t="s">
        <v>61</v>
      </c>
      <c r="I181" s="80" t="s">
        <v>702</v>
      </c>
      <c r="J181" s="80" t="s">
        <v>703</v>
      </c>
      <c r="K181" s="80" t="s">
        <v>704</v>
      </c>
      <c r="L181" s="80" t="s">
        <v>236</v>
      </c>
      <c r="M181" s="79" t="s">
        <v>838</v>
      </c>
      <c r="N181" s="80" t="s">
        <v>238</v>
      </c>
      <c r="O181" s="85" t="n">
        <v>46132</v>
      </c>
      <c r="P181" s="101"/>
      <c r="Q181" s="84"/>
      <c r="R181" s="87"/>
      <c r="S181" s="87"/>
    </row>
    <row r="182" s="77" customFormat="true" ht="15" hidden="false" customHeight="false" outlineLevel="1" collapsed="false">
      <c r="B182" s="78"/>
      <c r="C182" s="79" t="n">
        <v>237</v>
      </c>
      <c r="D182" s="80" t="s">
        <v>247</v>
      </c>
      <c r="E182" s="82" t="s">
        <v>1048</v>
      </c>
      <c r="F182" s="82" t="s">
        <v>248</v>
      </c>
      <c r="G182" s="88" t="n">
        <v>1</v>
      </c>
      <c r="H182" s="84" t="s">
        <v>61</v>
      </c>
      <c r="I182" s="80" t="s">
        <v>532</v>
      </c>
      <c r="J182" s="80" t="s">
        <v>533</v>
      </c>
      <c r="K182" s="78" t="s">
        <v>534</v>
      </c>
      <c r="L182" s="80" t="s">
        <v>252</v>
      </c>
      <c r="M182" s="79" t="s">
        <v>535</v>
      </c>
      <c r="N182" s="80" t="s">
        <v>254</v>
      </c>
      <c r="O182" s="85" t="n">
        <v>46132</v>
      </c>
      <c r="P182" s="101"/>
      <c r="Q182" s="84"/>
      <c r="R182" s="87"/>
      <c r="S182" s="87"/>
    </row>
    <row r="183" s="77" customFormat="true" ht="15" hidden="false" customHeight="false" outlineLevel="1" collapsed="false">
      <c r="B183" s="78"/>
      <c r="C183" s="79" t="n">
        <v>238</v>
      </c>
      <c r="D183" s="80" t="s">
        <v>263</v>
      </c>
      <c r="E183" s="82" t="s">
        <v>1048</v>
      </c>
      <c r="F183" s="82" t="s">
        <v>264</v>
      </c>
      <c r="G183" s="88" t="n">
        <v>2</v>
      </c>
      <c r="H183" s="84" t="s">
        <v>61</v>
      </c>
      <c r="I183" s="80" t="s">
        <v>265</v>
      </c>
      <c r="J183" s="80" t="s">
        <v>266</v>
      </c>
      <c r="K183" s="80" t="s">
        <v>267</v>
      </c>
      <c r="L183" s="80" t="s">
        <v>252</v>
      </c>
      <c r="M183" s="79" t="s">
        <v>268</v>
      </c>
      <c r="N183" s="80" t="s">
        <v>269</v>
      </c>
      <c r="O183" s="85" t="n">
        <v>46132</v>
      </c>
      <c r="P183" s="101"/>
      <c r="Q183" s="84"/>
      <c r="R183" s="87"/>
      <c r="S183" s="87"/>
    </row>
    <row r="184" s="77" customFormat="true" ht="15" hidden="false" customHeight="false" outlineLevel="1" collapsed="false">
      <c r="B184" s="78"/>
      <c r="C184" s="79" t="n">
        <v>239</v>
      </c>
      <c r="D184" s="80" t="s">
        <v>743</v>
      </c>
      <c r="E184" s="82" t="s">
        <v>1048</v>
      </c>
      <c r="F184" s="82" t="s">
        <v>744</v>
      </c>
      <c r="G184" s="88" t="n">
        <v>1</v>
      </c>
      <c r="H184" s="84" t="s">
        <v>745</v>
      </c>
      <c r="I184" s="80" t="s">
        <v>746</v>
      </c>
      <c r="J184" s="80" t="s">
        <v>747</v>
      </c>
      <c r="K184" s="80" t="s">
        <v>748</v>
      </c>
      <c r="L184" s="80" t="s">
        <v>749</v>
      </c>
      <c r="M184" s="79" t="s">
        <v>750</v>
      </c>
      <c r="N184" s="80" t="s">
        <v>751</v>
      </c>
      <c r="O184" s="85" t="n">
        <v>46132</v>
      </c>
      <c r="P184" s="101"/>
      <c r="Q184" s="84"/>
      <c r="R184" s="87"/>
      <c r="S184" s="87"/>
    </row>
    <row r="185" s="77" customFormat="true" ht="15" hidden="false" customHeight="false" outlineLevel="1" collapsed="false">
      <c r="B185" s="78"/>
      <c r="C185" s="79" t="n">
        <v>240</v>
      </c>
      <c r="D185" s="80" t="s">
        <v>286</v>
      </c>
      <c r="E185" s="82" t="s">
        <v>1048</v>
      </c>
      <c r="F185" s="82" t="s">
        <v>287</v>
      </c>
      <c r="G185" s="88" t="n">
        <v>1</v>
      </c>
      <c r="H185" s="84" t="s">
        <v>61</v>
      </c>
      <c r="I185" s="80" t="s">
        <v>288</v>
      </c>
      <c r="J185" s="80" t="s">
        <v>289</v>
      </c>
      <c r="K185" s="80" t="s">
        <v>290</v>
      </c>
      <c r="L185" s="80" t="s">
        <v>291</v>
      </c>
      <c r="M185" s="79" t="s">
        <v>292</v>
      </c>
      <c r="N185" s="80" t="s">
        <v>293</v>
      </c>
      <c r="O185" s="85" t="n">
        <v>46132</v>
      </c>
      <c r="P185" s="101"/>
      <c r="Q185" s="84"/>
      <c r="R185" s="87"/>
      <c r="S185" s="87"/>
    </row>
    <row r="186" s="77" customFormat="true" ht="15" hidden="false" customHeight="false" outlineLevel="1" collapsed="false">
      <c r="B186" s="78"/>
      <c r="C186" s="79" t="n">
        <v>241</v>
      </c>
      <c r="D186" s="80" t="s">
        <v>294</v>
      </c>
      <c r="E186" s="82" t="s">
        <v>1048</v>
      </c>
      <c r="F186" s="82" t="s">
        <v>295</v>
      </c>
      <c r="G186" s="88" t="n">
        <v>1</v>
      </c>
      <c r="H186" s="84" t="s">
        <v>61</v>
      </c>
      <c r="I186" s="80" t="s">
        <v>908</v>
      </c>
      <c r="J186" s="80" t="s">
        <v>909</v>
      </c>
      <c r="K186" s="80" t="s">
        <v>910</v>
      </c>
      <c r="L186" s="80" t="s">
        <v>299</v>
      </c>
      <c r="M186" s="79" t="s">
        <v>300</v>
      </c>
      <c r="N186" s="80" t="s">
        <v>301</v>
      </c>
      <c r="O186" s="85" t="n">
        <v>46132</v>
      </c>
      <c r="P186" s="101"/>
      <c r="Q186" s="84"/>
      <c r="R186" s="87"/>
      <c r="S186" s="87"/>
    </row>
    <row r="187" s="77" customFormat="true" ht="30" hidden="false" customHeight="true" outlineLevel="1" collapsed="false">
      <c r="B187" s="78"/>
      <c r="C187" s="79" t="s">
        <v>1055</v>
      </c>
      <c r="D187" s="80" t="s">
        <v>302</v>
      </c>
      <c r="E187" s="82" t="s">
        <v>1048</v>
      </c>
      <c r="F187" s="82" t="s">
        <v>303</v>
      </c>
      <c r="G187" s="88" t="n">
        <v>2</v>
      </c>
      <c r="H187" s="84" t="s">
        <v>61</v>
      </c>
      <c r="I187" s="80" t="s">
        <v>304</v>
      </c>
      <c r="J187" s="80" t="s">
        <v>305</v>
      </c>
      <c r="K187" s="80" t="s">
        <v>306</v>
      </c>
      <c r="L187" s="80" t="s">
        <v>307</v>
      </c>
      <c r="M187" s="79" t="s">
        <v>1056</v>
      </c>
      <c r="N187" s="80" t="s">
        <v>309</v>
      </c>
      <c r="O187" s="85" t="n">
        <v>46132</v>
      </c>
      <c r="P187" s="101"/>
      <c r="Q187" s="84"/>
      <c r="R187" s="87"/>
      <c r="S187" s="87"/>
    </row>
    <row r="188" s="77" customFormat="true" ht="15" hidden="false" customHeight="false" outlineLevel="1" collapsed="false">
      <c r="B188" s="78"/>
      <c r="C188" s="79" t="n">
        <v>243</v>
      </c>
      <c r="D188" s="80" t="s">
        <v>310</v>
      </c>
      <c r="E188" s="82" t="s">
        <v>1048</v>
      </c>
      <c r="F188" s="82" t="s">
        <v>311</v>
      </c>
      <c r="G188" s="88" t="n">
        <v>1</v>
      </c>
      <c r="H188" s="84" t="s">
        <v>152</v>
      </c>
      <c r="I188" s="80" t="s">
        <v>312</v>
      </c>
      <c r="J188" s="80" t="s">
        <v>313</v>
      </c>
      <c r="K188" s="80" t="s">
        <v>314</v>
      </c>
      <c r="L188" s="80" t="s">
        <v>315</v>
      </c>
      <c r="M188" s="79" t="s">
        <v>316</v>
      </c>
      <c r="N188" s="80" t="s">
        <v>317</v>
      </c>
      <c r="O188" s="85" t="n">
        <v>46132</v>
      </c>
      <c r="P188" s="101"/>
      <c r="Q188" s="84"/>
      <c r="R188" s="87"/>
      <c r="S188" s="87"/>
    </row>
    <row r="189" s="77" customFormat="true" ht="15" hidden="false" customHeight="false" outlineLevel="1" collapsed="false">
      <c r="B189" s="78"/>
      <c r="C189" s="79" t="n">
        <v>244</v>
      </c>
      <c r="D189" s="80" t="s">
        <v>326</v>
      </c>
      <c r="E189" s="82" t="s">
        <v>1048</v>
      </c>
      <c r="F189" s="82" t="s">
        <v>327</v>
      </c>
      <c r="G189" s="88" t="n">
        <v>1</v>
      </c>
      <c r="H189" s="84" t="s">
        <v>152</v>
      </c>
      <c r="I189" s="80" t="s">
        <v>328</v>
      </c>
      <c r="J189" s="80" t="s">
        <v>329</v>
      </c>
      <c r="K189" s="80" t="s">
        <v>330</v>
      </c>
      <c r="L189" s="80" t="s">
        <v>331</v>
      </c>
      <c r="M189" s="79" t="s">
        <v>332</v>
      </c>
      <c r="N189" s="80" t="s">
        <v>333</v>
      </c>
      <c r="O189" s="85" t="n">
        <v>46132</v>
      </c>
      <c r="P189" s="101"/>
      <c r="Q189" s="84"/>
      <c r="R189" s="87"/>
      <c r="S189" s="87"/>
    </row>
    <row r="190" s="77" customFormat="true" ht="15" hidden="false" customHeight="false" outlineLevel="1" collapsed="false">
      <c r="B190" s="78"/>
      <c r="C190" s="79" t="n">
        <v>245</v>
      </c>
      <c r="D190" s="80" t="s">
        <v>334</v>
      </c>
      <c r="E190" s="82" t="s">
        <v>1048</v>
      </c>
      <c r="F190" s="82" t="s">
        <v>335</v>
      </c>
      <c r="G190" s="88" t="n">
        <v>1</v>
      </c>
      <c r="H190" s="84" t="s">
        <v>61</v>
      </c>
      <c r="I190" s="80" t="s">
        <v>336</v>
      </c>
      <c r="J190" s="80" t="s">
        <v>337</v>
      </c>
      <c r="K190" s="80" t="s">
        <v>338</v>
      </c>
      <c r="L190" s="80" t="s">
        <v>339</v>
      </c>
      <c r="M190" s="79" t="s">
        <v>543</v>
      </c>
      <c r="N190" s="80" t="s">
        <v>341</v>
      </c>
      <c r="O190" s="85" t="n">
        <v>46132</v>
      </c>
      <c r="P190" s="101"/>
      <c r="Q190" s="84"/>
      <c r="R190" s="87"/>
      <c r="S190" s="87"/>
    </row>
    <row r="191" s="77" customFormat="true" ht="15" hidden="false" customHeight="false" outlineLevel="1" collapsed="false">
      <c r="B191" s="78"/>
      <c r="C191" s="79" t="n">
        <v>246</v>
      </c>
      <c r="D191" s="80" t="s">
        <v>342</v>
      </c>
      <c r="E191" s="82" t="s">
        <v>1048</v>
      </c>
      <c r="F191" s="82" t="s">
        <v>343</v>
      </c>
      <c r="G191" s="88" t="n">
        <v>4</v>
      </c>
      <c r="H191" s="84" t="s">
        <v>24</v>
      </c>
      <c r="I191" s="80" t="s">
        <v>344</v>
      </c>
      <c r="J191" s="80" t="s">
        <v>345</v>
      </c>
      <c r="K191" s="80" t="s">
        <v>346</v>
      </c>
      <c r="L191" s="80" t="s">
        <v>347</v>
      </c>
      <c r="M191" s="79" t="s">
        <v>348</v>
      </c>
      <c r="N191" s="80" t="s">
        <v>349</v>
      </c>
      <c r="O191" s="85" t="n">
        <v>46132</v>
      </c>
      <c r="P191" s="101"/>
      <c r="Q191" s="84"/>
      <c r="R191" s="87"/>
      <c r="S191" s="87"/>
    </row>
    <row r="192" s="77" customFormat="true" ht="15" hidden="false" customHeight="false" outlineLevel="1" collapsed="false">
      <c r="B192" s="78"/>
      <c r="C192" s="79" t="n">
        <v>247</v>
      </c>
      <c r="D192" s="80" t="s">
        <v>350</v>
      </c>
      <c r="E192" s="82" t="s">
        <v>1048</v>
      </c>
      <c r="F192" s="82" t="s">
        <v>351</v>
      </c>
      <c r="G192" s="88" t="n">
        <v>1</v>
      </c>
      <c r="H192" s="84" t="s">
        <v>152</v>
      </c>
      <c r="I192" s="80" t="s">
        <v>352</v>
      </c>
      <c r="J192" s="80" t="s">
        <v>353</v>
      </c>
      <c r="K192" s="80" t="s">
        <v>354</v>
      </c>
      <c r="L192" s="80" t="s">
        <v>355</v>
      </c>
      <c r="M192" s="79" t="s">
        <v>355</v>
      </c>
      <c r="N192" s="80" t="s">
        <v>356</v>
      </c>
      <c r="O192" s="85" t="n">
        <v>46132</v>
      </c>
      <c r="P192" s="101"/>
      <c r="Q192" s="84"/>
      <c r="R192" s="87"/>
      <c r="S192" s="87"/>
    </row>
    <row r="193" s="77" customFormat="true" ht="15" hidden="false" customHeight="false" outlineLevel="1" collapsed="false">
      <c r="B193" s="78"/>
      <c r="C193" s="79" t="n">
        <v>248</v>
      </c>
      <c r="D193" s="80" t="s">
        <v>802</v>
      </c>
      <c r="E193" s="82" t="s">
        <v>1048</v>
      </c>
      <c r="F193" s="82" t="s">
        <v>803</v>
      </c>
      <c r="G193" s="88" t="n">
        <v>4</v>
      </c>
      <c r="H193" s="84" t="s">
        <v>804</v>
      </c>
      <c r="I193" s="80" t="s">
        <v>805</v>
      </c>
      <c r="J193" s="80" t="s">
        <v>806</v>
      </c>
      <c r="K193" s="78" t="s">
        <v>807</v>
      </c>
      <c r="L193" s="80" t="s">
        <v>808</v>
      </c>
      <c r="M193" s="79" t="s">
        <v>872</v>
      </c>
      <c r="N193" s="80" t="s">
        <v>810</v>
      </c>
      <c r="O193" s="85" t="n">
        <v>46132</v>
      </c>
      <c r="P193" s="101"/>
      <c r="Q193" s="84"/>
      <c r="R193" s="87"/>
      <c r="S193" s="87"/>
    </row>
    <row r="194" s="77" customFormat="true" ht="15" hidden="false" customHeight="false" outlineLevel="1" collapsed="false">
      <c r="B194" s="78"/>
      <c r="C194" s="79" t="n">
        <v>249</v>
      </c>
      <c r="D194" s="80" t="s">
        <v>604</v>
      </c>
      <c r="E194" s="82" t="s">
        <v>1048</v>
      </c>
      <c r="F194" s="82" t="s">
        <v>605</v>
      </c>
      <c r="G194" s="88" t="n">
        <v>1</v>
      </c>
      <c r="H194" s="84" t="s">
        <v>61</v>
      </c>
      <c r="I194" s="80" t="s">
        <v>606</v>
      </c>
      <c r="J194" s="80" t="s">
        <v>607</v>
      </c>
      <c r="K194" s="80" t="s">
        <v>608</v>
      </c>
      <c r="L194" s="80" t="s">
        <v>252</v>
      </c>
      <c r="M194" s="79" t="s">
        <v>609</v>
      </c>
      <c r="N194" s="80" t="s">
        <v>610</v>
      </c>
      <c r="O194" s="85" t="n">
        <v>46132</v>
      </c>
      <c r="P194" s="101"/>
      <c r="Q194" s="84"/>
      <c r="R194" s="87"/>
      <c r="S194" s="87"/>
    </row>
    <row r="195" s="77" customFormat="true" ht="30" hidden="false" customHeight="true" outlineLevel="1" collapsed="false">
      <c r="B195" s="78"/>
      <c r="C195" s="79" t="s">
        <v>1057</v>
      </c>
      <c r="D195" s="80" t="s">
        <v>375</v>
      </c>
      <c r="E195" s="82" t="s">
        <v>1048</v>
      </c>
      <c r="F195" s="82" t="s">
        <v>376</v>
      </c>
      <c r="G195" s="88" t="n">
        <v>5</v>
      </c>
      <c r="H195" s="84" t="s">
        <v>111</v>
      </c>
      <c r="I195" s="80" t="s">
        <v>1058</v>
      </c>
      <c r="J195" s="80" t="s">
        <v>1059</v>
      </c>
      <c r="K195" s="80" t="s">
        <v>1060</v>
      </c>
      <c r="L195" s="80" t="s">
        <v>380</v>
      </c>
      <c r="M195" s="79" t="s">
        <v>1061</v>
      </c>
      <c r="N195" s="80" t="s">
        <v>382</v>
      </c>
      <c r="O195" s="85" t="n">
        <v>46132</v>
      </c>
      <c r="P195" s="101"/>
      <c r="Q195" s="84"/>
      <c r="R195" s="87"/>
      <c r="S195" s="87"/>
    </row>
    <row r="196" s="77" customFormat="true" ht="15" hidden="false" customHeight="false" outlineLevel="1" collapsed="false">
      <c r="B196" s="78"/>
      <c r="C196" s="79" t="n">
        <v>251</v>
      </c>
      <c r="D196" s="80" t="s">
        <v>383</v>
      </c>
      <c r="E196" s="82" t="s">
        <v>1048</v>
      </c>
      <c r="F196" s="82" t="s">
        <v>384</v>
      </c>
      <c r="G196" s="88" t="n">
        <v>1</v>
      </c>
      <c r="H196" s="84" t="s">
        <v>61</v>
      </c>
      <c r="I196" s="80" t="s">
        <v>385</v>
      </c>
      <c r="J196" s="80" t="s">
        <v>386</v>
      </c>
      <c r="K196" s="80" t="s">
        <v>387</v>
      </c>
      <c r="L196" s="80" t="s">
        <v>388</v>
      </c>
      <c r="M196" s="79" t="s">
        <v>389</v>
      </c>
      <c r="N196" s="80" t="s">
        <v>390</v>
      </c>
      <c r="O196" s="85" t="n">
        <v>46132</v>
      </c>
      <c r="P196" s="101"/>
      <c r="Q196" s="84"/>
      <c r="R196" s="87"/>
      <c r="S196" s="87"/>
    </row>
    <row r="197" s="77" customFormat="true" ht="15" hidden="false" customHeight="false" outlineLevel="1" collapsed="false">
      <c r="B197" s="78"/>
      <c r="C197" s="79" t="n">
        <v>252</v>
      </c>
      <c r="D197" s="80" t="s">
        <v>431</v>
      </c>
      <c r="E197" s="80" t="s">
        <v>1048</v>
      </c>
      <c r="F197" s="82" t="s">
        <v>432</v>
      </c>
      <c r="G197" s="88" t="n">
        <v>1</v>
      </c>
      <c r="H197" s="84" t="s">
        <v>152</v>
      </c>
      <c r="I197" s="80" t="s">
        <v>868</v>
      </c>
      <c r="J197" s="80" t="s">
        <v>869</v>
      </c>
      <c r="K197" s="80" t="s">
        <v>870</v>
      </c>
      <c r="L197" s="80" t="s">
        <v>436</v>
      </c>
      <c r="M197" s="79" t="s">
        <v>871</v>
      </c>
      <c r="N197" s="80" t="s">
        <v>438</v>
      </c>
      <c r="O197" s="85" t="n">
        <v>46132</v>
      </c>
      <c r="P197" s="101"/>
      <c r="Q197" s="84"/>
      <c r="R197" s="87"/>
      <c r="S197" s="87"/>
    </row>
    <row r="198" s="77" customFormat="true" ht="15" hidden="false" customHeight="false" outlineLevel="1" collapsed="false">
      <c r="B198" s="78"/>
      <c r="C198" s="79" t="n">
        <v>253</v>
      </c>
      <c r="D198" s="80" t="s">
        <v>544</v>
      </c>
      <c r="E198" s="82" t="s">
        <v>1048</v>
      </c>
      <c r="F198" s="82" t="s">
        <v>545</v>
      </c>
      <c r="G198" s="88" t="n">
        <v>2</v>
      </c>
      <c r="H198" s="84" t="s">
        <v>24</v>
      </c>
      <c r="I198" s="80" t="s">
        <v>868</v>
      </c>
      <c r="J198" s="80" t="s">
        <v>869</v>
      </c>
      <c r="K198" s="80" t="s">
        <v>870</v>
      </c>
      <c r="L198" s="80" t="s">
        <v>549</v>
      </c>
      <c r="M198" s="79" t="s">
        <v>550</v>
      </c>
      <c r="N198" s="80" t="s">
        <v>551</v>
      </c>
      <c r="O198" s="85" t="n">
        <v>46132</v>
      </c>
      <c r="P198" s="101"/>
      <c r="Q198" s="84"/>
      <c r="R198" s="87"/>
      <c r="S198" s="87"/>
    </row>
    <row r="199" s="77" customFormat="true" ht="15" hidden="false" customHeight="false" outlineLevel="1" collapsed="false">
      <c r="B199" s="78"/>
      <c r="C199" s="79" t="n">
        <v>254</v>
      </c>
      <c r="D199" s="80" t="s">
        <v>571</v>
      </c>
      <c r="E199" s="82" t="s">
        <v>1048</v>
      </c>
      <c r="F199" s="82" t="s">
        <v>572</v>
      </c>
      <c r="G199" s="88" t="n">
        <v>2</v>
      </c>
      <c r="H199" s="84" t="s">
        <v>573</v>
      </c>
      <c r="I199" s="80" t="s">
        <v>868</v>
      </c>
      <c r="J199" s="80" t="s">
        <v>869</v>
      </c>
      <c r="K199" s="80" t="s">
        <v>870</v>
      </c>
      <c r="L199" s="80" t="s">
        <v>577</v>
      </c>
      <c r="M199" s="79" t="s">
        <v>578</v>
      </c>
      <c r="N199" s="80" t="s">
        <v>579</v>
      </c>
      <c r="O199" s="85" t="n">
        <v>46132</v>
      </c>
      <c r="P199" s="101"/>
      <c r="Q199" s="84"/>
      <c r="R199" s="87"/>
      <c r="S199" s="87"/>
    </row>
    <row r="200" s="77" customFormat="true" ht="15" hidden="false" customHeight="false" outlineLevel="1" collapsed="false">
      <c r="B200" s="78"/>
      <c r="C200" s="79" t="n">
        <v>255</v>
      </c>
      <c r="D200" s="80" t="s">
        <v>596</v>
      </c>
      <c r="E200" s="82" t="s">
        <v>1048</v>
      </c>
      <c r="F200" s="82" t="s">
        <v>597</v>
      </c>
      <c r="G200" s="88" t="n">
        <v>1</v>
      </c>
      <c r="H200" s="84" t="s">
        <v>61</v>
      </c>
      <c r="I200" s="80" t="s">
        <v>598</v>
      </c>
      <c r="J200" s="80" t="s">
        <v>599</v>
      </c>
      <c r="K200" s="80" t="s">
        <v>600</v>
      </c>
      <c r="L200" s="80" t="s">
        <v>601</v>
      </c>
      <c r="M200" s="79" t="s">
        <v>602</v>
      </c>
      <c r="N200" s="80" t="s">
        <v>603</v>
      </c>
      <c r="O200" s="85" t="n">
        <v>46132</v>
      </c>
      <c r="P200" s="101"/>
      <c r="Q200" s="84"/>
      <c r="R200" s="87"/>
      <c r="S200" s="87"/>
    </row>
    <row r="201" s="77" customFormat="true" ht="15" hidden="false" customHeight="false" outlineLevel="1" collapsed="false">
      <c r="B201" s="78"/>
      <c r="C201" s="79" t="n">
        <v>256</v>
      </c>
      <c r="D201" s="80" t="s">
        <v>588</v>
      </c>
      <c r="E201" s="82" t="s">
        <v>1048</v>
      </c>
      <c r="F201" s="82" t="s">
        <v>589</v>
      </c>
      <c r="G201" s="88" t="n">
        <v>1</v>
      </c>
      <c r="H201" s="84" t="s">
        <v>24</v>
      </c>
      <c r="I201" s="80" t="s">
        <v>590</v>
      </c>
      <c r="J201" s="80" t="s">
        <v>591</v>
      </c>
      <c r="K201" s="80" t="s">
        <v>592</v>
      </c>
      <c r="L201" s="80" t="s">
        <v>593</v>
      </c>
      <c r="M201" s="79" t="s">
        <v>594</v>
      </c>
      <c r="N201" s="80" t="s">
        <v>595</v>
      </c>
      <c r="O201" s="85" t="n">
        <v>46132</v>
      </c>
      <c r="P201" s="101"/>
      <c r="Q201" s="84"/>
      <c r="R201" s="87"/>
      <c r="S201" s="87"/>
    </row>
    <row r="202" s="77" customFormat="true" ht="30" hidden="false" customHeight="true" outlineLevel="1" collapsed="false">
      <c r="B202" s="78"/>
      <c r="C202" s="79" t="n">
        <v>257</v>
      </c>
      <c r="D202" s="80" t="s">
        <v>478</v>
      </c>
      <c r="E202" s="82" t="s">
        <v>1048</v>
      </c>
      <c r="F202" s="82" t="s">
        <v>479</v>
      </c>
      <c r="G202" s="88" t="n">
        <v>1</v>
      </c>
      <c r="H202" s="84" t="s">
        <v>111</v>
      </c>
      <c r="I202" s="80" t="s">
        <v>480</v>
      </c>
      <c r="J202" s="80" t="s">
        <v>481</v>
      </c>
      <c r="K202" s="80" t="s">
        <v>482</v>
      </c>
      <c r="L202" s="80" t="s">
        <v>483</v>
      </c>
      <c r="M202" s="79" t="s">
        <v>1062</v>
      </c>
      <c r="N202" s="80" t="s">
        <v>485</v>
      </c>
      <c r="O202" s="85" t="n">
        <v>46132</v>
      </c>
      <c r="P202" s="101"/>
      <c r="Q202" s="84"/>
      <c r="R202" s="87"/>
      <c r="S202" s="87"/>
    </row>
    <row r="203" s="77" customFormat="true" ht="15" hidden="false" customHeight="false" outlineLevel="1" collapsed="false">
      <c r="B203" s="78"/>
      <c r="C203" s="79" t="n">
        <v>258</v>
      </c>
      <c r="D203" s="80" t="s">
        <v>494</v>
      </c>
      <c r="E203" s="82" t="s">
        <v>1048</v>
      </c>
      <c r="F203" s="82" t="s">
        <v>495</v>
      </c>
      <c r="G203" s="88" t="n">
        <v>1</v>
      </c>
      <c r="H203" s="84" t="s">
        <v>61</v>
      </c>
      <c r="I203" s="80" t="s">
        <v>496</v>
      </c>
      <c r="J203" s="80" t="s">
        <v>497</v>
      </c>
      <c r="K203" s="80" t="s">
        <v>498</v>
      </c>
      <c r="L203" s="80" t="s">
        <v>499</v>
      </c>
      <c r="M203" s="79" t="s">
        <v>500</v>
      </c>
      <c r="N203" s="80" t="s">
        <v>501</v>
      </c>
      <c r="O203" s="85" t="n">
        <v>46132</v>
      </c>
      <c r="P203" s="101"/>
      <c r="Q203" s="84"/>
      <c r="R203" s="87"/>
      <c r="S203" s="87"/>
    </row>
    <row r="204" s="77" customFormat="true" ht="15" hidden="false" customHeight="false" outlineLevel="1" collapsed="false">
      <c r="B204" s="78"/>
      <c r="C204" s="79" t="n">
        <v>259</v>
      </c>
      <c r="D204" s="80" t="s">
        <v>502</v>
      </c>
      <c r="E204" s="82" t="s">
        <v>1048</v>
      </c>
      <c r="F204" s="82" t="s">
        <v>503</v>
      </c>
      <c r="G204" s="88" t="n">
        <v>1</v>
      </c>
      <c r="H204" s="84" t="s">
        <v>61</v>
      </c>
      <c r="I204" s="80" t="s">
        <v>504</v>
      </c>
      <c r="J204" s="80" t="s">
        <v>505</v>
      </c>
      <c r="K204" s="80" t="s">
        <v>506</v>
      </c>
      <c r="L204" s="80" t="s">
        <v>283</v>
      </c>
      <c r="M204" s="79" t="s">
        <v>284</v>
      </c>
      <c r="N204" s="80" t="s">
        <v>507</v>
      </c>
      <c r="O204" s="85" t="n">
        <v>46132</v>
      </c>
      <c r="P204" s="101"/>
      <c r="Q204" s="84"/>
      <c r="R204" s="87"/>
      <c r="S204" s="87"/>
    </row>
    <row r="205" s="77" customFormat="true" ht="15" hidden="false" customHeight="false" outlineLevel="1" collapsed="false">
      <c r="B205" s="78"/>
      <c r="C205" s="79" t="n">
        <v>260</v>
      </c>
      <c r="D205" s="80" t="s">
        <v>508</v>
      </c>
      <c r="E205" s="82" t="s">
        <v>1048</v>
      </c>
      <c r="F205" s="82" t="s">
        <v>509</v>
      </c>
      <c r="G205" s="88" t="n">
        <v>8</v>
      </c>
      <c r="H205" s="84" t="s">
        <v>61</v>
      </c>
      <c r="I205" s="80" t="s">
        <v>510</v>
      </c>
      <c r="J205" s="80" t="s">
        <v>511</v>
      </c>
      <c r="K205" s="80" t="s">
        <v>512</v>
      </c>
      <c r="L205" s="80" t="s">
        <v>513</v>
      </c>
      <c r="M205" s="79" t="s">
        <v>514</v>
      </c>
      <c r="N205" s="80" t="s">
        <v>515</v>
      </c>
      <c r="O205" s="85" t="n">
        <v>46132</v>
      </c>
      <c r="P205" s="101"/>
      <c r="Q205" s="84"/>
      <c r="R205" s="87"/>
      <c r="S205" s="87"/>
    </row>
    <row r="206" s="77" customFormat="true" ht="15" hidden="false" customHeight="false" outlineLevel="1" collapsed="false">
      <c r="B206" s="78"/>
      <c r="C206" s="79" t="n">
        <v>261</v>
      </c>
      <c r="D206" s="80" t="s">
        <v>516</v>
      </c>
      <c r="E206" s="82" t="s">
        <v>1048</v>
      </c>
      <c r="F206" s="92" t="s">
        <v>517</v>
      </c>
      <c r="G206" s="88" t="n">
        <v>1</v>
      </c>
      <c r="H206" s="84" t="s">
        <v>61</v>
      </c>
      <c r="I206" s="80" t="s">
        <v>518</v>
      </c>
      <c r="J206" s="80" t="s">
        <v>519</v>
      </c>
      <c r="K206" s="80" t="s">
        <v>520</v>
      </c>
      <c r="L206" s="80" t="s">
        <v>521</v>
      </c>
      <c r="M206" s="79" t="s">
        <v>522</v>
      </c>
      <c r="N206" s="80" t="s">
        <v>523</v>
      </c>
      <c r="O206" s="85" t="n">
        <v>46132</v>
      </c>
      <c r="P206" s="101"/>
      <c r="Q206" s="84"/>
      <c r="R206" s="87"/>
      <c r="S206" s="87"/>
    </row>
    <row r="207" s="77" customFormat="true" ht="15" hidden="false" customHeight="false" outlineLevel="1" collapsed="false">
      <c r="B207" s="78"/>
      <c r="C207" s="79" t="n">
        <v>262</v>
      </c>
      <c r="D207" s="80" t="s">
        <v>644</v>
      </c>
      <c r="E207" s="82" t="s">
        <v>1048</v>
      </c>
      <c r="F207" s="82" t="s">
        <v>645</v>
      </c>
      <c r="G207" s="88" t="n">
        <v>1</v>
      </c>
      <c r="H207" s="84" t="s">
        <v>61</v>
      </c>
      <c r="I207" s="80" t="s">
        <v>646</v>
      </c>
      <c r="J207" s="80" t="s">
        <v>647</v>
      </c>
      <c r="K207" s="80" t="s">
        <v>648</v>
      </c>
      <c r="L207" s="80" t="s">
        <v>649</v>
      </c>
      <c r="M207" s="79" t="s">
        <v>650</v>
      </c>
      <c r="N207" s="80"/>
      <c r="O207" s="85" t="n">
        <v>46132</v>
      </c>
      <c r="P207" s="101"/>
      <c r="Q207" s="84"/>
      <c r="R207" s="87"/>
      <c r="S207" s="87"/>
    </row>
    <row r="208" s="68" customFormat="true" ht="30" hidden="false" customHeight="true" outlineLevel="0" collapsed="false">
      <c r="B208" s="69"/>
      <c r="C208" s="102"/>
      <c r="D208" s="71"/>
      <c r="E208" s="72" t="s">
        <v>1063</v>
      </c>
      <c r="F208" s="73"/>
      <c r="G208" s="74" t="n">
        <f aca="false">SUM(G209:G242)</f>
        <v>65</v>
      </c>
      <c r="H208" s="76"/>
      <c r="I208" s="76"/>
      <c r="J208" s="90"/>
      <c r="K208" s="74"/>
      <c r="L208" s="69"/>
      <c r="M208" s="102"/>
      <c r="N208" s="69"/>
      <c r="O208" s="69"/>
      <c r="P208" s="69"/>
      <c r="Q208" s="69"/>
      <c r="R208" s="69"/>
      <c r="S208" s="69"/>
    </row>
    <row r="209" s="77" customFormat="true" ht="15" hidden="false" customHeight="false" outlineLevel="1" collapsed="false">
      <c r="B209" s="78"/>
      <c r="C209" s="79" t="n">
        <v>263</v>
      </c>
      <c r="D209" s="80" t="s">
        <v>21</v>
      </c>
      <c r="E209" s="82" t="s">
        <v>1063</v>
      </c>
      <c r="F209" s="82" t="s">
        <v>22</v>
      </c>
      <c r="G209" s="88" t="n">
        <v>1</v>
      </c>
      <c r="H209" s="84" t="s">
        <v>24</v>
      </c>
      <c r="I209" s="80" t="s">
        <v>25</v>
      </c>
      <c r="J209" s="80" t="s">
        <v>26</v>
      </c>
      <c r="K209" s="80" t="s">
        <v>27</v>
      </c>
      <c r="L209" s="80" t="s">
        <v>28</v>
      </c>
      <c r="M209" s="79" t="s">
        <v>29</v>
      </c>
      <c r="N209" s="80" t="s">
        <v>30</v>
      </c>
      <c r="O209" s="85" t="n">
        <v>46160</v>
      </c>
      <c r="P209" s="101"/>
      <c r="Q209" s="84"/>
      <c r="R209" s="87"/>
      <c r="S209" s="87"/>
    </row>
    <row r="210" s="77" customFormat="true" ht="15" hidden="false" customHeight="false" outlineLevel="1" collapsed="false">
      <c r="B210" s="78"/>
      <c r="C210" s="79" t="n">
        <v>264</v>
      </c>
      <c r="D210" s="80" t="s">
        <v>59</v>
      </c>
      <c r="E210" s="82" t="s">
        <v>1063</v>
      </c>
      <c r="F210" s="82" t="s">
        <v>60</v>
      </c>
      <c r="G210" s="88" t="n">
        <v>4</v>
      </c>
      <c r="H210" s="84" t="s">
        <v>61</v>
      </c>
      <c r="I210" s="80" t="s">
        <v>62</v>
      </c>
      <c r="J210" s="80" t="s">
        <v>63</v>
      </c>
      <c r="K210" s="80" t="s">
        <v>64</v>
      </c>
      <c r="L210" s="80" t="s">
        <v>65</v>
      </c>
      <c r="M210" s="79" t="s">
        <v>66</v>
      </c>
      <c r="N210" s="80" t="s">
        <v>67</v>
      </c>
      <c r="O210" s="85" t="n">
        <v>46160</v>
      </c>
      <c r="P210" s="101"/>
      <c r="Q210" s="84"/>
      <c r="R210" s="87"/>
      <c r="S210" s="87"/>
    </row>
    <row r="211" s="77" customFormat="true" ht="15" hidden="false" customHeight="false" outlineLevel="1" collapsed="false">
      <c r="B211" s="78"/>
      <c r="C211" s="79" t="n">
        <v>265</v>
      </c>
      <c r="D211" s="80" t="s">
        <v>75</v>
      </c>
      <c r="E211" s="82" t="s">
        <v>1063</v>
      </c>
      <c r="F211" s="82" t="s">
        <v>76</v>
      </c>
      <c r="G211" s="88" t="n">
        <v>9</v>
      </c>
      <c r="H211" s="84" t="s">
        <v>77</v>
      </c>
      <c r="I211" s="80" t="s">
        <v>78</v>
      </c>
      <c r="J211" s="80" t="s">
        <v>79</v>
      </c>
      <c r="K211" s="80" t="s">
        <v>80</v>
      </c>
      <c r="L211" s="80" t="s">
        <v>81</v>
      </c>
      <c r="M211" s="79" t="s">
        <v>82</v>
      </c>
      <c r="N211" s="80" t="s">
        <v>83</v>
      </c>
      <c r="O211" s="85" t="n">
        <v>46160</v>
      </c>
      <c r="P211" s="101"/>
      <c r="Q211" s="84"/>
      <c r="R211" s="87"/>
      <c r="S211" s="87"/>
    </row>
    <row r="212" s="77" customFormat="true" ht="15" hidden="false" customHeight="false" outlineLevel="1" collapsed="false">
      <c r="B212" s="78"/>
      <c r="C212" s="79" t="n">
        <v>266</v>
      </c>
      <c r="D212" s="80" t="s">
        <v>117</v>
      </c>
      <c r="E212" s="82" t="s">
        <v>1063</v>
      </c>
      <c r="F212" s="82" t="s">
        <v>118</v>
      </c>
      <c r="G212" s="88" t="n">
        <v>1</v>
      </c>
      <c r="H212" s="84" t="s">
        <v>24</v>
      </c>
      <c r="I212" s="80" t="s">
        <v>119</v>
      </c>
      <c r="J212" s="80" t="s">
        <v>120</v>
      </c>
      <c r="K212" s="80" t="s">
        <v>121</v>
      </c>
      <c r="L212" s="80" t="s">
        <v>122</v>
      </c>
      <c r="M212" s="79" t="s">
        <v>123</v>
      </c>
      <c r="N212" s="80" t="s">
        <v>124</v>
      </c>
      <c r="O212" s="85" t="n">
        <v>46160</v>
      </c>
      <c r="P212" s="101"/>
      <c r="Q212" s="84"/>
      <c r="R212" s="87"/>
      <c r="S212" s="87"/>
    </row>
    <row r="213" s="77" customFormat="true" ht="15" hidden="false" customHeight="false" outlineLevel="1" collapsed="false">
      <c r="B213" s="78"/>
      <c r="C213" s="79" t="n">
        <v>267</v>
      </c>
      <c r="D213" s="80" t="s">
        <v>125</v>
      </c>
      <c r="E213" s="82" t="s">
        <v>1063</v>
      </c>
      <c r="F213" s="82" t="s">
        <v>126</v>
      </c>
      <c r="G213" s="88" t="n">
        <v>2</v>
      </c>
      <c r="H213" s="84" t="s">
        <v>127</v>
      </c>
      <c r="I213" s="80" t="s">
        <v>128</v>
      </c>
      <c r="J213" s="80" t="s">
        <v>129</v>
      </c>
      <c r="K213" s="80" t="s">
        <v>130</v>
      </c>
      <c r="L213" s="80" t="s">
        <v>131</v>
      </c>
      <c r="M213" s="79" t="s">
        <v>132</v>
      </c>
      <c r="N213" s="80" t="s">
        <v>133</v>
      </c>
      <c r="O213" s="85" t="n">
        <v>46160</v>
      </c>
      <c r="P213" s="101"/>
      <c r="Q213" s="84"/>
      <c r="R213" s="87"/>
      <c r="S213" s="87"/>
    </row>
    <row r="214" s="77" customFormat="true" ht="15" hidden="false" customHeight="false" outlineLevel="1" collapsed="false">
      <c r="B214" s="78"/>
      <c r="C214" s="79" t="n">
        <v>268</v>
      </c>
      <c r="D214" s="80" t="s">
        <v>554</v>
      </c>
      <c r="E214" s="82" t="s">
        <v>1063</v>
      </c>
      <c r="F214" s="82" t="s">
        <v>555</v>
      </c>
      <c r="G214" s="88" t="n">
        <v>1</v>
      </c>
      <c r="H214" s="84" t="s">
        <v>61</v>
      </c>
      <c r="I214" s="80" t="s">
        <v>556</v>
      </c>
      <c r="J214" s="80" t="s">
        <v>557</v>
      </c>
      <c r="K214" s="80" t="s">
        <v>558</v>
      </c>
      <c r="L214" s="80" t="s">
        <v>559</v>
      </c>
      <c r="M214" s="79" t="s">
        <v>560</v>
      </c>
      <c r="N214" s="80" t="s">
        <v>561</v>
      </c>
      <c r="O214" s="85" t="n">
        <v>46160</v>
      </c>
      <c r="P214" s="101"/>
      <c r="Q214" s="84"/>
      <c r="R214" s="87"/>
      <c r="S214" s="87"/>
    </row>
    <row r="215" s="77" customFormat="true" ht="15" hidden="false" customHeight="false" outlineLevel="1" collapsed="false">
      <c r="B215" s="78"/>
      <c r="C215" s="79" t="n">
        <v>269</v>
      </c>
      <c r="D215" s="80" t="s">
        <v>150</v>
      </c>
      <c r="E215" s="82" t="s">
        <v>1063</v>
      </c>
      <c r="F215" s="82" t="s">
        <v>151</v>
      </c>
      <c r="G215" s="88" t="n">
        <v>1</v>
      </c>
      <c r="H215" s="84" t="s">
        <v>152</v>
      </c>
      <c r="I215" s="80" t="s">
        <v>153</v>
      </c>
      <c r="J215" s="80" t="s">
        <v>154</v>
      </c>
      <c r="K215" s="80" t="s">
        <v>155</v>
      </c>
      <c r="L215" s="80" t="s">
        <v>156</v>
      </c>
      <c r="M215" s="79" t="s">
        <v>157</v>
      </c>
      <c r="N215" s="80" t="s">
        <v>158</v>
      </c>
      <c r="O215" s="85" t="n">
        <v>46160</v>
      </c>
      <c r="P215" s="101"/>
      <c r="Q215" s="84"/>
      <c r="R215" s="87"/>
      <c r="S215" s="87"/>
    </row>
    <row r="216" s="77" customFormat="true" ht="15" hidden="false" customHeight="false" outlineLevel="1" collapsed="false">
      <c r="B216" s="78"/>
      <c r="C216" s="79" t="n">
        <v>270</v>
      </c>
      <c r="D216" s="80" t="s">
        <v>166</v>
      </c>
      <c r="E216" s="82" t="s">
        <v>1063</v>
      </c>
      <c r="F216" s="82" t="s">
        <v>167</v>
      </c>
      <c r="G216" s="88" t="n">
        <v>4</v>
      </c>
      <c r="H216" s="84" t="s">
        <v>61</v>
      </c>
      <c r="I216" s="80" t="s">
        <v>168</v>
      </c>
      <c r="J216" s="80" t="s">
        <v>169</v>
      </c>
      <c r="K216" s="80" t="s">
        <v>170</v>
      </c>
      <c r="L216" s="80" t="s">
        <v>171</v>
      </c>
      <c r="M216" s="79" t="s">
        <v>172</v>
      </c>
      <c r="N216" s="80" t="s">
        <v>173</v>
      </c>
      <c r="O216" s="85" t="n">
        <v>46160</v>
      </c>
      <c r="P216" s="101"/>
      <c r="Q216" s="84"/>
      <c r="R216" s="87"/>
      <c r="S216" s="87"/>
    </row>
    <row r="217" s="77" customFormat="true" ht="15" hidden="false" customHeight="false" outlineLevel="1" collapsed="false">
      <c r="B217" s="78"/>
      <c r="C217" s="79" t="n">
        <v>271</v>
      </c>
      <c r="D217" s="80" t="s">
        <v>198</v>
      </c>
      <c r="E217" s="82" t="s">
        <v>1063</v>
      </c>
      <c r="F217" s="82" t="s">
        <v>199</v>
      </c>
      <c r="G217" s="88" t="n">
        <v>2</v>
      </c>
      <c r="H217" s="84" t="s">
        <v>200</v>
      </c>
      <c r="I217" s="80" t="s">
        <v>201</v>
      </c>
      <c r="J217" s="80" t="s">
        <v>202</v>
      </c>
      <c r="K217" s="80" t="s">
        <v>203</v>
      </c>
      <c r="L217" s="80" t="s">
        <v>204</v>
      </c>
      <c r="M217" s="79" t="s">
        <v>205</v>
      </c>
      <c r="N217" s="80" t="s">
        <v>206</v>
      </c>
      <c r="O217" s="85" t="n">
        <v>46160</v>
      </c>
      <c r="P217" s="101"/>
      <c r="Q217" s="84"/>
      <c r="R217" s="87"/>
      <c r="S217" s="87"/>
    </row>
    <row r="218" s="77" customFormat="true" ht="30" hidden="false" customHeight="true" outlineLevel="1" collapsed="false">
      <c r="B218" s="78"/>
      <c r="C218" s="79" t="s">
        <v>1064</v>
      </c>
      <c r="D218" s="80" t="s">
        <v>231</v>
      </c>
      <c r="E218" s="82" t="s">
        <v>1063</v>
      </c>
      <c r="F218" s="82" t="s">
        <v>232</v>
      </c>
      <c r="G218" s="88" t="n">
        <v>2</v>
      </c>
      <c r="H218" s="84" t="s">
        <v>61</v>
      </c>
      <c r="I218" s="80" t="s">
        <v>702</v>
      </c>
      <c r="J218" s="80" t="s">
        <v>703</v>
      </c>
      <c r="K218" s="80" t="s">
        <v>704</v>
      </c>
      <c r="L218" s="80" t="s">
        <v>236</v>
      </c>
      <c r="M218" s="79" t="s">
        <v>838</v>
      </c>
      <c r="N218" s="80" t="s">
        <v>238</v>
      </c>
      <c r="O218" s="85" t="n">
        <v>46160</v>
      </c>
      <c r="P218" s="101"/>
      <c r="Q218" s="84"/>
      <c r="R218" s="87"/>
      <c r="S218" s="87"/>
    </row>
    <row r="219" s="77" customFormat="true" ht="15" hidden="false" customHeight="false" outlineLevel="1" collapsed="false">
      <c r="B219" s="78"/>
      <c r="C219" s="79" t="n">
        <v>273</v>
      </c>
      <c r="D219" s="80" t="s">
        <v>239</v>
      </c>
      <c r="E219" s="82" t="s">
        <v>1063</v>
      </c>
      <c r="F219" s="82" t="s">
        <v>240</v>
      </c>
      <c r="G219" s="88" t="n">
        <v>1</v>
      </c>
      <c r="H219" s="84" t="s">
        <v>24</v>
      </c>
      <c r="I219" s="80" t="s">
        <v>241</v>
      </c>
      <c r="J219" s="80" t="s">
        <v>242</v>
      </c>
      <c r="K219" s="80" t="s">
        <v>243</v>
      </c>
      <c r="L219" s="80" t="s">
        <v>244</v>
      </c>
      <c r="M219" s="79" t="s">
        <v>714</v>
      </c>
      <c r="N219" s="80" t="s">
        <v>246</v>
      </c>
      <c r="O219" s="85" t="n">
        <v>46160</v>
      </c>
      <c r="P219" s="101"/>
      <c r="Q219" s="84"/>
      <c r="R219" s="87"/>
      <c r="S219" s="87"/>
    </row>
    <row r="220" s="77" customFormat="true" ht="15" hidden="false" customHeight="false" outlineLevel="1" collapsed="false">
      <c r="B220" s="78"/>
      <c r="C220" s="79" t="n">
        <v>274</v>
      </c>
      <c r="D220" s="80" t="s">
        <v>247</v>
      </c>
      <c r="E220" s="82" t="s">
        <v>1063</v>
      </c>
      <c r="F220" s="82" t="s">
        <v>248</v>
      </c>
      <c r="G220" s="88" t="n">
        <v>1</v>
      </c>
      <c r="H220" s="84" t="s">
        <v>61</v>
      </c>
      <c r="I220" s="80" t="s">
        <v>1065</v>
      </c>
      <c r="J220" s="80" t="s">
        <v>1066</v>
      </c>
      <c r="K220" s="78" t="s">
        <v>1067</v>
      </c>
      <c r="L220" s="80" t="s">
        <v>252</v>
      </c>
      <c r="M220" s="79" t="s">
        <v>531</v>
      </c>
      <c r="N220" s="80" t="s">
        <v>254</v>
      </c>
      <c r="O220" s="85" t="n">
        <v>46160</v>
      </c>
      <c r="P220" s="101"/>
      <c r="Q220" s="84"/>
      <c r="R220" s="87"/>
      <c r="S220" s="87"/>
    </row>
    <row r="221" s="77" customFormat="true" ht="15" hidden="false" customHeight="false" outlineLevel="1" collapsed="false">
      <c r="B221" s="78"/>
      <c r="C221" s="79" t="n">
        <v>275</v>
      </c>
      <c r="D221" s="80" t="s">
        <v>263</v>
      </c>
      <c r="E221" s="82" t="s">
        <v>1063</v>
      </c>
      <c r="F221" s="82" t="s">
        <v>264</v>
      </c>
      <c r="G221" s="88" t="n">
        <v>3</v>
      </c>
      <c r="H221" s="84" t="s">
        <v>61</v>
      </c>
      <c r="I221" s="80" t="s">
        <v>265</v>
      </c>
      <c r="J221" s="80" t="s">
        <v>266</v>
      </c>
      <c r="K221" s="80" t="s">
        <v>267</v>
      </c>
      <c r="L221" s="80" t="s">
        <v>252</v>
      </c>
      <c r="M221" s="79" t="s">
        <v>268</v>
      </c>
      <c r="N221" s="80" t="s">
        <v>269</v>
      </c>
      <c r="O221" s="85" t="n">
        <v>46160</v>
      </c>
      <c r="P221" s="101"/>
      <c r="Q221" s="84"/>
      <c r="R221" s="87"/>
      <c r="S221" s="87"/>
    </row>
    <row r="222" s="77" customFormat="true" ht="15" hidden="false" customHeight="false" outlineLevel="1" collapsed="false">
      <c r="B222" s="78"/>
      <c r="C222" s="79" t="n">
        <v>276</v>
      </c>
      <c r="D222" s="80" t="s">
        <v>270</v>
      </c>
      <c r="E222" s="82" t="s">
        <v>1063</v>
      </c>
      <c r="F222" s="82" t="s">
        <v>271</v>
      </c>
      <c r="G222" s="88" t="n">
        <v>1</v>
      </c>
      <c r="H222" s="84" t="s">
        <v>61</v>
      </c>
      <c r="I222" s="80" t="s">
        <v>272</v>
      </c>
      <c r="J222" s="80" t="s">
        <v>273</v>
      </c>
      <c r="K222" s="80" t="s">
        <v>274</v>
      </c>
      <c r="L222" s="80" t="s">
        <v>275</v>
      </c>
      <c r="M222" s="79" t="s">
        <v>792</v>
      </c>
      <c r="N222" s="80" t="s">
        <v>277</v>
      </c>
      <c r="O222" s="85" t="n">
        <v>46160</v>
      </c>
      <c r="P222" s="101"/>
      <c r="Q222" s="84"/>
      <c r="R222" s="87"/>
      <c r="S222" s="87"/>
    </row>
    <row r="223" s="77" customFormat="true" ht="15" hidden="false" customHeight="false" outlineLevel="1" collapsed="false">
      <c r="B223" s="78"/>
      <c r="C223" s="79" t="n">
        <v>277</v>
      </c>
      <c r="D223" s="80" t="s">
        <v>294</v>
      </c>
      <c r="E223" s="82" t="s">
        <v>1063</v>
      </c>
      <c r="F223" s="82" t="s">
        <v>295</v>
      </c>
      <c r="G223" s="88" t="n">
        <v>1</v>
      </c>
      <c r="H223" s="84" t="s">
        <v>61</v>
      </c>
      <c r="I223" s="80" t="s">
        <v>908</v>
      </c>
      <c r="J223" s="80" t="s">
        <v>909</v>
      </c>
      <c r="K223" s="80" t="s">
        <v>910</v>
      </c>
      <c r="L223" s="80" t="s">
        <v>299</v>
      </c>
      <c r="M223" s="79" t="s">
        <v>300</v>
      </c>
      <c r="N223" s="80" t="s">
        <v>301</v>
      </c>
      <c r="O223" s="85" t="n">
        <v>46160</v>
      </c>
      <c r="P223" s="101"/>
      <c r="Q223" s="84"/>
      <c r="R223" s="87"/>
      <c r="S223" s="87"/>
    </row>
    <row r="224" s="77" customFormat="true" ht="15" hidden="false" customHeight="false" outlineLevel="1" collapsed="false">
      <c r="B224" s="78"/>
      <c r="C224" s="79" t="n">
        <v>278</v>
      </c>
      <c r="D224" s="80" t="s">
        <v>302</v>
      </c>
      <c r="E224" s="82" t="s">
        <v>1063</v>
      </c>
      <c r="F224" s="82" t="s">
        <v>303</v>
      </c>
      <c r="G224" s="88" t="n">
        <v>4</v>
      </c>
      <c r="H224" s="84" t="s">
        <v>61</v>
      </c>
      <c r="I224" s="80" t="s">
        <v>304</v>
      </c>
      <c r="J224" s="80" t="s">
        <v>305</v>
      </c>
      <c r="K224" s="80" t="s">
        <v>306</v>
      </c>
      <c r="L224" s="80" t="s">
        <v>307</v>
      </c>
      <c r="M224" s="79" t="s">
        <v>526</v>
      </c>
      <c r="N224" s="80" t="s">
        <v>309</v>
      </c>
      <c r="O224" s="85" t="n">
        <v>46160</v>
      </c>
      <c r="P224" s="101"/>
      <c r="Q224" s="84"/>
      <c r="R224" s="87"/>
      <c r="S224" s="87"/>
    </row>
    <row r="225" s="77" customFormat="true" ht="15" hidden="false" customHeight="false" outlineLevel="1" collapsed="false">
      <c r="B225" s="78"/>
      <c r="C225" s="79" t="n">
        <v>279</v>
      </c>
      <c r="D225" s="80" t="s">
        <v>326</v>
      </c>
      <c r="E225" s="82" t="s">
        <v>1063</v>
      </c>
      <c r="F225" s="82" t="s">
        <v>327</v>
      </c>
      <c r="G225" s="88" t="n">
        <v>3</v>
      </c>
      <c r="H225" s="84" t="s">
        <v>152</v>
      </c>
      <c r="I225" s="80" t="s">
        <v>328</v>
      </c>
      <c r="J225" s="80" t="s">
        <v>329</v>
      </c>
      <c r="K225" s="80" t="s">
        <v>330</v>
      </c>
      <c r="L225" s="80" t="s">
        <v>331</v>
      </c>
      <c r="M225" s="79" t="s">
        <v>332</v>
      </c>
      <c r="N225" s="80" t="s">
        <v>333</v>
      </c>
      <c r="O225" s="85" t="n">
        <v>46160</v>
      </c>
      <c r="P225" s="101"/>
      <c r="Q225" s="84"/>
      <c r="R225" s="87"/>
      <c r="S225" s="87"/>
    </row>
    <row r="226" s="77" customFormat="true" ht="15" hidden="false" customHeight="false" outlineLevel="1" collapsed="false">
      <c r="B226" s="78"/>
      <c r="C226" s="79" t="n">
        <v>280</v>
      </c>
      <c r="D226" s="80" t="s">
        <v>342</v>
      </c>
      <c r="E226" s="82" t="s">
        <v>1063</v>
      </c>
      <c r="F226" s="82" t="s">
        <v>343</v>
      </c>
      <c r="G226" s="88" t="n">
        <v>1</v>
      </c>
      <c r="H226" s="84" t="s">
        <v>24</v>
      </c>
      <c r="I226" s="80" t="s">
        <v>344</v>
      </c>
      <c r="J226" s="80" t="s">
        <v>345</v>
      </c>
      <c r="K226" s="80" t="s">
        <v>346</v>
      </c>
      <c r="L226" s="80" t="s">
        <v>347</v>
      </c>
      <c r="M226" s="79" t="s">
        <v>348</v>
      </c>
      <c r="N226" s="80" t="s">
        <v>349</v>
      </c>
      <c r="O226" s="85" t="n">
        <v>46160</v>
      </c>
      <c r="P226" s="101"/>
      <c r="Q226" s="84"/>
      <c r="R226" s="87"/>
      <c r="S226" s="87"/>
    </row>
    <row r="227" s="77" customFormat="true" ht="15" hidden="false" customHeight="false" outlineLevel="1" collapsed="false">
      <c r="B227" s="78"/>
      <c r="C227" s="79" t="n">
        <v>281</v>
      </c>
      <c r="D227" s="80" t="s">
        <v>350</v>
      </c>
      <c r="E227" s="82" t="s">
        <v>1063</v>
      </c>
      <c r="F227" s="82" t="s">
        <v>351</v>
      </c>
      <c r="G227" s="88" t="n">
        <v>1</v>
      </c>
      <c r="H227" s="84" t="s">
        <v>152</v>
      </c>
      <c r="I227" s="80" t="s">
        <v>352</v>
      </c>
      <c r="J227" s="80" t="s">
        <v>353</v>
      </c>
      <c r="K227" s="80" t="s">
        <v>354</v>
      </c>
      <c r="L227" s="80" t="s">
        <v>355</v>
      </c>
      <c r="M227" s="79" t="s">
        <v>355</v>
      </c>
      <c r="N227" s="80" t="s">
        <v>356</v>
      </c>
      <c r="O227" s="85" t="n">
        <v>46160</v>
      </c>
      <c r="P227" s="101"/>
      <c r="Q227" s="84"/>
      <c r="R227" s="87"/>
      <c r="S227" s="87"/>
    </row>
    <row r="228" s="77" customFormat="true" ht="15" hidden="false" customHeight="false" outlineLevel="1" collapsed="false">
      <c r="B228" s="78"/>
      <c r="C228" s="79" t="n">
        <v>282</v>
      </c>
      <c r="D228" s="80" t="s">
        <v>802</v>
      </c>
      <c r="E228" s="82" t="s">
        <v>1063</v>
      </c>
      <c r="F228" s="82" t="s">
        <v>803</v>
      </c>
      <c r="G228" s="88" t="n">
        <v>4</v>
      </c>
      <c r="H228" s="84" t="s">
        <v>804</v>
      </c>
      <c r="I228" s="80" t="s">
        <v>805</v>
      </c>
      <c r="J228" s="80" t="s">
        <v>806</v>
      </c>
      <c r="K228" s="78" t="s">
        <v>807</v>
      </c>
      <c r="L228" s="80" t="s">
        <v>808</v>
      </c>
      <c r="M228" s="79" t="s">
        <v>872</v>
      </c>
      <c r="N228" s="80" t="s">
        <v>810</v>
      </c>
      <c r="O228" s="85" t="n">
        <v>46160</v>
      </c>
      <c r="P228" s="101"/>
      <c r="Q228" s="84"/>
      <c r="R228" s="87"/>
      <c r="S228" s="87"/>
    </row>
    <row r="229" s="77" customFormat="true" ht="15" hidden="false" customHeight="false" outlineLevel="1" collapsed="false">
      <c r="B229" s="78"/>
      <c r="C229" s="79" t="n">
        <v>283</v>
      </c>
      <c r="D229" s="80" t="s">
        <v>357</v>
      </c>
      <c r="E229" s="82" t="s">
        <v>1063</v>
      </c>
      <c r="F229" s="82" t="s">
        <v>358</v>
      </c>
      <c r="G229" s="88" t="n">
        <v>1</v>
      </c>
      <c r="H229" s="84" t="s">
        <v>359</v>
      </c>
      <c r="I229" s="80" t="s">
        <v>360</v>
      </c>
      <c r="J229" s="80" t="s">
        <v>361</v>
      </c>
      <c r="K229" s="80" t="s">
        <v>362</v>
      </c>
      <c r="L229" s="80" t="s">
        <v>363</v>
      </c>
      <c r="M229" s="79" t="s">
        <v>364</v>
      </c>
      <c r="N229" s="80" t="s">
        <v>365</v>
      </c>
      <c r="O229" s="85" t="n">
        <v>46160</v>
      </c>
      <c r="P229" s="101"/>
      <c r="Q229" s="84"/>
      <c r="R229" s="87"/>
      <c r="S229" s="87"/>
    </row>
    <row r="230" s="77" customFormat="true" ht="15" hidden="false" customHeight="false" outlineLevel="1" collapsed="false">
      <c r="B230" s="78"/>
      <c r="C230" s="79" t="n">
        <v>284</v>
      </c>
      <c r="D230" s="80" t="s">
        <v>375</v>
      </c>
      <c r="E230" s="82" t="s">
        <v>1063</v>
      </c>
      <c r="F230" s="82" t="s">
        <v>376</v>
      </c>
      <c r="G230" s="88" t="n">
        <v>3</v>
      </c>
      <c r="H230" s="84" t="s">
        <v>111</v>
      </c>
      <c r="I230" s="80" t="s">
        <v>377</v>
      </c>
      <c r="J230" s="80" t="s">
        <v>378</v>
      </c>
      <c r="K230" s="80" t="s">
        <v>379</v>
      </c>
      <c r="L230" s="80" t="s">
        <v>380</v>
      </c>
      <c r="M230" s="79" t="s">
        <v>381</v>
      </c>
      <c r="N230" s="80" t="s">
        <v>382</v>
      </c>
      <c r="O230" s="85" t="n">
        <v>46160</v>
      </c>
      <c r="P230" s="101"/>
      <c r="Q230" s="84"/>
      <c r="R230" s="87"/>
      <c r="S230" s="87"/>
    </row>
    <row r="231" s="77" customFormat="true" ht="15" hidden="false" customHeight="false" outlineLevel="1" collapsed="false">
      <c r="B231" s="78"/>
      <c r="C231" s="79" t="n">
        <v>285</v>
      </c>
      <c r="D231" s="80" t="s">
        <v>383</v>
      </c>
      <c r="E231" s="82" t="s">
        <v>1063</v>
      </c>
      <c r="F231" s="82" t="s">
        <v>384</v>
      </c>
      <c r="G231" s="88" t="n">
        <v>2</v>
      </c>
      <c r="H231" s="84" t="s">
        <v>61</v>
      </c>
      <c r="I231" s="80" t="s">
        <v>385</v>
      </c>
      <c r="J231" s="80" t="s">
        <v>386</v>
      </c>
      <c r="K231" s="80" t="s">
        <v>387</v>
      </c>
      <c r="L231" s="80" t="s">
        <v>388</v>
      </c>
      <c r="M231" s="79" t="s">
        <v>389</v>
      </c>
      <c r="N231" s="80" t="s">
        <v>390</v>
      </c>
      <c r="O231" s="85" t="n">
        <v>46160</v>
      </c>
      <c r="P231" s="101"/>
      <c r="Q231" s="84"/>
      <c r="R231" s="87"/>
      <c r="S231" s="87"/>
    </row>
    <row r="232" s="77" customFormat="true" ht="30" hidden="false" customHeight="true" outlineLevel="1" collapsed="false">
      <c r="B232" s="78"/>
      <c r="C232" s="79" t="s">
        <v>1068</v>
      </c>
      <c r="D232" s="80" t="s">
        <v>399</v>
      </c>
      <c r="E232" s="82" t="s">
        <v>1063</v>
      </c>
      <c r="F232" s="82" t="s">
        <v>400</v>
      </c>
      <c r="G232" s="88" t="n">
        <v>1</v>
      </c>
      <c r="H232" s="84" t="s">
        <v>152</v>
      </c>
      <c r="I232" s="80" t="s">
        <v>401</v>
      </c>
      <c r="J232" s="80" t="s">
        <v>402</v>
      </c>
      <c r="K232" s="80" t="s">
        <v>403</v>
      </c>
      <c r="L232" s="80" t="s">
        <v>404</v>
      </c>
      <c r="M232" s="79" t="s">
        <v>1069</v>
      </c>
      <c r="N232" s="80" t="s">
        <v>406</v>
      </c>
      <c r="O232" s="85" t="n">
        <v>46160</v>
      </c>
      <c r="P232" s="101"/>
      <c r="Q232" s="84"/>
      <c r="R232" s="87"/>
      <c r="S232" s="87"/>
    </row>
    <row r="233" s="77" customFormat="true" ht="15" hidden="false" customHeight="false" outlineLevel="1" collapsed="false">
      <c r="B233" s="78"/>
      <c r="C233" s="80" t="n">
        <v>287</v>
      </c>
      <c r="D233" s="80" t="s">
        <v>892</v>
      </c>
      <c r="E233" s="82" t="s">
        <v>1063</v>
      </c>
      <c r="F233" s="82" t="s">
        <v>893</v>
      </c>
      <c r="G233" s="88" t="n">
        <v>1</v>
      </c>
      <c r="H233" s="84" t="s">
        <v>61</v>
      </c>
      <c r="I233" s="80" t="s">
        <v>894</v>
      </c>
      <c r="J233" s="80" t="s">
        <v>895</v>
      </c>
      <c r="K233" s="97" t="s">
        <v>896</v>
      </c>
      <c r="L233" s="79" t="s">
        <v>897</v>
      </c>
      <c r="M233" s="80" t="s">
        <v>897</v>
      </c>
      <c r="N233" s="80" t="s">
        <v>898</v>
      </c>
      <c r="O233" s="85" t="n">
        <v>46160</v>
      </c>
      <c r="P233" s="101"/>
      <c r="Q233" s="84"/>
      <c r="R233" s="87"/>
      <c r="S233" s="87"/>
    </row>
    <row r="234" s="77" customFormat="true" ht="15" hidden="false" customHeight="false" outlineLevel="1" collapsed="false">
      <c r="B234" s="78"/>
      <c r="C234" s="79" t="n">
        <v>288</v>
      </c>
      <c r="D234" s="80" t="s">
        <v>431</v>
      </c>
      <c r="E234" s="80" t="s">
        <v>1063</v>
      </c>
      <c r="F234" s="82" t="s">
        <v>432</v>
      </c>
      <c r="G234" s="88" t="n">
        <v>2</v>
      </c>
      <c r="H234" s="84" t="s">
        <v>152</v>
      </c>
      <c r="I234" s="80" t="s">
        <v>868</v>
      </c>
      <c r="J234" s="80" t="s">
        <v>869</v>
      </c>
      <c r="K234" s="80" t="s">
        <v>870</v>
      </c>
      <c r="L234" s="80" t="s">
        <v>436</v>
      </c>
      <c r="M234" s="79" t="s">
        <v>871</v>
      </c>
      <c r="N234" s="80" t="s">
        <v>438</v>
      </c>
      <c r="O234" s="85" t="n">
        <v>46160</v>
      </c>
      <c r="P234" s="101"/>
      <c r="Q234" s="84"/>
      <c r="R234" s="87"/>
      <c r="S234" s="87"/>
    </row>
    <row r="235" s="77" customFormat="true" ht="15" hidden="false" customHeight="false" outlineLevel="1" collapsed="false">
      <c r="B235" s="78"/>
      <c r="C235" s="79" t="n">
        <v>289</v>
      </c>
      <c r="D235" s="80" t="s">
        <v>447</v>
      </c>
      <c r="E235" s="82" t="s">
        <v>1063</v>
      </c>
      <c r="F235" s="82" t="s">
        <v>448</v>
      </c>
      <c r="G235" s="88" t="n">
        <v>1</v>
      </c>
      <c r="H235" s="84" t="s">
        <v>24</v>
      </c>
      <c r="I235" s="80" t="s">
        <v>449</v>
      </c>
      <c r="J235" s="80" t="s">
        <v>450</v>
      </c>
      <c r="K235" s="80" t="s">
        <v>451</v>
      </c>
      <c r="L235" s="80" t="s">
        <v>452</v>
      </c>
      <c r="M235" s="79" t="s">
        <v>453</v>
      </c>
      <c r="N235" s="80" t="s">
        <v>454</v>
      </c>
      <c r="O235" s="85" t="n">
        <v>46160</v>
      </c>
      <c r="P235" s="101"/>
      <c r="Q235" s="84"/>
      <c r="R235" s="87"/>
      <c r="S235" s="87"/>
    </row>
    <row r="236" s="77" customFormat="true" ht="15" hidden="false" customHeight="false" outlineLevel="1" collapsed="false">
      <c r="B236" s="78"/>
      <c r="C236" s="79" t="n">
        <v>290</v>
      </c>
      <c r="D236" s="80" t="s">
        <v>463</v>
      </c>
      <c r="E236" s="82" t="s">
        <v>1063</v>
      </c>
      <c r="F236" s="82" t="s">
        <v>464</v>
      </c>
      <c r="G236" s="88" t="n">
        <v>1</v>
      </c>
      <c r="H236" s="84" t="s">
        <v>152</v>
      </c>
      <c r="I236" s="80" t="s">
        <v>465</v>
      </c>
      <c r="J236" s="80" t="s">
        <v>466</v>
      </c>
      <c r="K236" s="80" t="s">
        <v>467</v>
      </c>
      <c r="L236" s="80" t="s">
        <v>468</v>
      </c>
      <c r="M236" s="79" t="s">
        <v>469</v>
      </c>
      <c r="N236" s="80" t="s">
        <v>470</v>
      </c>
      <c r="O236" s="85" t="n">
        <v>46160</v>
      </c>
      <c r="P236" s="101"/>
      <c r="Q236" s="84"/>
      <c r="R236" s="87"/>
      <c r="S236" s="87"/>
    </row>
    <row r="237" s="77" customFormat="true" ht="15" hidden="false" customHeight="false" outlineLevel="1" collapsed="false">
      <c r="B237" s="78"/>
      <c r="C237" s="79" t="n">
        <v>291</v>
      </c>
      <c r="D237" s="80" t="s">
        <v>471</v>
      </c>
      <c r="E237" s="82" t="s">
        <v>1063</v>
      </c>
      <c r="F237" s="82" t="s">
        <v>472</v>
      </c>
      <c r="G237" s="88" t="n">
        <v>1</v>
      </c>
      <c r="H237" s="84" t="s">
        <v>111</v>
      </c>
      <c r="I237" s="80" t="s">
        <v>473</v>
      </c>
      <c r="J237" s="80" t="s">
        <v>474</v>
      </c>
      <c r="K237" s="80" t="s">
        <v>475</v>
      </c>
      <c r="L237" s="80" t="s">
        <v>476</v>
      </c>
      <c r="M237" s="79" t="s">
        <v>476</v>
      </c>
      <c r="N237" s="80" t="s">
        <v>477</v>
      </c>
      <c r="O237" s="85" t="n">
        <v>46160</v>
      </c>
      <c r="P237" s="101"/>
      <c r="Q237" s="84"/>
      <c r="R237" s="87"/>
      <c r="S237" s="87"/>
    </row>
    <row r="238" s="77" customFormat="true" ht="15" hidden="false" customHeight="false" outlineLevel="1" collapsed="false">
      <c r="B238" s="78"/>
      <c r="C238" s="79" t="n">
        <v>292</v>
      </c>
      <c r="D238" s="80" t="s">
        <v>588</v>
      </c>
      <c r="E238" s="82" t="s">
        <v>1063</v>
      </c>
      <c r="F238" s="82" t="s">
        <v>589</v>
      </c>
      <c r="G238" s="88" t="n">
        <v>1</v>
      </c>
      <c r="H238" s="84" t="s">
        <v>24</v>
      </c>
      <c r="I238" s="80" t="s">
        <v>590</v>
      </c>
      <c r="J238" s="80" t="s">
        <v>591</v>
      </c>
      <c r="K238" s="80" t="s">
        <v>592</v>
      </c>
      <c r="L238" s="80" t="s">
        <v>593</v>
      </c>
      <c r="M238" s="79" t="s">
        <v>594</v>
      </c>
      <c r="N238" s="80" t="s">
        <v>595</v>
      </c>
      <c r="O238" s="85" t="n">
        <v>46160</v>
      </c>
      <c r="P238" s="101"/>
      <c r="Q238" s="84"/>
      <c r="R238" s="87"/>
      <c r="S238" s="87"/>
    </row>
    <row r="239" s="77" customFormat="true" ht="15" hidden="false" customHeight="false" outlineLevel="1" collapsed="false">
      <c r="B239" s="78"/>
      <c r="C239" s="79" t="n">
        <v>293</v>
      </c>
      <c r="D239" s="80" t="s">
        <v>494</v>
      </c>
      <c r="E239" s="82" t="s">
        <v>1063</v>
      </c>
      <c r="F239" s="82" t="s">
        <v>495</v>
      </c>
      <c r="G239" s="88" t="n">
        <v>1</v>
      </c>
      <c r="H239" s="84" t="s">
        <v>61</v>
      </c>
      <c r="I239" s="80" t="s">
        <v>496</v>
      </c>
      <c r="J239" s="80" t="s">
        <v>497</v>
      </c>
      <c r="K239" s="80" t="s">
        <v>498</v>
      </c>
      <c r="L239" s="80" t="s">
        <v>499</v>
      </c>
      <c r="M239" s="79" t="s">
        <v>500</v>
      </c>
      <c r="N239" s="80" t="s">
        <v>501</v>
      </c>
      <c r="O239" s="85" t="n">
        <v>46160</v>
      </c>
      <c r="P239" s="101"/>
      <c r="Q239" s="84"/>
      <c r="R239" s="87"/>
      <c r="S239" s="87"/>
    </row>
    <row r="240" s="77" customFormat="true" ht="15" hidden="false" customHeight="false" outlineLevel="1" collapsed="false">
      <c r="B240" s="78"/>
      <c r="C240" s="79" t="n">
        <v>294</v>
      </c>
      <c r="D240" s="80" t="s">
        <v>502</v>
      </c>
      <c r="E240" s="82" t="s">
        <v>1063</v>
      </c>
      <c r="F240" s="82" t="s">
        <v>503</v>
      </c>
      <c r="G240" s="88" t="n">
        <v>1</v>
      </c>
      <c r="H240" s="84" t="s">
        <v>61</v>
      </c>
      <c r="I240" s="80" t="s">
        <v>504</v>
      </c>
      <c r="J240" s="80" t="s">
        <v>505</v>
      </c>
      <c r="K240" s="80" t="s">
        <v>506</v>
      </c>
      <c r="L240" s="80" t="s">
        <v>283</v>
      </c>
      <c r="M240" s="79" t="s">
        <v>284</v>
      </c>
      <c r="N240" s="80" t="s">
        <v>507</v>
      </c>
      <c r="O240" s="85" t="n">
        <v>46160</v>
      </c>
      <c r="P240" s="101"/>
      <c r="Q240" s="84"/>
      <c r="R240" s="87"/>
      <c r="S240" s="87"/>
    </row>
    <row r="241" s="77" customFormat="true" ht="15" hidden="false" customHeight="false" outlineLevel="1" collapsed="false">
      <c r="B241" s="78"/>
      <c r="C241" s="79" t="n">
        <v>295</v>
      </c>
      <c r="D241" s="80" t="s">
        <v>516</v>
      </c>
      <c r="E241" s="82" t="s">
        <v>1063</v>
      </c>
      <c r="F241" s="92" t="s">
        <v>517</v>
      </c>
      <c r="G241" s="88" t="n">
        <v>1</v>
      </c>
      <c r="H241" s="84" t="s">
        <v>61</v>
      </c>
      <c r="I241" s="80" t="s">
        <v>518</v>
      </c>
      <c r="J241" s="80" t="s">
        <v>519</v>
      </c>
      <c r="K241" s="80" t="s">
        <v>520</v>
      </c>
      <c r="L241" s="80" t="s">
        <v>521</v>
      </c>
      <c r="M241" s="79" t="s">
        <v>522</v>
      </c>
      <c r="N241" s="80" t="s">
        <v>523</v>
      </c>
      <c r="O241" s="85" t="n">
        <v>46160</v>
      </c>
      <c r="P241" s="101"/>
      <c r="Q241" s="84"/>
      <c r="R241" s="87"/>
      <c r="S241" s="87"/>
    </row>
    <row r="242" s="77" customFormat="true" ht="15" hidden="false" customHeight="false" outlineLevel="1" collapsed="false">
      <c r="B242" s="78"/>
      <c r="C242" s="79" t="n">
        <v>296</v>
      </c>
      <c r="D242" s="80" t="s">
        <v>644</v>
      </c>
      <c r="E242" s="82" t="s">
        <v>1063</v>
      </c>
      <c r="F242" s="82" t="s">
        <v>645</v>
      </c>
      <c r="G242" s="88" t="n">
        <v>1</v>
      </c>
      <c r="H242" s="84" t="s">
        <v>61</v>
      </c>
      <c r="I242" s="80" t="s">
        <v>646</v>
      </c>
      <c r="J242" s="80" t="s">
        <v>647</v>
      </c>
      <c r="K242" s="80" t="s">
        <v>648</v>
      </c>
      <c r="L242" s="80" t="s">
        <v>649</v>
      </c>
      <c r="M242" s="79" t="s">
        <v>650</v>
      </c>
      <c r="N242" s="80"/>
      <c r="O242" s="85" t="n">
        <v>46160</v>
      </c>
      <c r="P242" s="101"/>
      <c r="Q242" s="84"/>
      <c r="R242" s="87"/>
      <c r="S242" s="87"/>
    </row>
    <row r="243" s="68" customFormat="true" ht="15" hidden="false" customHeight="false" outlineLevel="0" collapsed="false">
      <c r="B243" s="69"/>
      <c r="C243" s="102"/>
      <c r="D243" s="71"/>
      <c r="E243" s="72" t="s">
        <v>1070</v>
      </c>
      <c r="F243" s="73"/>
      <c r="G243" s="74" t="n">
        <f aca="false">SUM(G244:G258)</f>
        <v>20</v>
      </c>
      <c r="H243" s="76"/>
      <c r="I243" s="90"/>
      <c r="J243" s="74"/>
      <c r="K243" s="69"/>
      <c r="L243" s="69"/>
      <c r="M243" s="102"/>
      <c r="N243" s="69"/>
      <c r="O243" s="69"/>
      <c r="P243" s="69"/>
      <c r="Q243" s="69"/>
      <c r="R243" s="69"/>
      <c r="S243" s="69"/>
    </row>
    <row r="244" s="77" customFormat="true" ht="15" hidden="false" customHeight="false" outlineLevel="2" collapsed="false">
      <c r="B244" s="78"/>
      <c r="C244" s="79" t="n">
        <v>297</v>
      </c>
      <c r="D244" s="80" t="s">
        <v>68</v>
      </c>
      <c r="E244" s="82" t="s">
        <v>1070</v>
      </c>
      <c r="F244" s="82" t="s">
        <v>69</v>
      </c>
      <c r="G244" s="88" t="n">
        <v>1</v>
      </c>
      <c r="H244" s="84" t="s">
        <v>61</v>
      </c>
      <c r="I244" s="80" t="s">
        <v>70</v>
      </c>
      <c r="J244" s="80" t="s">
        <v>71</v>
      </c>
      <c r="K244" s="78" t="s">
        <v>72</v>
      </c>
      <c r="L244" s="80" t="s">
        <v>73</v>
      </c>
      <c r="M244" s="79" t="s">
        <v>73</v>
      </c>
      <c r="N244" s="80" t="s">
        <v>74</v>
      </c>
      <c r="O244" s="85" t="n">
        <v>46167</v>
      </c>
      <c r="P244" s="101"/>
      <c r="Q244" s="84"/>
      <c r="R244" s="87"/>
      <c r="S244" s="87"/>
    </row>
    <row r="245" s="77" customFormat="true" ht="30" hidden="false" customHeight="true" outlineLevel="2" collapsed="false">
      <c r="B245" s="78"/>
      <c r="C245" s="79" t="n">
        <v>298</v>
      </c>
      <c r="D245" s="80" t="s">
        <v>75</v>
      </c>
      <c r="E245" s="82" t="s">
        <v>1070</v>
      </c>
      <c r="F245" s="82" t="s">
        <v>76</v>
      </c>
      <c r="G245" s="88" t="n">
        <v>3</v>
      </c>
      <c r="H245" s="84" t="s">
        <v>77</v>
      </c>
      <c r="I245" s="80" t="s">
        <v>78</v>
      </c>
      <c r="J245" s="80" t="s">
        <v>79</v>
      </c>
      <c r="K245" s="80" t="s">
        <v>80</v>
      </c>
      <c r="L245" s="80" t="s">
        <v>81</v>
      </c>
      <c r="M245" s="79" t="s">
        <v>976</v>
      </c>
      <c r="N245" s="80" t="s">
        <v>83</v>
      </c>
      <c r="O245" s="85" t="n">
        <v>46167</v>
      </c>
      <c r="P245" s="101"/>
      <c r="Q245" s="84"/>
      <c r="R245" s="87"/>
      <c r="S245" s="87"/>
    </row>
    <row r="246" s="77" customFormat="true" ht="15" hidden="false" customHeight="false" outlineLevel="2" collapsed="false">
      <c r="B246" s="78"/>
      <c r="C246" s="79" t="n">
        <v>299</v>
      </c>
      <c r="D246" s="80" t="s">
        <v>94</v>
      </c>
      <c r="E246" s="82" t="s">
        <v>1070</v>
      </c>
      <c r="F246" s="82" t="s">
        <v>95</v>
      </c>
      <c r="G246" s="88" t="n">
        <v>1</v>
      </c>
      <c r="H246" s="84" t="s">
        <v>36</v>
      </c>
      <c r="I246" s="80" t="s">
        <v>96</v>
      </c>
      <c r="J246" s="80" t="s">
        <v>97</v>
      </c>
      <c r="K246" s="80" t="s">
        <v>98</v>
      </c>
      <c r="L246" s="80" t="s">
        <v>99</v>
      </c>
      <c r="M246" s="79" t="s">
        <v>100</v>
      </c>
      <c r="N246" s="80" t="s">
        <v>101</v>
      </c>
      <c r="O246" s="85" t="n">
        <v>46167</v>
      </c>
      <c r="P246" s="101"/>
      <c r="Q246" s="84"/>
      <c r="R246" s="87"/>
      <c r="S246" s="87"/>
    </row>
    <row r="247" s="77" customFormat="true" ht="15" hidden="false" customHeight="false" outlineLevel="2" collapsed="false">
      <c r="B247" s="78"/>
      <c r="C247" s="79" t="n">
        <v>300</v>
      </c>
      <c r="D247" s="80" t="s">
        <v>117</v>
      </c>
      <c r="E247" s="82" t="s">
        <v>1070</v>
      </c>
      <c r="F247" s="82" t="s">
        <v>118</v>
      </c>
      <c r="G247" s="88" t="n">
        <v>1</v>
      </c>
      <c r="H247" s="84" t="s">
        <v>24</v>
      </c>
      <c r="I247" s="80" t="s">
        <v>119</v>
      </c>
      <c r="J247" s="80" t="s">
        <v>120</v>
      </c>
      <c r="K247" s="80" t="s">
        <v>121</v>
      </c>
      <c r="L247" s="80" t="s">
        <v>122</v>
      </c>
      <c r="M247" s="79" t="s">
        <v>123</v>
      </c>
      <c r="N247" s="80" t="s">
        <v>124</v>
      </c>
      <c r="O247" s="85" t="n">
        <v>46167</v>
      </c>
      <c r="P247" s="101"/>
      <c r="Q247" s="84"/>
      <c r="R247" s="87"/>
      <c r="S247" s="87"/>
    </row>
    <row r="248" s="77" customFormat="true" ht="15" hidden="false" customHeight="false" outlineLevel="2" collapsed="false">
      <c r="B248" s="78"/>
      <c r="C248" s="79" t="n">
        <v>301</v>
      </c>
      <c r="D248" s="80" t="s">
        <v>190</v>
      </c>
      <c r="E248" s="82" t="s">
        <v>1070</v>
      </c>
      <c r="F248" s="82" t="s">
        <v>191</v>
      </c>
      <c r="G248" s="88" t="n">
        <v>1</v>
      </c>
      <c r="H248" s="84" t="s">
        <v>24</v>
      </c>
      <c r="I248" s="96" t="s">
        <v>1071</v>
      </c>
      <c r="J248" s="106" t="s">
        <v>1072</v>
      </c>
      <c r="K248" s="78" t="s">
        <v>1073</v>
      </c>
      <c r="L248" s="80" t="s">
        <v>195</v>
      </c>
      <c r="M248" s="79" t="s">
        <v>696</v>
      </c>
      <c r="N248" s="80" t="s">
        <v>197</v>
      </c>
      <c r="O248" s="85" t="n">
        <v>46167</v>
      </c>
      <c r="P248" s="101"/>
      <c r="Q248" s="84"/>
      <c r="R248" s="87"/>
      <c r="S248" s="87"/>
    </row>
    <row r="249" s="77" customFormat="true" ht="15" hidden="false" customHeight="false" outlineLevel="2" collapsed="false">
      <c r="B249" s="78"/>
      <c r="C249" s="79" t="n">
        <v>302</v>
      </c>
      <c r="D249" s="80" t="s">
        <v>198</v>
      </c>
      <c r="E249" s="82" t="s">
        <v>1070</v>
      </c>
      <c r="F249" s="82" t="s">
        <v>199</v>
      </c>
      <c r="G249" s="88" t="n">
        <v>1</v>
      </c>
      <c r="H249" s="84" t="s">
        <v>200</v>
      </c>
      <c r="I249" s="80" t="s">
        <v>201</v>
      </c>
      <c r="J249" s="80" t="s">
        <v>202</v>
      </c>
      <c r="K249" s="80" t="s">
        <v>203</v>
      </c>
      <c r="L249" s="80" t="s">
        <v>204</v>
      </c>
      <c r="M249" s="79" t="s">
        <v>205</v>
      </c>
      <c r="N249" s="80" t="s">
        <v>206</v>
      </c>
      <c r="O249" s="85" t="n">
        <v>46167</v>
      </c>
      <c r="P249" s="101"/>
      <c r="Q249" s="84"/>
      <c r="R249" s="87"/>
      <c r="S249" s="87"/>
    </row>
    <row r="250" s="77" customFormat="true" ht="15" hidden="false" customHeight="false" outlineLevel="2" collapsed="false">
      <c r="B250" s="78"/>
      <c r="C250" s="79" t="n">
        <v>303</v>
      </c>
      <c r="D250" s="80" t="s">
        <v>651</v>
      </c>
      <c r="E250" s="82" t="s">
        <v>1070</v>
      </c>
      <c r="F250" s="82" t="s">
        <v>652</v>
      </c>
      <c r="G250" s="88" t="n">
        <v>1</v>
      </c>
      <c r="H250" s="84" t="s">
        <v>111</v>
      </c>
      <c r="I250" s="80" t="s">
        <v>653</v>
      </c>
      <c r="J250" s="80" t="s">
        <v>654</v>
      </c>
      <c r="K250" s="80" t="s">
        <v>655</v>
      </c>
      <c r="L250" s="80" t="s">
        <v>656</v>
      </c>
      <c r="M250" s="79" t="s">
        <v>657</v>
      </c>
      <c r="N250" s="80" t="s">
        <v>658</v>
      </c>
      <c r="O250" s="85" t="n">
        <v>46167</v>
      </c>
      <c r="P250" s="101"/>
      <c r="Q250" s="84"/>
      <c r="R250" s="87"/>
      <c r="S250" s="87"/>
    </row>
    <row r="251" s="77" customFormat="true" ht="15" hidden="false" customHeight="false" outlineLevel="2" collapsed="false">
      <c r="B251" s="78"/>
      <c r="C251" s="79" t="n">
        <v>304</v>
      </c>
      <c r="D251" s="80" t="s">
        <v>270</v>
      </c>
      <c r="E251" s="82" t="s">
        <v>1070</v>
      </c>
      <c r="F251" s="82" t="s">
        <v>271</v>
      </c>
      <c r="G251" s="88" t="n">
        <v>1</v>
      </c>
      <c r="H251" s="84" t="s">
        <v>61</v>
      </c>
      <c r="I251" s="80" t="s">
        <v>272</v>
      </c>
      <c r="J251" s="80" t="s">
        <v>273</v>
      </c>
      <c r="K251" s="80" t="s">
        <v>274</v>
      </c>
      <c r="L251" s="80" t="s">
        <v>275</v>
      </c>
      <c r="M251" s="79" t="s">
        <v>792</v>
      </c>
      <c r="N251" s="80" t="s">
        <v>277</v>
      </c>
      <c r="O251" s="85" t="n">
        <v>46167</v>
      </c>
      <c r="P251" s="101"/>
      <c r="Q251" s="84"/>
      <c r="R251" s="87"/>
      <c r="S251" s="87"/>
    </row>
    <row r="252" s="77" customFormat="true" ht="15" hidden="false" customHeight="false" outlineLevel="2" collapsed="false">
      <c r="B252" s="78"/>
      <c r="C252" s="79" t="n">
        <v>305</v>
      </c>
      <c r="D252" s="80" t="s">
        <v>294</v>
      </c>
      <c r="E252" s="82" t="s">
        <v>1070</v>
      </c>
      <c r="F252" s="82" t="s">
        <v>295</v>
      </c>
      <c r="G252" s="88" t="n">
        <v>1</v>
      </c>
      <c r="H252" s="84" t="s">
        <v>61</v>
      </c>
      <c r="I252" s="80" t="s">
        <v>908</v>
      </c>
      <c r="J252" s="80" t="s">
        <v>909</v>
      </c>
      <c r="K252" s="80" t="s">
        <v>910</v>
      </c>
      <c r="L252" s="80" t="s">
        <v>299</v>
      </c>
      <c r="M252" s="79" t="s">
        <v>300</v>
      </c>
      <c r="N252" s="80" t="s">
        <v>301</v>
      </c>
      <c r="O252" s="85" t="n">
        <v>46167</v>
      </c>
      <c r="P252" s="101"/>
      <c r="Q252" s="84"/>
      <c r="R252" s="87"/>
      <c r="S252" s="87"/>
    </row>
    <row r="253" s="77" customFormat="true" ht="30" hidden="false" customHeight="true" outlineLevel="2" collapsed="false">
      <c r="B253" s="78"/>
      <c r="C253" s="79" t="s">
        <v>1074</v>
      </c>
      <c r="D253" s="80" t="s">
        <v>802</v>
      </c>
      <c r="E253" s="82" t="s">
        <v>1070</v>
      </c>
      <c r="F253" s="82" t="s">
        <v>803</v>
      </c>
      <c r="G253" s="88" t="n">
        <v>3</v>
      </c>
      <c r="H253" s="84" t="s">
        <v>804</v>
      </c>
      <c r="I253" s="80" t="s">
        <v>874</v>
      </c>
      <c r="J253" s="80" t="s">
        <v>875</v>
      </c>
      <c r="K253" s="80" t="s">
        <v>876</v>
      </c>
      <c r="L253" s="80" t="s">
        <v>808</v>
      </c>
      <c r="M253" s="79" t="s">
        <v>1075</v>
      </c>
      <c r="N253" s="80" t="s">
        <v>810</v>
      </c>
      <c r="O253" s="85" t="n">
        <v>46167</v>
      </c>
      <c r="P253" s="101"/>
      <c r="Q253" s="84"/>
      <c r="R253" s="87"/>
      <c r="S253" s="87"/>
    </row>
    <row r="254" s="77" customFormat="true" ht="15" hidden="false" customHeight="false" outlineLevel="2" collapsed="false">
      <c r="B254" s="78"/>
      <c r="C254" s="79" t="n">
        <v>307</v>
      </c>
      <c r="D254" s="80" t="s">
        <v>375</v>
      </c>
      <c r="E254" s="82" t="s">
        <v>1070</v>
      </c>
      <c r="F254" s="82" t="s">
        <v>376</v>
      </c>
      <c r="G254" s="88" t="n">
        <v>2</v>
      </c>
      <c r="H254" s="84" t="s">
        <v>111</v>
      </c>
      <c r="I254" s="80" t="s">
        <v>377</v>
      </c>
      <c r="J254" s="80" t="s">
        <v>378</v>
      </c>
      <c r="K254" s="80" t="s">
        <v>379</v>
      </c>
      <c r="L254" s="80" t="s">
        <v>380</v>
      </c>
      <c r="M254" s="79" t="s">
        <v>381</v>
      </c>
      <c r="N254" s="80" t="s">
        <v>382</v>
      </c>
      <c r="O254" s="85" t="n">
        <v>46167</v>
      </c>
      <c r="P254" s="101"/>
      <c r="Q254" s="84"/>
      <c r="R254" s="87"/>
      <c r="S254" s="87"/>
    </row>
    <row r="255" s="77" customFormat="true" ht="15" hidden="false" customHeight="false" outlineLevel="2" collapsed="false">
      <c r="B255" s="78"/>
      <c r="C255" s="79" t="n">
        <v>308</v>
      </c>
      <c r="D255" s="80" t="s">
        <v>383</v>
      </c>
      <c r="E255" s="82" t="s">
        <v>1070</v>
      </c>
      <c r="F255" s="82" t="s">
        <v>384</v>
      </c>
      <c r="G255" s="88" t="n">
        <v>1</v>
      </c>
      <c r="H255" s="84" t="s">
        <v>61</v>
      </c>
      <c r="I255" s="80" t="s">
        <v>385</v>
      </c>
      <c r="J255" s="80" t="s">
        <v>386</v>
      </c>
      <c r="K255" s="80" t="s">
        <v>387</v>
      </c>
      <c r="L255" s="80" t="s">
        <v>388</v>
      </c>
      <c r="M255" s="79" t="s">
        <v>389</v>
      </c>
      <c r="N255" s="80" t="s">
        <v>390</v>
      </c>
      <c r="O255" s="85" t="n">
        <v>46167</v>
      </c>
      <c r="P255" s="101"/>
      <c r="Q255" s="84"/>
      <c r="R255" s="87"/>
      <c r="S255" s="87"/>
    </row>
    <row r="256" s="77" customFormat="true" ht="15" hidden="false" customHeight="false" outlineLevel="2" collapsed="false">
      <c r="B256" s="78"/>
      <c r="C256" s="79" t="n">
        <v>309</v>
      </c>
      <c r="D256" s="80" t="s">
        <v>431</v>
      </c>
      <c r="E256" s="80" t="s">
        <v>1070</v>
      </c>
      <c r="F256" s="82" t="s">
        <v>432</v>
      </c>
      <c r="G256" s="88" t="n">
        <v>1</v>
      </c>
      <c r="H256" s="84" t="s">
        <v>152</v>
      </c>
      <c r="I256" s="80" t="s">
        <v>868</v>
      </c>
      <c r="J256" s="80" t="s">
        <v>869</v>
      </c>
      <c r="K256" s="80" t="s">
        <v>870</v>
      </c>
      <c r="L256" s="80" t="s">
        <v>436</v>
      </c>
      <c r="M256" s="79" t="s">
        <v>871</v>
      </c>
      <c r="N256" s="80" t="s">
        <v>438</v>
      </c>
      <c r="O256" s="85" t="n">
        <v>46167</v>
      </c>
      <c r="P256" s="101"/>
      <c r="Q256" s="84"/>
      <c r="R256" s="87"/>
      <c r="S256" s="87"/>
    </row>
    <row r="257" s="77" customFormat="true" ht="15" hidden="false" customHeight="false" outlineLevel="2" collapsed="false">
      <c r="B257" s="78"/>
      <c r="C257" s="79" t="n">
        <v>310</v>
      </c>
      <c r="D257" s="80" t="s">
        <v>463</v>
      </c>
      <c r="E257" s="82" t="s">
        <v>1070</v>
      </c>
      <c r="F257" s="82" t="s">
        <v>464</v>
      </c>
      <c r="G257" s="88" t="n">
        <v>1</v>
      </c>
      <c r="H257" s="84" t="s">
        <v>152</v>
      </c>
      <c r="I257" s="80" t="s">
        <v>465</v>
      </c>
      <c r="J257" s="80" t="s">
        <v>466</v>
      </c>
      <c r="K257" s="80" t="s">
        <v>467</v>
      </c>
      <c r="L257" s="80" t="s">
        <v>468</v>
      </c>
      <c r="M257" s="79" t="s">
        <v>469</v>
      </c>
      <c r="N257" s="80" t="s">
        <v>470</v>
      </c>
      <c r="O257" s="85" t="n">
        <v>46167</v>
      </c>
      <c r="P257" s="101"/>
      <c r="Q257" s="84"/>
      <c r="R257" s="87"/>
      <c r="S257" s="87"/>
    </row>
    <row r="258" s="77" customFormat="true" ht="15" hidden="false" customHeight="false" outlineLevel="2" collapsed="false">
      <c r="B258" s="78"/>
      <c r="C258" s="79" t="n">
        <v>311</v>
      </c>
      <c r="D258" s="80" t="s">
        <v>588</v>
      </c>
      <c r="E258" s="82" t="s">
        <v>1070</v>
      </c>
      <c r="F258" s="82" t="s">
        <v>589</v>
      </c>
      <c r="G258" s="88" t="n">
        <v>1</v>
      </c>
      <c r="H258" s="84" t="s">
        <v>24</v>
      </c>
      <c r="I258" s="80" t="s">
        <v>590</v>
      </c>
      <c r="J258" s="80" t="s">
        <v>591</v>
      </c>
      <c r="K258" s="80" t="s">
        <v>592</v>
      </c>
      <c r="L258" s="80" t="s">
        <v>593</v>
      </c>
      <c r="M258" s="79" t="s">
        <v>594</v>
      </c>
      <c r="N258" s="80" t="s">
        <v>595</v>
      </c>
      <c r="O258" s="85" t="n">
        <v>46167</v>
      </c>
      <c r="P258" s="101"/>
      <c r="Q258" s="84"/>
      <c r="R258" s="87"/>
      <c r="S258" s="87"/>
    </row>
    <row r="259" s="68" customFormat="true" ht="15" hidden="false" customHeight="false" outlineLevel="0" collapsed="false">
      <c r="B259" s="69"/>
      <c r="C259" s="102"/>
      <c r="D259" s="71"/>
      <c r="E259" s="72" t="s">
        <v>1076</v>
      </c>
      <c r="F259" s="73"/>
      <c r="G259" s="74" t="n">
        <f aca="false">SUM(G260:G324)</f>
        <v>249</v>
      </c>
      <c r="H259" s="90"/>
      <c r="I259" s="74"/>
      <c r="J259" s="69"/>
      <c r="K259" s="69"/>
      <c r="L259" s="69"/>
      <c r="M259" s="102"/>
      <c r="N259" s="69"/>
      <c r="O259" s="69"/>
      <c r="P259" s="69"/>
      <c r="Q259" s="69"/>
      <c r="R259" s="69"/>
      <c r="S259" s="69"/>
    </row>
    <row r="260" s="77" customFormat="true" ht="15" hidden="false" customHeight="false" outlineLevel="1" collapsed="false">
      <c r="B260" s="78"/>
      <c r="C260" s="79" t="n">
        <v>312</v>
      </c>
      <c r="D260" s="80" t="s">
        <v>21</v>
      </c>
      <c r="E260" s="82" t="s">
        <v>1076</v>
      </c>
      <c r="F260" s="82" t="s">
        <v>22</v>
      </c>
      <c r="G260" s="88" t="n">
        <v>1</v>
      </c>
      <c r="H260" s="84" t="s">
        <v>24</v>
      </c>
      <c r="I260" s="80" t="s">
        <v>25</v>
      </c>
      <c r="J260" s="80" t="s">
        <v>26</v>
      </c>
      <c r="K260" s="80" t="s">
        <v>27</v>
      </c>
      <c r="L260" s="80" t="s">
        <v>28</v>
      </c>
      <c r="M260" s="79" t="s">
        <v>29</v>
      </c>
      <c r="N260" s="80" t="s">
        <v>30</v>
      </c>
      <c r="O260" s="85" t="n">
        <v>46160</v>
      </c>
      <c r="P260" s="101"/>
      <c r="Q260" s="84"/>
      <c r="R260" s="87"/>
      <c r="S260" s="87"/>
    </row>
    <row r="261" s="77" customFormat="true" ht="15" hidden="false" customHeight="false" outlineLevel="1" collapsed="false">
      <c r="B261" s="78"/>
      <c r="C261" s="79" t="n">
        <v>313</v>
      </c>
      <c r="D261" s="80" t="s">
        <v>34</v>
      </c>
      <c r="E261" s="82" t="s">
        <v>1076</v>
      </c>
      <c r="F261" s="82" t="s">
        <v>35</v>
      </c>
      <c r="G261" s="88" t="n">
        <v>11</v>
      </c>
      <c r="H261" s="84" t="s">
        <v>36</v>
      </c>
      <c r="I261" s="80" t="s">
        <v>37</v>
      </c>
      <c r="J261" s="80" t="s">
        <v>38</v>
      </c>
      <c r="K261" s="80" t="s">
        <v>39</v>
      </c>
      <c r="L261" s="80" t="s">
        <v>40</v>
      </c>
      <c r="M261" s="79" t="s">
        <v>553</v>
      </c>
      <c r="N261" s="80" t="s">
        <v>42</v>
      </c>
      <c r="O261" s="85" t="n">
        <v>46160</v>
      </c>
      <c r="P261" s="101"/>
      <c r="Q261" s="84"/>
      <c r="R261" s="87"/>
      <c r="S261" s="87"/>
    </row>
    <row r="262" s="77" customFormat="true" ht="15" hidden="false" customHeight="false" outlineLevel="1" collapsed="false">
      <c r="B262" s="78"/>
      <c r="C262" s="79" t="n">
        <v>314</v>
      </c>
      <c r="D262" s="80" t="s">
        <v>1077</v>
      </c>
      <c r="E262" s="82" t="s">
        <v>1076</v>
      </c>
      <c r="F262" s="82" t="s">
        <v>916</v>
      </c>
      <c r="G262" s="88" t="n">
        <v>1</v>
      </c>
      <c r="H262" s="84" t="s">
        <v>152</v>
      </c>
      <c r="I262" s="80" t="s">
        <v>1078</v>
      </c>
      <c r="J262" s="80" t="s">
        <v>1079</v>
      </c>
      <c r="K262" s="80" t="s">
        <v>1080</v>
      </c>
      <c r="L262" s="80" t="s">
        <v>1081</v>
      </c>
      <c r="M262" s="79" t="s">
        <v>1082</v>
      </c>
      <c r="N262" s="80" t="s">
        <v>1083</v>
      </c>
      <c r="O262" s="85" t="n">
        <v>46160</v>
      </c>
      <c r="P262" s="101"/>
      <c r="Q262" s="84"/>
      <c r="R262" s="87"/>
      <c r="S262" s="87"/>
    </row>
    <row r="263" s="77" customFormat="true" ht="15" hidden="false" customHeight="false" outlineLevel="1" collapsed="false">
      <c r="B263" s="78"/>
      <c r="C263" s="79" t="n">
        <v>315</v>
      </c>
      <c r="D263" s="80" t="s">
        <v>59</v>
      </c>
      <c r="E263" s="82" t="s">
        <v>1076</v>
      </c>
      <c r="F263" s="82" t="s">
        <v>60</v>
      </c>
      <c r="G263" s="88" t="n">
        <v>2</v>
      </c>
      <c r="H263" s="84" t="s">
        <v>61</v>
      </c>
      <c r="I263" s="80" t="s">
        <v>62</v>
      </c>
      <c r="J263" s="80" t="s">
        <v>63</v>
      </c>
      <c r="K263" s="80" t="s">
        <v>64</v>
      </c>
      <c r="L263" s="80" t="s">
        <v>65</v>
      </c>
      <c r="M263" s="79" t="s">
        <v>66</v>
      </c>
      <c r="N263" s="80" t="s">
        <v>67</v>
      </c>
      <c r="O263" s="85" t="n">
        <v>46132</v>
      </c>
      <c r="P263" s="101"/>
      <c r="Q263" s="84"/>
      <c r="R263" s="87"/>
      <c r="S263" s="87"/>
    </row>
    <row r="264" s="77" customFormat="true" ht="15" hidden="false" customHeight="false" outlineLevel="1" collapsed="false">
      <c r="B264" s="78"/>
      <c r="C264" s="79" t="n">
        <v>316</v>
      </c>
      <c r="D264" s="80" t="s">
        <v>75</v>
      </c>
      <c r="E264" s="82" t="s">
        <v>1076</v>
      </c>
      <c r="F264" s="82" t="s">
        <v>76</v>
      </c>
      <c r="G264" s="88" t="n">
        <v>48</v>
      </c>
      <c r="H264" s="84" t="s">
        <v>77</v>
      </c>
      <c r="I264" s="80" t="s">
        <v>78</v>
      </c>
      <c r="J264" s="80" t="s">
        <v>79</v>
      </c>
      <c r="K264" s="80" t="s">
        <v>80</v>
      </c>
      <c r="L264" s="80" t="s">
        <v>81</v>
      </c>
      <c r="M264" s="79" t="s">
        <v>82</v>
      </c>
      <c r="N264" s="80" t="s">
        <v>83</v>
      </c>
      <c r="O264" s="85" t="n">
        <v>46160</v>
      </c>
      <c r="P264" s="101"/>
      <c r="Q264" s="84"/>
      <c r="R264" s="87"/>
      <c r="S264" s="87"/>
    </row>
    <row r="265" s="77" customFormat="true" ht="15" hidden="false" customHeight="false" outlineLevel="1" collapsed="false">
      <c r="B265" s="78"/>
      <c r="C265" s="79" t="n">
        <v>317</v>
      </c>
      <c r="D265" s="80" t="s">
        <v>85</v>
      </c>
      <c r="E265" s="82" t="s">
        <v>1076</v>
      </c>
      <c r="F265" s="82" t="s">
        <v>86</v>
      </c>
      <c r="G265" s="88" t="n">
        <v>1</v>
      </c>
      <c r="H265" s="84" t="s">
        <v>87</v>
      </c>
      <c r="I265" s="80" t="s">
        <v>88</v>
      </c>
      <c r="J265" s="80" t="s">
        <v>89</v>
      </c>
      <c r="K265" s="80" t="s">
        <v>90</v>
      </c>
      <c r="L265" s="80" t="s">
        <v>91</v>
      </c>
      <c r="M265" s="79" t="s">
        <v>92</v>
      </c>
      <c r="N265" s="80" t="s">
        <v>93</v>
      </c>
      <c r="O265" s="85" t="n">
        <v>46160</v>
      </c>
      <c r="P265" s="101"/>
      <c r="Q265" s="84"/>
      <c r="R265" s="87"/>
      <c r="S265" s="87"/>
    </row>
    <row r="266" s="77" customFormat="true" ht="15" hidden="false" customHeight="false" outlineLevel="1" collapsed="false">
      <c r="B266" s="78"/>
      <c r="C266" s="79" t="n">
        <v>318</v>
      </c>
      <c r="D266" s="80" t="s">
        <v>580</v>
      </c>
      <c r="E266" s="82" t="s">
        <v>1076</v>
      </c>
      <c r="F266" s="82" t="s">
        <v>581</v>
      </c>
      <c r="G266" s="88" t="n">
        <v>2</v>
      </c>
      <c r="H266" s="84" t="s">
        <v>61</v>
      </c>
      <c r="I266" s="80" t="s">
        <v>582</v>
      </c>
      <c r="J266" s="80" t="s">
        <v>583</v>
      </c>
      <c r="K266" s="80" t="s">
        <v>584</v>
      </c>
      <c r="L266" s="80" t="s">
        <v>585</v>
      </c>
      <c r="M266" s="79" t="s">
        <v>586</v>
      </c>
      <c r="N266" s="80" t="s">
        <v>587</v>
      </c>
      <c r="O266" s="85" t="n">
        <v>46132</v>
      </c>
      <c r="P266" s="101"/>
      <c r="Q266" s="84"/>
      <c r="R266" s="87"/>
      <c r="S266" s="87"/>
    </row>
    <row r="267" s="77" customFormat="true" ht="15" hidden="false" customHeight="false" outlineLevel="1" collapsed="false">
      <c r="B267" s="78"/>
      <c r="C267" s="79" t="n">
        <v>319</v>
      </c>
      <c r="D267" s="80" t="s">
        <v>94</v>
      </c>
      <c r="E267" s="82" t="s">
        <v>1076</v>
      </c>
      <c r="F267" s="82" t="s">
        <v>95</v>
      </c>
      <c r="G267" s="88" t="n">
        <v>5</v>
      </c>
      <c r="H267" s="84" t="s">
        <v>36</v>
      </c>
      <c r="I267" s="80" t="s">
        <v>96</v>
      </c>
      <c r="J267" s="80" t="s">
        <v>97</v>
      </c>
      <c r="K267" s="80" t="s">
        <v>98</v>
      </c>
      <c r="L267" s="80" t="s">
        <v>99</v>
      </c>
      <c r="M267" s="79" t="s">
        <v>100</v>
      </c>
      <c r="N267" s="80" t="s">
        <v>101</v>
      </c>
      <c r="O267" s="85" t="n">
        <v>46160</v>
      </c>
      <c r="P267" s="101"/>
      <c r="Q267" s="84"/>
      <c r="R267" s="87"/>
      <c r="S267" s="87"/>
    </row>
    <row r="268" s="77" customFormat="true" ht="15" hidden="false" customHeight="false" outlineLevel="1" collapsed="false">
      <c r="B268" s="78"/>
      <c r="C268" s="79" t="n">
        <v>320</v>
      </c>
      <c r="D268" s="80" t="s">
        <v>725</v>
      </c>
      <c r="E268" s="82" t="s">
        <v>1076</v>
      </c>
      <c r="F268" s="82" t="s">
        <v>726</v>
      </c>
      <c r="G268" s="88" t="n">
        <v>6</v>
      </c>
      <c r="H268" s="84" t="s">
        <v>727</v>
      </c>
      <c r="I268" s="80" t="s">
        <v>728</v>
      </c>
      <c r="J268" s="80" t="s">
        <v>729</v>
      </c>
      <c r="K268" s="80" t="s">
        <v>730</v>
      </c>
      <c r="L268" s="80" t="s">
        <v>731</v>
      </c>
      <c r="M268" s="79" t="s">
        <v>732</v>
      </c>
      <c r="N268" s="80" t="s">
        <v>733</v>
      </c>
      <c r="O268" s="85" t="n">
        <v>46160</v>
      </c>
      <c r="P268" s="101"/>
      <c r="Q268" s="84"/>
      <c r="R268" s="87"/>
      <c r="S268" s="87"/>
    </row>
    <row r="269" s="77" customFormat="true" ht="15" hidden="false" customHeight="false" outlineLevel="1" collapsed="false">
      <c r="B269" s="78"/>
      <c r="C269" s="79" t="n">
        <v>321</v>
      </c>
      <c r="D269" s="80" t="s">
        <v>102</v>
      </c>
      <c r="E269" s="82" t="s">
        <v>1076</v>
      </c>
      <c r="F269" s="82" t="s">
        <v>103</v>
      </c>
      <c r="G269" s="88" t="n">
        <v>3</v>
      </c>
      <c r="H269" s="84" t="s">
        <v>61</v>
      </c>
      <c r="I269" s="80" t="s">
        <v>104</v>
      </c>
      <c r="J269" s="80" t="s">
        <v>105</v>
      </c>
      <c r="K269" s="80" t="s">
        <v>106</v>
      </c>
      <c r="L269" s="80" t="s">
        <v>107</v>
      </c>
      <c r="M269" s="79" t="s">
        <v>107</v>
      </c>
      <c r="N269" s="80" t="s">
        <v>108</v>
      </c>
      <c r="O269" s="85" t="n">
        <v>46132</v>
      </c>
      <c r="P269" s="101"/>
      <c r="Q269" s="84"/>
      <c r="R269" s="87"/>
      <c r="S269" s="87"/>
    </row>
    <row r="270" s="77" customFormat="true" ht="15" hidden="false" customHeight="false" outlineLevel="1" collapsed="false">
      <c r="B270" s="78"/>
      <c r="C270" s="79" t="n">
        <v>322</v>
      </c>
      <c r="D270" s="80" t="s">
        <v>117</v>
      </c>
      <c r="E270" s="82" t="s">
        <v>1076</v>
      </c>
      <c r="F270" s="82" t="s">
        <v>118</v>
      </c>
      <c r="G270" s="88" t="n">
        <v>4</v>
      </c>
      <c r="H270" s="84" t="s">
        <v>24</v>
      </c>
      <c r="I270" s="80" t="s">
        <v>119</v>
      </c>
      <c r="J270" s="80" t="s">
        <v>120</v>
      </c>
      <c r="K270" s="80" t="s">
        <v>121</v>
      </c>
      <c r="L270" s="80" t="s">
        <v>122</v>
      </c>
      <c r="M270" s="79" t="s">
        <v>123</v>
      </c>
      <c r="N270" s="80" t="s">
        <v>124</v>
      </c>
      <c r="O270" s="85" t="n">
        <v>46160</v>
      </c>
      <c r="P270" s="101"/>
      <c r="Q270" s="84"/>
      <c r="R270" s="87"/>
      <c r="S270" s="87"/>
    </row>
    <row r="271" s="77" customFormat="true" ht="15" hidden="false" customHeight="false" outlineLevel="1" collapsed="false">
      <c r="B271" s="78"/>
      <c r="C271" s="79" t="n">
        <v>323</v>
      </c>
      <c r="D271" s="80" t="s">
        <v>134</v>
      </c>
      <c r="E271" s="82" t="s">
        <v>1076</v>
      </c>
      <c r="F271" s="82" t="s">
        <v>135</v>
      </c>
      <c r="G271" s="88" t="n">
        <v>1</v>
      </c>
      <c r="H271" s="84" t="s">
        <v>24</v>
      </c>
      <c r="I271" s="80" t="s">
        <v>136</v>
      </c>
      <c r="J271" s="80" t="s">
        <v>137</v>
      </c>
      <c r="K271" s="80" t="s">
        <v>138</v>
      </c>
      <c r="L271" s="80" t="s">
        <v>139</v>
      </c>
      <c r="M271" s="79" t="s">
        <v>140</v>
      </c>
      <c r="N271" s="80" t="s">
        <v>141</v>
      </c>
      <c r="O271" s="85" t="n">
        <v>46160</v>
      </c>
      <c r="P271" s="101"/>
      <c r="Q271" s="84"/>
      <c r="R271" s="87"/>
      <c r="S271" s="87"/>
    </row>
    <row r="272" s="77" customFormat="true" ht="15" hidden="false" customHeight="false" outlineLevel="1" collapsed="false">
      <c r="B272" s="78"/>
      <c r="C272" s="79" t="n">
        <v>324</v>
      </c>
      <c r="D272" s="80" t="s">
        <v>618</v>
      </c>
      <c r="E272" s="82" t="s">
        <v>1076</v>
      </c>
      <c r="F272" s="82" t="s">
        <v>619</v>
      </c>
      <c r="G272" s="88" t="n">
        <v>1</v>
      </c>
      <c r="H272" s="84" t="s">
        <v>61</v>
      </c>
      <c r="I272" s="80" t="s">
        <v>620</v>
      </c>
      <c r="J272" s="80" t="s">
        <v>621</v>
      </c>
      <c r="K272" s="80" t="s">
        <v>622</v>
      </c>
      <c r="L272" s="80" t="s">
        <v>623</v>
      </c>
      <c r="M272" s="79" t="s">
        <v>624</v>
      </c>
      <c r="N272" s="80" t="s">
        <v>625</v>
      </c>
      <c r="O272" s="85" t="n">
        <v>46132</v>
      </c>
      <c r="P272" s="101"/>
      <c r="Q272" s="84"/>
      <c r="R272" s="87"/>
      <c r="S272" s="87"/>
    </row>
    <row r="273" s="77" customFormat="true" ht="15" hidden="false" customHeight="false" outlineLevel="1" collapsed="false">
      <c r="B273" s="78"/>
      <c r="C273" s="79" t="n">
        <v>325</v>
      </c>
      <c r="D273" s="80" t="s">
        <v>536</v>
      </c>
      <c r="E273" s="82" t="s">
        <v>1076</v>
      </c>
      <c r="F273" s="82" t="s">
        <v>537</v>
      </c>
      <c r="G273" s="88" t="n">
        <v>2</v>
      </c>
      <c r="H273" s="84" t="s">
        <v>111</v>
      </c>
      <c r="I273" s="80" t="s">
        <v>538</v>
      </c>
      <c r="J273" s="80" t="s">
        <v>539</v>
      </c>
      <c r="K273" s="80" t="s">
        <v>540</v>
      </c>
      <c r="L273" s="80" t="s">
        <v>541</v>
      </c>
      <c r="M273" s="79" t="s">
        <v>541</v>
      </c>
      <c r="N273" s="80" t="s">
        <v>542</v>
      </c>
      <c r="O273" s="85" t="n">
        <v>46160</v>
      </c>
      <c r="P273" s="101"/>
      <c r="Q273" s="84"/>
      <c r="R273" s="87"/>
      <c r="S273" s="87"/>
    </row>
    <row r="274" s="77" customFormat="true" ht="15" hidden="false" customHeight="false" outlineLevel="1" collapsed="false">
      <c r="B274" s="78"/>
      <c r="C274" s="79" t="n">
        <v>326</v>
      </c>
      <c r="D274" s="80" t="s">
        <v>150</v>
      </c>
      <c r="E274" s="82" t="s">
        <v>1076</v>
      </c>
      <c r="F274" s="82" t="s">
        <v>151</v>
      </c>
      <c r="G274" s="88" t="n">
        <v>1</v>
      </c>
      <c r="H274" s="84" t="s">
        <v>152</v>
      </c>
      <c r="I274" s="80" t="s">
        <v>153</v>
      </c>
      <c r="J274" s="80" t="s">
        <v>154</v>
      </c>
      <c r="K274" s="80" t="s">
        <v>155</v>
      </c>
      <c r="L274" s="80" t="s">
        <v>156</v>
      </c>
      <c r="M274" s="79" t="s">
        <v>157</v>
      </c>
      <c r="N274" s="80" t="s">
        <v>158</v>
      </c>
      <c r="O274" s="85" t="n">
        <v>46160</v>
      </c>
      <c r="P274" s="101"/>
      <c r="Q274" s="84"/>
      <c r="R274" s="87"/>
      <c r="S274" s="87"/>
    </row>
    <row r="275" s="77" customFormat="true" ht="15" hidden="false" customHeight="false" outlineLevel="1" collapsed="false">
      <c r="B275" s="78"/>
      <c r="C275" s="79" t="n">
        <v>327</v>
      </c>
      <c r="D275" s="80" t="s">
        <v>768</v>
      </c>
      <c r="E275" s="82" t="s">
        <v>1076</v>
      </c>
      <c r="F275" s="82" t="s">
        <v>769</v>
      </c>
      <c r="G275" s="88" t="n">
        <v>4</v>
      </c>
      <c r="H275" s="84" t="s">
        <v>61</v>
      </c>
      <c r="I275" s="80" t="s">
        <v>770</v>
      </c>
      <c r="J275" s="80" t="s">
        <v>771</v>
      </c>
      <c r="K275" s="80" t="s">
        <v>772</v>
      </c>
      <c r="L275" s="80" t="s">
        <v>773</v>
      </c>
      <c r="M275" s="79" t="s">
        <v>774</v>
      </c>
      <c r="N275" s="80" t="s">
        <v>775</v>
      </c>
      <c r="O275" s="85" t="n">
        <v>46132</v>
      </c>
      <c r="P275" s="101"/>
      <c r="Q275" s="84"/>
      <c r="R275" s="87"/>
      <c r="S275" s="87"/>
    </row>
    <row r="276" s="77" customFormat="true" ht="15" hidden="false" customHeight="false" outlineLevel="1" collapsed="false">
      <c r="B276" s="78"/>
      <c r="C276" s="79" t="n">
        <v>328</v>
      </c>
      <c r="D276" s="80" t="s">
        <v>166</v>
      </c>
      <c r="E276" s="82" t="s">
        <v>1076</v>
      </c>
      <c r="F276" s="82" t="s">
        <v>167</v>
      </c>
      <c r="G276" s="88" t="n">
        <v>7</v>
      </c>
      <c r="H276" s="84" t="s">
        <v>61</v>
      </c>
      <c r="I276" s="80" t="s">
        <v>168</v>
      </c>
      <c r="J276" s="80" t="s">
        <v>169</v>
      </c>
      <c r="K276" s="80" t="s">
        <v>170</v>
      </c>
      <c r="L276" s="80" t="s">
        <v>171</v>
      </c>
      <c r="M276" s="79" t="s">
        <v>172</v>
      </c>
      <c r="N276" s="80" t="s">
        <v>173</v>
      </c>
      <c r="O276" s="85" t="n">
        <v>46132</v>
      </c>
      <c r="P276" s="101"/>
      <c r="Q276" s="84"/>
      <c r="R276" s="87"/>
      <c r="S276" s="87"/>
    </row>
    <row r="277" s="77" customFormat="true" ht="15" hidden="false" customHeight="false" outlineLevel="1" collapsed="false">
      <c r="B277" s="78"/>
      <c r="C277" s="79" t="n">
        <v>329</v>
      </c>
      <c r="D277" s="80" t="s">
        <v>174</v>
      </c>
      <c r="E277" s="82" t="s">
        <v>1076</v>
      </c>
      <c r="F277" s="82" t="s">
        <v>175</v>
      </c>
      <c r="G277" s="88" t="n">
        <v>1</v>
      </c>
      <c r="H277" s="84" t="s">
        <v>152</v>
      </c>
      <c r="I277" s="80" t="s">
        <v>176</v>
      </c>
      <c r="J277" s="80" t="s">
        <v>177</v>
      </c>
      <c r="K277" s="80" t="s">
        <v>178</v>
      </c>
      <c r="L277" s="80" t="s">
        <v>179</v>
      </c>
      <c r="M277" s="79" t="s">
        <v>180</v>
      </c>
      <c r="N277" s="80" t="s">
        <v>181</v>
      </c>
      <c r="O277" s="85" t="n">
        <v>46160</v>
      </c>
      <c r="P277" s="101"/>
      <c r="Q277" s="84"/>
      <c r="R277" s="87"/>
      <c r="S277" s="87"/>
    </row>
    <row r="278" s="77" customFormat="true" ht="15" hidden="false" customHeight="false" outlineLevel="1" collapsed="false">
      <c r="B278" s="78"/>
      <c r="C278" s="79" t="n">
        <v>330</v>
      </c>
      <c r="D278" s="80" t="s">
        <v>667</v>
      </c>
      <c r="E278" s="82" t="s">
        <v>1076</v>
      </c>
      <c r="F278" s="82" t="s">
        <v>668</v>
      </c>
      <c r="G278" s="88" t="n">
        <v>4</v>
      </c>
      <c r="H278" s="84" t="s">
        <v>61</v>
      </c>
      <c r="I278" s="80" t="s">
        <v>674</v>
      </c>
      <c r="J278" s="80" t="s">
        <v>675</v>
      </c>
      <c r="K278" s="78" t="s">
        <v>676</v>
      </c>
      <c r="L278" s="80" t="s">
        <v>672</v>
      </c>
      <c r="M278" s="79" t="s">
        <v>677</v>
      </c>
      <c r="N278" s="80" t="s">
        <v>673</v>
      </c>
      <c r="O278" s="85" t="n">
        <v>46132</v>
      </c>
      <c r="P278" s="101"/>
      <c r="Q278" s="84"/>
      <c r="R278" s="87"/>
      <c r="S278" s="87"/>
    </row>
    <row r="279" s="77" customFormat="true" ht="45" hidden="false" customHeight="true" outlineLevel="1" collapsed="false">
      <c r="B279" s="78"/>
      <c r="C279" s="100" t="s">
        <v>1084</v>
      </c>
      <c r="D279" s="80" t="s">
        <v>190</v>
      </c>
      <c r="E279" s="82" t="s">
        <v>1076</v>
      </c>
      <c r="F279" s="82" t="s">
        <v>191</v>
      </c>
      <c r="G279" s="88" t="n">
        <v>6</v>
      </c>
      <c r="H279" s="84" t="s">
        <v>24</v>
      </c>
      <c r="I279" s="96" t="s">
        <v>886</v>
      </c>
      <c r="J279" s="96" t="s">
        <v>887</v>
      </c>
      <c r="K279" s="96" t="s">
        <v>888</v>
      </c>
      <c r="L279" s="80" t="s">
        <v>195</v>
      </c>
      <c r="M279" s="100" t="s">
        <v>1085</v>
      </c>
      <c r="N279" s="80" t="s">
        <v>197</v>
      </c>
      <c r="O279" s="85" t="n">
        <v>46160</v>
      </c>
      <c r="P279" s="101"/>
      <c r="Q279" s="84"/>
      <c r="R279" s="87"/>
      <c r="S279" s="87"/>
    </row>
    <row r="280" s="77" customFormat="true" ht="15" hidden="false" customHeight="false" outlineLevel="1" collapsed="false">
      <c r="B280" s="78"/>
      <c r="C280" s="79" t="n">
        <v>332</v>
      </c>
      <c r="D280" s="80" t="s">
        <v>635</v>
      </c>
      <c r="E280" s="82" t="s">
        <v>1076</v>
      </c>
      <c r="F280" s="82" t="s">
        <v>636</v>
      </c>
      <c r="G280" s="88" t="n">
        <v>2</v>
      </c>
      <c r="H280" s="84" t="s">
        <v>637</v>
      </c>
      <c r="I280" s="80" t="s">
        <v>638</v>
      </c>
      <c r="J280" s="80" t="s">
        <v>639</v>
      </c>
      <c r="K280" s="80" t="s">
        <v>640</v>
      </c>
      <c r="L280" s="80" t="s">
        <v>641</v>
      </c>
      <c r="M280" s="79" t="s">
        <v>642</v>
      </c>
      <c r="N280" s="80" t="s">
        <v>643</v>
      </c>
      <c r="O280" s="85" t="n">
        <v>46160</v>
      </c>
      <c r="P280" s="101"/>
      <c r="Q280" s="84"/>
      <c r="R280" s="87"/>
      <c r="S280" s="87"/>
    </row>
    <row r="281" s="77" customFormat="true" ht="15" hidden="false" customHeight="false" outlineLevel="1" collapsed="false">
      <c r="B281" s="78"/>
      <c r="C281" s="79" t="n">
        <v>333</v>
      </c>
      <c r="D281" s="80" t="s">
        <v>198</v>
      </c>
      <c r="E281" s="82" t="s">
        <v>1076</v>
      </c>
      <c r="F281" s="82" t="s">
        <v>199</v>
      </c>
      <c r="G281" s="88" t="n">
        <v>10</v>
      </c>
      <c r="H281" s="84" t="s">
        <v>200</v>
      </c>
      <c r="I281" s="80" t="s">
        <v>201</v>
      </c>
      <c r="J281" s="80" t="s">
        <v>202</v>
      </c>
      <c r="K281" s="80" t="s">
        <v>203</v>
      </c>
      <c r="L281" s="80" t="s">
        <v>204</v>
      </c>
      <c r="M281" s="79" t="s">
        <v>205</v>
      </c>
      <c r="N281" s="80" t="s">
        <v>206</v>
      </c>
      <c r="O281" s="85" t="n">
        <v>46160</v>
      </c>
      <c r="P281" s="101"/>
      <c r="Q281" s="84"/>
      <c r="R281" s="87"/>
      <c r="S281" s="87"/>
    </row>
    <row r="282" s="77" customFormat="true" ht="15" hidden="false" customHeight="false" outlineLevel="1" collapsed="false">
      <c r="B282" s="78"/>
      <c r="C282" s="79" t="n">
        <v>334</v>
      </c>
      <c r="D282" s="80" t="s">
        <v>215</v>
      </c>
      <c r="E282" s="82" t="s">
        <v>1076</v>
      </c>
      <c r="F282" s="82" t="s">
        <v>216</v>
      </c>
      <c r="G282" s="88" t="n">
        <v>1</v>
      </c>
      <c r="H282" s="84" t="s">
        <v>24</v>
      </c>
      <c r="I282" s="80" t="s">
        <v>217</v>
      </c>
      <c r="J282" s="80" t="s">
        <v>218</v>
      </c>
      <c r="K282" s="80" t="s">
        <v>219</v>
      </c>
      <c r="L282" s="80" t="s">
        <v>220</v>
      </c>
      <c r="M282" s="79" t="s">
        <v>221</v>
      </c>
      <c r="N282" s="80" t="s">
        <v>222</v>
      </c>
      <c r="O282" s="85" t="n">
        <v>46160</v>
      </c>
      <c r="P282" s="101"/>
      <c r="Q282" s="84"/>
      <c r="R282" s="87"/>
      <c r="S282" s="87"/>
    </row>
    <row r="283" s="77" customFormat="true" ht="15" hidden="false" customHeight="false" outlineLevel="1" collapsed="false">
      <c r="B283" s="78"/>
      <c r="C283" s="79" t="n">
        <v>335</v>
      </c>
      <c r="D283" s="80" t="s">
        <v>223</v>
      </c>
      <c r="E283" s="82" t="s">
        <v>1076</v>
      </c>
      <c r="F283" s="82" t="s">
        <v>224</v>
      </c>
      <c r="G283" s="88" t="n">
        <v>1</v>
      </c>
      <c r="H283" s="84" t="s">
        <v>61</v>
      </c>
      <c r="I283" s="80" t="s">
        <v>225</v>
      </c>
      <c r="J283" s="80" t="s">
        <v>226</v>
      </c>
      <c r="K283" s="80" t="s">
        <v>227</v>
      </c>
      <c r="L283" s="80" t="s">
        <v>228</v>
      </c>
      <c r="M283" s="79" t="s">
        <v>229</v>
      </c>
      <c r="N283" s="80" t="s">
        <v>230</v>
      </c>
      <c r="O283" s="85" t="n">
        <v>46132</v>
      </c>
      <c r="P283" s="101"/>
      <c r="Q283" s="84"/>
      <c r="R283" s="87"/>
      <c r="S283" s="87"/>
    </row>
    <row r="284" s="77" customFormat="true" ht="30" hidden="false" customHeight="true" outlineLevel="1" collapsed="false">
      <c r="B284" s="78"/>
      <c r="C284" s="79" t="n">
        <v>336</v>
      </c>
      <c r="D284" s="80" t="s">
        <v>231</v>
      </c>
      <c r="E284" s="82" t="s">
        <v>1076</v>
      </c>
      <c r="F284" s="82" t="s">
        <v>232</v>
      </c>
      <c r="G284" s="88" t="n">
        <v>3</v>
      </c>
      <c r="H284" s="84" t="s">
        <v>61</v>
      </c>
      <c r="I284" s="80" t="s">
        <v>233</v>
      </c>
      <c r="J284" s="80" t="s">
        <v>234</v>
      </c>
      <c r="K284" s="80" t="s">
        <v>235</v>
      </c>
      <c r="L284" s="80" t="s">
        <v>236</v>
      </c>
      <c r="M284" s="79" t="s">
        <v>891</v>
      </c>
      <c r="N284" s="80" t="s">
        <v>238</v>
      </c>
      <c r="O284" s="85" t="n">
        <v>46132</v>
      </c>
      <c r="P284" s="101"/>
      <c r="Q284" s="84"/>
      <c r="R284" s="87"/>
      <c r="S284" s="87"/>
    </row>
    <row r="285" s="77" customFormat="true" ht="30" hidden="false" customHeight="true" outlineLevel="1" collapsed="false">
      <c r="B285" s="78"/>
      <c r="C285" s="79" t="s">
        <v>1086</v>
      </c>
      <c r="D285" s="80" t="s">
        <v>239</v>
      </c>
      <c r="E285" s="82" t="s">
        <v>1076</v>
      </c>
      <c r="F285" s="82" t="s">
        <v>240</v>
      </c>
      <c r="G285" s="88" t="n">
        <v>2</v>
      </c>
      <c r="H285" s="84" t="s">
        <v>24</v>
      </c>
      <c r="I285" s="80" t="s">
        <v>241</v>
      </c>
      <c r="J285" s="80" t="s">
        <v>242</v>
      </c>
      <c r="K285" s="80" t="s">
        <v>243</v>
      </c>
      <c r="L285" s="80" t="s">
        <v>244</v>
      </c>
      <c r="M285" s="79" t="s">
        <v>1087</v>
      </c>
      <c r="N285" s="80" t="s">
        <v>246</v>
      </c>
      <c r="O285" s="85" t="n">
        <v>46160</v>
      </c>
      <c r="P285" s="101"/>
      <c r="Q285" s="84"/>
      <c r="R285" s="87"/>
      <c r="S285" s="87"/>
    </row>
    <row r="286" s="77" customFormat="true" ht="15" hidden="false" customHeight="false" outlineLevel="1" collapsed="false">
      <c r="B286" s="78"/>
      <c r="C286" s="79" t="n">
        <v>338</v>
      </c>
      <c r="D286" s="80" t="s">
        <v>247</v>
      </c>
      <c r="E286" s="82" t="s">
        <v>1076</v>
      </c>
      <c r="F286" s="82" t="s">
        <v>248</v>
      </c>
      <c r="G286" s="88" t="n">
        <v>1</v>
      </c>
      <c r="H286" s="84" t="s">
        <v>61</v>
      </c>
      <c r="I286" s="80" t="s">
        <v>532</v>
      </c>
      <c r="J286" s="80" t="s">
        <v>533</v>
      </c>
      <c r="K286" s="78" t="s">
        <v>534</v>
      </c>
      <c r="L286" s="80" t="s">
        <v>252</v>
      </c>
      <c r="M286" s="79" t="s">
        <v>535</v>
      </c>
      <c r="N286" s="80" t="s">
        <v>254</v>
      </c>
      <c r="O286" s="85" t="n">
        <v>46132</v>
      </c>
      <c r="P286" s="101"/>
      <c r="Q286" s="84"/>
      <c r="R286" s="87"/>
      <c r="S286" s="87"/>
    </row>
    <row r="287" s="77" customFormat="true" ht="15" hidden="false" customHeight="false" outlineLevel="1" collapsed="false">
      <c r="B287" s="78"/>
      <c r="C287" s="79" t="n">
        <v>339</v>
      </c>
      <c r="D287" s="80" t="s">
        <v>715</v>
      </c>
      <c r="E287" s="82" t="s">
        <v>1076</v>
      </c>
      <c r="F287" s="82" t="s">
        <v>716</v>
      </c>
      <c r="G287" s="88" t="n">
        <v>1</v>
      </c>
      <c r="H287" s="84" t="s">
        <v>717</v>
      </c>
      <c r="I287" s="80" t="s">
        <v>718</v>
      </c>
      <c r="J287" s="80" t="s">
        <v>719</v>
      </c>
      <c r="K287" s="80" t="s">
        <v>720</v>
      </c>
      <c r="L287" s="80" t="s">
        <v>721</v>
      </c>
      <c r="M287" s="79" t="s">
        <v>722</v>
      </c>
      <c r="N287" s="80" t="s">
        <v>723</v>
      </c>
      <c r="O287" s="85" t="n">
        <v>46160</v>
      </c>
      <c r="P287" s="101"/>
      <c r="Q287" s="84"/>
      <c r="R287" s="87"/>
      <c r="S287" s="87"/>
    </row>
    <row r="288" s="77" customFormat="true" ht="15" hidden="false" customHeight="false" outlineLevel="1" collapsed="false">
      <c r="B288" s="78"/>
      <c r="C288" s="79" t="n">
        <v>340</v>
      </c>
      <c r="D288" s="80" t="s">
        <v>263</v>
      </c>
      <c r="E288" s="82" t="s">
        <v>1076</v>
      </c>
      <c r="F288" s="82" t="s">
        <v>264</v>
      </c>
      <c r="G288" s="88" t="n">
        <v>4</v>
      </c>
      <c r="H288" s="84" t="s">
        <v>61</v>
      </c>
      <c r="I288" s="80" t="s">
        <v>265</v>
      </c>
      <c r="J288" s="80" t="s">
        <v>266</v>
      </c>
      <c r="K288" s="80" t="s">
        <v>267</v>
      </c>
      <c r="L288" s="80" t="s">
        <v>252</v>
      </c>
      <c r="M288" s="79" t="s">
        <v>268</v>
      </c>
      <c r="N288" s="80" t="s">
        <v>269</v>
      </c>
      <c r="O288" s="85" t="n">
        <v>46132</v>
      </c>
      <c r="P288" s="101"/>
      <c r="Q288" s="84"/>
      <c r="R288" s="87"/>
      <c r="S288" s="87"/>
    </row>
    <row r="289" s="77" customFormat="true" ht="15" hidden="false" customHeight="false" outlineLevel="1" collapsed="false">
      <c r="B289" s="78"/>
      <c r="C289" s="79" t="n">
        <v>341</v>
      </c>
      <c r="D289" s="80" t="s">
        <v>651</v>
      </c>
      <c r="E289" s="82" t="s">
        <v>1076</v>
      </c>
      <c r="F289" s="82" t="s">
        <v>652</v>
      </c>
      <c r="G289" s="88" t="n">
        <v>1</v>
      </c>
      <c r="H289" s="84" t="s">
        <v>111</v>
      </c>
      <c r="I289" s="80" t="s">
        <v>653</v>
      </c>
      <c r="J289" s="80" t="s">
        <v>654</v>
      </c>
      <c r="K289" s="80" t="s">
        <v>655</v>
      </c>
      <c r="L289" s="80" t="s">
        <v>656</v>
      </c>
      <c r="M289" s="79" t="s">
        <v>657</v>
      </c>
      <c r="N289" s="80" t="s">
        <v>658</v>
      </c>
      <c r="O289" s="85" t="n">
        <v>46160</v>
      </c>
      <c r="P289" s="101"/>
      <c r="Q289" s="84"/>
      <c r="R289" s="87"/>
      <c r="S289" s="87"/>
    </row>
    <row r="290" s="77" customFormat="true" ht="15" hidden="false" customHeight="false" outlineLevel="1" collapsed="false">
      <c r="B290" s="78"/>
      <c r="C290" s="79" t="n">
        <v>342</v>
      </c>
      <c r="D290" s="80" t="s">
        <v>743</v>
      </c>
      <c r="E290" s="82" t="s">
        <v>1076</v>
      </c>
      <c r="F290" s="82" t="s">
        <v>744</v>
      </c>
      <c r="G290" s="88" t="n">
        <v>1</v>
      </c>
      <c r="H290" s="84" t="s">
        <v>745</v>
      </c>
      <c r="I290" s="80" t="s">
        <v>746</v>
      </c>
      <c r="J290" s="80" t="s">
        <v>747</v>
      </c>
      <c r="K290" s="80" t="s">
        <v>748</v>
      </c>
      <c r="L290" s="80" t="s">
        <v>749</v>
      </c>
      <c r="M290" s="79" t="s">
        <v>750</v>
      </c>
      <c r="N290" s="80" t="s">
        <v>751</v>
      </c>
      <c r="O290" s="85" t="n">
        <v>46160</v>
      </c>
      <c r="P290" s="101"/>
      <c r="Q290" s="84"/>
      <c r="R290" s="87"/>
      <c r="S290" s="87"/>
    </row>
    <row r="291" s="77" customFormat="true" ht="15" hidden="false" customHeight="false" outlineLevel="1" collapsed="false">
      <c r="B291" s="78"/>
      <c r="C291" s="79" t="n">
        <v>343</v>
      </c>
      <c r="D291" s="80" t="s">
        <v>278</v>
      </c>
      <c r="E291" s="82" t="s">
        <v>1076</v>
      </c>
      <c r="F291" s="82" t="s">
        <v>279</v>
      </c>
      <c r="G291" s="88" t="n">
        <v>5</v>
      </c>
      <c r="H291" s="84" t="s">
        <v>61</v>
      </c>
      <c r="I291" s="80" t="s">
        <v>280</v>
      </c>
      <c r="J291" s="80" t="s">
        <v>281</v>
      </c>
      <c r="K291" s="80" t="s">
        <v>282</v>
      </c>
      <c r="L291" s="80" t="s">
        <v>283</v>
      </c>
      <c r="M291" s="79" t="s">
        <v>284</v>
      </c>
      <c r="N291" s="80" t="s">
        <v>285</v>
      </c>
      <c r="O291" s="85" t="n">
        <v>46132</v>
      </c>
      <c r="P291" s="101"/>
      <c r="Q291" s="84"/>
      <c r="R291" s="87"/>
      <c r="S291" s="87"/>
    </row>
    <row r="292" s="77" customFormat="true" ht="15" hidden="false" customHeight="false" outlineLevel="1" collapsed="false">
      <c r="B292" s="78"/>
      <c r="C292" s="79" t="n">
        <v>344</v>
      </c>
      <c r="D292" s="80" t="s">
        <v>859</v>
      </c>
      <c r="E292" s="82" t="s">
        <v>1076</v>
      </c>
      <c r="F292" s="82" t="s">
        <v>860</v>
      </c>
      <c r="G292" s="88" t="n">
        <v>1</v>
      </c>
      <c r="H292" s="84" t="s">
        <v>861</v>
      </c>
      <c r="I292" s="80" t="s">
        <v>862</v>
      </c>
      <c r="J292" s="80" t="s">
        <v>863</v>
      </c>
      <c r="K292" s="80" t="s">
        <v>864</v>
      </c>
      <c r="L292" s="80" t="s">
        <v>865</v>
      </c>
      <c r="M292" s="79" t="s">
        <v>866</v>
      </c>
      <c r="N292" s="80" t="s">
        <v>867</v>
      </c>
      <c r="O292" s="85" t="n">
        <v>46160</v>
      </c>
      <c r="P292" s="101"/>
      <c r="Q292" s="84"/>
      <c r="R292" s="87"/>
      <c r="S292" s="87"/>
    </row>
    <row r="293" s="77" customFormat="true" ht="15" hidden="false" customHeight="false" outlineLevel="1" collapsed="false">
      <c r="B293" s="78"/>
      <c r="C293" s="79" t="n">
        <v>345</v>
      </c>
      <c r="D293" s="80" t="s">
        <v>286</v>
      </c>
      <c r="E293" s="82" t="s">
        <v>1076</v>
      </c>
      <c r="F293" s="82" t="s">
        <v>287</v>
      </c>
      <c r="G293" s="88" t="n">
        <v>1</v>
      </c>
      <c r="H293" s="84" t="s">
        <v>61</v>
      </c>
      <c r="I293" s="80" t="s">
        <v>288</v>
      </c>
      <c r="J293" s="80" t="s">
        <v>289</v>
      </c>
      <c r="K293" s="80" t="s">
        <v>290</v>
      </c>
      <c r="L293" s="80" t="s">
        <v>291</v>
      </c>
      <c r="M293" s="79" t="s">
        <v>292</v>
      </c>
      <c r="N293" s="80" t="s">
        <v>293</v>
      </c>
      <c r="O293" s="85" t="n">
        <v>46132</v>
      </c>
      <c r="P293" s="101"/>
      <c r="Q293" s="84"/>
      <c r="R293" s="87"/>
      <c r="S293" s="87"/>
    </row>
    <row r="294" s="77" customFormat="true" ht="15" hidden="false" customHeight="false" outlineLevel="1" collapsed="false">
      <c r="B294" s="78"/>
      <c r="C294" s="79" t="n">
        <v>346</v>
      </c>
      <c r="D294" s="80" t="s">
        <v>326</v>
      </c>
      <c r="E294" s="82" t="s">
        <v>1076</v>
      </c>
      <c r="F294" s="82" t="s">
        <v>327</v>
      </c>
      <c r="G294" s="88" t="n">
        <v>2</v>
      </c>
      <c r="H294" s="84" t="s">
        <v>152</v>
      </c>
      <c r="I294" s="80" t="s">
        <v>328</v>
      </c>
      <c r="J294" s="80" t="s">
        <v>329</v>
      </c>
      <c r="K294" s="80" t="s">
        <v>330</v>
      </c>
      <c r="L294" s="80" t="s">
        <v>331</v>
      </c>
      <c r="M294" s="79" t="s">
        <v>332</v>
      </c>
      <c r="N294" s="80" t="s">
        <v>333</v>
      </c>
      <c r="O294" s="85" t="n">
        <v>46160</v>
      </c>
      <c r="P294" s="101"/>
      <c r="Q294" s="84"/>
      <c r="R294" s="87"/>
      <c r="S294" s="87"/>
    </row>
    <row r="295" s="77" customFormat="true" ht="15" hidden="false" customHeight="false" outlineLevel="1" collapsed="false">
      <c r="B295" s="78"/>
      <c r="C295" s="79" t="n">
        <v>347</v>
      </c>
      <c r="D295" s="80" t="s">
        <v>334</v>
      </c>
      <c r="E295" s="82" t="s">
        <v>1076</v>
      </c>
      <c r="F295" s="82" t="s">
        <v>335</v>
      </c>
      <c r="G295" s="88" t="n">
        <v>1</v>
      </c>
      <c r="H295" s="84" t="s">
        <v>61</v>
      </c>
      <c r="I295" s="80" t="s">
        <v>336</v>
      </c>
      <c r="J295" s="80" t="s">
        <v>337</v>
      </c>
      <c r="K295" s="80" t="s">
        <v>338</v>
      </c>
      <c r="L295" s="80" t="s">
        <v>339</v>
      </c>
      <c r="M295" s="79" t="s">
        <v>1088</v>
      </c>
      <c r="N295" s="80" t="s">
        <v>341</v>
      </c>
      <c r="O295" s="85" t="n">
        <v>46132</v>
      </c>
      <c r="P295" s="101"/>
      <c r="Q295" s="84"/>
      <c r="R295" s="87"/>
      <c r="S295" s="87"/>
    </row>
    <row r="296" s="77" customFormat="true" ht="15" hidden="false" customHeight="false" outlineLevel="1" collapsed="false">
      <c r="B296" s="78"/>
      <c r="C296" s="79" t="n">
        <v>348</v>
      </c>
      <c r="D296" s="80" t="s">
        <v>342</v>
      </c>
      <c r="E296" s="82" t="s">
        <v>1076</v>
      </c>
      <c r="F296" s="82" t="s">
        <v>343</v>
      </c>
      <c r="G296" s="88" t="n">
        <v>1</v>
      </c>
      <c r="H296" s="84" t="s">
        <v>24</v>
      </c>
      <c r="I296" s="80" t="s">
        <v>344</v>
      </c>
      <c r="J296" s="80" t="s">
        <v>345</v>
      </c>
      <c r="K296" s="80" t="s">
        <v>346</v>
      </c>
      <c r="L296" s="80" t="s">
        <v>347</v>
      </c>
      <c r="M296" s="79" t="s">
        <v>348</v>
      </c>
      <c r="N296" s="80" t="s">
        <v>349</v>
      </c>
      <c r="O296" s="85" t="n">
        <v>46160</v>
      </c>
      <c r="P296" s="101"/>
      <c r="Q296" s="84"/>
      <c r="R296" s="87"/>
      <c r="S296" s="87"/>
    </row>
    <row r="297" s="77" customFormat="true" ht="15" hidden="false" customHeight="false" outlineLevel="1" collapsed="false">
      <c r="B297" s="78"/>
      <c r="C297" s="79" t="n">
        <v>349</v>
      </c>
      <c r="D297" s="80" t="s">
        <v>350</v>
      </c>
      <c r="E297" s="82" t="s">
        <v>1076</v>
      </c>
      <c r="F297" s="82" t="s">
        <v>351</v>
      </c>
      <c r="G297" s="88" t="n">
        <v>6</v>
      </c>
      <c r="H297" s="84" t="s">
        <v>152</v>
      </c>
      <c r="I297" s="80" t="s">
        <v>352</v>
      </c>
      <c r="J297" s="80" t="s">
        <v>353</v>
      </c>
      <c r="K297" s="80" t="s">
        <v>354</v>
      </c>
      <c r="L297" s="80" t="s">
        <v>355</v>
      </c>
      <c r="M297" s="79" t="s">
        <v>355</v>
      </c>
      <c r="N297" s="80" t="s">
        <v>356</v>
      </c>
      <c r="O297" s="85" t="n">
        <v>46160</v>
      </c>
      <c r="P297" s="101"/>
      <c r="Q297" s="84"/>
      <c r="R297" s="87"/>
      <c r="S297" s="87"/>
    </row>
    <row r="298" s="77" customFormat="true" ht="30" hidden="false" customHeight="true" outlineLevel="1" collapsed="false">
      <c r="B298" s="78"/>
      <c r="C298" s="79" t="s">
        <v>1089</v>
      </c>
      <c r="D298" s="80" t="s">
        <v>802</v>
      </c>
      <c r="E298" s="82" t="s">
        <v>1076</v>
      </c>
      <c r="F298" s="82" t="s">
        <v>803</v>
      </c>
      <c r="G298" s="88" t="n">
        <v>13</v>
      </c>
      <c r="H298" s="84" t="s">
        <v>804</v>
      </c>
      <c r="I298" s="80" t="s">
        <v>874</v>
      </c>
      <c r="J298" s="80" t="s">
        <v>875</v>
      </c>
      <c r="K298" s="80" t="s">
        <v>876</v>
      </c>
      <c r="L298" s="80" t="s">
        <v>808</v>
      </c>
      <c r="M298" s="79" t="s">
        <v>1090</v>
      </c>
      <c r="N298" s="80" t="s">
        <v>810</v>
      </c>
      <c r="O298" s="85" t="n">
        <v>46160</v>
      </c>
      <c r="P298" s="101"/>
      <c r="Q298" s="84"/>
      <c r="R298" s="87"/>
      <c r="S298" s="87"/>
    </row>
    <row r="299" s="77" customFormat="true" ht="15" hidden="false" customHeight="false" outlineLevel="1" collapsed="false">
      <c r="B299" s="78"/>
      <c r="C299" s="79" t="n">
        <v>351</v>
      </c>
      <c r="D299" s="80" t="s">
        <v>961</v>
      </c>
      <c r="E299" s="82" t="s">
        <v>1076</v>
      </c>
      <c r="F299" s="82" t="s">
        <v>915</v>
      </c>
      <c r="G299" s="88" t="n">
        <v>2</v>
      </c>
      <c r="H299" s="84" t="s">
        <v>152</v>
      </c>
      <c r="I299" s="80" t="s">
        <v>962</v>
      </c>
      <c r="J299" s="80" t="s">
        <v>963</v>
      </c>
      <c r="K299" s="97" t="s">
        <v>964</v>
      </c>
      <c r="L299" s="80" t="s">
        <v>965</v>
      </c>
      <c r="M299" s="79" t="s">
        <v>983</v>
      </c>
      <c r="N299" s="80" t="s">
        <v>967</v>
      </c>
      <c r="O299" s="85" t="n">
        <v>46160</v>
      </c>
      <c r="P299" s="101"/>
      <c r="Q299" s="84"/>
      <c r="R299" s="87"/>
      <c r="S299" s="87"/>
    </row>
    <row r="300" s="77" customFormat="true" ht="15" hidden="false" customHeight="false" outlineLevel="1" collapsed="false">
      <c r="B300" s="78"/>
      <c r="C300" s="79" t="n">
        <v>352</v>
      </c>
      <c r="D300" s="80" t="s">
        <v>366</v>
      </c>
      <c r="E300" s="82" t="s">
        <v>1076</v>
      </c>
      <c r="F300" s="82" t="s">
        <v>367</v>
      </c>
      <c r="G300" s="88" t="n">
        <v>6</v>
      </c>
      <c r="H300" s="84" t="s">
        <v>368</v>
      </c>
      <c r="I300" s="80" t="s">
        <v>369</v>
      </c>
      <c r="J300" s="80" t="s">
        <v>370</v>
      </c>
      <c r="K300" s="80" t="s">
        <v>371</v>
      </c>
      <c r="L300" s="80" t="s">
        <v>372</v>
      </c>
      <c r="M300" s="79" t="s">
        <v>682</v>
      </c>
      <c r="N300" s="80" t="s">
        <v>374</v>
      </c>
      <c r="O300" s="85" t="n">
        <v>46160</v>
      </c>
      <c r="P300" s="101"/>
      <c r="Q300" s="84"/>
      <c r="R300" s="87"/>
      <c r="S300" s="87"/>
    </row>
    <row r="301" s="77" customFormat="true" ht="15" hidden="false" customHeight="false" outlineLevel="1" collapsed="false">
      <c r="B301" s="78"/>
      <c r="C301" s="79" t="n">
        <v>353</v>
      </c>
      <c r="D301" s="80" t="s">
        <v>604</v>
      </c>
      <c r="E301" s="82" t="s">
        <v>1076</v>
      </c>
      <c r="F301" s="82" t="s">
        <v>605</v>
      </c>
      <c r="G301" s="88" t="n">
        <v>1</v>
      </c>
      <c r="H301" s="84" t="s">
        <v>61</v>
      </c>
      <c r="I301" s="80" t="s">
        <v>606</v>
      </c>
      <c r="J301" s="80" t="s">
        <v>607</v>
      </c>
      <c r="K301" s="80" t="s">
        <v>608</v>
      </c>
      <c r="L301" s="80" t="s">
        <v>252</v>
      </c>
      <c r="M301" s="79" t="s">
        <v>609</v>
      </c>
      <c r="N301" s="80" t="s">
        <v>610</v>
      </c>
      <c r="O301" s="85" t="n">
        <v>46132</v>
      </c>
      <c r="P301" s="101"/>
      <c r="Q301" s="84"/>
      <c r="R301" s="87"/>
      <c r="S301" s="87"/>
    </row>
    <row r="302" s="77" customFormat="true" ht="30" hidden="false" customHeight="true" outlineLevel="1" collapsed="false">
      <c r="B302" s="78"/>
      <c r="C302" s="79" t="n">
        <v>354</v>
      </c>
      <c r="D302" s="80" t="s">
        <v>375</v>
      </c>
      <c r="E302" s="82" t="s">
        <v>1076</v>
      </c>
      <c r="F302" s="82" t="s">
        <v>376</v>
      </c>
      <c r="G302" s="88" t="n">
        <v>18</v>
      </c>
      <c r="H302" s="84" t="s">
        <v>111</v>
      </c>
      <c r="I302" s="80" t="s">
        <v>1091</v>
      </c>
      <c r="J302" s="80" t="s">
        <v>1092</v>
      </c>
      <c r="K302" s="97" t="s">
        <v>1093</v>
      </c>
      <c r="L302" s="80" t="s">
        <v>380</v>
      </c>
      <c r="M302" s="79" t="s">
        <v>381</v>
      </c>
      <c r="N302" s="80" t="s">
        <v>382</v>
      </c>
      <c r="O302" s="85" t="n">
        <v>46160</v>
      </c>
      <c r="P302" s="101"/>
      <c r="Q302" s="84"/>
      <c r="R302" s="87"/>
      <c r="S302" s="87"/>
    </row>
    <row r="303" s="77" customFormat="true" ht="15" hidden="false" customHeight="false" outlineLevel="1" collapsed="false">
      <c r="B303" s="78"/>
      <c r="C303" s="79" t="n">
        <v>355</v>
      </c>
      <c r="D303" s="80" t="s">
        <v>383</v>
      </c>
      <c r="E303" s="82" t="s">
        <v>1076</v>
      </c>
      <c r="F303" s="82" t="s">
        <v>384</v>
      </c>
      <c r="G303" s="88" t="n">
        <v>8</v>
      </c>
      <c r="H303" s="84" t="s">
        <v>61</v>
      </c>
      <c r="I303" s="80" t="s">
        <v>385</v>
      </c>
      <c r="J303" s="80" t="s">
        <v>386</v>
      </c>
      <c r="K303" s="80" t="s">
        <v>387</v>
      </c>
      <c r="L303" s="80" t="s">
        <v>388</v>
      </c>
      <c r="M303" s="79" t="s">
        <v>389</v>
      </c>
      <c r="N303" s="80" t="s">
        <v>390</v>
      </c>
      <c r="O303" s="85" t="n">
        <v>46132</v>
      </c>
      <c r="P303" s="101"/>
      <c r="Q303" s="84"/>
      <c r="R303" s="87"/>
      <c r="S303" s="87"/>
    </row>
    <row r="304" s="77" customFormat="true" ht="15" hidden="false" customHeight="false" outlineLevel="1" collapsed="false">
      <c r="B304" s="78"/>
      <c r="C304" s="79" t="n">
        <v>356</v>
      </c>
      <c r="D304" s="80" t="s">
        <v>391</v>
      </c>
      <c r="E304" s="82" t="s">
        <v>1076</v>
      </c>
      <c r="F304" s="82" t="s">
        <v>392</v>
      </c>
      <c r="G304" s="88" t="n">
        <v>1</v>
      </c>
      <c r="H304" s="84" t="s">
        <v>111</v>
      </c>
      <c r="I304" s="80" t="s">
        <v>393</v>
      </c>
      <c r="J304" s="80" t="s">
        <v>394</v>
      </c>
      <c r="K304" s="80" t="s">
        <v>395</v>
      </c>
      <c r="L304" s="80" t="s">
        <v>396</v>
      </c>
      <c r="M304" s="79" t="s">
        <v>397</v>
      </c>
      <c r="N304" s="80" t="s">
        <v>398</v>
      </c>
      <c r="O304" s="85" t="n">
        <v>46160</v>
      </c>
      <c r="P304" s="101"/>
      <c r="Q304" s="84"/>
      <c r="R304" s="87"/>
      <c r="S304" s="87"/>
    </row>
    <row r="305" s="77" customFormat="true" ht="15" hidden="false" customHeight="false" outlineLevel="1" collapsed="false">
      <c r="B305" s="78"/>
      <c r="C305" s="79" t="n">
        <v>357</v>
      </c>
      <c r="D305" s="80" t="s">
        <v>399</v>
      </c>
      <c r="E305" s="82" t="s">
        <v>1076</v>
      </c>
      <c r="F305" s="82" t="s">
        <v>400</v>
      </c>
      <c r="G305" s="88" t="n">
        <v>1</v>
      </c>
      <c r="H305" s="84" t="s">
        <v>152</v>
      </c>
      <c r="I305" s="80" t="s">
        <v>401</v>
      </c>
      <c r="J305" s="80" t="s">
        <v>402</v>
      </c>
      <c r="K305" s="80" t="s">
        <v>403</v>
      </c>
      <c r="L305" s="80" t="s">
        <v>404</v>
      </c>
      <c r="M305" s="79" t="s">
        <v>791</v>
      </c>
      <c r="N305" s="80" t="s">
        <v>406</v>
      </c>
      <c r="O305" s="85" t="n">
        <v>46160</v>
      </c>
      <c r="P305" s="101"/>
      <c r="Q305" s="84"/>
      <c r="R305" s="87"/>
      <c r="S305" s="87"/>
    </row>
    <row r="306" s="77" customFormat="true" ht="15" hidden="false" customHeight="false" outlineLevel="1" collapsed="false">
      <c r="B306" s="78"/>
      <c r="C306" s="80" t="n">
        <v>358</v>
      </c>
      <c r="D306" s="80" t="s">
        <v>892</v>
      </c>
      <c r="E306" s="82" t="s">
        <v>1076</v>
      </c>
      <c r="F306" s="82" t="s">
        <v>893</v>
      </c>
      <c r="G306" s="88" t="n">
        <v>1</v>
      </c>
      <c r="H306" s="84" t="s">
        <v>61</v>
      </c>
      <c r="I306" s="80" t="s">
        <v>894</v>
      </c>
      <c r="J306" s="80" t="s">
        <v>895</v>
      </c>
      <c r="K306" s="97" t="s">
        <v>896</v>
      </c>
      <c r="L306" s="79" t="s">
        <v>897</v>
      </c>
      <c r="M306" s="80" t="s">
        <v>897</v>
      </c>
      <c r="N306" s="85" t="s">
        <v>898</v>
      </c>
      <c r="O306" s="85" t="n">
        <v>46132</v>
      </c>
      <c r="P306" s="84"/>
      <c r="Q306" s="87"/>
      <c r="R306" s="87"/>
    </row>
    <row r="307" s="77" customFormat="true" ht="15" hidden="false" customHeight="false" outlineLevel="1" collapsed="false">
      <c r="B307" s="78"/>
      <c r="C307" s="79" t="n">
        <v>359</v>
      </c>
      <c r="D307" s="80" t="s">
        <v>415</v>
      </c>
      <c r="E307" s="82" t="s">
        <v>1076</v>
      </c>
      <c r="F307" s="82" t="s">
        <v>416</v>
      </c>
      <c r="G307" s="88" t="n">
        <v>2</v>
      </c>
      <c r="H307" s="84" t="s">
        <v>417</v>
      </c>
      <c r="I307" s="80" t="s">
        <v>418</v>
      </c>
      <c r="J307" s="80" t="s">
        <v>419</v>
      </c>
      <c r="K307" s="80" t="s">
        <v>420</v>
      </c>
      <c r="L307" s="80" t="s">
        <v>421</v>
      </c>
      <c r="M307" s="79" t="s">
        <v>422</v>
      </c>
      <c r="N307" s="80" t="s">
        <v>423</v>
      </c>
      <c r="O307" s="85" t="n">
        <v>46160</v>
      </c>
      <c r="P307" s="101"/>
      <c r="Q307" s="84"/>
      <c r="R307" s="87"/>
      <c r="S307" s="87"/>
    </row>
    <row r="308" s="77" customFormat="true" ht="15" hidden="false" customHeight="false" outlineLevel="1" collapsed="false">
      <c r="B308" s="78"/>
      <c r="C308" s="79" t="n">
        <v>360</v>
      </c>
      <c r="D308" s="80" t="s">
        <v>1014</v>
      </c>
      <c r="E308" s="82" t="s">
        <v>1076</v>
      </c>
      <c r="F308" s="82" t="s">
        <v>917</v>
      </c>
      <c r="G308" s="88" t="n">
        <v>2</v>
      </c>
      <c r="H308" s="84" t="s">
        <v>61</v>
      </c>
      <c r="I308" s="80" t="s">
        <v>1015</v>
      </c>
      <c r="J308" s="80" t="s">
        <v>1016</v>
      </c>
      <c r="K308" s="80" t="s">
        <v>1017</v>
      </c>
      <c r="L308" s="80" t="s">
        <v>1018</v>
      </c>
      <c r="M308" s="79" t="s">
        <v>1019</v>
      </c>
      <c r="N308" s="80" t="s">
        <v>1020</v>
      </c>
      <c r="O308" s="85" t="n">
        <v>46132</v>
      </c>
      <c r="P308" s="101"/>
      <c r="Q308" s="84"/>
      <c r="R308" s="87"/>
      <c r="S308" s="87"/>
    </row>
    <row r="309" s="77" customFormat="true" ht="15" hidden="false" customHeight="false" outlineLevel="1" collapsed="false">
      <c r="B309" s="78"/>
      <c r="C309" s="79" t="n">
        <v>361</v>
      </c>
      <c r="D309" s="80" t="s">
        <v>424</v>
      </c>
      <c r="E309" s="82" t="s">
        <v>1076</v>
      </c>
      <c r="F309" s="82" t="s">
        <v>425</v>
      </c>
      <c r="G309" s="88" t="n">
        <v>3</v>
      </c>
      <c r="H309" s="84" t="s">
        <v>111</v>
      </c>
      <c r="I309" s="80" t="s">
        <v>426</v>
      </c>
      <c r="J309" s="80" t="s">
        <v>427</v>
      </c>
      <c r="K309" s="80" t="s">
        <v>428</v>
      </c>
      <c r="L309" s="80" t="s">
        <v>429</v>
      </c>
      <c r="M309" s="79" t="s">
        <v>429</v>
      </c>
      <c r="N309" s="80" t="s">
        <v>430</v>
      </c>
      <c r="O309" s="85" t="n">
        <v>46160</v>
      </c>
      <c r="P309" s="101"/>
      <c r="Q309" s="84"/>
      <c r="R309" s="87"/>
      <c r="S309" s="87"/>
    </row>
    <row r="310" s="77" customFormat="true" ht="30" hidden="false" customHeight="true" outlineLevel="1" collapsed="false">
      <c r="B310" s="78"/>
      <c r="C310" s="79" t="s">
        <v>1094</v>
      </c>
      <c r="D310" s="80" t="s">
        <v>431</v>
      </c>
      <c r="E310" s="80" t="s">
        <v>1076</v>
      </c>
      <c r="F310" s="82" t="s">
        <v>432</v>
      </c>
      <c r="G310" s="88" t="n">
        <v>8</v>
      </c>
      <c r="H310" s="84" t="s">
        <v>152</v>
      </c>
      <c r="I310" s="80" t="s">
        <v>1095</v>
      </c>
      <c r="J310" s="80" t="s">
        <v>1096</v>
      </c>
      <c r="K310" s="80" t="s">
        <v>1097</v>
      </c>
      <c r="L310" s="80" t="s">
        <v>436</v>
      </c>
      <c r="M310" s="79" t="s">
        <v>1098</v>
      </c>
      <c r="N310" s="80" t="s">
        <v>438</v>
      </c>
      <c r="O310" s="85" t="n">
        <v>46160</v>
      </c>
      <c r="P310" s="101"/>
      <c r="Q310" s="84"/>
      <c r="R310" s="87"/>
      <c r="S310" s="87"/>
    </row>
    <row r="311" s="77" customFormat="true" ht="15" hidden="false" customHeight="false" outlineLevel="1" collapsed="false">
      <c r="B311" s="78"/>
      <c r="C311" s="79" t="n">
        <v>363</v>
      </c>
      <c r="D311" s="80" t="s">
        <v>447</v>
      </c>
      <c r="E311" s="82" t="s">
        <v>1076</v>
      </c>
      <c r="F311" s="82" t="s">
        <v>448</v>
      </c>
      <c r="G311" s="88" t="n">
        <v>1</v>
      </c>
      <c r="H311" s="84" t="s">
        <v>24</v>
      </c>
      <c r="I311" s="80" t="s">
        <v>449</v>
      </c>
      <c r="J311" s="80" t="s">
        <v>450</v>
      </c>
      <c r="K311" s="80" t="s">
        <v>451</v>
      </c>
      <c r="L311" s="80" t="s">
        <v>452</v>
      </c>
      <c r="M311" s="79" t="s">
        <v>453</v>
      </c>
      <c r="N311" s="80" t="s">
        <v>454</v>
      </c>
      <c r="O311" s="85" t="n">
        <v>46160</v>
      </c>
      <c r="P311" s="101"/>
      <c r="Q311" s="84"/>
      <c r="R311" s="87"/>
      <c r="S311" s="87"/>
    </row>
    <row r="312" s="77" customFormat="true" ht="15" hidden="false" customHeight="false" outlineLevel="1" collapsed="false">
      <c r="B312" s="78"/>
      <c r="C312" s="79" t="n">
        <v>364</v>
      </c>
      <c r="D312" s="80" t="s">
        <v>571</v>
      </c>
      <c r="E312" s="82" t="s">
        <v>1076</v>
      </c>
      <c r="F312" s="82" t="s">
        <v>572</v>
      </c>
      <c r="G312" s="88" t="n">
        <v>3</v>
      </c>
      <c r="H312" s="84" t="s">
        <v>573</v>
      </c>
      <c r="I312" s="80" t="s">
        <v>574</v>
      </c>
      <c r="J312" s="80" t="s">
        <v>575</v>
      </c>
      <c r="K312" s="80" t="s">
        <v>576</v>
      </c>
      <c r="L312" s="80" t="s">
        <v>577</v>
      </c>
      <c r="M312" s="79" t="s">
        <v>578</v>
      </c>
      <c r="N312" s="80" t="s">
        <v>579</v>
      </c>
      <c r="O312" s="85" t="n">
        <v>46160</v>
      </c>
      <c r="P312" s="101"/>
      <c r="Q312" s="84"/>
      <c r="R312" s="87"/>
      <c r="S312" s="87"/>
    </row>
    <row r="313" s="77" customFormat="true" ht="15" hidden="false" customHeight="false" outlineLevel="1" collapsed="false">
      <c r="B313" s="78"/>
      <c r="C313" s="79" t="n">
        <v>365</v>
      </c>
      <c r="D313" s="80" t="s">
        <v>596</v>
      </c>
      <c r="E313" s="82" t="s">
        <v>1076</v>
      </c>
      <c r="F313" s="82" t="s">
        <v>597</v>
      </c>
      <c r="G313" s="88" t="n">
        <v>1</v>
      </c>
      <c r="H313" s="84" t="s">
        <v>61</v>
      </c>
      <c r="I313" s="80" t="s">
        <v>598</v>
      </c>
      <c r="J313" s="80" t="s">
        <v>599</v>
      </c>
      <c r="K313" s="80" t="s">
        <v>600</v>
      </c>
      <c r="L313" s="80" t="s">
        <v>601</v>
      </c>
      <c r="M313" s="79" t="s">
        <v>602</v>
      </c>
      <c r="N313" s="80" t="s">
        <v>603</v>
      </c>
      <c r="O313" s="85" t="n">
        <v>46132</v>
      </c>
      <c r="P313" s="101"/>
      <c r="Q313" s="84"/>
      <c r="R313" s="87"/>
      <c r="S313" s="87"/>
    </row>
    <row r="314" s="77" customFormat="true" ht="15" hidden="false" customHeight="false" outlineLevel="1" collapsed="false">
      <c r="B314" s="78"/>
      <c r="C314" s="79" t="n">
        <v>366</v>
      </c>
      <c r="D314" s="80" t="s">
        <v>455</v>
      </c>
      <c r="E314" s="82" t="s">
        <v>1076</v>
      </c>
      <c r="F314" s="82" t="s">
        <v>456</v>
      </c>
      <c r="G314" s="88" t="n">
        <v>1</v>
      </c>
      <c r="H314" s="84" t="s">
        <v>111</v>
      </c>
      <c r="I314" s="80" t="s">
        <v>457</v>
      </c>
      <c r="J314" s="80" t="s">
        <v>458</v>
      </c>
      <c r="K314" s="80" t="s">
        <v>459</v>
      </c>
      <c r="L314" s="80" t="s">
        <v>460</v>
      </c>
      <c r="M314" s="79" t="s">
        <v>461</v>
      </c>
      <c r="N314" s="80" t="s">
        <v>462</v>
      </c>
      <c r="O314" s="85" t="n">
        <v>46160</v>
      </c>
      <c r="P314" s="101"/>
      <c r="Q314" s="84"/>
      <c r="R314" s="87"/>
      <c r="S314" s="87"/>
    </row>
    <row r="315" s="77" customFormat="true" ht="15" hidden="false" customHeight="false" outlineLevel="1" collapsed="false">
      <c r="B315" s="78"/>
      <c r="C315" s="79" t="n">
        <v>367</v>
      </c>
      <c r="D315" s="80" t="s">
        <v>463</v>
      </c>
      <c r="E315" s="82" t="s">
        <v>1076</v>
      </c>
      <c r="F315" s="82" t="s">
        <v>464</v>
      </c>
      <c r="G315" s="88" t="n">
        <v>1</v>
      </c>
      <c r="H315" s="84" t="s">
        <v>152</v>
      </c>
      <c r="I315" s="80" t="s">
        <v>465</v>
      </c>
      <c r="J315" s="80" t="s">
        <v>466</v>
      </c>
      <c r="K315" s="80" t="s">
        <v>467</v>
      </c>
      <c r="L315" s="80" t="s">
        <v>468</v>
      </c>
      <c r="M315" s="79" t="s">
        <v>469</v>
      </c>
      <c r="N315" s="80" t="s">
        <v>470</v>
      </c>
      <c r="O315" s="85" t="n">
        <v>46160</v>
      </c>
      <c r="P315" s="101"/>
      <c r="Q315" s="84"/>
      <c r="R315" s="87"/>
      <c r="S315" s="87"/>
    </row>
    <row r="316" s="77" customFormat="true" ht="15" hidden="false" customHeight="false" outlineLevel="1" collapsed="false">
      <c r="B316" s="78"/>
      <c r="C316" s="79" t="n">
        <v>368</v>
      </c>
      <c r="D316" s="80" t="s">
        <v>760</v>
      </c>
      <c r="E316" s="82" t="s">
        <v>1076</v>
      </c>
      <c r="F316" s="82" t="s">
        <v>761</v>
      </c>
      <c r="G316" s="88" t="n">
        <v>2</v>
      </c>
      <c r="H316" s="84" t="s">
        <v>61</v>
      </c>
      <c r="I316" s="80" t="s">
        <v>762</v>
      </c>
      <c r="J316" s="80" t="s">
        <v>763</v>
      </c>
      <c r="K316" s="80" t="s">
        <v>764</v>
      </c>
      <c r="L316" s="80" t="s">
        <v>765</v>
      </c>
      <c r="M316" s="79" t="s">
        <v>765</v>
      </c>
      <c r="N316" s="80" t="s">
        <v>766</v>
      </c>
      <c r="O316" s="85" t="n">
        <v>46132</v>
      </c>
      <c r="P316" s="101"/>
      <c r="Q316" s="84"/>
      <c r="R316" s="87"/>
      <c r="S316" s="87"/>
    </row>
    <row r="317" s="77" customFormat="true" ht="30" hidden="false" customHeight="true" outlineLevel="1" collapsed="false">
      <c r="B317" s="78"/>
      <c r="C317" s="79" t="n">
        <v>369</v>
      </c>
      <c r="D317" s="80" t="s">
        <v>478</v>
      </c>
      <c r="E317" s="82" t="s">
        <v>1076</v>
      </c>
      <c r="F317" s="82" t="s">
        <v>479</v>
      </c>
      <c r="G317" s="88" t="n">
        <v>6</v>
      </c>
      <c r="H317" s="84" t="s">
        <v>111</v>
      </c>
      <c r="I317" s="80" t="s">
        <v>480</v>
      </c>
      <c r="J317" s="80" t="s">
        <v>481</v>
      </c>
      <c r="K317" s="80" t="s">
        <v>482</v>
      </c>
      <c r="L317" s="80" t="s">
        <v>483</v>
      </c>
      <c r="M317" s="79" t="s">
        <v>634</v>
      </c>
      <c r="N317" s="80" t="s">
        <v>485</v>
      </c>
      <c r="O317" s="85" t="n">
        <v>46160</v>
      </c>
      <c r="P317" s="101"/>
      <c r="Q317" s="84"/>
      <c r="R317" s="87"/>
      <c r="S317" s="87"/>
    </row>
    <row r="318" s="77" customFormat="true" ht="15" hidden="false" customHeight="false" outlineLevel="1" collapsed="false">
      <c r="B318" s="78"/>
      <c r="C318" s="79" t="n">
        <v>370</v>
      </c>
      <c r="D318" s="80" t="s">
        <v>486</v>
      </c>
      <c r="E318" s="82" t="s">
        <v>1076</v>
      </c>
      <c r="F318" s="82" t="s">
        <v>487</v>
      </c>
      <c r="G318" s="88" t="n">
        <v>1</v>
      </c>
      <c r="H318" s="84" t="s">
        <v>152</v>
      </c>
      <c r="I318" s="80" t="s">
        <v>488</v>
      </c>
      <c r="J318" s="80" t="s">
        <v>489</v>
      </c>
      <c r="K318" s="80" t="s">
        <v>490</v>
      </c>
      <c r="L318" s="80" t="s">
        <v>491</v>
      </c>
      <c r="M318" s="79" t="s">
        <v>492</v>
      </c>
      <c r="N318" s="80" t="s">
        <v>493</v>
      </c>
      <c r="O318" s="85" t="n">
        <v>46160</v>
      </c>
      <c r="P318" s="101"/>
      <c r="Q318" s="84"/>
      <c r="R318" s="87"/>
      <c r="S318" s="87"/>
    </row>
    <row r="319" s="77" customFormat="true" ht="15" hidden="false" customHeight="false" outlineLevel="1" collapsed="false">
      <c r="B319" s="78"/>
      <c r="C319" s="79" t="n">
        <v>371</v>
      </c>
      <c r="D319" s="80" t="s">
        <v>611</v>
      </c>
      <c r="E319" s="82" t="s">
        <v>1076</v>
      </c>
      <c r="F319" s="82" t="s">
        <v>612</v>
      </c>
      <c r="G319" s="88" t="n">
        <v>1</v>
      </c>
      <c r="H319" s="84" t="s">
        <v>24</v>
      </c>
      <c r="I319" s="80" t="s">
        <v>613</v>
      </c>
      <c r="J319" s="80" t="s">
        <v>614</v>
      </c>
      <c r="K319" s="80" t="s">
        <v>615</v>
      </c>
      <c r="L319" s="80" t="s">
        <v>616</v>
      </c>
      <c r="M319" s="79" t="s">
        <v>616</v>
      </c>
      <c r="N319" s="80" t="s">
        <v>617</v>
      </c>
      <c r="O319" s="85" t="n">
        <v>46160</v>
      </c>
      <c r="P319" s="101"/>
      <c r="Q319" s="84"/>
      <c r="R319" s="87"/>
      <c r="S319" s="87"/>
    </row>
    <row r="320" s="77" customFormat="true" ht="15" hidden="false" customHeight="false" outlineLevel="1" collapsed="false">
      <c r="B320" s="78"/>
      <c r="C320" s="79" t="n">
        <v>372</v>
      </c>
      <c r="D320" s="80" t="s">
        <v>494</v>
      </c>
      <c r="E320" s="82" t="s">
        <v>1076</v>
      </c>
      <c r="F320" s="82" t="s">
        <v>495</v>
      </c>
      <c r="G320" s="88" t="n">
        <v>2</v>
      </c>
      <c r="H320" s="84" t="s">
        <v>61</v>
      </c>
      <c r="I320" s="80" t="s">
        <v>496</v>
      </c>
      <c r="J320" s="80" t="s">
        <v>497</v>
      </c>
      <c r="K320" s="80" t="s">
        <v>498</v>
      </c>
      <c r="L320" s="80" t="s">
        <v>499</v>
      </c>
      <c r="M320" s="79" t="s">
        <v>500</v>
      </c>
      <c r="N320" s="80" t="s">
        <v>501</v>
      </c>
      <c r="O320" s="85" t="n">
        <v>46132</v>
      </c>
      <c r="P320" s="101"/>
      <c r="Q320" s="84"/>
      <c r="R320" s="87"/>
      <c r="S320" s="87"/>
    </row>
    <row r="321" s="77" customFormat="true" ht="15" hidden="false" customHeight="false" outlineLevel="1" collapsed="false">
      <c r="B321" s="78"/>
      <c r="C321" s="79" t="n">
        <v>373</v>
      </c>
      <c r="D321" s="80" t="s">
        <v>502</v>
      </c>
      <c r="E321" s="82" t="s">
        <v>1076</v>
      </c>
      <c r="F321" s="82" t="s">
        <v>503</v>
      </c>
      <c r="G321" s="88" t="n">
        <v>1</v>
      </c>
      <c r="H321" s="84" t="s">
        <v>61</v>
      </c>
      <c r="I321" s="80" t="s">
        <v>504</v>
      </c>
      <c r="J321" s="80" t="s">
        <v>505</v>
      </c>
      <c r="K321" s="80" t="s">
        <v>506</v>
      </c>
      <c r="L321" s="80" t="s">
        <v>283</v>
      </c>
      <c r="M321" s="79" t="s">
        <v>284</v>
      </c>
      <c r="N321" s="80" t="s">
        <v>507</v>
      </c>
      <c r="O321" s="85" t="n">
        <v>46132</v>
      </c>
      <c r="P321" s="101"/>
      <c r="Q321" s="84"/>
      <c r="R321" s="87"/>
      <c r="S321" s="87"/>
    </row>
    <row r="322" s="77" customFormat="true" ht="15" hidden="false" customHeight="false" outlineLevel="1" collapsed="false">
      <c r="B322" s="78"/>
      <c r="C322" s="79" t="n">
        <v>374</v>
      </c>
      <c r="D322" s="80" t="s">
        <v>508</v>
      </c>
      <c r="E322" s="82" t="s">
        <v>1076</v>
      </c>
      <c r="F322" s="82" t="s">
        <v>509</v>
      </c>
      <c r="G322" s="88" t="n">
        <v>2</v>
      </c>
      <c r="H322" s="84" t="s">
        <v>61</v>
      </c>
      <c r="I322" s="80" t="s">
        <v>510</v>
      </c>
      <c r="J322" s="80" t="s">
        <v>511</v>
      </c>
      <c r="K322" s="80" t="s">
        <v>512</v>
      </c>
      <c r="L322" s="80" t="s">
        <v>513</v>
      </c>
      <c r="M322" s="79" t="s">
        <v>514</v>
      </c>
      <c r="N322" s="80" t="s">
        <v>515</v>
      </c>
      <c r="O322" s="85" t="n">
        <v>46132</v>
      </c>
      <c r="P322" s="101"/>
      <c r="Q322" s="84"/>
      <c r="R322" s="87"/>
      <c r="S322" s="87"/>
    </row>
    <row r="323" s="77" customFormat="true" ht="15" hidden="false" customHeight="false" outlineLevel="1" collapsed="false">
      <c r="B323" s="78"/>
      <c r="C323" s="79" t="n">
        <v>375</v>
      </c>
      <c r="D323" s="80" t="s">
        <v>516</v>
      </c>
      <c r="E323" s="82" t="s">
        <v>1076</v>
      </c>
      <c r="F323" s="92" t="s">
        <v>517</v>
      </c>
      <c r="G323" s="88" t="n">
        <v>1</v>
      </c>
      <c r="H323" s="84" t="s">
        <v>61</v>
      </c>
      <c r="I323" s="80" t="s">
        <v>518</v>
      </c>
      <c r="J323" s="80" t="s">
        <v>519</v>
      </c>
      <c r="K323" s="80" t="s">
        <v>520</v>
      </c>
      <c r="L323" s="80" t="s">
        <v>521</v>
      </c>
      <c r="M323" s="79" t="s">
        <v>522</v>
      </c>
      <c r="N323" s="80" t="s">
        <v>523</v>
      </c>
      <c r="O323" s="85" t="n">
        <v>46160</v>
      </c>
      <c r="P323" s="101"/>
      <c r="Q323" s="84"/>
      <c r="R323" s="87"/>
      <c r="S323" s="87"/>
    </row>
    <row r="324" s="77" customFormat="true" ht="15" hidden="false" customHeight="false" outlineLevel="1" collapsed="false">
      <c r="B324" s="78"/>
      <c r="C324" s="79" t="n">
        <v>376</v>
      </c>
      <c r="D324" s="80" t="s">
        <v>644</v>
      </c>
      <c r="E324" s="82" t="s">
        <v>1076</v>
      </c>
      <c r="F324" s="82" t="s">
        <v>645</v>
      </c>
      <c r="G324" s="88" t="n">
        <v>5</v>
      </c>
      <c r="H324" s="84" t="s">
        <v>61</v>
      </c>
      <c r="I324" s="80" t="s">
        <v>646</v>
      </c>
      <c r="J324" s="80" t="s">
        <v>647</v>
      </c>
      <c r="K324" s="80" t="s">
        <v>648</v>
      </c>
      <c r="L324" s="80" t="s">
        <v>649</v>
      </c>
      <c r="M324" s="79" t="s">
        <v>650</v>
      </c>
      <c r="N324" s="80"/>
      <c r="O324" s="85" t="n">
        <v>46160</v>
      </c>
      <c r="P324" s="101"/>
      <c r="Q324" s="84"/>
      <c r="R324" s="87"/>
      <c r="S324" s="87"/>
    </row>
    <row r="325" s="68" customFormat="true" ht="15" hidden="false" customHeight="false" outlineLevel="0" collapsed="false">
      <c r="B325" s="69"/>
      <c r="C325" s="102"/>
      <c r="D325" s="71"/>
      <c r="E325" s="72" t="s">
        <v>1099</v>
      </c>
      <c r="F325" s="73"/>
      <c r="G325" s="74" t="n">
        <f aca="false">SUM(G326:G360)</f>
        <v>92</v>
      </c>
      <c r="H325" s="74"/>
      <c r="I325" s="69"/>
      <c r="J325" s="69"/>
      <c r="K325" s="69"/>
      <c r="L325" s="69"/>
      <c r="M325" s="102"/>
      <c r="N325" s="69"/>
      <c r="O325" s="69"/>
      <c r="P325" s="69"/>
      <c r="Q325" s="69"/>
      <c r="R325" s="69"/>
      <c r="S325" s="69"/>
    </row>
    <row r="326" s="77" customFormat="true" ht="15" hidden="false" customHeight="false" outlineLevel="1" collapsed="false">
      <c r="B326" s="78"/>
      <c r="C326" s="79" t="n">
        <v>377</v>
      </c>
      <c r="D326" s="80" t="s">
        <v>811</v>
      </c>
      <c r="E326" s="82" t="s">
        <v>1099</v>
      </c>
      <c r="F326" s="82" t="s">
        <v>812</v>
      </c>
      <c r="G326" s="88" t="n">
        <v>1</v>
      </c>
      <c r="H326" s="84" t="s">
        <v>813</v>
      </c>
      <c r="I326" s="80" t="s">
        <v>814</v>
      </c>
      <c r="J326" s="80" t="s">
        <v>815</v>
      </c>
      <c r="K326" s="80" t="s">
        <v>816</v>
      </c>
      <c r="L326" s="80" t="s">
        <v>817</v>
      </c>
      <c r="M326" s="79" t="s">
        <v>818</v>
      </c>
      <c r="N326" s="80" t="s">
        <v>819</v>
      </c>
      <c r="O326" s="85" t="n">
        <v>46153</v>
      </c>
      <c r="P326" s="101"/>
      <c r="Q326" s="84"/>
      <c r="R326" s="87"/>
      <c r="S326" s="87"/>
    </row>
    <row r="327" s="77" customFormat="true" ht="15" hidden="false" customHeight="false" outlineLevel="1" collapsed="false">
      <c r="B327" s="78"/>
      <c r="C327" s="79" t="n">
        <v>378</v>
      </c>
      <c r="D327" s="80" t="s">
        <v>34</v>
      </c>
      <c r="E327" s="82" t="s">
        <v>1099</v>
      </c>
      <c r="F327" s="82" t="s">
        <v>35</v>
      </c>
      <c r="G327" s="88" t="n">
        <v>15</v>
      </c>
      <c r="H327" s="84" t="s">
        <v>36</v>
      </c>
      <c r="I327" s="80" t="s">
        <v>37</v>
      </c>
      <c r="J327" s="80" t="s">
        <v>38</v>
      </c>
      <c r="K327" s="80" t="s">
        <v>39</v>
      </c>
      <c r="L327" s="80" t="s">
        <v>40</v>
      </c>
      <c r="M327" s="79" t="s">
        <v>553</v>
      </c>
      <c r="N327" s="80" t="s">
        <v>42</v>
      </c>
      <c r="O327" s="85" t="n">
        <v>46132</v>
      </c>
      <c r="P327" s="101"/>
      <c r="Q327" s="84"/>
      <c r="R327" s="87"/>
      <c r="S327" s="87"/>
    </row>
    <row r="328" s="77" customFormat="true" ht="15" hidden="false" customHeight="false" outlineLevel="1" collapsed="false">
      <c r="B328" s="78"/>
      <c r="C328" s="79" t="n">
        <v>379</v>
      </c>
      <c r="D328" s="80" t="s">
        <v>75</v>
      </c>
      <c r="E328" s="82" t="s">
        <v>1099</v>
      </c>
      <c r="F328" s="82" t="s">
        <v>76</v>
      </c>
      <c r="G328" s="88" t="n">
        <v>10</v>
      </c>
      <c r="H328" s="84" t="s">
        <v>77</v>
      </c>
      <c r="I328" s="80" t="s">
        <v>78</v>
      </c>
      <c r="J328" s="80" t="s">
        <v>79</v>
      </c>
      <c r="K328" s="80" t="s">
        <v>80</v>
      </c>
      <c r="L328" s="80" t="s">
        <v>81</v>
      </c>
      <c r="M328" s="79" t="s">
        <v>82</v>
      </c>
      <c r="N328" s="80" t="s">
        <v>83</v>
      </c>
      <c r="O328" s="85" t="n">
        <v>46132</v>
      </c>
      <c r="P328" s="101"/>
      <c r="Q328" s="84"/>
      <c r="R328" s="87"/>
      <c r="S328" s="87"/>
    </row>
    <row r="329" s="77" customFormat="true" ht="15" hidden="false" customHeight="false" outlineLevel="1" collapsed="false">
      <c r="B329" s="78"/>
      <c r="C329" s="79" t="n">
        <v>380</v>
      </c>
      <c r="D329" s="80" t="s">
        <v>580</v>
      </c>
      <c r="E329" s="82" t="s">
        <v>1099</v>
      </c>
      <c r="F329" s="82" t="s">
        <v>581</v>
      </c>
      <c r="G329" s="88" t="n">
        <v>1</v>
      </c>
      <c r="H329" s="84" t="s">
        <v>61</v>
      </c>
      <c r="I329" s="80" t="s">
        <v>582</v>
      </c>
      <c r="J329" s="80" t="s">
        <v>583</v>
      </c>
      <c r="K329" s="80" t="s">
        <v>584</v>
      </c>
      <c r="L329" s="80" t="s">
        <v>585</v>
      </c>
      <c r="M329" s="79" t="s">
        <v>586</v>
      </c>
      <c r="N329" s="80" t="s">
        <v>587</v>
      </c>
      <c r="O329" s="85" t="n">
        <v>46132</v>
      </c>
      <c r="P329" s="101"/>
      <c r="Q329" s="84"/>
      <c r="R329" s="87"/>
      <c r="S329" s="87"/>
    </row>
    <row r="330" s="77" customFormat="true" ht="15" hidden="false" customHeight="false" outlineLevel="1" collapsed="false">
      <c r="B330" s="78"/>
      <c r="C330" s="79" t="n">
        <v>381</v>
      </c>
      <c r="D330" s="80" t="s">
        <v>554</v>
      </c>
      <c r="E330" s="82" t="s">
        <v>1099</v>
      </c>
      <c r="F330" s="82" t="s">
        <v>555</v>
      </c>
      <c r="G330" s="88" t="n">
        <v>1</v>
      </c>
      <c r="H330" s="84" t="s">
        <v>61</v>
      </c>
      <c r="I330" s="80" t="s">
        <v>556</v>
      </c>
      <c r="J330" s="80" t="s">
        <v>557</v>
      </c>
      <c r="K330" s="80" t="s">
        <v>558</v>
      </c>
      <c r="L330" s="80" t="s">
        <v>559</v>
      </c>
      <c r="M330" s="79" t="s">
        <v>560</v>
      </c>
      <c r="N330" s="80" t="s">
        <v>561</v>
      </c>
      <c r="O330" s="85" t="n">
        <v>46132</v>
      </c>
      <c r="P330" s="101"/>
      <c r="Q330" s="84"/>
      <c r="R330" s="87"/>
      <c r="S330" s="87"/>
    </row>
    <row r="331" s="77" customFormat="true" ht="15" hidden="false" customHeight="false" outlineLevel="1" collapsed="false">
      <c r="B331" s="78"/>
      <c r="C331" s="79" t="n">
        <v>382</v>
      </c>
      <c r="D331" s="80" t="s">
        <v>142</v>
      </c>
      <c r="E331" s="82" t="s">
        <v>1099</v>
      </c>
      <c r="F331" s="82" t="s">
        <v>143</v>
      </c>
      <c r="G331" s="88" t="n">
        <v>1</v>
      </c>
      <c r="H331" s="84" t="s">
        <v>61</v>
      </c>
      <c r="I331" s="80" t="s">
        <v>144</v>
      </c>
      <c r="J331" s="80" t="s">
        <v>145</v>
      </c>
      <c r="K331" s="80" t="s">
        <v>146</v>
      </c>
      <c r="L331" s="80" t="s">
        <v>147</v>
      </c>
      <c r="M331" s="79" t="s">
        <v>148</v>
      </c>
      <c r="N331" s="80" t="s">
        <v>149</v>
      </c>
      <c r="O331" s="85" t="n">
        <v>46132</v>
      </c>
      <c r="P331" s="101"/>
      <c r="Q331" s="84"/>
      <c r="R331" s="87"/>
      <c r="S331" s="87"/>
    </row>
    <row r="332" s="77" customFormat="true" ht="15" hidden="false" customHeight="false" outlineLevel="1" collapsed="false">
      <c r="B332" s="78"/>
      <c r="C332" s="79" t="n">
        <v>383</v>
      </c>
      <c r="D332" s="80" t="s">
        <v>150</v>
      </c>
      <c r="E332" s="82" t="s">
        <v>1099</v>
      </c>
      <c r="F332" s="82" t="s">
        <v>151</v>
      </c>
      <c r="G332" s="88" t="n">
        <v>1</v>
      </c>
      <c r="H332" s="84" t="s">
        <v>152</v>
      </c>
      <c r="I332" s="80" t="s">
        <v>153</v>
      </c>
      <c r="J332" s="80" t="s">
        <v>154</v>
      </c>
      <c r="K332" s="80" t="s">
        <v>155</v>
      </c>
      <c r="L332" s="80" t="s">
        <v>156</v>
      </c>
      <c r="M332" s="79" t="s">
        <v>157</v>
      </c>
      <c r="N332" s="80" t="s">
        <v>158</v>
      </c>
      <c r="O332" s="85" t="n">
        <v>46132</v>
      </c>
      <c r="P332" s="101"/>
      <c r="Q332" s="84"/>
      <c r="R332" s="87"/>
      <c r="S332" s="87"/>
    </row>
    <row r="333" s="77" customFormat="true" ht="15" hidden="false" customHeight="false" outlineLevel="1" collapsed="false">
      <c r="B333" s="78"/>
      <c r="C333" s="79" t="n">
        <v>384</v>
      </c>
      <c r="D333" s="80" t="s">
        <v>166</v>
      </c>
      <c r="E333" s="82" t="s">
        <v>1099</v>
      </c>
      <c r="F333" s="82" t="s">
        <v>167</v>
      </c>
      <c r="G333" s="88" t="n">
        <v>8</v>
      </c>
      <c r="H333" s="84" t="s">
        <v>61</v>
      </c>
      <c r="I333" s="80" t="s">
        <v>168</v>
      </c>
      <c r="J333" s="80" t="s">
        <v>169</v>
      </c>
      <c r="K333" s="80" t="s">
        <v>170</v>
      </c>
      <c r="L333" s="80" t="s">
        <v>171</v>
      </c>
      <c r="M333" s="79" t="s">
        <v>172</v>
      </c>
      <c r="N333" s="80" t="s">
        <v>173</v>
      </c>
      <c r="O333" s="85" t="n">
        <v>46132</v>
      </c>
      <c r="P333" s="101"/>
      <c r="Q333" s="84"/>
      <c r="R333" s="87"/>
      <c r="S333" s="87"/>
    </row>
    <row r="334" s="77" customFormat="true" ht="15" hidden="false" customHeight="false" outlineLevel="1" collapsed="false">
      <c r="B334" s="78"/>
      <c r="C334" s="79" t="n">
        <v>385</v>
      </c>
      <c r="D334" s="80" t="s">
        <v>667</v>
      </c>
      <c r="E334" s="82" t="s">
        <v>1099</v>
      </c>
      <c r="F334" s="82" t="s">
        <v>668</v>
      </c>
      <c r="G334" s="88" t="n">
        <v>2</v>
      </c>
      <c r="H334" s="84" t="s">
        <v>61</v>
      </c>
      <c r="I334" s="80" t="s">
        <v>674</v>
      </c>
      <c r="J334" s="80" t="s">
        <v>675</v>
      </c>
      <c r="K334" s="78" t="s">
        <v>676</v>
      </c>
      <c r="L334" s="80" t="s">
        <v>672</v>
      </c>
      <c r="M334" s="79" t="s">
        <v>677</v>
      </c>
      <c r="N334" s="80" t="s">
        <v>673</v>
      </c>
      <c r="O334" s="85" t="n">
        <v>46132</v>
      </c>
      <c r="P334" s="101"/>
      <c r="Q334" s="84"/>
      <c r="R334" s="87"/>
      <c r="S334" s="87"/>
    </row>
    <row r="335" s="77" customFormat="true" ht="30" hidden="false" customHeight="true" outlineLevel="1" collapsed="false">
      <c r="B335" s="78"/>
      <c r="C335" s="100" t="s">
        <v>1100</v>
      </c>
      <c r="D335" s="80" t="s">
        <v>190</v>
      </c>
      <c r="E335" s="82" t="s">
        <v>1099</v>
      </c>
      <c r="F335" s="82" t="s">
        <v>191</v>
      </c>
      <c r="G335" s="88" t="n">
        <v>4</v>
      </c>
      <c r="H335" s="84" t="s">
        <v>24</v>
      </c>
      <c r="I335" s="96" t="s">
        <v>1101</v>
      </c>
      <c r="J335" s="96" t="s">
        <v>1102</v>
      </c>
      <c r="K335" s="96" t="s">
        <v>1103</v>
      </c>
      <c r="L335" s="80" t="s">
        <v>195</v>
      </c>
      <c r="M335" s="100" t="s">
        <v>1104</v>
      </c>
      <c r="N335" s="80" t="s">
        <v>197</v>
      </c>
      <c r="O335" s="85" t="n">
        <v>46132</v>
      </c>
      <c r="P335" s="101"/>
      <c r="Q335" s="84"/>
      <c r="R335" s="87"/>
      <c r="S335" s="87"/>
    </row>
    <row r="336" s="77" customFormat="true" ht="15" hidden="false" customHeight="false" outlineLevel="1" collapsed="false">
      <c r="B336" s="78"/>
      <c r="C336" s="79" t="n">
        <v>387</v>
      </c>
      <c r="D336" s="80" t="s">
        <v>198</v>
      </c>
      <c r="E336" s="82" t="s">
        <v>1099</v>
      </c>
      <c r="F336" s="82" t="s">
        <v>199</v>
      </c>
      <c r="G336" s="88" t="n">
        <v>1</v>
      </c>
      <c r="H336" s="84" t="s">
        <v>200</v>
      </c>
      <c r="I336" s="80" t="s">
        <v>201</v>
      </c>
      <c r="J336" s="80" t="s">
        <v>202</v>
      </c>
      <c r="K336" s="80" t="s">
        <v>203</v>
      </c>
      <c r="L336" s="80" t="s">
        <v>204</v>
      </c>
      <c r="M336" s="79" t="s">
        <v>205</v>
      </c>
      <c r="N336" s="80" t="s">
        <v>206</v>
      </c>
      <c r="O336" s="85" t="n">
        <v>46132</v>
      </c>
      <c r="P336" s="101"/>
      <c r="Q336" s="84"/>
      <c r="R336" s="87"/>
      <c r="S336" s="87"/>
    </row>
    <row r="337" s="77" customFormat="true" ht="15" hidden="false" customHeight="false" outlineLevel="1" collapsed="false">
      <c r="B337" s="78"/>
      <c r="C337" s="79" t="n">
        <v>388</v>
      </c>
      <c r="D337" s="80" t="s">
        <v>223</v>
      </c>
      <c r="E337" s="82" t="s">
        <v>1099</v>
      </c>
      <c r="F337" s="82" t="s">
        <v>224</v>
      </c>
      <c r="G337" s="88" t="n">
        <v>1</v>
      </c>
      <c r="H337" s="84" t="s">
        <v>61</v>
      </c>
      <c r="I337" s="80" t="s">
        <v>225</v>
      </c>
      <c r="J337" s="80" t="s">
        <v>226</v>
      </c>
      <c r="K337" s="80" t="s">
        <v>227</v>
      </c>
      <c r="L337" s="80" t="s">
        <v>228</v>
      </c>
      <c r="M337" s="79" t="s">
        <v>229</v>
      </c>
      <c r="N337" s="80" t="s">
        <v>230</v>
      </c>
      <c r="O337" s="85" t="n">
        <v>46132</v>
      </c>
      <c r="P337" s="101"/>
      <c r="Q337" s="84"/>
      <c r="R337" s="87"/>
      <c r="S337" s="87"/>
    </row>
    <row r="338" s="77" customFormat="true" ht="15" hidden="false" customHeight="false" outlineLevel="1" collapsed="false">
      <c r="B338" s="78"/>
      <c r="C338" s="79" t="n">
        <v>389</v>
      </c>
      <c r="D338" s="80" t="s">
        <v>239</v>
      </c>
      <c r="E338" s="82" t="s">
        <v>1099</v>
      </c>
      <c r="F338" s="82" t="s">
        <v>240</v>
      </c>
      <c r="G338" s="88" t="n">
        <v>1</v>
      </c>
      <c r="H338" s="84" t="s">
        <v>24</v>
      </c>
      <c r="I338" s="80" t="s">
        <v>241</v>
      </c>
      <c r="J338" s="80" t="s">
        <v>242</v>
      </c>
      <c r="K338" s="80" t="s">
        <v>243</v>
      </c>
      <c r="L338" s="80" t="s">
        <v>244</v>
      </c>
      <c r="M338" s="79" t="s">
        <v>245</v>
      </c>
      <c r="N338" s="80" t="s">
        <v>246</v>
      </c>
      <c r="O338" s="85" t="n">
        <v>46132</v>
      </c>
      <c r="P338" s="101"/>
      <c r="Q338" s="84"/>
      <c r="R338" s="87"/>
      <c r="S338" s="87"/>
    </row>
    <row r="339" s="77" customFormat="true" ht="15" hidden="false" customHeight="false" outlineLevel="1" collapsed="false">
      <c r="B339" s="78"/>
      <c r="C339" s="79" t="n">
        <v>390</v>
      </c>
      <c r="D339" s="80" t="s">
        <v>247</v>
      </c>
      <c r="E339" s="82" t="s">
        <v>1099</v>
      </c>
      <c r="F339" s="82" t="s">
        <v>248</v>
      </c>
      <c r="G339" s="88" t="n">
        <v>2</v>
      </c>
      <c r="H339" s="84" t="s">
        <v>61</v>
      </c>
      <c r="I339" s="80" t="s">
        <v>532</v>
      </c>
      <c r="J339" s="80" t="s">
        <v>533</v>
      </c>
      <c r="K339" s="78" t="s">
        <v>534</v>
      </c>
      <c r="L339" s="80" t="s">
        <v>252</v>
      </c>
      <c r="M339" s="79" t="s">
        <v>535</v>
      </c>
      <c r="N339" s="80" t="s">
        <v>254</v>
      </c>
      <c r="O339" s="85" t="n">
        <v>46132</v>
      </c>
      <c r="P339" s="101"/>
      <c r="Q339" s="84"/>
      <c r="R339" s="87"/>
      <c r="S339" s="87"/>
    </row>
    <row r="340" s="77" customFormat="true" ht="15" hidden="false" customHeight="false" outlineLevel="1" collapsed="false">
      <c r="B340" s="78"/>
      <c r="C340" s="79" t="n">
        <v>391</v>
      </c>
      <c r="D340" s="80" t="s">
        <v>270</v>
      </c>
      <c r="E340" s="82" t="s">
        <v>1099</v>
      </c>
      <c r="F340" s="82" t="s">
        <v>271</v>
      </c>
      <c r="G340" s="88" t="n">
        <v>1</v>
      </c>
      <c r="H340" s="84" t="s">
        <v>61</v>
      </c>
      <c r="I340" s="80" t="s">
        <v>272</v>
      </c>
      <c r="J340" s="80" t="s">
        <v>273</v>
      </c>
      <c r="K340" s="80" t="s">
        <v>274</v>
      </c>
      <c r="L340" s="80" t="s">
        <v>275</v>
      </c>
      <c r="M340" s="79" t="s">
        <v>792</v>
      </c>
      <c r="N340" s="80" t="s">
        <v>277</v>
      </c>
      <c r="O340" s="85" t="n">
        <v>46132</v>
      </c>
      <c r="P340" s="101"/>
      <c r="Q340" s="84"/>
      <c r="R340" s="87"/>
      <c r="S340" s="87"/>
    </row>
    <row r="341" s="77" customFormat="true" ht="15" hidden="false" customHeight="false" outlineLevel="1" collapsed="false">
      <c r="B341" s="78"/>
      <c r="C341" s="79" t="n">
        <v>392</v>
      </c>
      <c r="D341" s="80" t="s">
        <v>743</v>
      </c>
      <c r="E341" s="82" t="s">
        <v>1099</v>
      </c>
      <c r="F341" s="82" t="s">
        <v>744</v>
      </c>
      <c r="G341" s="88" t="n">
        <v>1</v>
      </c>
      <c r="H341" s="84" t="s">
        <v>745</v>
      </c>
      <c r="I341" s="80" t="s">
        <v>746</v>
      </c>
      <c r="J341" s="80" t="s">
        <v>747</v>
      </c>
      <c r="K341" s="80" t="s">
        <v>748</v>
      </c>
      <c r="L341" s="80" t="s">
        <v>749</v>
      </c>
      <c r="M341" s="79" t="s">
        <v>750</v>
      </c>
      <c r="N341" s="80" t="s">
        <v>751</v>
      </c>
      <c r="O341" s="85" t="n">
        <v>46132</v>
      </c>
      <c r="P341" s="101"/>
      <c r="Q341" s="84"/>
      <c r="R341" s="87"/>
      <c r="S341" s="87"/>
    </row>
    <row r="342" s="77" customFormat="true" ht="15" hidden="false" customHeight="false" outlineLevel="1" collapsed="false">
      <c r="B342" s="78"/>
      <c r="C342" s="79" t="n">
        <v>393</v>
      </c>
      <c r="D342" s="80" t="s">
        <v>278</v>
      </c>
      <c r="E342" s="82" t="s">
        <v>1099</v>
      </c>
      <c r="F342" s="82" t="s">
        <v>279</v>
      </c>
      <c r="G342" s="88" t="n">
        <v>4</v>
      </c>
      <c r="H342" s="84" t="s">
        <v>61</v>
      </c>
      <c r="I342" s="80" t="s">
        <v>280</v>
      </c>
      <c r="J342" s="80" t="s">
        <v>281</v>
      </c>
      <c r="K342" s="80" t="s">
        <v>282</v>
      </c>
      <c r="L342" s="80" t="s">
        <v>283</v>
      </c>
      <c r="M342" s="79" t="s">
        <v>284</v>
      </c>
      <c r="N342" s="80" t="s">
        <v>285</v>
      </c>
      <c r="O342" s="85" t="n">
        <v>46132</v>
      </c>
      <c r="P342" s="101"/>
      <c r="Q342" s="84"/>
      <c r="R342" s="87"/>
      <c r="S342" s="87"/>
    </row>
    <row r="343" s="77" customFormat="true" ht="15" hidden="false" customHeight="false" outlineLevel="1" collapsed="false">
      <c r="B343" s="78"/>
      <c r="C343" s="79" t="n">
        <v>394</v>
      </c>
      <c r="D343" s="80" t="s">
        <v>859</v>
      </c>
      <c r="E343" s="82" t="s">
        <v>1099</v>
      </c>
      <c r="F343" s="82" t="s">
        <v>860</v>
      </c>
      <c r="G343" s="88" t="n">
        <v>1</v>
      </c>
      <c r="H343" s="84" t="s">
        <v>861</v>
      </c>
      <c r="I343" s="80" t="s">
        <v>862</v>
      </c>
      <c r="J343" s="80" t="s">
        <v>863</v>
      </c>
      <c r="K343" s="80" t="s">
        <v>864</v>
      </c>
      <c r="L343" s="80" t="s">
        <v>865</v>
      </c>
      <c r="M343" s="79" t="s">
        <v>866</v>
      </c>
      <c r="N343" s="80" t="s">
        <v>867</v>
      </c>
      <c r="O343" s="85" t="n">
        <v>46132</v>
      </c>
      <c r="P343" s="101"/>
      <c r="Q343" s="84"/>
      <c r="R343" s="87"/>
      <c r="S343" s="87"/>
    </row>
    <row r="344" s="77" customFormat="true" ht="15" hidden="false" customHeight="false" outlineLevel="1" collapsed="false">
      <c r="B344" s="78"/>
      <c r="C344" s="79" t="n">
        <v>395</v>
      </c>
      <c r="D344" s="80" t="s">
        <v>310</v>
      </c>
      <c r="E344" s="82" t="s">
        <v>1099</v>
      </c>
      <c r="F344" s="82" t="s">
        <v>311</v>
      </c>
      <c r="G344" s="88" t="n">
        <v>1</v>
      </c>
      <c r="H344" s="84" t="s">
        <v>152</v>
      </c>
      <c r="I344" s="80" t="s">
        <v>312</v>
      </c>
      <c r="J344" s="80" t="s">
        <v>313</v>
      </c>
      <c r="K344" s="80" t="s">
        <v>314</v>
      </c>
      <c r="L344" s="80" t="s">
        <v>315</v>
      </c>
      <c r="M344" s="79" t="s">
        <v>316</v>
      </c>
      <c r="N344" s="80" t="s">
        <v>317</v>
      </c>
      <c r="O344" s="85" t="n">
        <v>46132</v>
      </c>
      <c r="P344" s="101"/>
      <c r="Q344" s="84"/>
      <c r="R344" s="87"/>
      <c r="S344" s="87"/>
    </row>
    <row r="345" s="77" customFormat="true" ht="15" hidden="false" customHeight="false" outlineLevel="1" collapsed="false">
      <c r="B345" s="78"/>
      <c r="C345" s="79" t="n">
        <v>396</v>
      </c>
      <c r="D345" s="80" t="s">
        <v>326</v>
      </c>
      <c r="E345" s="82" t="s">
        <v>1099</v>
      </c>
      <c r="F345" s="82" t="s">
        <v>327</v>
      </c>
      <c r="G345" s="88" t="n">
        <v>1</v>
      </c>
      <c r="H345" s="84" t="s">
        <v>152</v>
      </c>
      <c r="I345" s="80" t="s">
        <v>328</v>
      </c>
      <c r="J345" s="80" t="s">
        <v>329</v>
      </c>
      <c r="K345" s="80" t="s">
        <v>330</v>
      </c>
      <c r="L345" s="80" t="s">
        <v>331</v>
      </c>
      <c r="M345" s="79" t="s">
        <v>332</v>
      </c>
      <c r="N345" s="80" t="s">
        <v>333</v>
      </c>
      <c r="O345" s="85" t="n">
        <v>46132</v>
      </c>
      <c r="P345" s="101"/>
      <c r="Q345" s="84"/>
      <c r="R345" s="87"/>
      <c r="S345" s="87"/>
    </row>
    <row r="346" s="77" customFormat="true" ht="15" hidden="false" customHeight="false" outlineLevel="1" collapsed="false">
      <c r="B346" s="78"/>
      <c r="C346" s="79" t="n">
        <v>397</v>
      </c>
      <c r="D346" s="80" t="s">
        <v>334</v>
      </c>
      <c r="E346" s="82" t="s">
        <v>1099</v>
      </c>
      <c r="F346" s="82" t="s">
        <v>335</v>
      </c>
      <c r="G346" s="88" t="n">
        <v>2</v>
      </c>
      <c r="H346" s="84" t="s">
        <v>61</v>
      </c>
      <c r="I346" s="80" t="s">
        <v>336</v>
      </c>
      <c r="J346" s="80" t="s">
        <v>337</v>
      </c>
      <c r="K346" s="97" t="s">
        <v>338</v>
      </c>
      <c r="L346" s="80" t="s">
        <v>339</v>
      </c>
      <c r="M346" s="79" t="s">
        <v>543</v>
      </c>
      <c r="N346" s="80" t="s">
        <v>341</v>
      </c>
      <c r="O346" s="85" t="n">
        <v>46132</v>
      </c>
      <c r="P346" s="101"/>
      <c r="Q346" s="84"/>
      <c r="R346" s="87"/>
      <c r="S346" s="87"/>
    </row>
    <row r="347" s="77" customFormat="true" ht="15" hidden="false" customHeight="false" outlineLevel="1" collapsed="false">
      <c r="B347" s="78"/>
      <c r="C347" s="79" t="n">
        <v>398</v>
      </c>
      <c r="D347" s="80" t="s">
        <v>350</v>
      </c>
      <c r="E347" s="82" t="s">
        <v>1099</v>
      </c>
      <c r="F347" s="82" t="s">
        <v>351</v>
      </c>
      <c r="G347" s="88" t="n">
        <v>2</v>
      </c>
      <c r="H347" s="84" t="s">
        <v>152</v>
      </c>
      <c r="I347" s="80" t="s">
        <v>352</v>
      </c>
      <c r="J347" s="80" t="s">
        <v>353</v>
      </c>
      <c r="K347" s="80" t="s">
        <v>354</v>
      </c>
      <c r="L347" s="80" t="s">
        <v>355</v>
      </c>
      <c r="M347" s="79" t="s">
        <v>355</v>
      </c>
      <c r="N347" s="80" t="s">
        <v>356</v>
      </c>
      <c r="O347" s="85" t="n">
        <v>46132</v>
      </c>
      <c r="P347" s="101"/>
      <c r="Q347" s="84"/>
      <c r="R347" s="87"/>
      <c r="S347" s="87"/>
    </row>
    <row r="348" s="77" customFormat="true" ht="15" hidden="false" customHeight="false" outlineLevel="1" collapsed="false">
      <c r="B348" s="78"/>
      <c r="C348" s="79" t="n">
        <v>399</v>
      </c>
      <c r="D348" s="80" t="s">
        <v>366</v>
      </c>
      <c r="E348" s="82" t="s">
        <v>1099</v>
      </c>
      <c r="F348" s="82" t="s">
        <v>367</v>
      </c>
      <c r="G348" s="88" t="n">
        <v>6</v>
      </c>
      <c r="H348" s="84" t="s">
        <v>368</v>
      </c>
      <c r="I348" s="80" t="s">
        <v>369</v>
      </c>
      <c r="J348" s="80" t="s">
        <v>370</v>
      </c>
      <c r="K348" s="80" t="s">
        <v>371</v>
      </c>
      <c r="L348" s="80" t="s">
        <v>372</v>
      </c>
      <c r="M348" s="79" t="s">
        <v>682</v>
      </c>
      <c r="N348" s="80" t="s">
        <v>374</v>
      </c>
      <c r="O348" s="85" t="n">
        <v>46132</v>
      </c>
      <c r="P348" s="101"/>
      <c r="Q348" s="84"/>
      <c r="R348" s="87"/>
      <c r="S348" s="87"/>
    </row>
    <row r="349" s="77" customFormat="true" ht="30" hidden="false" customHeight="true" outlineLevel="1" collapsed="false">
      <c r="B349" s="78"/>
      <c r="C349" s="79" t="s">
        <v>1105</v>
      </c>
      <c r="D349" s="80" t="s">
        <v>375</v>
      </c>
      <c r="E349" s="82" t="s">
        <v>1099</v>
      </c>
      <c r="F349" s="82" t="s">
        <v>376</v>
      </c>
      <c r="G349" s="88" t="n">
        <v>10</v>
      </c>
      <c r="H349" s="84" t="s">
        <v>111</v>
      </c>
      <c r="I349" s="80" t="s">
        <v>1106</v>
      </c>
      <c r="J349" s="80" t="s">
        <v>1107</v>
      </c>
      <c r="K349" s="80" t="s">
        <v>1108</v>
      </c>
      <c r="L349" s="80" t="s">
        <v>380</v>
      </c>
      <c r="M349" s="79" t="s">
        <v>1109</v>
      </c>
      <c r="N349" s="80" t="s">
        <v>382</v>
      </c>
      <c r="O349" s="85" t="n">
        <v>46132</v>
      </c>
      <c r="P349" s="101"/>
      <c r="Q349" s="84"/>
      <c r="R349" s="87"/>
      <c r="S349" s="87"/>
    </row>
    <row r="350" s="77" customFormat="true" ht="15" hidden="false" customHeight="false" outlineLevel="1" collapsed="false">
      <c r="B350" s="78"/>
      <c r="C350" s="79" t="n">
        <v>401</v>
      </c>
      <c r="D350" s="80" t="s">
        <v>892</v>
      </c>
      <c r="E350" s="82" t="s">
        <v>1099</v>
      </c>
      <c r="F350" s="82" t="s">
        <v>893</v>
      </c>
      <c r="G350" s="88" t="n">
        <v>1</v>
      </c>
      <c r="H350" s="84" t="s">
        <v>61</v>
      </c>
      <c r="I350" s="80" t="s">
        <v>894</v>
      </c>
      <c r="J350" s="80" t="s">
        <v>895</v>
      </c>
      <c r="K350" s="97" t="s">
        <v>896</v>
      </c>
      <c r="L350" s="80" t="s">
        <v>989</v>
      </c>
      <c r="M350" s="79" t="s">
        <v>897</v>
      </c>
      <c r="N350" s="80" t="s">
        <v>898</v>
      </c>
      <c r="O350" s="85" t="n">
        <v>46132</v>
      </c>
      <c r="P350" s="101"/>
      <c r="Q350" s="84"/>
      <c r="R350" s="87"/>
      <c r="S350" s="87"/>
    </row>
    <row r="351" s="77" customFormat="true" ht="15" hidden="false" customHeight="false" outlineLevel="1" collapsed="false">
      <c r="B351" s="78"/>
      <c r="C351" s="79" t="n">
        <v>402</v>
      </c>
      <c r="D351" s="80" t="s">
        <v>431</v>
      </c>
      <c r="E351" s="80" t="s">
        <v>1099</v>
      </c>
      <c r="F351" s="82" t="s">
        <v>432</v>
      </c>
      <c r="G351" s="88" t="n">
        <v>2</v>
      </c>
      <c r="H351" s="84" t="s">
        <v>152</v>
      </c>
      <c r="I351" s="80" t="s">
        <v>868</v>
      </c>
      <c r="J351" s="80" t="s">
        <v>869</v>
      </c>
      <c r="K351" s="80" t="s">
        <v>870</v>
      </c>
      <c r="L351" s="80" t="s">
        <v>436</v>
      </c>
      <c r="M351" s="79" t="s">
        <v>871</v>
      </c>
      <c r="N351" s="80" t="s">
        <v>438</v>
      </c>
      <c r="O351" s="85" t="n">
        <v>46132</v>
      </c>
      <c r="P351" s="101"/>
      <c r="Q351" s="84"/>
      <c r="R351" s="87"/>
      <c r="S351" s="87"/>
    </row>
    <row r="352" s="77" customFormat="true" ht="15" hidden="false" customHeight="false" outlineLevel="1" collapsed="false">
      <c r="B352" s="78"/>
      <c r="C352" s="79" t="n">
        <v>403</v>
      </c>
      <c r="D352" s="80" t="s">
        <v>447</v>
      </c>
      <c r="E352" s="82" t="s">
        <v>1099</v>
      </c>
      <c r="F352" s="82" t="s">
        <v>448</v>
      </c>
      <c r="G352" s="88" t="n">
        <v>2</v>
      </c>
      <c r="H352" s="84" t="s">
        <v>24</v>
      </c>
      <c r="I352" s="80" t="s">
        <v>449</v>
      </c>
      <c r="J352" s="80" t="s">
        <v>450</v>
      </c>
      <c r="K352" s="80" t="s">
        <v>451</v>
      </c>
      <c r="L352" s="80" t="s">
        <v>452</v>
      </c>
      <c r="M352" s="79" t="s">
        <v>453</v>
      </c>
      <c r="N352" s="80" t="s">
        <v>454</v>
      </c>
      <c r="O352" s="85" t="n">
        <v>46132</v>
      </c>
      <c r="P352" s="101"/>
      <c r="Q352" s="84"/>
      <c r="R352" s="87"/>
      <c r="S352" s="87"/>
    </row>
    <row r="353" s="77" customFormat="true" ht="15" hidden="false" customHeight="false" outlineLevel="1" collapsed="false">
      <c r="B353" s="78"/>
      <c r="C353" s="79" t="n">
        <v>404</v>
      </c>
      <c r="D353" s="80" t="s">
        <v>463</v>
      </c>
      <c r="E353" s="82" t="s">
        <v>1099</v>
      </c>
      <c r="F353" s="82" t="s">
        <v>464</v>
      </c>
      <c r="G353" s="88" t="n">
        <v>1</v>
      </c>
      <c r="H353" s="84" t="s">
        <v>152</v>
      </c>
      <c r="I353" s="80" t="s">
        <v>465</v>
      </c>
      <c r="J353" s="80" t="s">
        <v>466</v>
      </c>
      <c r="K353" s="80" t="s">
        <v>467</v>
      </c>
      <c r="L353" s="80" t="s">
        <v>468</v>
      </c>
      <c r="M353" s="79" t="s">
        <v>469</v>
      </c>
      <c r="N353" s="80" t="s">
        <v>470</v>
      </c>
      <c r="O353" s="85" t="n">
        <v>46132</v>
      </c>
      <c r="P353" s="101"/>
      <c r="Q353" s="84"/>
      <c r="R353" s="87"/>
      <c r="S353" s="87"/>
    </row>
    <row r="354" s="77" customFormat="true" ht="15" hidden="false" customHeight="false" outlineLevel="1" collapsed="false">
      <c r="B354" s="78"/>
      <c r="C354" s="79" t="n">
        <v>405</v>
      </c>
      <c r="D354" s="80" t="s">
        <v>588</v>
      </c>
      <c r="E354" s="82" t="s">
        <v>1099</v>
      </c>
      <c r="F354" s="82" t="s">
        <v>589</v>
      </c>
      <c r="G354" s="88" t="n">
        <v>1</v>
      </c>
      <c r="H354" s="84" t="s">
        <v>24</v>
      </c>
      <c r="I354" s="80" t="s">
        <v>590</v>
      </c>
      <c r="J354" s="80" t="s">
        <v>591</v>
      </c>
      <c r="K354" s="80" t="s">
        <v>592</v>
      </c>
      <c r="L354" s="80" t="s">
        <v>593</v>
      </c>
      <c r="M354" s="79" t="s">
        <v>594</v>
      </c>
      <c r="N354" s="80" t="s">
        <v>595</v>
      </c>
      <c r="O354" s="85" t="n">
        <v>46132</v>
      </c>
      <c r="P354" s="101"/>
      <c r="Q354" s="84"/>
      <c r="R354" s="87"/>
      <c r="S354" s="87"/>
    </row>
    <row r="355" s="77" customFormat="true" ht="30" hidden="false" customHeight="true" outlineLevel="1" collapsed="false">
      <c r="B355" s="78"/>
      <c r="C355" s="79" t="n">
        <v>406</v>
      </c>
      <c r="D355" s="80" t="s">
        <v>478</v>
      </c>
      <c r="E355" s="82" t="s">
        <v>1099</v>
      </c>
      <c r="F355" s="82" t="s">
        <v>479</v>
      </c>
      <c r="G355" s="88" t="n">
        <v>1</v>
      </c>
      <c r="H355" s="84" t="s">
        <v>111</v>
      </c>
      <c r="I355" s="80" t="s">
        <v>480</v>
      </c>
      <c r="J355" s="80" t="s">
        <v>481</v>
      </c>
      <c r="K355" s="80" t="s">
        <v>482</v>
      </c>
      <c r="L355" s="80" t="s">
        <v>483</v>
      </c>
      <c r="M355" s="79" t="s">
        <v>634</v>
      </c>
      <c r="N355" s="80" t="s">
        <v>485</v>
      </c>
      <c r="O355" s="85" t="n">
        <v>46132</v>
      </c>
      <c r="P355" s="101"/>
      <c r="Q355" s="84"/>
      <c r="R355" s="87"/>
      <c r="S355" s="87"/>
    </row>
    <row r="356" s="77" customFormat="true" ht="15" hidden="false" customHeight="false" outlineLevel="1" collapsed="false">
      <c r="B356" s="78"/>
      <c r="C356" s="79" t="n">
        <v>407</v>
      </c>
      <c r="D356" s="80" t="s">
        <v>611</v>
      </c>
      <c r="E356" s="82" t="s">
        <v>1099</v>
      </c>
      <c r="F356" s="82" t="s">
        <v>612</v>
      </c>
      <c r="G356" s="88" t="n">
        <v>1</v>
      </c>
      <c r="H356" s="84" t="s">
        <v>24</v>
      </c>
      <c r="I356" s="80" t="s">
        <v>613</v>
      </c>
      <c r="J356" s="80" t="s">
        <v>614</v>
      </c>
      <c r="K356" s="80" t="s">
        <v>615</v>
      </c>
      <c r="L356" s="80" t="s">
        <v>616</v>
      </c>
      <c r="M356" s="79" t="s">
        <v>616</v>
      </c>
      <c r="N356" s="80" t="s">
        <v>617</v>
      </c>
      <c r="O356" s="85" t="n">
        <v>46132</v>
      </c>
      <c r="P356" s="101"/>
      <c r="Q356" s="84"/>
      <c r="R356" s="87"/>
      <c r="S356" s="87"/>
    </row>
    <row r="357" s="77" customFormat="true" ht="15" hidden="false" customHeight="false" outlineLevel="1" collapsed="false">
      <c r="B357" s="78"/>
      <c r="C357" s="79" t="n">
        <v>408</v>
      </c>
      <c r="D357" s="80" t="s">
        <v>494</v>
      </c>
      <c r="E357" s="82" t="s">
        <v>1099</v>
      </c>
      <c r="F357" s="82" t="s">
        <v>495</v>
      </c>
      <c r="G357" s="88" t="n">
        <v>2</v>
      </c>
      <c r="H357" s="84" t="s">
        <v>61</v>
      </c>
      <c r="I357" s="80" t="s">
        <v>496</v>
      </c>
      <c r="J357" s="80" t="s">
        <v>497</v>
      </c>
      <c r="K357" s="80" t="s">
        <v>498</v>
      </c>
      <c r="L357" s="80" t="s">
        <v>499</v>
      </c>
      <c r="M357" s="79" t="s">
        <v>500</v>
      </c>
      <c r="N357" s="80" t="s">
        <v>501</v>
      </c>
      <c r="O357" s="85" t="n">
        <v>46132</v>
      </c>
      <c r="P357" s="101"/>
      <c r="Q357" s="84"/>
      <c r="R357" s="87"/>
      <c r="S357" s="87"/>
    </row>
    <row r="358" s="77" customFormat="true" ht="15" hidden="false" customHeight="false" outlineLevel="1" collapsed="false">
      <c r="B358" s="78"/>
      <c r="C358" s="79" t="n">
        <v>409</v>
      </c>
      <c r="D358" s="80" t="s">
        <v>502</v>
      </c>
      <c r="E358" s="82" t="s">
        <v>1099</v>
      </c>
      <c r="F358" s="82" t="s">
        <v>503</v>
      </c>
      <c r="G358" s="88" t="n">
        <v>1</v>
      </c>
      <c r="H358" s="84" t="s">
        <v>61</v>
      </c>
      <c r="I358" s="80" t="s">
        <v>504</v>
      </c>
      <c r="J358" s="80" t="s">
        <v>505</v>
      </c>
      <c r="K358" s="80" t="s">
        <v>506</v>
      </c>
      <c r="L358" s="80" t="s">
        <v>283</v>
      </c>
      <c r="M358" s="79" t="s">
        <v>284</v>
      </c>
      <c r="N358" s="80" t="s">
        <v>507</v>
      </c>
      <c r="O358" s="85" t="n">
        <v>46132</v>
      </c>
      <c r="P358" s="101"/>
      <c r="Q358" s="84"/>
      <c r="R358" s="87"/>
      <c r="S358" s="87"/>
    </row>
    <row r="359" s="77" customFormat="true" ht="15" hidden="false" customHeight="false" outlineLevel="1" collapsed="false">
      <c r="B359" s="78"/>
      <c r="C359" s="79" t="n">
        <v>410</v>
      </c>
      <c r="D359" s="80" t="s">
        <v>516</v>
      </c>
      <c r="E359" s="82" t="s">
        <v>1099</v>
      </c>
      <c r="F359" s="92" t="s">
        <v>517</v>
      </c>
      <c r="G359" s="88" t="n">
        <v>1</v>
      </c>
      <c r="H359" s="84" t="s">
        <v>61</v>
      </c>
      <c r="I359" s="80" t="s">
        <v>518</v>
      </c>
      <c r="J359" s="80" t="s">
        <v>519</v>
      </c>
      <c r="K359" s="80" t="s">
        <v>520</v>
      </c>
      <c r="L359" s="80" t="s">
        <v>521</v>
      </c>
      <c r="M359" s="79" t="s">
        <v>522</v>
      </c>
      <c r="N359" s="80" t="s">
        <v>523</v>
      </c>
      <c r="O359" s="85" t="n">
        <v>46132</v>
      </c>
      <c r="P359" s="101"/>
      <c r="Q359" s="84"/>
      <c r="R359" s="87"/>
      <c r="S359" s="87"/>
    </row>
    <row r="360" s="77" customFormat="true" ht="15" hidden="false" customHeight="false" outlineLevel="1" collapsed="false">
      <c r="B360" s="78"/>
      <c r="C360" s="79" t="n">
        <v>411</v>
      </c>
      <c r="D360" s="80" t="s">
        <v>644</v>
      </c>
      <c r="E360" s="82" t="s">
        <v>1099</v>
      </c>
      <c r="F360" s="82" t="s">
        <v>645</v>
      </c>
      <c r="G360" s="88" t="n">
        <v>1</v>
      </c>
      <c r="H360" s="84" t="s">
        <v>61</v>
      </c>
      <c r="I360" s="80" t="s">
        <v>646</v>
      </c>
      <c r="J360" s="80" t="s">
        <v>647</v>
      </c>
      <c r="K360" s="80" t="s">
        <v>648</v>
      </c>
      <c r="L360" s="80" t="s">
        <v>649</v>
      </c>
      <c r="M360" s="79" t="s">
        <v>650</v>
      </c>
      <c r="N360" s="80"/>
      <c r="O360" s="85" t="n">
        <v>46132</v>
      </c>
      <c r="P360" s="101"/>
      <c r="Q360" s="84"/>
      <c r="R360" s="87"/>
      <c r="S360" s="87"/>
    </row>
    <row r="361" s="68" customFormat="true" ht="15" hidden="false" customHeight="false" outlineLevel="0" collapsed="false">
      <c r="B361" s="69"/>
      <c r="C361" s="102"/>
      <c r="D361" s="71"/>
      <c r="E361" s="72" t="s">
        <v>855</v>
      </c>
      <c r="F361" s="73"/>
      <c r="G361" s="74" t="n">
        <f aca="false">SUM(G362:G392)</f>
        <v>59</v>
      </c>
      <c r="H361" s="69"/>
      <c r="I361" s="69"/>
      <c r="J361" s="69"/>
      <c r="K361" s="69"/>
      <c r="L361" s="69"/>
      <c r="M361" s="102"/>
      <c r="N361" s="69"/>
      <c r="O361" s="69"/>
      <c r="P361" s="69"/>
      <c r="Q361" s="69"/>
      <c r="R361" s="69"/>
      <c r="S361" s="69"/>
    </row>
    <row r="362" s="77" customFormat="true" ht="15" hidden="false" customHeight="false" outlineLevel="1" collapsed="false">
      <c r="B362" s="78"/>
      <c r="C362" s="79" t="n">
        <v>412</v>
      </c>
      <c r="D362" s="80" t="s">
        <v>59</v>
      </c>
      <c r="E362" s="82" t="s">
        <v>855</v>
      </c>
      <c r="F362" s="82" t="s">
        <v>60</v>
      </c>
      <c r="G362" s="88" t="n">
        <v>5</v>
      </c>
      <c r="H362" s="84" t="s">
        <v>61</v>
      </c>
      <c r="I362" s="80" t="s">
        <v>62</v>
      </c>
      <c r="J362" s="80" t="s">
        <v>63</v>
      </c>
      <c r="K362" s="80" t="s">
        <v>64</v>
      </c>
      <c r="L362" s="80" t="s">
        <v>65</v>
      </c>
      <c r="M362" s="79" t="s">
        <v>66</v>
      </c>
      <c r="N362" s="80" t="s">
        <v>67</v>
      </c>
      <c r="O362" s="85" t="n">
        <v>46125</v>
      </c>
      <c r="P362" s="101"/>
      <c r="Q362" s="84"/>
      <c r="R362" s="87"/>
      <c r="S362" s="87"/>
    </row>
    <row r="363" s="77" customFormat="true" ht="15" hidden="false" customHeight="false" outlineLevel="1" collapsed="false">
      <c r="B363" s="78"/>
      <c r="C363" s="79" t="n">
        <v>413</v>
      </c>
      <c r="D363" s="80" t="s">
        <v>68</v>
      </c>
      <c r="E363" s="82" t="s">
        <v>855</v>
      </c>
      <c r="F363" s="82" t="s">
        <v>69</v>
      </c>
      <c r="G363" s="88" t="n">
        <v>1</v>
      </c>
      <c r="H363" s="84" t="s">
        <v>61</v>
      </c>
      <c r="I363" s="80" t="s">
        <v>70</v>
      </c>
      <c r="J363" s="80" t="s">
        <v>71</v>
      </c>
      <c r="K363" s="78" t="s">
        <v>72</v>
      </c>
      <c r="L363" s="80" t="s">
        <v>73</v>
      </c>
      <c r="M363" s="79" t="s">
        <v>73</v>
      </c>
      <c r="N363" s="80" t="s">
        <v>74</v>
      </c>
      <c r="O363" s="85" t="n">
        <v>46125</v>
      </c>
      <c r="P363" s="101"/>
      <c r="Q363" s="84"/>
      <c r="R363" s="87"/>
      <c r="S363" s="87"/>
    </row>
    <row r="364" s="77" customFormat="true" ht="15" hidden="false" customHeight="false" outlineLevel="1" collapsed="false">
      <c r="B364" s="78"/>
      <c r="C364" s="79" t="n">
        <v>414</v>
      </c>
      <c r="D364" s="80" t="s">
        <v>75</v>
      </c>
      <c r="E364" s="82" t="s">
        <v>855</v>
      </c>
      <c r="F364" s="82" t="s">
        <v>76</v>
      </c>
      <c r="G364" s="88" t="n">
        <v>3</v>
      </c>
      <c r="H364" s="84" t="s">
        <v>77</v>
      </c>
      <c r="I364" s="80" t="s">
        <v>78</v>
      </c>
      <c r="J364" s="80" t="s">
        <v>79</v>
      </c>
      <c r="K364" s="80" t="s">
        <v>80</v>
      </c>
      <c r="L364" s="80" t="s">
        <v>81</v>
      </c>
      <c r="M364" s="79" t="s">
        <v>82</v>
      </c>
      <c r="N364" s="80" t="s">
        <v>83</v>
      </c>
      <c r="O364" s="85" t="n">
        <v>46125</v>
      </c>
      <c r="P364" s="101"/>
      <c r="Q364" s="84"/>
      <c r="R364" s="87"/>
      <c r="S364" s="87"/>
    </row>
    <row r="365" s="77" customFormat="true" ht="15" hidden="false" customHeight="false" outlineLevel="1" collapsed="false">
      <c r="B365" s="78"/>
      <c r="C365" s="79" t="n">
        <v>415</v>
      </c>
      <c r="D365" s="80" t="s">
        <v>899</v>
      </c>
      <c r="E365" s="82" t="s">
        <v>855</v>
      </c>
      <c r="F365" s="82" t="s">
        <v>900</v>
      </c>
      <c r="G365" s="88" t="n">
        <v>1</v>
      </c>
      <c r="H365" s="84" t="s">
        <v>901</v>
      </c>
      <c r="I365" s="80" t="s">
        <v>902</v>
      </c>
      <c r="J365" s="80" t="s">
        <v>903</v>
      </c>
      <c r="K365" s="80" t="s">
        <v>904</v>
      </c>
      <c r="L365" s="80" t="s">
        <v>905</v>
      </c>
      <c r="M365" s="79" t="s">
        <v>906</v>
      </c>
      <c r="N365" s="80" t="s">
        <v>907</v>
      </c>
      <c r="O365" s="85" t="n">
        <v>46125</v>
      </c>
      <c r="P365" s="101"/>
      <c r="Q365" s="84"/>
      <c r="R365" s="87"/>
      <c r="S365" s="87"/>
    </row>
    <row r="366" s="77" customFormat="true" ht="15" hidden="false" customHeight="false" outlineLevel="1" collapsed="false">
      <c r="B366" s="78"/>
      <c r="C366" s="79" t="n">
        <v>416</v>
      </c>
      <c r="D366" s="80" t="s">
        <v>117</v>
      </c>
      <c r="E366" s="82" t="s">
        <v>855</v>
      </c>
      <c r="F366" s="82" t="s">
        <v>118</v>
      </c>
      <c r="G366" s="88" t="n">
        <v>1</v>
      </c>
      <c r="H366" s="84" t="s">
        <v>24</v>
      </c>
      <c r="I366" s="80" t="s">
        <v>119</v>
      </c>
      <c r="J366" s="80" t="s">
        <v>120</v>
      </c>
      <c r="K366" s="80" t="s">
        <v>121</v>
      </c>
      <c r="L366" s="80" t="s">
        <v>122</v>
      </c>
      <c r="M366" s="79" t="s">
        <v>123</v>
      </c>
      <c r="N366" s="80" t="s">
        <v>124</v>
      </c>
      <c r="O366" s="85" t="n">
        <v>46125</v>
      </c>
      <c r="P366" s="101"/>
      <c r="Q366" s="84"/>
      <c r="R366" s="87"/>
      <c r="S366" s="87"/>
    </row>
    <row r="367" s="77" customFormat="true" ht="15" hidden="false" customHeight="false" outlineLevel="1" collapsed="false">
      <c r="B367" s="78"/>
      <c r="C367" s="79" t="n">
        <v>417</v>
      </c>
      <c r="D367" s="80" t="s">
        <v>554</v>
      </c>
      <c r="E367" s="82" t="s">
        <v>855</v>
      </c>
      <c r="F367" s="82" t="s">
        <v>555</v>
      </c>
      <c r="G367" s="88" t="n">
        <v>1</v>
      </c>
      <c r="H367" s="84" t="s">
        <v>61</v>
      </c>
      <c r="I367" s="80" t="s">
        <v>556</v>
      </c>
      <c r="J367" s="80" t="s">
        <v>557</v>
      </c>
      <c r="K367" s="80" t="s">
        <v>558</v>
      </c>
      <c r="L367" s="80" t="s">
        <v>559</v>
      </c>
      <c r="M367" s="79" t="s">
        <v>560</v>
      </c>
      <c r="N367" s="80" t="s">
        <v>561</v>
      </c>
      <c r="O367" s="85" t="n">
        <v>46125</v>
      </c>
      <c r="P367" s="101"/>
      <c r="Q367" s="84"/>
      <c r="R367" s="87"/>
      <c r="S367" s="87"/>
    </row>
    <row r="368" s="77" customFormat="true" ht="15" hidden="false" customHeight="false" outlineLevel="1" collapsed="false">
      <c r="B368" s="78"/>
      <c r="C368" s="79" t="n">
        <v>418</v>
      </c>
      <c r="D368" s="80" t="s">
        <v>142</v>
      </c>
      <c r="E368" s="82" t="s">
        <v>855</v>
      </c>
      <c r="F368" s="82" t="s">
        <v>143</v>
      </c>
      <c r="G368" s="88" t="n">
        <v>1</v>
      </c>
      <c r="H368" s="84" t="s">
        <v>61</v>
      </c>
      <c r="I368" s="80" t="s">
        <v>144</v>
      </c>
      <c r="J368" s="80" t="s">
        <v>145</v>
      </c>
      <c r="K368" s="80" t="s">
        <v>146</v>
      </c>
      <c r="L368" s="80" t="s">
        <v>147</v>
      </c>
      <c r="M368" s="79" t="s">
        <v>148</v>
      </c>
      <c r="N368" s="80" t="s">
        <v>149</v>
      </c>
      <c r="O368" s="85" t="n">
        <v>46125</v>
      </c>
      <c r="P368" s="101"/>
      <c r="Q368" s="84"/>
      <c r="R368" s="87"/>
      <c r="S368" s="87"/>
    </row>
    <row r="369" s="77" customFormat="true" ht="15" hidden="false" customHeight="false" outlineLevel="1" collapsed="false">
      <c r="B369" s="78"/>
      <c r="C369" s="79" t="n">
        <v>419</v>
      </c>
      <c r="D369" s="80" t="s">
        <v>857</v>
      </c>
      <c r="E369" s="82" t="s">
        <v>855</v>
      </c>
      <c r="F369" s="82" t="s">
        <v>160</v>
      </c>
      <c r="G369" s="88" t="n">
        <v>1</v>
      </c>
      <c r="H369" s="84" t="s">
        <v>61</v>
      </c>
      <c r="I369" s="80" t="s">
        <v>161</v>
      </c>
      <c r="J369" s="80" t="s">
        <v>162</v>
      </c>
      <c r="K369" s="80" t="s">
        <v>163</v>
      </c>
      <c r="L369" s="80" t="s">
        <v>164</v>
      </c>
      <c r="M369" s="79" t="s">
        <v>164</v>
      </c>
      <c r="N369" s="80" t="s">
        <v>165</v>
      </c>
      <c r="O369" s="85" t="n">
        <v>46125</v>
      </c>
      <c r="P369" s="101"/>
      <c r="Q369" s="84"/>
      <c r="R369" s="87"/>
      <c r="S369" s="87"/>
    </row>
    <row r="370" s="77" customFormat="true" ht="15" hidden="false" customHeight="false" outlineLevel="1" collapsed="false">
      <c r="B370" s="78"/>
      <c r="C370" s="79" t="n">
        <v>420</v>
      </c>
      <c r="D370" s="80" t="s">
        <v>166</v>
      </c>
      <c r="E370" s="82" t="s">
        <v>855</v>
      </c>
      <c r="F370" s="82" t="s">
        <v>167</v>
      </c>
      <c r="G370" s="88" t="n">
        <v>2</v>
      </c>
      <c r="H370" s="84" t="s">
        <v>61</v>
      </c>
      <c r="I370" s="80" t="s">
        <v>168</v>
      </c>
      <c r="J370" s="80" t="s">
        <v>169</v>
      </c>
      <c r="K370" s="80" t="s">
        <v>170</v>
      </c>
      <c r="L370" s="80" t="s">
        <v>171</v>
      </c>
      <c r="M370" s="79" t="s">
        <v>172</v>
      </c>
      <c r="N370" s="80" t="s">
        <v>173</v>
      </c>
      <c r="O370" s="85" t="n">
        <v>46125</v>
      </c>
      <c r="P370" s="101"/>
      <c r="Q370" s="84"/>
      <c r="R370" s="87"/>
      <c r="S370" s="87"/>
    </row>
    <row r="371" s="77" customFormat="true" ht="45" hidden="false" customHeight="true" outlineLevel="1" collapsed="false">
      <c r="B371" s="78"/>
      <c r="C371" s="100" t="s">
        <v>885</v>
      </c>
      <c r="D371" s="80" t="s">
        <v>190</v>
      </c>
      <c r="E371" s="82" t="s">
        <v>855</v>
      </c>
      <c r="F371" s="82" t="s">
        <v>191</v>
      </c>
      <c r="G371" s="88" t="n">
        <v>4</v>
      </c>
      <c r="H371" s="84" t="s">
        <v>24</v>
      </c>
      <c r="I371" s="96" t="s">
        <v>886</v>
      </c>
      <c r="J371" s="96" t="s">
        <v>887</v>
      </c>
      <c r="K371" s="96" t="s">
        <v>888</v>
      </c>
      <c r="L371" s="80" t="s">
        <v>195</v>
      </c>
      <c r="M371" s="100" t="s">
        <v>889</v>
      </c>
      <c r="N371" s="80" t="s">
        <v>197</v>
      </c>
      <c r="O371" s="85" t="n">
        <v>46125</v>
      </c>
      <c r="P371" s="101"/>
      <c r="Q371" s="84"/>
      <c r="R371" s="87"/>
      <c r="S371" s="87"/>
    </row>
    <row r="372" s="77" customFormat="true" ht="15" hidden="false" customHeight="false" outlineLevel="1" collapsed="false">
      <c r="B372" s="78"/>
      <c r="C372" s="79" t="n">
        <v>422</v>
      </c>
      <c r="D372" s="80" t="s">
        <v>198</v>
      </c>
      <c r="E372" s="82" t="s">
        <v>855</v>
      </c>
      <c r="F372" s="82" t="s">
        <v>199</v>
      </c>
      <c r="G372" s="88" t="n">
        <v>4</v>
      </c>
      <c r="H372" s="84" t="s">
        <v>200</v>
      </c>
      <c r="I372" s="80" t="s">
        <v>201</v>
      </c>
      <c r="J372" s="80" t="s">
        <v>202</v>
      </c>
      <c r="K372" s="80" t="s">
        <v>203</v>
      </c>
      <c r="L372" s="80" t="s">
        <v>204</v>
      </c>
      <c r="M372" s="79" t="s">
        <v>205</v>
      </c>
      <c r="N372" s="80" t="s">
        <v>206</v>
      </c>
      <c r="O372" s="85" t="n">
        <v>46125</v>
      </c>
      <c r="P372" s="101"/>
      <c r="Q372" s="84"/>
      <c r="R372" s="87"/>
      <c r="S372" s="87"/>
    </row>
    <row r="373" s="77" customFormat="true" ht="30" hidden="false" customHeight="true" outlineLevel="1" collapsed="false">
      <c r="B373" s="78"/>
      <c r="C373" s="79" t="n">
        <v>423</v>
      </c>
      <c r="D373" s="80" t="s">
        <v>231</v>
      </c>
      <c r="E373" s="82" t="s">
        <v>855</v>
      </c>
      <c r="F373" s="82" t="s">
        <v>232</v>
      </c>
      <c r="G373" s="88" t="n">
        <v>1</v>
      </c>
      <c r="H373" s="84" t="s">
        <v>61</v>
      </c>
      <c r="I373" s="80" t="s">
        <v>233</v>
      </c>
      <c r="J373" s="80" t="s">
        <v>234</v>
      </c>
      <c r="K373" s="80" t="s">
        <v>235</v>
      </c>
      <c r="L373" s="80" t="s">
        <v>236</v>
      </c>
      <c r="M373" s="79" t="s">
        <v>891</v>
      </c>
      <c r="N373" s="80" t="s">
        <v>238</v>
      </c>
      <c r="O373" s="85" t="n">
        <v>46125</v>
      </c>
      <c r="P373" s="101"/>
      <c r="Q373" s="84"/>
      <c r="R373" s="87"/>
      <c r="S373" s="87"/>
    </row>
    <row r="374" s="77" customFormat="true" ht="15" hidden="false" customHeight="false" outlineLevel="1" collapsed="false">
      <c r="B374" s="78"/>
      <c r="C374" s="79" t="n">
        <v>424</v>
      </c>
      <c r="D374" s="80" t="s">
        <v>239</v>
      </c>
      <c r="E374" s="82" t="s">
        <v>855</v>
      </c>
      <c r="F374" s="82" t="s">
        <v>240</v>
      </c>
      <c r="G374" s="88" t="n">
        <v>1</v>
      </c>
      <c r="H374" s="84" t="s">
        <v>24</v>
      </c>
      <c r="I374" s="80" t="s">
        <v>241</v>
      </c>
      <c r="J374" s="80" t="s">
        <v>242</v>
      </c>
      <c r="K374" s="80" t="s">
        <v>243</v>
      </c>
      <c r="L374" s="80" t="s">
        <v>244</v>
      </c>
      <c r="M374" s="79" t="s">
        <v>714</v>
      </c>
      <c r="N374" s="80" t="s">
        <v>246</v>
      </c>
      <c r="O374" s="85" t="n">
        <v>46125</v>
      </c>
      <c r="P374" s="101"/>
      <c r="Q374" s="84"/>
      <c r="R374" s="87"/>
      <c r="S374" s="87"/>
    </row>
    <row r="375" s="77" customFormat="true" ht="15" hidden="false" customHeight="false" outlineLevel="1" collapsed="false">
      <c r="B375" s="78"/>
      <c r="C375" s="79" t="n">
        <v>425</v>
      </c>
      <c r="D375" s="80" t="s">
        <v>247</v>
      </c>
      <c r="E375" s="82" t="s">
        <v>855</v>
      </c>
      <c r="F375" s="82" t="s">
        <v>248</v>
      </c>
      <c r="G375" s="88" t="n">
        <v>1</v>
      </c>
      <c r="H375" s="84" t="s">
        <v>61</v>
      </c>
      <c r="I375" s="80" t="s">
        <v>532</v>
      </c>
      <c r="J375" s="80" t="s">
        <v>533</v>
      </c>
      <c r="K375" s="78" t="s">
        <v>534</v>
      </c>
      <c r="L375" s="80" t="s">
        <v>252</v>
      </c>
      <c r="M375" s="79" t="s">
        <v>535</v>
      </c>
      <c r="N375" s="80" t="s">
        <v>254</v>
      </c>
      <c r="O375" s="85" t="n">
        <v>46125</v>
      </c>
      <c r="P375" s="101"/>
      <c r="Q375" s="84"/>
      <c r="R375" s="87"/>
      <c r="S375" s="87"/>
    </row>
    <row r="376" s="77" customFormat="true" ht="15" hidden="false" customHeight="false" outlineLevel="1" collapsed="false">
      <c r="B376" s="78"/>
      <c r="C376" s="79" t="n">
        <v>426</v>
      </c>
      <c r="D376" s="80" t="s">
        <v>270</v>
      </c>
      <c r="E376" s="82" t="s">
        <v>855</v>
      </c>
      <c r="F376" s="82" t="s">
        <v>271</v>
      </c>
      <c r="G376" s="88" t="n">
        <v>2</v>
      </c>
      <c r="H376" s="84" t="s">
        <v>61</v>
      </c>
      <c r="I376" s="80" t="s">
        <v>272</v>
      </c>
      <c r="J376" s="80" t="s">
        <v>273</v>
      </c>
      <c r="K376" s="80" t="s">
        <v>274</v>
      </c>
      <c r="L376" s="80" t="s">
        <v>275</v>
      </c>
      <c r="M376" s="79" t="s">
        <v>792</v>
      </c>
      <c r="N376" s="80" t="s">
        <v>277</v>
      </c>
      <c r="O376" s="85" t="n">
        <v>46125</v>
      </c>
      <c r="P376" s="101"/>
      <c r="Q376" s="84"/>
      <c r="R376" s="87"/>
      <c r="S376" s="87"/>
    </row>
    <row r="377" s="77" customFormat="true" ht="15" hidden="false" customHeight="false" outlineLevel="1" collapsed="false">
      <c r="B377" s="78"/>
      <c r="C377" s="79" t="n">
        <v>427</v>
      </c>
      <c r="D377" s="80" t="s">
        <v>859</v>
      </c>
      <c r="E377" s="82" t="s">
        <v>855</v>
      </c>
      <c r="F377" s="82" t="s">
        <v>860</v>
      </c>
      <c r="G377" s="88" t="n">
        <v>1</v>
      </c>
      <c r="H377" s="84" t="s">
        <v>861</v>
      </c>
      <c r="I377" s="80" t="s">
        <v>862</v>
      </c>
      <c r="J377" s="80" t="s">
        <v>863</v>
      </c>
      <c r="K377" s="80" t="s">
        <v>864</v>
      </c>
      <c r="L377" s="80" t="s">
        <v>865</v>
      </c>
      <c r="M377" s="79" t="s">
        <v>866</v>
      </c>
      <c r="N377" s="80" t="s">
        <v>867</v>
      </c>
      <c r="O377" s="85" t="n">
        <v>46125</v>
      </c>
      <c r="P377" s="101"/>
      <c r="Q377" s="84"/>
      <c r="R377" s="87"/>
      <c r="S377" s="87"/>
    </row>
    <row r="378" s="77" customFormat="true" ht="15" hidden="false" customHeight="false" outlineLevel="1" collapsed="false">
      <c r="B378" s="78"/>
      <c r="C378" s="79" t="n">
        <v>428</v>
      </c>
      <c r="D378" s="80" t="s">
        <v>294</v>
      </c>
      <c r="E378" s="82" t="s">
        <v>855</v>
      </c>
      <c r="F378" s="82" t="s">
        <v>295</v>
      </c>
      <c r="G378" s="88" t="n">
        <v>1</v>
      </c>
      <c r="H378" s="84" t="s">
        <v>61</v>
      </c>
      <c r="I378" s="80" t="s">
        <v>908</v>
      </c>
      <c r="J378" s="80" t="s">
        <v>909</v>
      </c>
      <c r="K378" s="80" t="s">
        <v>910</v>
      </c>
      <c r="L378" s="80" t="s">
        <v>299</v>
      </c>
      <c r="M378" s="79" t="s">
        <v>300</v>
      </c>
      <c r="N378" s="80" t="s">
        <v>301</v>
      </c>
      <c r="O378" s="85" t="n">
        <v>46125</v>
      </c>
      <c r="P378" s="101"/>
      <c r="Q378" s="84"/>
      <c r="R378" s="87"/>
      <c r="S378" s="87"/>
    </row>
    <row r="379" s="77" customFormat="true" ht="15" hidden="false" customHeight="false" outlineLevel="1" collapsed="false">
      <c r="B379" s="78"/>
      <c r="C379" s="79" t="n">
        <v>429</v>
      </c>
      <c r="D379" s="80" t="s">
        <v>326</v>
      </c>
      <c r="E379" s="82" t="s">
        <v>855</v>
      </c>
      <c r="F379" s="82" t="s">
        <v>327</v>
      </c>
      <c r="G379" s="88" t="n">
        <v>1</v>
      </c>
      <c r="H379" s="84" t="s">
        <v>152</v>
      </c>
      <c r="I379" s="80" t="s">
        <v>328</v>
      </c>
      <c r="J379" s="80" t="s">
        <v>329</v>
      </c>
      <c r="K379" s="80" t="s">
        <v>330</v>
      </c>
      <c r="L379" s="80" t="s">
        <v>331</v>
      </c>
      <c r="M379" s="79" t="s">
        <v>332</v>
      </c>
      <c r="N379" s="80" t="s">
        <v>333</v>
      </c>
      <c r="O379" s="85" t="n">
        <v>46125</v>
      </c>
      <c r="P379" s="101"/>
      <c r="Q379" s="84"/>
      <c r="R379" s="87"/>
      <c r="S379" s="87"/>
    </row>
    <row r="380" s="77" customFormat="true" ht="15" hidden="false" customHeight="false" outlineLevel="1" collapsed="false">
      <c r="B380" s="78"/>
      <c r="C380" s="79" t="n">
        <v>430</v>
      </c>
      <c r="D380" s="80" t="s">
        <v>350</v>
      </c>
      <c r="E380" s="82" t="s">
        <v>855</v>
      </c>
      <c r="F380" s="82" t="s">
        <v>351</v>
      </c>
      <c r="G380" s="88" t="n">
        <v>1</v>
      </c>
      <c r="H380" s="84" t="s">
        <v>152</v>
      </c>
      <c r="I380" s="80" t="s">
        <v>352</v>
      </c>
      <c r="J380" s="80" t="s">
        <v>353</v>
      </c>
      <c r="K380" s="80" t="s">
        <v>354</v>
      </c>
      <c r="L380" s="80" t="s">
        <v>355</v>
      </c>
      <c r="M380" s="79" t="s">
        <v>355</v>
      </c>
      <c r="N380" s="80" t="s">
        <v>356</v>
      </c>
      <c r="O380" s="85" t="n">
        <v>46125</v>
      </c>
      <c r="P380" s="101"/>
      <c r="Q380" s="84"/>
      <c r="R380" s="87"/>
      <c r="S380" s="87"/>
    </row>
    <row r="381" s="77" customFormat="true" ht="15" hidden="false" customHeight="false" outlineLevel="1" collapsed="false">
      <c r="B381" s="78"/>
      <c r="C381" s="79" t="n">
        <v>431</v>
      </c>
      <c r="D381" s="80" t="s">
        <v>802</v>
      </c>
      <c r="E381" s="82" t="s">
        <v>855</v>
      </c>
      <c r="F381" s="82" t="s">
        <v>803</v>
      </c>
      <c r="G381" s="88" t="n">
        <v>5</v>
      </c>
      <c r="H381" s="84" t="s">
        <v>804</v>
      </c>
      <c r="I381" s="80" t="s">
        <v>805</v>
      </c>
      <c r="J381" s="80" t="s">
        <v>806</v>
      </c>
      <c r="K381" s="78" t="s">
        <v>807</v>
      </c>
      <c r="L381" s="80" t="s">
        <v>808</v>
      </c>
      <c r="M381" s="79" t="s">
        <v>872</v>
      </c>
      <c r="N381" s="80" t="s">
        <v>810</v>
      </c>
      <c r="O381" s="85" t="n">
        <v>46125</v>
      </c>
      <c r="P381" s="101"/>
      <c r="Q381" s="84"/>
      <c r="R381" s="87"/>
      <c r="S381" s="87"/>
    </row>
    <row r="382" s="77" customFormat="true" ht="15" hidden="false" customHeight="false" outlineLevel="1" collapsed="false">
      <c r="B382" s="78"/>
      <c r="C382" s="79" t="n">
        <v>432</v>
      </c>
      <c r="D382" s="80" t="s">
        <v>366</v>
      </c>
      <c r="E382" s="82" t="s">
        <v>855</v>
      </c>
      <c r="F382" s="82" t="s">
        <v>367</v>
      </c>
      <c r="G382" s="88" t="n">
        <v>3</v>
      </c>
      <c r="H382" s="84" t="s">
        <v>368</v>
      </c>
      <c r="I382" s="80" t="s">
        <v>369</v>
      </c>
      <c r="J382" s="80" t="s">
        <v>370</v>
      </c>
      <c r="K382" s="80" t="s">
        <v>371</v>
      </c>
      <c r="L382" s="80" t="s">
        <v>372</v>
      </c>
      <c r="M382" s="79" t="s">
        <v>682</v>
      </c>
      <c r="N382" s="80" t="s">
        <v>374</v>
      </c>
      <c r="O382" s="85" t="n">
        <v>46125</v>
      </c>
      <c r="P382" s="101"/>
      <c r="Q382" s="84"/>
      <c r="R382" s="87"/>
      <c r="S382" s="87"/>
    </row>
    <row r="383" s="77" customFormat="true" ht="15" hidden="false" customHeight="false" outlineLevel="1" collapsed="false">
      <c r="B383" s="78"/>
      <c r="C383" s="79" t="n">
        <v>433</v>
      </c>
      <c r="D383" s="80" t="s">
        <v>375</v>
      </c>
      <c r="E383" s="82" t="s">
        <v>855</v>
      </c>
      <c r="F383" s="82" t="s">
        <v>376</v>
      </c>
      <c r="G383" s="88" t="n">
        <v>4</v>
      </c>
      <c r="H383" s="84" t="s">
        <v>111</v>
      </c>
      <c r="I383" s="80" t="s">
        <v>377</v>
      </c>
      <c r="J383" s="80" t="s">
        <v>378</v>
      </c>
      <c r="K383" s="80" t="s">
        <v>379</v>
      </c>
      <c r="L383" s="80" t="s">
        <v>380</v>
      </c>
      <c r="M383" s="79" t="s">
        <v>381</v>
      </c>
      <c r="N383" s="80" t="s">
        <v>382</v>
      </c>
      <c r="O383" s="85" t="n">
        <v>46125</v>
      </c>
      <c r="P383" s="101"/>
      <c r="Q383" s="84"/>
      <c r="R383" s="87"/>
      <c r="S383" s="87"/>
    </row>
    <row r="384" s="77" customFormat="true" ht="15" hidden="false" customHeight="false" outlineLevel="1" collapsed="false">
      <c r="B384" s="78"/>
      <c r="C384" s="79" t="n">
        <v>434</v>
      </c>
      <c r="D384" s="80" t="s">
        <v>383</v>
      </c>
      <c r="E384" s="82" t="s">
        <v>855</v>
      </c>
      <c r="F384" s="82" t="s">
        <v>384</v>
      </c>
      <c r="G384" s="88" t="n">
        <v>5</v>
      </c>
      <c r="H384" s="84" t="s">
        <v>61</v>
      </c>
      <c r="I384" s="80" t="s">
        <v>385</v>
      </c>
      <c r="J384" s="80" t="s">
        <v>386</v>
      </c>
      <c r="K384" s="80" t="s">
        <v>387</v>
      </c>
      <c r="L384" s="80" t="s">
        <v>388</v>
      </c>
      <c r="M384" s="79" t="s">
        <v>389</v>
      </c>
      <c r="N384" s="80" t="s">
        <v>390</v>
      </c>
      <c r="O384" s="85" t="n">
        <v>46125</v>
      </c>
      <c r="P384" s="101"/>
      <c r="Q384" s="84"/>
      <c r="R384" s="87"/>
      <c r="S384" s="87"/>
    </row>
    <row r="385" s="77" customFormat="true" ht="15" hidden="false" customHeight="false" outlineLevel="1" collapsed="false">
      <c r="B385" s="78"/>
      <c r="C385" s="79" t="n">
        <v>435</v>
      </c>
      <c r="D385" s="80" t="s">
        <v>431</v>
      </c>
      <c r="E385" s="80" t="s">
        <v>855</v>
      </c>
      <c r="F385" s="82" t="s">
        <v>432</v>
      </c>
      <c r="G385" s="88" t="n">
        <v>1</v>
      </c>
      <c r="H385" s="84" t="s">
        <v>152</v>
      </c>
      <c r="I385" s="80" t="s">
        <v>868</v>
      </c>
      <c r="J385" s="80" t="s">
        <v>869</v>
      </c>
      <c r="K385" s="80" t="s">
        <v>870</v>
      </c>
      <c r="L385" s="80" t="s">
        <v>436</v>
      </c>
      <c r="M385" s="79" t="s">
        <v>871</v>
      </c>
      <c r="N385" s="80" t="s">
        <v>438</v>
      </c>
      <c r="O385" s="85" t="n">
        <v>46125</v>
      </c>
      <c r="P385" s="101"/>
      <c r="Q385" s="84"/>
      <c r="R385" s="87"/>
      <c r="S385" s="87"/>
    </row>
    <row r="386" s="77" customFormat="true" ht="15" hidden="false" customHeight="false" outlineLevel="1" collapsed="false">
      <c r="B386" s="78"/>
      <c r="C386" s="79" t="n">
        <v>436</v>
      </c>
      <c r="D386" s="80" t="s">
        <v>447</v>
      </c>
      <c r="E386" s="82" t="s">
        <v>855</v>
      </c>
      <c r="F386" s="82" t="s">
        <v>448</v>
      </c>
      <c r="G386" s="88" t="n">
        <v>1</v>
      </c>
      <c r="H386" s="84" t="s">
        <v>24</v>
      </c>
      <c r="I386" s="80" t="s">
        <v>449</v>
      </c>
      <c r="J386" s="80" t="s">
        <v>450</v>
      </c>
      <c r="K386" s="80" t="s">
        <v>451</v>
      </c>
      <c r="L386" s="80" t="s">
        <v>452</v>
      </c>
      <c r="M386" s="79" t="s">
        <v>453</v>
      </c>
      <c r="N386" s="80" t="s">
        <v>454</v>
      </c>
      <c r="O386" s="85" t="n">
        <v>46125</v>
      </c>
      <c r="P386" s="101"/>
      <c r="Q386" s="84"/>
      <c r="R386" s="87"/>
      <c r="S386" s="87"/>
    </row>
    <row r="387" s="77" customFormat="true" ht="15" hidden="false" customHeight="false" outlineLevel="1" collapsed="false">
      <c r="B387" s="78"/>
      <c r="C387" s="79" t="n">
        <v>437</v>
      </c>
      <c r="D387" s="80" t="s">
        <v>455</v>
      </c>
      <c r="E387" s="82" t="s">
        <v>855</v>
      </c>
      <c r="F387" s="82" t="s">
        <v>456</v>
      </c>
      <c r="G387" s="88" t="n">
        <v>1</v>
      </c>
      <c r="H387" s="84" t="s">
        <v>111</v>
      </c>
      <c r="I387" s="80" t="s">
        <v>457</v>
      </c>
      <c r="J387" s="80" t="s">
        <v>458</v>
      </c>
      <c r="K387" s="80" t="s">
        <v>459</v>
      </c>
      <c r="L387" s="80" t="s">
        <v>460</v>
      </c>
      <c r="M387" s="79" t="s">
        <v>461</v>
      </c>
      <c r="N387" s="80" t="s">
        <v>462</v>
      </c>
      <c r="O387" s="85" t="n">
        <v>46125</v>
      </c>
      <c r="P387" s="101"/>
      <c r="Q387" s="84"/>
      <c r="R387" s="87"/>
      <c r="S387" s="87"/>
    </row>
    <row r="388" s="77" customFormat="true" ht="15" hidden="false" customHeight="false" outlineLevel="1" collapsed="false">
      <c r="B388" s="78"/>
      <c r="C388" s="79" t="n">
        <v>438</v>
      </c>
      <c r="D388" s="80" t="s">
        <v>463</v>
      </c>
      <c r="E388" s="82" t="s">
        <v>855</v>
      </c>
      <c r="F388" s="82" t="s">
        <v>464</v>
      </c>
      <c r="G388" s="88" t="n">
        <v>2</v>
      </c>
      <c r="H388" s="84" t="s">
        <v>152</v>
      </c>
      <c r="I388" s="80" t="s">
        <v>465</v>
      </c>
      <c r="J388" s="80" t="s">
        <v>466</v>
      </c>
      <c r="K388" s="80" t="s">
        <v>467</v>
      </c>
      <c r="L388" s="80" t="s">
        <v>468</v>
      </c>
      <c r="M388" s="79" t="s">
        <v>469</v>
      </c>
      <c r="N388" s="80" t="s">
        <v>470</v>
      </c>
      <c r="O388" s="85" t="n">
        <v>46125</v>
      </c>
      <c r="P388" s="101"/>
      <c r="Q388" s="84"/>
      <c r="R388" s="87"/>
      <c r="S388" s="87"/>
    </row>
    <row r="389" s="77" customFormat="true" ht="15" hidden="false" customHeight="false" outlineLevel="1" collapsed="false">
      <c r="B389" s="78"/>
      <c r="C389" s="79" t="n">
        <v>439</v>
      </c>
      <c r="D389" s="80" t="s">
        <v>588</v>
      </c>
      <c r="E389" s="82" t="s">
        <v>855</v>
      </c>
      <c r="F389" s="82" t="s">
        <v>589</v>
      </c>
      <c r="G389" s="88" t="n">
        <v>1</v>
      </c>
      <c r="H389" s="84" t="s">
        <v>24</v>
      </c>
      <c r="I389" s="80" t="s">
        <v>590</v>
      </c>
      <c r="J389" s="80" t="s">
        <v>591</v>
      </c>
      <c r="K389" s="80" t="s">
        <v>592</v>
      </c>
      <c r="L389" s="80" t="s">
        <v>593</v>
      </c>
      <c r="M389" s="79" t="s">
        <v>594</v>
      </c>
      <c r="N389" s="80" t="s">
        <v>595</v>
      </c>
      <c r="O389" s="85" t="n">
        <v>46125</v>
      </c>
      <c r="P389" s="101"/>
      <c r="Q389" s="84"/>
      <c r="R389" s="87"/>
      <c r="S389" s="87"/>
    </row>
    <row r="390" s="77" customFormat="true" ht="15" hidden="false" customHeight="false" outlineLevel="1" collapsed="false">
      <c r="B390" s="78"/>
      <c r="C390" s="79" t="n">
        <v>440</v>
      </c>
      <c r="D390" s="80" t="s">
        <v>611</v>
      </c>
      <c r="E390" s="82" t="s">
        <v>855</v>
      </c>
      <c r="F390" s="82" t="s">
        <v>612</v>
      </c>
      <c r="G390" s="88" t="n">
        <v>1</v>
      </c>
      <c r="H390" s="84" t="s">
        <v>24</v>
      </c>
      <c r="I390" s="80" t="s">
        <v>613</v>
      </c>
      <c r="J390" s="80" t="s">
        <v>614</v>
      </c>
      <c r="K390" s="80" t="s">
        <v>615</v>
      </c>
      <c r="L390" s="80" t="s">
        <v>616</v>
      </c>
      <c r="M390" s="79" t="s">
        <v>616</v>
      </c>
      <c r="N390" s="80" t="s">
        <v>617</v>
      </c>
      <c r="O390" s="85" t="n">
        <v>46125</v>
      </c>
      <c r="P390" s="101"/>
      <c r="Q390" s="84"/>
      <c r="R390" s="87"/>
      <c r="S390" s="87"/>
    </row>
    <row r="391" s="77" customFormat="true" ht="15" hidden="false" customHeight="false" outlineLevel="1" collapsed="false">
      <c r="B391" s="78"/>
      <c r="C391" s="79" t="n">
        <v>441</v>
      </c>
      <c r="D391" s="80" t="s">
        <v>502</v>
      </c>
      <c r="E391" s="82" t="s">
        <v>855</v>
      </c>
      <c r="F391" s="82" t="s">
        <v>503</v>
      </c>
      <c r="G391" s="88" t="n">
        <v>1</v>
      </c>
      <c r="H391" s="84" t="s">
        <v>61</v>
      </c>
      <c r="I391" s="80" t="s">
        <v>504</v>
      </c>
      <c r="J391" s="80" t="s">
        <v>505</v>
      </c>
      <c r="K391" s="80" t="s">
        <v>506</v>
      </c>
      <c r="L391" s="80" t="s">
        <v>283</v>
      </c>
      <c r="M391" s="79" t="s">
        <v>284</v>
      </c>
      <c r="N391" s="80" t="s">
        <v>507</v>
      </c>
      <c r="O391" s="85" t="n">
        <v>46125</v>
      </c>
      <c r="P391" s="101"/>
      <c r="Q391" s="84"/>
      <c r="R391" s="87"/>
      <c r="S391" s="87"/>
    </row>
    <row r="392" s="77" customFormat="true" ht="15" hidden="false" customHeight="false" outlineLevel="1" collapsed="false">
      <c r="B392" s="78"/>
      <c r="C392" s="79" t="n">
        <v>442</v>
      </c>
      <c r="D392" s="80" t="s">
        <v>508</v>
      </c>
      <c r="E392" s="82" t="s">
        <v>855</v>
      </c>
      <c r="F392" s="82" t="s">
        <v>509</v>
      </c>
      <c r="G392" s="88" t="n">
        <v>1</v>
      </c>
      <c r="H392" s="84" t="s">
        <v>61</v>
      </c>
      <c r="I392" s="80" t="s">
        <v>510</v>
      </c>
      <c r="J392" s="80" t="s">
        <v>511</v>
      </c>
      <c r="K392" s="80" t="s">
        <v>512</v>
      </c>
      <c r="L392" s="80" t="s">
        <v>513</v>
      </c>
      <c r="M392" s="79" t="s">
        <v>514</v>
      </c>
      <c r="N392" s="80" t="s">
        <v>515</v>
      </c>
      <c r="O392" s="85" t="n">
        <v>46125</v>
      </c>
      <c r="P392" s="101"/>
      <c r="Q392" s="84"/>
      <c r="R392" s="87"/>
      <c r="S392" s="87"/>
    </row>
    <row r="393" s="68" customFormat="true" ht="30" hidden="false" customHeight="true" outlineLevel="0" collapsed="false">
      <c r="B393" s="69"/>
      <c r="C393" s="102"/>
      <c r="D393" s="71"/>
      <c r="E393" s="72" t="s">
        <v>777</v>
      </c>
      <c r="F393" s="73"/>
      <c r="G393" s="74" t="n">
        <f aca="false">SUM(G394:G418)</f>
        <v>74</v>
      </c>
      <c r="H393" s="69"/>
      <c r="I393" s="69"/>
      <c r="J393" s="69"/>
      <c r="K393" s="69"/>
      <c r="L393" s="69"/>
      <c r="M393" s="102"/>
      <c r="N393" s="69"/>
      <c r="O393" s="69"/>
      <c r="P393" s="69"/>
      <c r="Q393" s="69"/>
      <c r="R393" s="74" t="s">
        <v>31</v>
      </c>
      <c r="S393" s="69"/>
    </row>
    <row r="394" s="77" customFormat="true" ht="36" hidden="false" customHeight="true" outlineLevel="1" collapsed="false">
      <c r="B394" s="78"/>
      <c r="C394" s="79" t="s">
        <v>1110</v>
      </c>
      <c r="D394" s="80" t="s">
        <v>811</v>
      </c>
      <c r="E394" s="82" t="s">
        <v>777</v>
      </c>
      <c r="F394" s="82" t="s">
        <v>812</v>
      </c>
      <c r="G394" s="88" t="n">
        <v>7</v>
      </c>
      <c r="H394" s="84" t="s">
        <v>813</v>
      </c>
      <c r="I394" s="80" t="s">
        <v>814</v>
      </c>
      <c r="J394" s="80" t="s">
        <v>815</v>
      </c>
      <c r="K394" s="80" t="s">
        <v>816</v>
      </c>
      <c r="L394" s="80" t="s">
        <v>817</v>
      </c>
      <c r="M394" s="79" t="s">
        <v>1111</v>
      </c>
      <c r="N394" s="80" t="s">
        <v>819</v>
      </c>
      <c r="O394" s="85" t="n">
        <v>46153</v>
      </c>
      <c r="P394" s="101"/>
      <c r="Q394" s="107"/>
      <c r="R394" s="87" t="s">
        <v>31</v>
      </c>
      <c r="S394" s="87" t="s">
        <v>84</v>
      </c>
    </row>
    <row r="395" s="77" customFormat="true" ht="15" hidden="false" customHeight="false" outlineLevel="1" collapsed="false">
      <c r="B395" s="78"/>
      <c r="C395" s="79" t="n">
        <v>444</v>
      </c>
      <c r="D395" s="80" t="s">
        <v>75</v>
      </c>
      <c r="E395" s="82" t="s">
        <v>777</v>
      </c>
      <c r="F395" s="82" t="s">
        <v>76</v>
      </c>
      <c r="G395" s="88" t="n">
        <v>1</v>
      </c>
      <c r="H395" s="84" t="s">
        <v>77</v>
      </c>
      <c r="I395" s="80" t="s">
        <v>78</v>
      </c>
      <c r="J395" s="80" t="s">
        <v>79</v>
      </c>
      <c r="K395" s="80" t="s">
        <v>80</v>
      </c>
      <c r="L395" s="80" t="s">
        <v>81</v>
      </c>
      <c r="M395" s="79" t="s">
        <v>82</v>
      </c>
      <c r="N395" s="80" t="s">
        <v>83</v>
      </c>
      <c r="O395" s="85" t="n">
        <v>46132</v>
      </c>
      <c r="P395" s="101"/>
      <c r="Q395" s="107"/>
      <c r="R395" s="87" t="s">
        <v>31</v>
      </c>
      <c r="S395" s="87" t="s">
        <v>84</v>
      </c>
    </row>
    <row r="396" s="77" customFormat="true" ht="15" hidden="false" customHeight="false" outlineLevel="1" collapsed="false">
      <c r="B396" s="78"/>
      <c r="C396" s="79" t="n">
        <v>445</v>
      </c>
      <c r="D396" s="80" t="s">
        <v>580</v>
      </c>
      <c r="E396" s="82" t="s">
        <v>777</v>
      </c>
      <c r="F396" s="82" t="s">
        <v>581</v>
      </c>
      <c r="G396" s="88" t="n">
        <v>1</v>
      </c>
      <c r="H396" s="84" t="s">
        <v>61</v>
      </c>
      <c r="I396" s="80" t="s">
        <v>582</v>
      </c>
      <c r="J396" s="80" t="s">
        <v>583</v>
      </c>
      <c r="K396" s="80" t="s">
        <v>584</v>
      </c>
      <c r="L396" s="80" t="s">
        <v>585</v>
      </c>
      <c r="M396" s="79" t="s">
        <v>586</v>
      </c>
      <c r="N396" s="80" t="s">
        <v>587</v>
      </c>
      <c r="O396" s="85" t="n">
        <v>46132</v>
      </c>
      <c r="P396" s="101"/>
      <c r="Q396" s="107"/>
      <c r="R396" s="87" t="s">
        <v>31</v>
      </c>
      <c r="S396" s="87" t="s">
        <v>84</v>
      </c>
    </row>
    <row r="397" s="77" customFormat="true" ht="15" hidden="false" customHeight="false" outlineLevel="1" collapsed="false">
      <c r="B397" s="78" t="s">
        <v>1112</v>
      </c>
      <c r="C397" s="79" t="n">
        <v>446</v>
      </c>
      <c r="D397" s="80" t="s">
        <v>725</v>
      </c>
      <c r="E397" s="82" t="s">
        <v>777</v>
      </c>
      <c r="F397" s="82" t="s">
        <v>726</v>
      </c>
      <c r="G397" s="88" t="n">
        <v>3</v>
      </c>
      <c r="H397" s="84" t="s">
        <v>727</v>
      </c>
      <c r="I397" s="80" t="s">
        <v>848</v>
      </c>
      <c r="J397" s="80" t="s">
        <v>849</v>
      </c>
      <c r="K397" s="97" t="s">
        <v>850</v>
      </c>
      <c r="L397" s="80" t="s">
        <v>731</v>
      </c>
      <c r="M397" s="79" t="s">
        <v>851</v>
      </c>
      <c r="N397" s="80" t="s">
        <v>733</v>
      </c>
      <c r="O397" s="85" t="n">
        <v>46119</v>
      </c>
      <c r="P397" s="101"/>
      <c r="Q397" s="107"/>
      <c r="R397" s="87" t="s">
        <v>31</v>
      </c>
      <c r="S397" s="87" t="s">
        <v>31</v>
      </c>
    </row>
    <row r="398" s="77" customFormat="true" ht="15" hidden="false" customHeight="false" outlineLevel="1" collapsed="false">
      <c r="B398" s="78"/>
      <c r="C398" s="79" t="n">
        <v>447</v>
      </c>
      <c r="D398" s="80" t="s">
        <v>102</v>
      </c>
      <c r="E398" s="82" t="s">
        <v>777</v>
      </c>
      <c r="F398" s="82" t="s">
        <v>103</v>
      </c>
      <c r="G398" s="88" t="n">
        <v>5</v>
      </c>
      <c r="H398" s="84" t="s">
        <v>61</v>
      </c>
      <c r="I398" s="80" t="s">
        <v>104</v>
      </c>
      <c r="J398" s="80" t="s">
        <v>105</v>
      </c>
      <c r="K398" s="80" t="s">
        <v>106</v>
      </c>
      <c r="L398" s="80" t="s">
        <v>107</v>
      </c>
      <c r="M398" s="79" t="s">
        <v>107</v>
      </c>
      <c r="N398" s="80" t="s">
        <v>108</v>
      </c>
      <c r="O398" s="85" t="n">
        <v>46132</v>
      </c>
      <c r="P398" s="101"/>
      <c r="Q398" s="107"/>
      <c r="R398" s="87" t="s">
        <v>31</v>
      </c>
      <c r="S398" s="87" t="s">
        <v>84</v>
      </c>
    </row>
    <row r="399" s="77" customFormat="true" ht="15" hidden="false" customHeight="false" outlineLevel="1" collapsed="false">
      <c r="B399" s="78"/>
      <c r="C399" s="79" t="n">
        <v>448</v>
      </c>
      <c r="D399" s="80" t="s">
        <v>134</v>
      </c>
      <c r="E399" s="82" t="s">
        <v>777</v>
      </c>
      <c r="F399" s="82" t="s">
        <v>135</v>
      </c>
      <c r="G399" s="88" t="n">
        <v>2</v>
      </c>
      <c r="H399" s="84" t="s">
        <v>24</v>
      </c>
      <c r="I399" s="80" t="s">
        <v>136</v>
      </c>
      <c r="J399" s="80" t="s">
        <v>137</v>
      </c>
      <c r="K399" s="80" t="s">
        <v>138</v>
      </c>
      <c r="L399" s="80" t="s">
        <v>139</v>
      </c>
      <c r="M399" s="79" t="s">
        <v>140</v>
      </c>
      <c r="N399" s="80" t="s">
        <v>141</v>
      </c>
      <c r="O399" s="85" t="n">
        <v>46119</v>
      </c>
      <c r="P399" s="101"/>
      <c r="Q399" s="107"/>
      <c r="R399" s="87" t="s">
        <v>31</v>
      </c>
      <c r="S399" s="87" t="s">
        <v>31</v>
      </c>
    </row>
    <row r="400" s="77" customFormat="true" ht="15" hidden="false" customHeight="false" outlineLevel="1" collapsed="false">
      <c r="B400" s="78"/>
      <c r="C400" s="79" t="n">
        <v>449</v>
      </c>
      <c r="D400" s="80" t="s">
        <v>150</v>
      </c>
      <c r="E400" s="82" t="s">
        <v>777</v>
      </c>
      <c r="F400" s="82" t="s">
        <v>151</v>
      </c>
      <c r="G400" s="88" t="n">
        <v>1</v>
      </c>
      <c r="H400" s="84" t="s">
        <v>152</v>
      </c>
      <c r="I400" s="80" t="s">
        <v>153</v>
      </c>
      <c r="J400" s="80" t="s">
        <v>154</v>
      </c>
      <c r="K400" s="80" t="s">
        <v>155</v>
      </c>
      <c r="L400" s="80" t="s">
        <v>156</v>
      </c>
      <c r="M400" s="79" t="s">
        <v>1113</v>
      </c>
      <c r="N400" s="80" t="s">
        <v>158</v>
      </c>
      <c r="O400" s="85" t="n">
        <v>46132</v>
      </c>
      <c r="P400" s="101"/>
      <c r="Q400" s="107"/>
      <c r="R400" s="87" t="s">
        <v>31</v>
      </c>
      <c r="S400" s="87" t="s">
        <v>84</v>
      </c>
    </row>
    <row r="401" s="77" customFormat="true" ht="30" hidden="false" customHeight="true" outlineLevel="1" collapsed="false">
      <c r="B401" s="78" t="s">
        <v>1112</v>
      </c>
      <c r="C401" s="79" t="s">
        <v>776</v>
      </c>
      <c r="D401" s="80" t="s">
        <v>768</v>
      </c>
      <c r="E401" s="82" t="s">
        <v>777</v>
      </c>
      <c r="F401" s="82" t="s">
        <v>769</v>
      </c>
      <c r="G401" s="108" t="n">
        <v>1</v>
      </c>
      <c r="H401" s="84" t="s">
        <v>61</v>
      </c>
      <c r="I401" s="80" t="s">
        <v>770</v>
      </c>
      <c r="J401" s="80" t="s">
        <v>771</v>
      </c>
      <c r="K401" s="80" t="s">
        <v>772</v>
      </c>
      <c r="L401" s="80" t="s">
        <v>773</v>
      </c>
      <c r="M401" s="79" t="s">
        <v>774</v>
      </c>
      <c r="N401" s="80" t="s">
        <v>775</v>
      </c>
      <c r="O401" s="85" t="n">
        <v>46119</v>
      </c>
      <c r="P401" s="101"/>
      <c r="Q401" s="107"/>
      <c r="R401" s="87" t="s">
        <v>31</v>
      </c>
      <c r="S401" s="87" t="s">
        <v>31</v>
      </c>
    </row>
    <row r="402" s="77" customFormat="true" ht="30" hidden="false" customHeight="true" outlineLevel="1" collapsed="false">
      <c r="B402" s="78"/>
      <c r="C402" s="79" t="s">
        <v>1114</v>
      </c>
      <c r="D402" s="80" t="s">
        <v>768</v>
      </c>
      <c r="E402" s="82" t="s">
        <v>777</v>
      </c>
      <c r="F402" s="82" t="s">
        <v>769</v>
      </c>
      <c r="G402" s="108" t="n">
        <v>9</v>
      </c>
      <c r="H402" s="84" t="s">
        <v>61</v>
      </c>
      <c r="I402" s="80" t="s">
        <v>770</v>
      </c>
      <c r="J402" s="80" t="s">
        <v>771</v>
      </c>
      <c r="K402" s="80" t="s">
        <v>772</v>
      </c>
      <c r="L402" s="80" t="s">
        <v>773</v>
      </c>
      <c r="M402" s="79" t="s">
        <v>774</v>
      </c>
      <c r="N402" s="80" t="s">
        <v>775</v>
      </c>
      <c r="O402" s="85" t="n">
        <v>46132</v>
      </c>
      <c r="P402" s="101"/>
      <c r="Q402" s="107"/>
      <c r="R402" s="87" t="s">
        <v>31</v>
      </c>
      <c r="S402" s="87" t="s">
        <v>31</v>
      </c>
    </row>
    <row r="403" s="77" customFormat="true" ht="15" hidden="false" customHeight="false" outlineLevel="1" collapsed="false">
      <c r="B403" s="78"/>
      <c r="C403" s="79" t="n">
        <v>451</v>
      </c>
      <c r="D403" s="80" t="s">
        <v>667</v>
      </c>
      <c r="E403" s="82" t="s">
        <v>777</v>
      </c>
      <c r="F403" s="82" t="s">
        <v>668</v>
      </c>
      <c r="G403" s="88" t="n">
        <v>2</v>
      </c>
      <c r="H403" s="84" t="s">
        <v>61</v>
      </c>
      <c r="I403" s="80" t="s">
        <v>669</v>
      </c>
      <c r="J403" s="80" t="s">
        <v>670</v>
      </c>
      <c r="K403" s="78" t="s">
        <v>671</v>
      </c>
      <c r="L403" s="80" t="s">
        <v>672</v>
      </c>
      <c r="M403" s="79" t="s">
        <v>672</v>
      </c>
      <c r="N403" s="80" t="s">
        <v>673</v>
      </c>
      <c r="O403" s="85" t="n">
        <v>46132</v>
      </c>
      <c r="P403" s="101"/>
      <c r="Q403" s="107"/>
      <c r="R403" s="87" t="s">
        <v>31</v>
      </c>
      <c r="S403" s="87" t="s">
        <v>84</v>
      </c>
    </row>
    <row r="404" s="77" customFormat="true" ht="15" hidden="false" customHeight="false" outlineLevel="1" collapsed="false">
      <c r="B404" s="78"/>
      <c r="C404" s="79" t="n">
        <v>452</v>
      </c>
      <c r="D404" s="80" t="s">
        <v>198</v>
      </c>
      <c r="E404" s="82" t="s">
        <v>777</v>
      </c>
      <c r="F404" s="82" t="s">
        <v>199</v>
      </c>
      <c r="G404" s="88" t="n">
        <v>1</v>
      </c>
      <c r="H404" s="84" t="s">
        <v>200</v>
      </c>
      <c r="I404" s="80" t="s">
        <v>201</v>
      </c>
      <c r="J404" s="80" t="s">
        <v>202</v>
      </c>
      <c r="K404" s="80" t="s">
        <v>203</v>
      </c>
      <c r="L404" s="80" t="s">
        <v>204</v>
      </c>
      <c r="M404" s="79" t="s">
        <v>1115</v>
      </c>
      <c r="N404" s="80" t="s">
        <v>206</v>
      </c>
      <c r="O404" s="85" t="n">
        <v>46132</v>
      </c>
      <c r="P404" s="101"/>
      <c r="Q404" s="107"/>
      <c r="R404" s="87" t="s">
        <v>31</v>
      </c>
      <c r="S404" s="87" t="s">
        <v>84</v>
      </c>
    </row>
    <row r="405" s="77" customFormat="true" ht="36" hidden="false" customHeight="true" outlineLevel="1" collapsed="false">
      <c r="B405" s="78" t="s">
        <v>1112</v>
      </c>
      <c r="C405" s="79" t="s">
        <v>1116</v>
      </c>
      <c r="D405" s="80" t="s">
        <v>795</v>
      </c>
      <c r="E405" s="82" t="s">
        <v>777</v>
      </c>
      <c r="F405" s="82" t="s">
        <v>796</v>
      </c>
      <c r="G405" s="88" t="n">
        <v>5</v>
      </c>
      <c r="H405" s="84" t="s">
        <v>61</v>
      </c>
      <c r="I405" s="80" t="s">
        <v>797</v>
      </c>
      <c r="J405" s="80" t="s">
        <v>798</v>
      </c>
      <c r="K405" s="96" t="s">
        <v>799</v>
      </c>
      <c r="L405" s="80" t="s">
        <v>236</v>
      </c>
      <c r="M405" s="79" t="s">
        <v>800</v>
      </c>
      <c r="N405" s="80" t="s">
        <v>801</v>
      </c>
      <c r="O405" s="85" t="n">
        <v>46119</v>
      </c>
      <c r="P405" s="101"/>
      <c r="Q405" s="107"/>
      <c r="R405" s="87" t="s">
        <v>31</v>
      </c>
      <c r="S405" s="87" t="s">
        <v>84</v>
      </c>
    </row>
    <row r="406" s="77" customFormat="true" ht="15" hidden="false" customHeight="false" outlineLevel="1" collapsed="false">
      <c r="B406" s="78"/>
      <c r="C406" s="79" t="n">
        <v>454</v>
      </c>
      <c r="D406" s="80" t="s">
        <v>859</v>
      </c>
      <c r="E406" s="82" t="s">
        <v>777</v>
      </c>
      <c r="F406" s="82" t="s">
        <v>860</v>
      </c>
      <c r="G406" s="88" t="n">
        <v>1</v>
      </c>
      <c r="H406" s="84" t="s">
        <v>861</v>
      </c>
      <c r="I406" s="80" t="s">
        <v>862</v>
      </c>
      <c r="J406" s="80" t="s">
        <v>863</v>
      </c>
      <c r="K406" s="80" t="s">
        <v>864</v>
      </c>
      <c r="L406" s="80" t="s">
        <v>865</v>
      </c>
      <c r="M406" s="79" t="s">
        <v>866</v>
      </c>
      <c r="N406" s="80" t="s">
        <v>867</v>
      </c>
      <c r="O406" s="85" t="n">
        <v>46132</v>
      </c>
      <c r="P406" s="101"/>
      <c r="Q406" s="107"/>
      <c r="R406" s="87" t="s">
        <v>31</v>
      </c>
      <c r="S406" s="87" t="s">
        <v>31</v>
      </c>
    </row>
    <row r="407" s="77" customFormat="true" ht="15" hidden="false" customHeight="false" outlineLevel="1" collapsed="false">
      <c r="B407" s="78"/>
      <c r="C407" s="79" t="n">
        <v>455</v>
      </c>
      <c r="D407" s="80" t="s">
        <v>342</v>
      </c>
      <c r="E407" s="82" t="s">
        <v>777</v>
      </c>
      <c r="F407" s="82" t="s">
        <v>343</v>
      </c>
      <c r="G407" s="88" t="n">
        <v>1</v>
      </c>
      <c r="H407" s="84" t="s">
        <v>24</v>
      </c>
      <c r="I407" s="80" t="s">
        <v>344</v>
      </c>
      <c r="J407" s="80" t="s">
        <v>345</v>
      </c>
      <c r="K407" s="80" t="s">
        <v>346</v>
      </c>
      <c r="L407" s="80" t="s">
        <v>347</v>
      </c>
      <c r="M407" s="79" t="s">
        <v>348</v>
      </c>
      <c r="N407" s="80" t="s">
        <v>349</v>
      </c>
      <c r="O407" s="85" t="n">
        <v>46132</v>
      </c>
      <c r="P407" s="101"/>
      <c r="Q407" s="107"/>
      <c r="R407" s="87" t="s">
        <v>31</v>
      </c>
      <c r="S407" s="87" t="s">
        <v>31</v>
      </c>
    </row>
    <row r="408" s="77" customFormat="true" ht="36" hidden="false" customHeight="true" outlineLevel="1" collapsed="false">
      <c r="B408" s="78"/>
      <c r="C408" s="79" t="s">
        <v>1117</v>
      </c>
      <c r="D408" s="80" t="s">
        <v>802</v>
      </c>
      <c r="E408" s="82" t="s">
        <v>777</v>
      </c>
      <c r="F408" s="82" t="s">
        <v>803</v>
      </c>
      <c r="G408" s="88" t="n">
        <v>8</v>
      </c>
      <c r="H408" s="84" t="s">
        <v>804</v>
      </c>
      <c r="I408" s="80" t="s">
        <v>874</v>
      </c>
      <c r="J408" s="80" t="s">
        <v>875</v>
      </c>
      <c r="K408" s="80" t="s">
        <v>876</v>
      </c>
      <c r="L408" s="80" t="s">
        <v>808</v>
      </c>
      <c r="M408" s="79" t="s">
        <v>1118</v>
      </c>
      <c r="N408" s="80" t="s">
        <v>810</v>
      </c>
      <c r="O408" s="85" t="n">
        <v>46132</v>
      </c>
      <c r="P408" s="101"/>
      <c r="Q408" s="107"/>
      <c r="R408" s="87" t="s">
        <v>31</v>
      </c>
      <c r="S408" s="87" t="s">
        <v>84</v>
      </c>
    </row>
    <row r="409" s="77" customFormat="true" ht="36" hidden="false" customHeight="true" outlineLevel="1" collapsed="false">
      <c r="B409" s="78"/>
      <c r="C409" s="79" t="s">
        <v>1119</v>
      </c>
      <c r="D409" s="80" t="s">
        <v>375</v>
      </c>
      <c r="E409" s="82" t="s">
        <v>777</v>
      </c>
      <c r="F409" s="82" t="s">
        <v>376</v>
      </c>
      <c r="G409" s="88" t="n">
        <v>3</v>
      </c>
      <c r="H409" s="84" t="s">
        <v>111</v>
      </c>
      <c r="I409" s="80" t="s">
        <v>1120</v>
      </c>
      <c r="J409" s="80" t="s">
        <v>1121</v>
      </c>
      <c r="K409" s="80" t="s">
        <v>1122</v>
      </c>
      <c r="L409" s="80" t="s">
        <v>380</v>
      </c>
      <c r="M409" s="79" t="s">
        <v>1123</v>
      </c>
      <c r="N409" s="80" t="s">
        <v>382</v>
      </c>
      <c r="O409" s="85" t="n">
        <v>46132</v>
      </c>
      <c r="P409" s="101"/>
      <c r="Q409" s="107"/>
      <c r="R409" s="87" t="s">
        <v>31</v>
      </c>
      <c r="S409" s="87" t="s">
        <v>31</v>
      </c>
    </row>
    <row r="410" s="77" customFormat="true" ht="15" hidden="false" customHeight="false" outlineLevel="1" collapsed="false">
      <c r="B410" s="78"/>
      <c r="C410" s="79" t="n">
        <v>458</v>
      </c>
      <c r="D410" s="80" t="s">
        <v>383</v>
      </c>
      <c r="E410" s="82" t="s">
        <v>777</v>
      </c>
      <c r="F410" s="82" t="s">
        <v>384</v>
      </c>
      <c r="G410" s="88" t="n">
        <v>1</v>
      </c>
      <c r="H410" s="84" t="s">
        <v>61</v>
      </c>
      <c r="I410" s="80" t="s">
        <v>385</v>
      </c>
      <c r="J410" s="80" t="s">
        <v>386</v>
      </c>
      <c r="K410" s="80" t="s">
        <v>387</v>
      </c>
      <c r="L410" s="80" t="s">
        <v>388</v>
      </c>
      <c r="M410" s="79" t="s">
        <v>389</v>
      </c>
      <c r="N410" s="80" t="s">
        <v>390</v>
      </c>
      <c r="O410" s="85" t="n">
        <v>46132</v>
      </c>
      <c r="P410" s="101"/>
      <c r="Q410" s="107"/>
      <c r="R410" s="87" t="s">
        <v>31</v>
      </c>
      <c r="S410" s="87" t="s">
        <v>84</v>
      </c>
    </row>
    <row r="411" s="77" customFormat="true" ht="15" hidden="false" customHeight="false" outlineLevel="1" collapsed="false">
      <c r="B411" s="78"/>
      <c r="C411" s="79" t="n">
        <v>459</v>
      </c>
      <c r="D411" s="80" t="s">
        <v>391</v>
      </c>
      <c r="E411" s="82" t="s">
        <v>777</v>
      </c>
      <c r="F411" s="82" t="s">
        <v>392</v>
      </c>
      <c r="G411" s="88" t="n">
        <v>8</v>
      </c>
      <c r="H411" s="84" t="s">
        <v>111</v>
      </c>
      <c r="I411" s="80" t="s">
        <v>393</v>
      </c>
      <c r="J411" s="80" t="s">
        <v>394</v>
      </c>
      <c r="K411" s="80" t="s">
        <v>395</v>
      </c>
      <c r="L411" s="80" t="s">
        <v>396</v>
      </c>
      <c r="M411" s="79" t="s">
        <v>397</v>
      </c>
      <c r="N411" s="80" t="s">
        <v>398</v>
      </c>
      <c r="O411" s="85" t="n">
        <v>46119</v>
      </c>
      <c r="P411" s="101"/>
      <c r="Q411" s="107"/>
      <c r="R411" s="87" t="s">
        <v>31</v>
      </c>
      <c r="S411" s="87" t="s">
        <v>84</v>
      </c>
    </row>
    <row r="412" s="77" customFormat="true" ht="15" hidden="false" customHeight="false" outlineLevel="1" collapsed="false">
      <c r="B412" s="78"/>
      <c r="C412" s="79" t="n">
        <v>460</v>
      </c>
      <c r="D412" s="80" t="s">
        <v>424</v>
      </c>
      <c r="E412" s="82" t="s">
        <v>777</v>
      </c>
      <c r="F412" s="82" t="s">
        <v>425</v>
      </c>
      <c r="G412" s="88" t="n">
        <v>1</v>
      </c>
      <c r="H412" s="84" t="s">
        <v>111</v>
      </c>
      <c r="I412" s="80" t="s">
        <v>426</v>
      </c>
      <c r="J412" s="80" t="s">
        <v>427</v>
      </c>
      <c r="K412" s="80" t="s">
        <v>428</v>
      </c>
      <c r="L412" s="80" t="s">
        <v>429</v>
      </c>
      <c r="M412" s="79" t="s">
        <v>429</v>
      </c>
      <c r="N412" s="80" t="s">
        <v>430</v>
      </c>
      <c r="O412" s="85" t="n">
        <v>46132</v>
      </c>
      <c r="P412" s="101"/>
      <c r="Q412" s="107"/>
      <c r="R412" s="87" t="s">
        <v>31</v>
      </c>
      <c r="S412" s="87" t="s">
        <v>84</v>
      </c>
    </row>
    <row r="413" s="77" customFormat="true" ht="30" hidden="false" customHeight="true" outlineLevel="1" collapsed="false">
      <c r="B413" s="78"/>
      <c r="C413" s="79" t="n">
        <v>461</v>
      </c>
      <c r="D413" s="80" t="s">
        <v>431</v>
      </c>
      <c r="E413" s="80" t="s">
        <v>777</v>
      </c>
      <c r="F413" s="82" t="s">
        <v>432</v>
      </c>
      <c r="G413" s="88" t="n">
        <v>1</v>
      </c>
      <c r="H413" s="84" t="s">
        <v>152</v>
      </c>
      <c r="I413" s="80" t="s">
        <v>433</v>
      </c>
      <c r="J413" s="80" t="s">
        <v>434</v>
      </c>
      <c r="K413" s="80" t="s">
        <v>435</v>
      </c>
      <c r="L413" s="80" t="s">
        <v>436</v>
      </c>
      <c r="M413" s="79" t="s">
        <v>437</v>
      </c>
      <c r="N413" s="80" t="s">
        <v>438</v>
      </c>
      <c r="O413" s="85" t="n">
        <v>46132</v>
      </c>
      <c r="P413" s="101"/>
      <c r="Q413" s="107"/>
      <c r="R413" s="87" t="s">
        <v>31</v>
      </c>
      <c r="S413" s="87" t="s">
        <v>31</v>
      </c>
    </row>
    <row r="414" s="77" customFormat="true" ht="30" hidden="false" customHeight="true" outlineLevel="1" collapsed="false">
      <c r="B414" s="78"/>
      <c r="C414" s="79" t="n">
        <v>462</v>
      </c>
      <c r="D414" s="80" t="s">
        <v>439</v>
      </c>
      <c r="E414" s="82" t="s">
        <v>777</v>
      </c>
      <c r="F414" s="82" t="s">
        <v>440</v>
      </c>
      <c r="G414" s="88" t="n">
        <v>1</v>
      </c>
      <c r="H414" s="84" t="s">
        <v>152</v>
      </c>
      <c r="I414" s="80" t="s">
        <v>441</v>
      </c>
      <c r="J414" s="80" t="s">
        <v>442</v>
      </c>
      <c r="K414" s="80" t="s">
        <v>443</v>
      </c>
      <c r="L414" s="80" t="s">
        <v>444</v>
      </c>
      <c r="M414" s="79" t="s">
        <v>570</v>
      </c>
      <c r="N414" s="80" t="s">
        <v>446</v>
      </c>
      <c r="O414" s="85" t="n">
        <v>46132</v>
      </c>
      <c r="P414" s="101"/>
      <c r="Q414" s="107"/>
      <c r="R414" s="87" t="s">
        <v>31</v>
      </c>
      <c r="S414" s="87" t="s">
        <v>31</v>
      </c>
    </row>
    <row r="415" s="77" customFormat="true" ht="36" hidden="false" customHeight="true" outlineLevel="1" collapsed="false">
      <c r="B415" s="78"/>
      <c r="C415" s="79" t="s">
        <v>778</v>
      </c>
      <c r="D415" s="80" t="s">
        <v>463</v>
      </c>
      <c r="E415" s="82" t="s">
        <v>777</v>
      </c>
      <c r="F415" s="82" t="s">
        <v>464</v>
      </c>
      <c r="G415" s="88" t="n">
        <v>3</v>
      </c>
      <c r="H415" s="84" t="s">
        <v>152</v>
      </c>
      <c r="I415" s="80" t="s">
        <v>465</v>
      </c>
      <c r="J415" s="80" t="s">
        <v>466</v>
      </c>
      <c r="K415" s="80" t="s">
        <v>467</v>
      </c>
      <c r="L415" s="80" t="s">
        <v>468</v>
      </c>
      <c r="M415" s="79" t="s">
        <v>779</v>
      </c>
      <c r="N415" s="80" t="s">
        <v>470</v>
      </c>
      <c r="O415" s="85" t="n">
        <v>46119</v>
      </c>
      <c r="P415" s="101"/>
      <c r="Q415" s="107"/>
      <c r="R415" s="87" t="s">
        <v>31</v>
      </c>
      <c r="S415" s="87" t="s">
        <v>31</v>
      </c>
    </row>
    <row r="416" s="77" customFormat="true" ht="36" hidden="false" customHeight="true" outlineLevel="1" collapsed="false">
      <c r="B416" s="78"/>
      <c r="C416" s="79" t="s">
        <v>1124</v>
      </c>
      <c r="D416" s="80" t="s">
        <v>760</v>
      </c>
      <c r="E416" s="82" t="s">
        <v>777</v>
      </c>
      <c r="F416" s="82" t="s">
        <v>761</v>
      </c>
      <c r="G416" s="88" t="n">
        <v>6</v>
      </c>
      <c r="H416" s="84" t="s">
        <v>61</v>
      </c>
      <c r="I416" s="80" t="s">
        <v>762</v>
      </c>
      <c r="J416" s="80" t="s">
        <v>763</v>
      </c>
      <c r="K416" s="80" t="s">
        <v>764</v>
      </c>
      <c r="L416" s="80" t="s">
        <v>765</v>
      </c>
      <c r="M416" s="79" t="s">
        <v>1125</v>
      </c>
      <c r="N416" s="80" t="s">
        <v>766</v>
      </c>
      <c r="O416" s="85" t="n">
        <v>46132</v>
      </c>
      <c r="P416" s="101"/>
      <c r="Q416" s="107"/>
      <c r="R416" s="87" t="s">
        <v>31</v>
      </c>
      <c r="S416" s="87" t="s">
        <v>84</v>
      </c>
    </row>
    <row r="417" s="77" customFormat="true" ht="15" hidden="false" customHeight="false" outlineLevel="1" collapsed="false">
      <c r="B417" s="78"/>
      <c r="C417" s="79" t="n">
        <v>465</v>
      </c>
      <c r="D417" s="80" t="s">
        <v>471</v>
      </c>
      <c r="E417" s="82" t="s">
        <v>777</v>
      </c>
      <c r="F417" s="82" t="s">
        <v>472</v>
      </c>
      <c r="G417" s="88" t="n">
        <v>1</v>
      </c>
      <c r="H417" s="84" t="s">
        <v>111</v>
      </c>
      <c r="I417" s="80" t="s">
        <v>473</v>
      </c>
      <c r="J417" s="80" t="s">
        <v>474</v>
      </c>
      <c r="K417" s="80" t="s">
        <v>475</v>
      </c>
      <c r="L417" s="80" t="s">
        <v>476</v>
      </c>
      <c r="M417" s="79" t="s">
        <v>476</v>
      </c>
      <c r="N417" s="80" t="s">
        <v>477</v>
      </c>
      <c r="O417" s="85" t="n">
        <v>46132</v>
      </c>
      <c r="P417" s="101"/>
      <c r="Q417" s="107"/>
      <c r="R417" s="87" t="s">
        <v>31</v>
      </c>
      <c r="S417" s="87" t="s">
        <v>84</v>
      </c>
    </row>
    <row r="418" s="77" customFormat="true" ht="15" hidden="false" customHeight="false" outlineLevel="1" collapsed="false">
      <c r="B418" s="78"/>
      <c r="C418" s="79" t="n">
        <v>466</v>
      </c>
      <c r="D418" s="80" t="s">
        <v>502</v>
      </c>
      <c r="E418" s="82" t="s">
        <v>777</v>
      </c>
      <c r="F418" s="82" t="s">
        <v>503</v>
      </c>
      <c r="G418" s="88" t="n">
        <v>1</v>
      </c>
      <c r="H418" s="84" t="s">
        <v>61</v>
      </c>
      <c r="I418" s="80" t="s">
        <v>504</v>
      </c>
      <c r="J418" s="80" t="s">
        <v>505</v>
      </c>
      <c r="K418" s="80" t="s">
        <v>506</v>
      </c>
      <c r="L418" s="80" t="s">
        <v>283</v>
      </c>
      <c r="M418" s="79" t="s">
        <v>284</v>
      </c>
      <c r="N418" s="80" t="s">
        <v>507</v>
      </c>
      <c r="O418" s="85" t="n">
        <v>46132</v>
      </c>
      <c r="P418" s="101"/>
      <c r="Q418" s="107"/>
      <c r="R418" s="87" t="s">
        <v>31</v>
      </c>
      <c r="S418" s="87" t="s">
        <v>84</v>
      </c>
    </row>
    <row r="419" s="68" customFormat="true" ht="30" hidden="false" customHeight="true" outlineLevel="0" collapsed="false">
      <c r="B419" s="69"/>
      <c r="C419" s="102"/>
      <c r="D419" s="71"/>
      <c r="E419" s="72" t="s">
        <v>758</v>
      </c>
      <c r="F419" s="73"/>
      <c r="G419" s="74" t="n">
        <f aca="false">SUM(G420:G465)</f>
        <v>116</v>
      </c>
      <c r="H419" s="69"/>
      <c r="I419" s="69"/>
      <c r="J419" s="69"/>
      <c r="K419" s="69"/>
      <c r="L419" s="69"/>
      <c r="M419" s="102"/>
      <c r="N419" s="69"/>
      <c r="O419" s="69"/>
      <c r="P419" s="69"/>
      <c r="Q419" s="69"/>
      <c r="R419" s="74" t="s">
        <v>757</v>
      </c>
      <c r="S419" s="69"/>
    </row>
    <row r="420" s="77" customFormat="true" ht="15" hidden="false" customHeight="false" outlineLevel="1" collapsed="false">
      <c r="B420" s="78"/>
      <c r="C420" s="79" t="n">
        <v>467</v>
      </c>
      <c r="D420" s="80" t="s">
        <v>43</v>
      </c>
      <c r="E420" s="82" t="s">
        <v>758</v>
      </c>
      <c r="F420" s="82" t="s">
        <v>44</v>
      </c>
      <c r="G420" s="88" t="n">
        <v>4</v>
      </c>
      <c r="H420" s="84" t="s">
        <v>24</v>
      </c>
      <c r="I420" s="80" t="s">
        <v>45</v>
      </c>
      <c r="J420" s="80" t="s">
        <v>46</v>
      </c>
      <c r="K420" s="80" t="s">
        <v>47</v>
      </c>
      <c r="L420" s="80" t="s">
        <v>48</v>
      </c>
      <c r="M420" s="79" t="s">
        <v>49</v>
      </c>
      <c r="N420" s="80" t="s">
        <v>50</v>
      </c>
      <c r="O420" s="85" t="n">
        <v>46139</v>
      </c>
      <c r="P420" s="101" t="n">
        <f aca="false">O420+7</f>
        <v>46146</v>
      </c>
      <c r="Q420" s="84"/>
      <c r="R420" s="87" t="s">
        <v>757</v>
      </c>
      <c r="S420" s="87" t="s">
        <v>31</v>
      </c>
    </row>
    <row r="421" s="77" customFormat="true" ht="15" hidden="false" customHeight="false" outlineLevel="1" collapsed="false">
      <c r="B421" s="78"/>
      <c r="C421" s="79" t="n">
        <v>468</v>
      </c>
      <c r="D421" s="80" t="s">
        <v>1077</v>
      </c>
      <c r="E421" s="82" t="s">
        <v>758</v>
      </c>
      <c r="F421" s="82" t="s">
        <v>916</v>
      </c>
      <c r="G421" s="88" t="n">
        <v>2</v>
      </c>
      <c r="H421" s="84" t="s">
        <v>152</v>
      </c>
      <c r="I421" s="80" t="s">
        <v>1078</v>
      </c>
      <c r="J421" s="80" t="s">
        <v>1079</v>
      </c>
      <c r="K421" s="104" t="s">
        <v>1080</v>
      </c>
      <c r="L421" s="80" t="s">
        <v>1081</v>
      </c>
      <c r="M421" s="79" t="s">
        <v>1082</v>
      </c>
      <c r="N421" s="80" t="s">
        <v>1083</v>
      </c>
      <c r="O421" s="85" t="n">
        <v>46139</v>
      </c>
      <c r="P421" s="101" t="n">
        <f aca="false">O421+7</f>
        <v>46146</v>
      </c>
      <c r="Q421" s="84"/>
      <c r="R421" s="87" t="s">
        <v>757</v>
      </c>
      <c r="S421" s="87" t="s">
        <v>84</v>
      </c>
    </row>
    <row r="422" s="77" customFormat="true" ht="15" hidden="false" customHeight="false" outlineLevel="1" collapsed="false">
      <c r="B422" s="78" t="s">
        <v>1112</v>
      </c>
      <c r="C422" s="79" t="n">
        <v>469</v>
      </c>
      <c r="D422" s="80" t="s">
        <v>59</v>
      </c>
      <c r="E422" s="82" t="s">
        <v>758</v>
      </c>
      <c r="F422" s="82" t="s">
        <v>60</v>
      </c>
      <c r="G422" s="88" t="n">
        <v>3</v>
      </c>
      <c r="H422" s="84" t="s">
        <v>61</v>
      </c>
      <c r="I422" s="80" t="s">
        <v>62</v>
      </c>
      <c r="J422" s="80" t="s">
        <v>63</v>
      </c>
      <c r="K422" s="80" t="s">
        <v>64</v>
      </c>
      <c r="L422" s="80" t="s">
        <v>65</v>
      </c>
      <c r="M422" s="79" t="s">
        <v>66</v>
      </c>
      <c r="N422" s="80" t="s">
        <v>67</v>
      </c>
      <c r="O422" s="85" t="n">
        <v>46119</v>
      </c>
      <c r="P422" s="101" t="n">
        <f aca="false">O422+7</f>
        <v>46126</v>
      </c>
      <c r="Q422" s="84"/>
      <c r="R422" s="87" t="s">
        <v>757</v>
      </c>
      <c r="S422" s="87" t="s">
        <v>31</v>
      </c>
    </row>
    <row r="423" s="77" customFormat="true" ht="30" hidden="false" customHeight="true" outlineLevel="1" collapsed="false">
      <c r="B423" s="78" t="s">
        <v>1112</v>
      </c>
      <c r="C423" s="79" t="n">
        <v>470</v>
      </c>
      <c r="D423" s="80" t="s">
        <v>68</v>
      </c>
      <c r="E423" s="82" t="s">
        <v>758</v>
      </c>
      <c r="F423" s="82" t="s">
        <v>69</v>
      </c>
      <c r="G423" s="88" t="n">
        <v>2</v>
      </c>
      <c r="H423" s="84" t="s">
        <v>61</v>
      </c>
      <c r="I423" s="80" t="s">
        <v>843</v>
      </c>
      <c r="J423" s="80" t="s">
        <v>844</v>
      </c>
      <c r="K423" s="80" t="s">
        <v>845</v>
      </c>
      <c r="L423" s="80" t="s">
        <v>73</v>
      </c>
      <c r="M423" s="79" t="s">
        <v>846</v>
      </c>
      <c r="N423" s="80" t="s">
        <v>74</v>
      </c>
      <c r="O423" s="85" t="n">
        <v>46119</v>
      </c>
      <c r="P423" s="101" t="n">
        <f aca="false">O423+7</f>
        <v>46126</v>
      </c>
      <c r="Q423" s="84"/>
      <c r="R423" s="87" t="s">
        <v>757</v>
      </c>
      <c r="S423" s="87" t="s">
        <v>31</v>
      </c>
    </row>
    <row r="424" s="77" customFormat="true" ht="30" hidden="false" customHeight="true" outlineLevel="1" collapsed="false">
      <c r="B424" s="78"/>
      <c r="C424" s="79" t="n">
        <v>471</v>
      </c>
      <c r="D424" s="80" t="s">
        <v>75</v>
      </c>
      <c r="E424" s="82" t="s">
        <v>758</v>
      </c>
      <c r="F424" s="82" t="s">
        <v>76</v>
      </c>
      <c r="G424" s="88" t="n">
        <v>2</v>
      </c>
      <c r="H424" s="84" t="s">
        <v>77</v>
      </c>
      <c r="I424" s="80" t="s">
        <v>833</v>
      </c>
      <c r="J424" s="80" t="s">
        <v>834</v>
      </c>
      <c r="K424" s="80" t="s">
        <v>835</v>
      </c>
      <c r="L424" s="80" t="s">
        <v>81</v>
      </c>
      <c r="M424" s="79" t="s">
        <v>836</v>
      </c>
      <c r="N424" s="80" t="s">
        <v>83</v>
      </c>
      <c r="O424" s="85" t="n">
        <v>46119</v>
      </c>
      <c r="P424" s="101" t="n">
        <f aca="false">O424+7</f>
        <v>46126</v>
      </c>
      <c r="Q424" s="84"/>
      <c r="R424" s="87" t="s">
        <v>757</v>
      </c>
      <c r="S424" s="87" t="s">
        <v>84</v>
      </c>
    </row>
    <row r="425" s="77" customFormat="true" ht="15" hidden="false" customHeight="false" outlineLevel="1" collapsed="false">
      <c r="B425" s="78"/>
      <c r="C425" s="79" t="n">
        <v>472</v>
      </c>
      <c r="D425" s="80" t="s">
        <v>899</v>
      </c>
      <c r="E425" s="82" t="s">
        <v>758</v>
      </c>
      <c r="F425" s="82" t="s">
        <v>900</v>
      </c>
      <c r="G425" s="88" t="n">
        <v>1</v>
      </c>
      <c r="H425" s="84" t="s">
        <v>901</v>
      </c>
      <c r="I425" s="80" t="s">
        <v>902</v>
      </c>
      <c r="J425" s="80" t="s">
        <v>903</v>
      </c>
      <c r="K425" s="80" t="s">
        <v>904</v>
      </c>
      <c r="L425" s="80" t="s">
        <v>905</v>
      </c>
      <c r="M425" s="79" t="s">
        <v>906</v>
      </c>
      <c r="N425" s="80" t="s">
        <v>907</v>
      </c>
      <c r="O425" s="85" t="n">
        <v>46139</v>
      </c>
      <c r="P425" s="101" t="n">
        <f aca="false">O425+7</f>
        <v>46146</v>
      </c>
      <c r="Q425" s="84"/>
      <c r="R425" s="87" t="s">
        <v>757</v>
      </c>
      <c r="S425" s="87" t="s">
        <v>31</v>
      </c>
    </row>
    <row r="426" s="77" customFormat="true" ht="15" hidden="false" customHeight="false" outlineLevel="1" collapsed="false">
      <c r="B426" s="78" t="s">
        <v>1112</v>
      </c>
      <c r="C426" s="79" t="n">
        <v>473</v>
      </c>
      <c r="D426" s="80" t="s">
        <v>580</v>
      </c>
      <c r="E426" s="82" t="s">
        <v>758</v>
      </c>
      <c r="F426" s="82" t="s">
        <v>581</v>
      </c>
      <c r="G426" s="88" t="n">
        <v>1</v>
      </c>
      <c r="H426" s="84" t="s">
        <v>61</v>
      </c>
      <c r="I426" s="80" t="s">
        <v>582</v>
      </c>
      <c r="J426" s="80" t="s">
        <v>583</v>
      </c>
      <c r="K426" s="80" t="s">
        <v>584</v>
      </c>
      <c r="L426" s="80" t="s">
        <v>585</v>
      </c>
      <c r="M426" s="79" t="s">
        <v>586</v>
      </c>
      <c r="N426" s="80" t="s">
        <v>587</v>
      </c>
      <c r="O426" s="85" t="n">
        <v>46119</v>
      </c>
      <c r="P426" s="101" t="n">
        <f aca="false">O426+7</f>
        <v>46126</v>
      </c>
      <c r="Q426" s="84"/>
      <c r="R426" s="87" t="s">
        <v>757</v>
      </c>
      <c r="S426" s="87" t="s">
        <v>84</v>
      </c>
    </row>
    <row r="427" s="77" customFormat="true" ht="15" hidden="false" customHeight="false" outlineLevel="1" collapsed="false">
      <c r="B427" s="78"/>
      <c r="C427" s="79" t="n">
        <v>474</v>
      </c>
      <c r="D427" s="80" t="s">
        <v>94</v>
      </c>
      <c r="E427" s="82" t="s">
        <v>758</v>
      </c>
      <c r="F427" s="82" t="s">
        <v>95</v>
      </c>
      <c r="G427" s="88" t="n">
        <v>1</v>
      </c>
      <c r="H427" s="84" t="s">
        <v>36</v>
      </c>
      <c r="I427" s="80" t="s">
        <v>96</v>
      </c>
      <c r="J427" s="80" t="s">
        <v>97</v>
      </c>
      <c r="K427" s="80" t="s">
        <v>98</v>
      </c>
      <c r="L427" s="80" t="s">
        <v>99</v>
      </c>
      <c r="M427" s="79" t="s">
        <v>100</v>
      </c>
      <c r="N427" s="80" t="s">
        <v>101</v>
      </c>
      <c r="O427" s="85" t="n">
        <v>46139</v>
      </c>
      <c r="P427" s="101" t="n">
        <f aca="false">O427+7</f>
        <v>46146</v>
      </c>
      <c r="Q427" s="84"/>
      <c r="R427" s="87" t="s">
        <v>757</v>
      </c>
      <c r="S427" s="87" t="s">
        <v>31</v>
      </c>
    </row>
    <row r="428" s="77" customFormat="true" ht="15" hidden="false" customHeight="false" outlineLevel="1" collapsed="false">
      <c r="B428" s="78"/>
      <c r="C428" s="79" t="n">
        <v>475</v>
      </c>
      <c r="D428" s="80" t="s">
        <v>725</v>
      </c>
      <c r="E428" s="82" t="s">
        <v>758</v>
      </c>
      <c r="F428" s="82" t="s">
        <v>726</v>
      </c>
      <c r="G428" s="88" t="n">
        <v>1</v>
      </c>
      <c r="H428" s="84" t="s">
        <v>727</v>
      </c>
      <c r="I428" s="80" t="s">
        <v>848</v>
      </c>
      <c r="J428" s="80" t="s">
        <v>849</v>
      </c>
      <c r="K428" s="97" t="s">
        <v>850</v>
      </c>
      <c r="L428" s="80" t="s">
        <v>731</v>
      </c>
      <c r="M428" s="79" t="s">
        <v>851</v>
      </c>
      <c r="N428" s="80" t="s">
        <v>733</v>
      </c>
      <c r="O428" s="85" t="n">
        <v>46139</v>
      </c>
      <c r="P428" s="101" t="n">
        <f aca="false">O428+7</f>
        <v>46146</v>
      </c>
      <c r="Q428" s="84"/>
      <c r="R428" s="87" t="s">
        <v>757</v>
      </c>
      <c r="S428" s="87" t="s">
        <v>31</v>
      </c>
    </row>
    <row r="429" s="77" customFormat="true" ht="15" hidden="false" customHeight="false" outlineLevel="1" collapsed="false">
      <c r="B429" s="78"/>
      <c r="C429" s="79" t="n">
        <v>476</v>
      </c>
      <c r="D429" s="80" t="s">
        <v>109</v>
      </c>
      <c r="E429" s="82" t="s">
        <v>758</v>
      </c>
      <c r="F429" s="82" t="s">
        <v>110</v>
      </c>
      <c r="G429" s="88" t="n">
        <v>2</v>
      </c>
      <c r="H429" s="84" t="s">
        <v>111</v>
      </c>
      <c r="I429" s="80" t="s">
        <v>112</v>
      </c>
      <c r="J429" s="80" t="s">
        <v>113</v>
      </c>
      <c r="K429" s="80" t="s">
        <v>114</v>
      </c>
      <c r="L429" s="80" t="s">
        <v>115</v>
      </c>
      <c r="M429" s="79" t="s">
        <v>115</v>
      </c>
      <c r="N429" s="80" t="s">
        <v>116</v>
      </c>
      <c r="O429" s="85" t="n">
        <v>46139</v>
      </c>
      <c r="P429" s="101" t="n">
        <f aca="false">O429+7</f>
        <v>46146</v>
      </c>
      <c r="Q429" s="84"/>
      <c r="R429" s="87" t="s">
        <v>757</v>
      </c>
      <c r="S429" s="87" t="s">
        <v>84</v>
      </c>
    </row>
    <row r="430" s="77" customFormat="true" ht="15" hidden="false" customHeight="false" outlineLevel="1" collapsed="false">
      <c r="B430" s="78"/>
      <c r="C430" s="79" t="n">
        <v>477</v>
      </c>
      <c r="D430" s="80" t="s">
        <v>117</v>
      </c>
      <c r="E430" s="82" t="s">
        <v>758</v>
      </c>
      <c r="F430" s="82" t="s">
        <v>118</v>
      </c>
      <c r="G430" s="88" t="n">
        <v>1</v>
      </c>
      <c r="H430" s="84" t="s">
        <v>24</v>
      </c>
      <c r="I430" s="80" t="s">
        <v>119</v>
      </c>
      <c r="J430" s="80" t="s">
        <v>120</v>
      </c>
      <c r="K430" s="80" t="s">
        <v>121</v>
      </c>
      <c r="L430" s="80" t="s">
        <v>122</v>
      </c>
      <c r="M430" s="79" t="s">
        <v>123</v>
      </c>
      <c r="N430" s="80" t="s">
        <v>124</v>
      </c>
      <c r="O430" s="85" t="n">
        <v>46139</v>
      </c>
      <c r="P430" s="101" t="n">
        <f aca="false">O430+7</f>
        <v>46146</v>
      </c>
      <c r="Q430" s="84"/>
      <c r="R430" s="87" t="s">
        <v>757</v>
      </c>
      <c r="S430" s="87" t="s">
        <v>31</v>
      </c>
    </row>
    <row r="431" s="77" customFormat="true" ht="15" hidden="false" customHeight="false" outlineLevel="1" collapsed="false">
      <c r="B431" s="78"/>
      <c r="C431" s="79" t="n">
        <v>478</v>
      </c>
      <c r="D431" s="80" t="s">
        <v>134</v>
      </c>
      <c r="E431" s="82" t="s">
        <v>758</v>
      </c>
      <c r="F431" s="82" t="s">
        <v>135</v>
      </c>
      <c r="G431" s="88" t="n">
        <v>5</v>
      </c>
      <c r="H431" s="84" t="s">
        <v>24</v>
      </c>
      <c r="I431" s="80" t="s">
        <v>136</v>
      </c>
      <c r="J431" s="80" t="s">
        <v>137</v>
      </c>
      <c r="K431" s="80" t="s">
        <v>138</v>
      </c>
      <c r="L431" s="80" t="s">
        <v>139</v>
      </c>
      <c r="M431" s="79" t="s">
        <v>140</v>
      </c>
      <c r="N431" s="80" t="s">
        <v>141</v>
      </c>
      <c r="O431" s="85" t="n">
        <v>46139</v>
      </c>
      <c r="P431" s="101" t="n">
        <f aca="false">O431+7</f>
        <v>46146</v>
      </c>
      <c r="Q431" s="84"/>
      <c r="R431" s="87" t="s">
        <v>757</v>
      </c>
      <c r="S431" s="87" t="s">
        <v>31</v>
      </c>
    </row>
    <row r="432" s="77" customFormat="true" ht="15" hidden="false" customHeight="false" outlineLevel="1" collapsed="false">
      <c r="B432" s="78" t="s">
        <v>1112</v>
      </c>
      <c r="C432" s="79" t="n">
        <v>479</v>
      </c>
      <c r="D432" s="80" t="s">
        <v>554</v>
      </c>
      <c r="E432" s="82" t="s">
        <v>758</v>
      </c>
      <c r="F432" s="82" t="s">
        <v>555</v>
      </c>
      <c r="G432" s="88" t="n">
        <v>1</v>
      </c>
      <c r="H432" s="84" t="s">
        <v>61</v>
      </c>
      <c r="I432" s="80" t="s">
        <v>556</v>
      </c>
      <c r="J432" s="80" t="s">
        <v>557</v>
      </c>
      <c r="K432" s="80" t="s">
        <v>558</v>
      </c>
      <c r="L432" s="80" t="s">
        <v>559</v>
      </c>
      <c r="M432" s="79" t="s">
        <v>560</v>
      </c>
      <c r="N432" s="80" t="s">
        <v>561</v>
      </c>
      <c r="O432" s="85" t="n">
        <v>46119</v>
      </c>
      <c r="P432" s="101" t="n">
        <f aca="false">O432+7</f>
        <v>46126</v>
      </c>
      <c r="Q432" s="84"/>
      <c r="R432" s="87" t="s">
        <v>757</v>
      </c>
      <c r="S432" s="87" t="s">
        <v>31</v>
      </c>
    </row>
    <row r="433" s="77" customFormat="true" ht="15" hidden="false" customHeight="false" outlineLevel="1" collapsed="false">
      <c r="B433" s="78"/>
      <c r="C433" s="79" t="n">
        <v>480</v>
      </c>
      <c r="D433" s="80" t="s">
        <v>536</v>
      </c>
      <c r="E433" s="82" t="s">
        <v>758</v>
      </c>
      <c r="F433" s="82" t="s">
        <v>537</v>
      </c>
      <c r="G433" s="88" t="n">
        <v>6</v>
      </c>
      <c r="H433" s="84" t="s">
        <v>111</v>
      </c>
      <c r="I433" s="80" t="s">
        <v>538</v>
      </c>
      <c r="J433" s="80" t="s">
        <v>539</v>
      </c>
      <c r="K433" s="80" t="s">
        <v>540</v>
      </c>
      <c r="L433" s="80" t="s">
        <v>541</v>
      </c>
      <c r="M433" s="79" t="s">
        <v>541</v>
      </c>
      <c r="N433" s="80" t="s">
        <v>542</v>
      </c>
      <c r="O433" s="85" t="n">
        <v>46139</v>
      </c>
      <c r="P433" s="101" t="n">
        <f aca="false">O433+7</f>
        <v>46146</v>
      </c>
      <c r="Q433" s="84"/>
      <c r="R433" s="87" t="s">
        <v>757</v>
      </c>
      <c r="S433" s="87" t="s">
        <v>84</v>
      </c>
    </row>
    <row r="434" s="77" customFormat="true" ht="15" hidden="false" customHeight="false" outlineLevel="1" collapsed="false">
      <c r="B434" s="78"/>
      <c r="C434" s="79" t="n">
        <v>481</v>
      </c>
      <c r="D434" s="80" t="s">
        <v>150</v>
      </c>
      <c r="E434" s="82" t="s">
        <v>758</v>
      </c>
      <c r="F434" s="82" t="s">
        <v>151</v>
      </c>
      <c r="G434" s="88" t="n">
        <v>1</v>
      </c>
      <c r="H434" s="84" t="s">
        <v>152</v>
      </c>
      <c r="I434" s="80" t="s">
        <v>153</v>
      </c>
      <c r="J434" s="80" t="s">
        <v>154</v>
      </c>
      <c r="K434" s="80" t="s">
        <v>155</v>
      </c>
      <c r="L434" s="80" t="s">
        <v>156</v>
      </c>
      <c r="M434" s="79" t="s">
        <v>1113</v>
      </c>
      <c r="N434" s="80" t="s">
        <v>158</v>
      </c>
      <c r="O434" s="85" t="n">
        <v>46139</v>
      </c>
      <c r="P434" s="101" t="n">
        <f aca="false">O434+7</f>
        <v>46146</v>
      </c>
      <c r="Q434" s="84"/>
      <c r="R434" s="87" t="s">
        <v>757</v>
      </c>
      <c r="S434" s="87" t="s">
        <v>84</v>
      </c>
    </row>
    <row r="435" s="77" customFormat="true" ht="15" hidden="false" customHeight="false" outlineLevel="1" collapsed="false">
      <c r="B435" s="78" t="s">
        <v>1112</v>
      </c>
      <c r="C435" s="79" t="n">
        <v>482</v>
      </c>
      <c r="D435" s="80" t="s">
        <v>159</v>
      </c>
      <c r="E435" s="82" t="s">
        <v>758</v>
      </c>
      <c r="F435" s="82" t="s">
        <v>160</v>
      </c>
      <c r="G435" s="88" t="n">
        <v>1</v>
      </c>
      <c r="H435" s="84" t="s">
        <v>61</v>
      </c>
      <c r="I435" s="80" t="s">
        <v>161</v>
      </c>
      <c r="J435" s="80" t="s">
        <v>162</v>
      </c>
      <c r="K435" s="80" t="s">
        <v>163</v>
      </c>
      <c r="L435" s="80" t="s">
        <v>164</v>
      </c>
      <c r="M435" s="79" t="s">
        <v>164</v>
      </c>
      <c r="N435" s="80" t="s">
        <v>165</v>
      </c>
      <c r="O435" s="85" t="n">
        <v>46119</v>
      </c>
      <c r="P435" s="101" t="n">
        <f aca="false">O435+7</f>
        <v>46126</v>
      </c>
      <c r="Q435" s="84"/>
      <c r="R435" s="87" t="s">
        <v>757</v>
      </c>
      <c r="S435" s="87" t="s">
        <v>31</v>
      </c>
    </row>
    <row r="436" s="77" customFormat="true" ht="15" hidden="false" customHeight="false" outlineLevel="1" collapsed="false">
      <c r="B436" s="78" t="s">
        <v>1112</v>
      </c>
      <c r="C436" s="79" t="n">
        <v>483</v>
      </c>
      <c r="D436" s="80" t="s">
        <v>768</v>
      </c>
      <c r="E436" s="82" t="s">
        <v>758</v>
      </c>
      <c r="F436" s="82" t="s">
        <v>769</v>
      </c>
      <c r="G436" s="88" t="n">
        <v>8</v>
      </c>
      <c r="H436" s="84" t="s">
        <v>61</v>
      </c>
      <c r="I436" s="80" t="s">
        <v>770</v>
      </c>
      <c r="J436" s="80" t="s">
        <v>771</v>
      </c>
      <c r="K436" s="80" t="s">
        <v>772</v>
      </c>
      <c r="L436" s="80" t="s">
        <v>773</v>
      </c>
      <c r="M436" s="79" t="s">
        <v>774</v>
      </c>
      <c r="N436" s="80" t="s">
        <v>775</v>
      </c>
      <c r="O436" s="85" t="n">
        <v>46119</v>
      </c>
      <c r="P436" s="101" t="n">
        <f aca="false">O436+7</f>
        <v>46126</v>
      </c>
      <c r="Q436" s="84"/>
      <c r="R436" s="87" t="s">
        <v>757</v>
      </c>
      <c r="S436" s="87" t="s">
        <v>31</v>
      </c>
    </row>
    <row r="437" s="77" customFormat="true" ht="15" hidden="false" customHeight="false" outlineLevel="1" collapsed="false">
      <c r="B437" s="78"/>
      <c r="C437" s="79" t="n">
        <v>484</v>
      </c>
      <c r="D437" s="80" t="s">
        <v>174</v>
      </c>
      <c r="E437" s="82" t="s">
        <v>758</v>
      </c>
      <c r="F437" s="82" t="s">
        <v>175</v>
      </c>
      <c r="G437" s="88" t="n">
        <v>5</v>
      </c>
      <c r="H437" s="84" t="s">
        <v>152</v>
      </c>
      <c r="I437" s="80" t="s">
        <v>176</v>
      </c>
      <c r="J437" s="80" t="s">
        <v>177</v>
      </c>
      <c r="K437" s="80" t="s">
        <v>178</v>
      </c>
      <c r="L437" s="80" t="s">
        <v>179</v>
      </c>
      <c r="M437" s="79" t="s">
        <v>180</v>
      </c>
      <c r="N437" s="80" t="s">
        <v>181</v>
      </c>
      <c r="O437" s="85" t="n">
        <v>46139</v>
      </c>
      <c r="P437" s="101" t="n">
        <f aca="false">O437+7</f>
        <v>46146</v>
      </c>
      <c r="Q437" s="84"/>
      <c r="R437" s="87" t="s">
        <v>757</v>
      </c>
      <c r="S437" s="87" t="s">
        <v>84</v>
      </c>
    </row>
    <row r="438" s="77" customFormat="true" ht="15" hidden="false" customHeight="false" outlineLevel="1" collapsed="false">
      <c r="B438" s="78"/>
      <c r="C438" s="79" t="n">
        <v>485</v>
      </c>
      <c r="D438" s="80" t="s">
        <v>667</v>
      </c>
      <c r="E438" s="82" t="s">
        <v>758</v>
      </c>
      <c r="F438" s="82" t="s">
        <v>668</v>
      </c>
      <c r="G438" s="88" t="n">
        <v>1</v>
      </c>
      <c r="H438" s="84" t="s">
        <v>61</v>
      </c>
      <c r="I438" s="80" t="s">
        <v>669</v>
      </c>
      <c r="J438" s="80" t="s">
        <v>670</v>
      </c>
      <c r="K438" s="78" t="s">
        <v>671</v>
      </c>
      <c r="L438" s="80" t="s">
        <v>672</v>
      </c>
      <c r="M438" s="79" t="s">
        <v>672</v>
      </c>
      <c r="N438" s="80" t="s">
        <v>673</v>
      </c>
      <c r="O438" s="85" t="n">
        <v>46139</v>
      </c>
      <c r="P438" s="101" t="n">
        <f aca="false">O438+7</f>
        <v>46146</v>
      </c>
      <c r="Q438" s="84"/>
      <c r="R438" s="87" t="s">
        <v>757</v>
      </c>
      <c r="S438" s="87" t="s">
        <v>84</v>
      </c>
    </row>
    <row r="439" s="77" customFormat="true" ht="60" hidden="false" customHeight="true" outlineLevel="1" collapsed="false">
      <c r="B439" s="78"/>
      <c r="C439" s="79" t="s">
        <v>1126</v>
      </c>
      <c r="D439" s="80" t="s">
        <v>190</v>
      </c>
      <c r="E439" s="82" t="s">
        <v>758</v>
      </c>
      <c r="F439" s="82" t="s">
        <v>191</v>
      </c>
      <c r="G439" s="88" t="n">
        <v>12</v>
      </c>
      <c r="H439" s="84" t="s">
        <v>24</v>
      </c>
      <c r="I439" s="96" t="s">
        <v>1127</v>
      </c>
      <c r="J439" s="96" t="s">
        <v>1128</v>
      </c>
      <c r="K439" s="96" t="s">
        <v>1129</v>
      </c>
      <c r="L439" s="80" t="s">
        <v>195</v>
      </c>
      <c r="M439" s="79" t="s">
        <v>1130</v>
      </c>
      <c r="N439" s="80" t="s">
        <v>197</v>
      </c>
      <c r="O439" s="85" t="n">
        <v>46139</v>
      </c>
      <c r="P439" s="101" t="n">
        <f aca="false">O439+7</f>
        <v>46146</v>
      </c>
      <c r="Q439" s="84"/>
      <c r="R439" s="87" t="s">
        <v>757</v>
      </c>
      <c r="S439" s="87" t="s">
        <v>31</v>
      </c>
    </row>
    <row r="440" s="77" customFormat="true" ht="15" hidden="false" customHeight="false" outlineLevel="1" collapsed="false">
      <c r="B440" s="78"/>
      <c r="C440" s="79" t="n">
        <v>487</v>
      </c>
      <c r="D440" s="80" t="s">
        <v>198</v>
      </c>
      <c r="E440" s="82" t="s">
        <v>758</v>
      </c>
      <c r="F440" s="82" t="s">
        <v>199</v>
      </c>
      <c r="G440" s="88" t="n">
        <v>6</v>
      </c>
      <c r="H440" s="84" t="s">
        <v>200</v>
      </c>
      <c r="I440" s="80" t="s">
        <v>201</v>
      </c>
      <c r="J440" s="80" t="s">
        <v>202</v>
      </c>
      <c r="K440" s="80" t="s">
        <v>203</v>
      </c>
      <c r="L440" s="80" t="s">
        <v>204</v>
      </c>
      <c r="M440" s="79" t="s">
        <v>1013</v>
      </c>
      <c r="N440" s="80" t="s">
        <v>206</v>
      </c>
      <c r="O440" s="85" t="n">
        <v>46139</v>
      </c>
      <c r="P440" s="101" t="n">
        <f aca="false">O440+7</f>
        <v>46146</v>
      </c>
      <c r="Q440" s="84"/>
      <c r="R440" s="87" t="s">
        <v>757</v>
      </c>
      <c r="S440" s="87" t="s">
        <v>84</v>
      </c>
    </row>
    <row r="441" s="77" customFormat="true" ht="15" hidden="false" customHeight="false" outlineLevel="1" collapsed="false">
      <c r="B441" s="78" t="s">
        <v>1112</v>
      </c>
      <c r="C441" s="79" t="n">
        <v>488</v>
      </c>
      <c r="D441" s="80" t="s">
        <v>207</v>
      </c>
      <c r="E441" s="82" t="s">
        <v>758</v>
      </c>
      <c r="F441" s="82" t="s">
        <v>208</v>
      </c>
      <c r="G441" s="88" t="n">
        <v>1</v>
      </c>
      <c r="H441" s="84" t="s">
        <v>61</v>
      </c>
      <c r="I441" s="80" t="s">
        <v>209</v>
      </c>
      <c r="J441" s="80" t="s">
        <v>210</v>
      </c>
      <c r="K441" s="80" t="s">
        <v>211</v>
      </c>
      <c r="L441" s="80" t="s">
        <v>212</v>
      </c>
      <c r="M441" s="79" t="s">
        <v>213</v>
      </c>
      <c r="N441" s="80" t="s">
        <v>214</v>
      </c>
      <c r="O441" s="85" t="n">
        <v>46119</v>
      </c>
      <c r="P441" s="101" t="n">
        <f aca="false">O441+7</f>
        <v>46126</v>
      </c>
      <c r="Q441" s="84"/>
      <c r="R441" s="87" t="s">
        <v>757</v>
      </c>
      <c r="S441" s="87" t="s">
        <v>31</v>
      </c>
    </row>
    <row r="442" s="77" customFormat="true" ht="15" hidden="false" customHeight="false" outlineLevel="1" collapsed="false">
      <c r="B442" s="78"/>
      <c r="C442" s="79" t="n">
        <v>489</v>
      </c>
      <c r="D442" s="80" t="s">
        <v>231</v>
      </c>
      <c r="E442" s="82" t="s">
        <v>758</v>
      </c>
      <c r="F442" s="82" t="s">
        <v>232</v>
      </c>
      <c r="G442" s="88" t="n">
        <v>1</v>
      </c>
      <c r="H442" s="84" t="s">
        <v>61</v>
      </c>
      <c r="I442" s="80" t="s">
        <v>697</v>
      </c>
      <c r="J442" s="80" t="s">
        <v>698</v>
      </c>
      <c r="K442" s="80" t="s">
        <v>699</v>
      </c>
      <c r="L442" s="80" t="s">
        <v>236</v>
      </c>
      <c r="M442" s="79" t="s">
        <v>700</v>
      </c>
      <c r="N442" s="80" t="s">
        <v>238</v>
      </c>
      <c r="O442" s="85" t="n">
        <v>46139</v>
      </c>
      <c r="P442" s="101" t="n">
        <f aca="false">O442+7</f>
        <v>46146</v>
      </c>
      <c r="Q442" s="84"/>
      <c r="R442" s="87" t="s">
        <v>757</v>
      </c>
      <c r="S442" s="87" t="s">
        <v>84</v>
      </c>
    </row>
    <row r="443" s="77" customFormat="true" ht="30" hidden="false" customHeight="true" outlineLevel="1" collapsed="false">
      <c r="B443" s="78"/>
      <c r="C443" s="79" t="s">
        <v>1131</v>
      </c>
      <c r="D443" s="80" t="s">
        <v>239</v>
      </c>
      <c r="E443" s="82" t="s">
        <v>758</v>
      </c>
      <c r="F443" s="82" t="s">
        <v>240</v>
      </c>
      <c r="G443" s="88" t="n">
        <v>2</v>
      </c>
      <c r="H443" s="84" t="s">
        <v>24</v>
      </c>
      <c r="I443" s="80" t="s">
        <v>241</v>
      </c>
      <c r="J443" s="80" t="s">
        <v>242</v>
      </c>
      <c r="K443" s="80" t="s">
        <v>243</v>
      </c>
      <c r="L443" s="80" t="s">
        <v>244</v>
      </c>
      <c r="M443" s="79" t="s">
        <v>1132</v>
      </c>
      <c r="N443" s="80" t="s">
        <v>246</v>
      </c>
      <c r="O443" s="85" t="n">
        <v>46139</v>
      </c>
      <c r="P443" s="101" t="n">
        <f aca="false">O443+7</f>
        <v>46146</v>
      </c>
      <c r="Q443" s="84"/>
      <c r="R443" s="87" t="s">
        <v>757</v>
      </c>
      <c r="S443" s="87" t="s">
        <v>31</v>
      </c>
    </row>
    <row r="444" s="77" customFormat="true" ht="15" hidden="false" customHeight="false" outlineLevel="1" collapsed="false">
      <c r="B444" s="78" t="s">
        <v>1112</v>
      </c>
      <c r="C444" s="79" t="n">
        <v>491</v>
      </c>
      <c r="D444" s="80" t="s">
        <v>247</v>
      </c>
      <c r="E444" s="82" t="s">
        <v>758</v>
      </c>
      <c r="F444" s="82" t="s">
        <v>248</v>
      </c>
      <c r="G444" s="88" t="n">
        <v>1</v>
      </c>
      <c r="H444" s="84" t="s">
        <v>61</v>
      </c>
      <c r="I444" s="80" t="s">
        <v>532</v>
      </c>
      <c r="J444" s="80" t="s">
        <v>533</v>
      </c>
      <c r="K444" s="78" t="s">
        <v>534</v>
      </c>
      <c r="L444" s="80" t="s">
        <v>252</v>
      </c>
      <c r="M444" s="79" t="s">
        <v>535</v>
      </c>
      <c r="N444" s="80" t="s">
        <v>254</v>
      </c>
      <c r="O444" s="85" t="n">
        <v>46119</v>
      </c>
      <c r="P444" s="101" t="n">
        <f aca="false">O444+7</f>
        <v>46126</v>
      </c>
      <c r="Q444" s="84"/>
      <c r="R444" s="87" t="s">
        <v>757</v>
      </c>
      <c r="S444" s="87" t="s">
        <v>84</v>
      </c>
    </row>
    <row r="445" s="77" customFormat="true" ht="30" hidden="false" customHeight="true" outlineLevel="1" collapsed="false">
      <c r="B445" s="78" t="s">
        <v>1112</v>
      </c>
      <c r="C445" s="79" t="n">
        <v>492</v>
      </c>
      <c r="D445" s="80" t="s">
        <v>255</v>
      </c>
      <c r="E445" s="82" t="s">
        <v>758</v>
      </c>
      <c r="F445" s="82" t="s">
        <v>256</v>
      </c>
      <c r="G445" s="88" t="n">
        <v>2</v>
      </c>
      <c r="H445" s="84" t="s">
        <v>61</v>
      </c>
      <c r="I445" s="80" t="s">
        <v>257</v>
      </c>
      <c r="J445" s="80" t="s">
        <v>258</v>
      </c>
      <c r="K445" s="80" t="s">
        <v>259</v>
      </c>
      <c r="L445" s="80" t="s">
        <v>260</v>
      </c>
      <c r="M445" s="79" t="s">
        <v>847</v>
      </c>
      <c r="N445" s="80" t="s">
        <v>262</v>
      </c>
      <c r="O445" s="85" t="n">
        <v>46119</v>
      </c>
      <c r="P445" s="101" t="n">
        <f aca="false">O445+7</f>
        <v>46126</v>
      </c>
      <c r="Q445" s="84"/>
      <c r="R445" s="87" t="s">
        <v>757</v>
      </c>
      <c r="S445" s="87" t="s">
        <v>84</v>
      </c>
    </row>
    <row r="446" s="77" customFormat="true" ht="15" hidden="false" customHeight="false" outlineLevel="1" collapsed="false">
      <c r="B446" s="78"/>
      <c r="C446" s="79" t="n">
        <v>493</v>
      </c>
      <c r="D446" s="80" t="s">
        <v>706</v>
      </c>
      <c r="E446" s="82" t="s">
        <v>758</v>
      </c>
      <c r="F446" s="82" t="s">
        <v>707</v>
      </c>
      <c r="G446" s="88" t="n">
        <v>1</v>
      </c>
      <c r="H446" s="84" t="s">
        <v>111</v>
      </c>
      <c r="I446" s="80" t="s">
        <v>708</v>
      </c>
      <c r="J446" s="80" t="s">
        <v>709</v>
      </c>
      <c r="K446" s="80" t="s">
        <v>710</v>
      </c>
      <c r="L446" s="80" t="s">
        <v>711</v>
      </c>
      <c r="M446" s="79" t="s">
        <v>712</v>
      </c>
      <c r="N446" s="80" t="s">
        <v>713</v>
      </c>
      <c r="O446" s="85" t="n">
        <v>46139</v>
      </c>
      <c r="P446" s="101" t="n">
        <f aca="false">O446+7</f>
        <v>46146</v>
      </c>
      <c r="Q446" s="84"/>
      <c r="R446" s="87" t="s">
        <v>757</v>
      </c>
      <c r="S446" s="87" t="s">
        <v>84</v>
      </c>
    </row>
    <row r="447" s="77" customFormat="true" ht="15" hidden="false" customHeight="false" outlineLevel="1" collapsed="false">
      <c r="B447" s="78" t="s">
        <v>1112</v>
      </c>
      <c r="C447" s="79" t="n">
        <v>494</v>
      </c>
      <c r="D447" s="80" t="s">
        <v>302</v>
      </c>
      <c r="E447" s="82" t="s">
        <v>758</v>
      </c>
      <c r="F447" s="82" t="s">
        <v>303</v>
      </c>
      <c r="G447" s="88" t="n">
        <v>1</v>
      </c>
      <c r="H447" s="84" t="s">
        <v>61</v>
      </c>
      <c r="I447" s="80" t="s">
        <v>304</v>
      </c>
      <c r="J447" s="80" t="s">
        <v>305</v>
      </c>
      <c r="K447" s="80" t="s">
        <v>306</v>
      </c>
      <c r="L447" s="80" t="s">
        <v>307</v>
      </c>
      <c r="M447" s="79" t="s">
        <v>759</v>
      </c>
      <c r="N447" s="80" t="s">
        <v>309</v>
      </c>
      <c r="O447" s="85" t="n">
        <v>46119</v>
      </c>
      <c r="P447" s="101" t="n">
        <f aca="false">O447+7</f>
        <v>46126</v>
      </c>
      <c r="Q447" s="84"/>
      <c r="R447" s="87" t="s">
        <v>757</v>
      </c>
      <c r="S447" s="87" t="s">
        <v>84</v>
      </c>
    </row>
    <row r="448" s="77" customFormat="true" ht="15" hidden="false" customHeight="false" outlineLevel="1" collapsed="false">
      <c r="B448" s="78"/>
      <c r="C448" s="79" t="n">
        <v>495</v>
      </c>
      <c r="D448" s="80" t="s">
        <v>310</v>
      </c>
      <c r="E448" s="82" t="s">
        <v>758</v>
      </c>
      <c r="F448" s="82" t="s">
        <v>311</v>
      </c>
      <c r="G448" s="88" t="n">
        <v>3</v>
      </c>
      <c r="H448" s="84" t="s">
        <v>152</v>
      </c>
      <c r="I448" s="80" t="s">
        <v>312</v>
      </c>
      <c r="J448" s="80" t="s">
        <v>313</v>
      </c>
      <c r="K448" s="80" t="s">
        <v>314</v>
      </c>
      <c r="L448" s="80" t="s">
        <v>315</v>
      </c>
      <c r="M448" s="79" t="s">
        <v>316</v>
      </c>
      <c r="N448" s="80" t="s">
        <v>317</v>
      </c>
      <c r="O448" s="85" t="n">
        <v>46139</v>
      </c>
      <c r="P448" s="101" t="n">
        <f aca="false">O448+7</f>
        <v>46146</v>
      </c>
      <c r="Q448" s="84"/>
      <c r="R448" s="87" t="s">
        <v>757</v>
      </c>
      <c r="S448" s="87" t="s">
        <v>31</v>
      </c>
    </row>
    <row r="449" s="77" customFormat="true" ht="15" hidden="false" customHeight="false" outlineLevel="1" collapsed="false">
      <c r="B449" s="78"/>
      <c r="C449" s="79" t="n">
        <v>496</v>
      </c>
      <c r="D449" s="80" t="s">
        <v>318</v>
      </c>
      <c r="E449" s="82" t="s">
        <v>758</v>
      </c>
      <c r="F449" s="82" t="s">
        <v>319</v>
      </c>
      <c r="G449" s="88" t="n">
        <v>2</v>
      </c>
      <c r="H449" s="84" t="s">
        <v>111</v>
      </c>
      <c r="I449" s="80" t="s">
        <v>320</v>
      </c>
      <c r="J449" s="80" t="s">
        <v>321</v>
      </c>
      <c r="K449" s="80" t="s">
        <v>322</v>
      </c>
      <c r="L449" s="80" t="s">
        <v>323</v>
      </c>
      <c r="M449" s="79" t="s">
        <v>324</v>
      </c>
      <c r="N449" s="80" t="s">
        <v>325</v>
      </c>
      <c r="O449" s="85" t="n">
        <v>46139</v>
      </c>
      <c r="P449" s="101" t="n">
        <f aca="false">O449+7</f>
        <v>46146</v>
      </c>
      <c r="Q449" s="84"/>
      <c r="R449" s="87" t="s">
        <v>757</v>
      </c>
      <c r="S449" s="87" t="s">
        <v>84</v>
      </c>
    </row>
    <row r="450" s="77" customFormat="true" ht="15" hidden="false" customHeight="false" outlineLevel="1" collapsed="false">
      <c r="B450" s="78"/>
      <c r="C450" s="79" t="n">
        <v>497</v>
      </c>
      <c r="D450" s="80" t="s">
        <v>326</v>
      </c>
      <c r="E450" s="82" t="s">
        <v>758</v>
      </c>
      <c r="F450" s="82" t="s">
        <v>327</v>
      </c>
      <c r="G450" s="88" t="n">
        <v>2</v>
      </c>
      <c r="H450" s="84" t="s">
        <v>152</v>
      </c>
      <c r="I450" s="80" t="s">
        <v>328</v>
      </c>
      <c r="J450" s="80" t="s">
        <v>329</v>
      </c>
      <c r="K450" s="80" t="s">
        <v>330</v>
      </c>
      <c r="L450" s="80" t="s">
        <v>331</v>
      </c>
      <c r="M450" s="79" t="s">
        <v>332</v>
      </c>
      <c r="N450" s="80" t="s">
        <v>333</v>
      </c>
      <c r="O450" s="85" t="n">
        <v>46139</v>
      </c>
      <c r="P450" s="101" t="n">
        <f aca="false">O450+7</f>
        <v>46146</v>
      </c>
      <c r="Q450" s="84"/>
      <c r="R450" s="87" t="s">
        <v>757</v>
      </c>
      <c r="S450" s="87" t="s">
        <v>31</v>
      </c>
    </row>
    <row r="451" s="77" customFormat="true" ht="15" hidden="false" customHeight="false" outlineLevel="1" collapsed="false">
      <c r="B451" s="78" t="s">
        <v>1112</v>
      </c>
      <c r="C451" s="79" t="n">
        <v>498</v>
      </c>
      <c r="D451" s="80" t="s">
        <v>334</v>
      </c>
      <c r="E451" s="82" t="s">
        <v>758</v>
      </c>
      <c r="F451" s="82" t="s">
        <v>335</v>
      </c>
      <c r="G451" s="88" t="n">
        <v>1</v>
      </c>
      <c r="H451" s="84" t="s">
        <v>61</v>
      </c>
      <c r="I451" s="80" t="s">
        <v>336</v>
      </c>
      <c r="J451" s="80" t="s">
        <v>337</v>
      </c>
      <c r="K451" s="80" t="s">
        <v>338</v>
      </c>
      <c r="L451" s="80" t="s">
        <v>339</v>
      </c>
      <c r="M451" s="79" t="s">
        <v>543</v>
      </c>
      <c r="N451" s="80" t="s">
        <v>341</v>
      </c>
      <c r="O451" s="85" t="n">
        <v>46119</v>
      </c>
      <c r="P451" s="101" t="n">
        <f aca="false">O451+7</f>
        <v>46126</v>
      </c>
      <c r="Q451" s="84"/>
      <c r="R451" s="87" t="s">
        <v>757</v>
      </c>
      <c r="S451" s="87" t="s">
        <v>84</v>
      </c>
    </row>
    <row r="452" s="77" customFormat="true" ht="15" hidden="false" customHeight="false" outlineLevel="1" collapsed="false">
      <c r="B452" s="78"/>
      <c r="C452" s="79" t="n">
        <v>499</v>
      </c>
      <c r="D452" s="80" t="s">
        <v>350</v>
      </c>
      <c r="E452" s="82" t="s">
        <v>758</v>
      </c>
      <c r="F452" s="82" t="s">
        <v>351</v>
      </c>
      <c r="G452" s="88" t="n">
        <v>3</v>
      </c>
      <c r="H452" s="84" t="s">
        <v>152</v>
      </c>
      <c r="I452" s="80" t="s">
        <v>352</v>
      </c>
      <c r="J452" s="80" t="s">
        <v>353</v>
      </c>
      <c r="K452" s="80" t="s">
        <v>354</v>
      </c>
      <c r="L452" s="80" t="s">
        <v>355</v>
      </c>
      <c r="M452" s="79" t="s">
        <v>355</v>
      </c>
      <c r="N452" s="80" t="s">
        <v>356</v>
      </c>
      <c r="O452" s="85" t="n">
        <v>46139</v>
      </c>
      <c r="P452" s="101" t="n">
        <f aca="false">O452+7</f>
        <v>46146</v>
      </c>
      <c r="Q452" s="84"/>
      <c r="R452" s="87" t="s">
        <v>757</v>
      </c>
      <c r="S452" s="87" t="s">
        <v>84</v>
      </c>
    </row>
    <row r="453" s="77" customFormat="true" ht="15" hidden="false" customHeight="false" outlineLevel="1" collapsed="false">
      <c r="B453" s="78"/>
      <c r="C453" s="79" t="n">
        <v>500</v>
      </c>
      <c r="D453" s="80" t="s">
        <v>802</v>
      </c>
      <c r="E453" s="82" t="s">
        <v>758</v>
      </c>
      <c r="F453" s="82" t="s">
        <v>803</v>
      </c>
      <c r="G453" s="88" t="n">
        <v>4</v>
      </c>
      <c r="H453" s="84" t="s">
        <v>804</v>
      </c>
      <c r="I453" s="80" t="s">
        <v>805</v>
      </c>
      <c r="J453" s="80" t="s">
        <v>806</v>
      </c>
      <c r="K453" s="78" t="s">
        <v>807</v>
      </c>
      <c r="L453" s="80" t="s">
        <v>808</v>
      </c>
      <c r="M453" s="79" t="s">
        <v>809</v>
      </c>
      <c r="N453" s="80" t="s">
        <v>810</v>
      </c>
      <c r="O453" s="85" t="n">
        <v>46139</v>
      </c>
      <c r="P453" s="101" t="n">
        <f aca="false">O453+7</f>
        <v>46146</v>
      </c>
      <c r="Q453" s="84"/>
      <c r="R453" s="87" t="s">
        <v>757</v>
      </c>
      <c r="S453" s="87" t="s">
        <v>84</v>
      </c>
    </row>
    <row r="454" s="77" customFormat="true" ht="15" hidden="false" customHeight="false" outlineLevel="1" collapsed="false">
      <c r="B454" s="78"/>
      <c r="C454" s="79" t="n">
        <v>501</v>
      </c>
      <c r="D454" s="80" t="s">
        <v>366</v>
      </c>
      <c r="E454" s="82" t="s">
        <v>758</v>
      </c>
      <c r="F454" s="82" t="s">
        <v>367</v>
      </c>
      <c r="G454" s="88" t="n">
        <v>2</v>
      </c>
      <c r="H454" s="84" t="s">
        <v>368</v>
      </c>
      <c r="I454" s="80" t="s">
        <v>369</v>
      </c>
      <c r="J454" s="80" t="s">
        <v>370</v>
      </c>
      <c r="K454" s="80" t="s">
        <v>371</v>
      </c>
      <c r="L454" s="80" t="s">
        <v>372</v>
      </c>
      <c r="M454" s="79" t="s">
        <v>682</v>
      </c>
      <c r="N454" s="80" t="s">
        <v>374</v>
      </c>
      <c r="O454" s="85" t="n">
        <v>46139</v>
      </c>
      <c r="P454" s="101" t="n">
        <f aca="false">O454+7</f>
        <v>46146</v>
      </c>
      <c r="Q454" s="84"/>
      <c r="R454" s="87" t="s">
        <v>757</v>
      </c>
      <c r="S454" s="87" t="s">
        <v>84</v>
      </c>
    </row>
    <row r="455" s="77" customFormat="true" ht="15" hidden="false" customHeight="false" outlineLevel="1" collapsed="false">
      <c r="B455" s="78"/>
      <c r="C455" s="79" t="n">
        <v>502</v>
      </c>
      <c r="D455" s="80" t="s">
        <v>375</v>
      </c>
      <c r="E455" s="82" t="s">
        <v>758</v>
      </c>
      <c r="F455" s="82" t="s">
        <v>376</v>
      </c>
      <c r="G455" s="88" t="n">
        <v>1</v>
      </c>
      <c r="H455" s="84" t="s">
        <v>111</v>
      </c>
      <c r="I455" s="80" t="s">
        <v>1037</v>
      </c>
      <c r="J455" s="80" t="s">
        <v>1038</v>
      </c>
      <c r="K455" s="80" t="s">
        <v>1039</v>
      </c>
      <c r="L455" s="80" t="s">
        <v>380</v>
      </c>
      <c r="M455" s="79" t="s">
        <v>1040</v>
      </c>
      <c r="N455" s="80" t="s">
        <v>382</v>
      </c>
      <c r="O455" s="85" t="n">
        <v>46139</v>
      </c>
      <c r="P455" s="101" t="n">
        <f aca="false">O455+7</f>
        <v>46146</v>
      </c>
      <c r="Q455" s="84"/>
      <c r="R455" s="87" t="s">
        <v>757</v>
      </c>
      <c r="S455" s="87" t="s">
        <v>31</v>
      </c>
    </row>
    <row r="456" s="77" customFormat="true" ht="15" hidden="false" customHeight="false" outlineLevel="1" collapsed="false">
      <c r="B456" s="78"/>
      <c r="C456" s="79" t="n">
        <v>503</v>
      </c>
      <c r="D456" s="80" t="s">
        <v>391</v>
      </c>
      <c r="E456" s="82" t="s">
        <v>758</v>
      </c>
      <c r="F456" s="82" t="s">
        <v>392</v>
      </c>
      <c r="G456" s="88" t="n">
        <v>2</v>
      </c>
      <c r="H456" s="84" t="s">
        <v>111</v>
      </c>
      <c r="I456" s="80" t="s">
        <v>393</v>
      </c>
      <c r="J456" s="80" t="s">
        <v>394</v>
      </c>
      <c r="K456" s="80" t="s">
        <v>395</v>
      </c>
      <c r="L456" s="80" t="s">
        <v>396</v>
      </c>
      <c r="M456" s="79" t="s">
        <v>397</v>
      </c>
      <c r="N456" s="80" t="s">
        <v>398</v>
      </c>
      <c r="O456" s="85" t="n">
        <v>46139</v>
      </c>
      <c r="P456" s="101" t="n">
        <f aca="false">O456+7</f>
        <v>46146</v>
      </c>
      <c r="Q456" s="84"/>
      <c r="R456" s="87" t="s">
        <v>757</v>
      </c>
      <c r="S456" s="87" t="s">
        <v>84</v>
      </c>
    </row>
    <row r="457" s="77" customFormat="true" ht="15" hidden="false" customHeight="false" outlineLevel="1" collapsed="false">
      <c r="B457" s="78"/>
      <c r="C457" s="79" t="n">
        <v>504</v>
      </c>
      <c r="D457" s="80" t="s">
        <v>424</v>
      </c>
      <c r="E457" s="82" t="s">
        <v>758</v>
      </c>
      <c r="F457" s="82" t="s">
        <v>425</v>
      </c>
      <c r="G457" s="88" t="n">
        <v>2</v>
      </c>
      <c r="H457" s="84" t="s">
        <v>111</v>
      </c>
      <c r="I457" s="80" t="s">
        <v>426</v>
      </c>
      <c r="J457" s="80" t="s">
        <v>427</v>
      </c>
      <c r="K457" s="80" t="s">
        <v>428</v>
      </c>
      <c r="L457" s="80" t="s">
        <v>429</v>
      </c>
      <c r="M457" s="79" t="s">
        <v>429</v>
      </c>
      <c r="N457" s="80" t="s">
        <v>430</v>
      </c>
      <c r="O457" s="85" t="n">
        <v>46139</v>
      </c>
      <c r="P457" s="101" t="n">
        <f aca="false">O457+7</f>
        <v>46146</v>
      </c>
      <c r="Q457" s="84"/>
      <c r="R457" s="87" t="s">
        <v>757</v>
      </c>
      <c r="S457" s="87" t="s">
        <v>84</v>
      </c>
    </row>
    <row r="458" s="77" customFormat="true" ht="15" hidden="false" customHeight="false" outlineLevel="1" collapsed="false">
      <c r="B458" s="78"/>
      <c r="C458" s="79" t="n">
        <v>505</v>
      </c>
      <c r="D458" s="80" t="s">
        <v>544</v>
      </c>
      <c r="E458" s="82" t="s">
        <v>758</v>
      </c>
      <c r="F458" s="82" t="s">
        <v>545</v>
      </c>
      <c r="G458" s="88" t="n">
        <v>3</v>
      </c>
      <c r="H458" s="84" t="s">
        <v>24</v>
      </c>
      <c r="I458" s="80" t="s">
        <v>546</v>
      </c>
      <c r="J458" s="80" t="s">
        <v>547</v>
      </c>
      <c r="K458" s="80" t="s">
        <v>548</v>
      </c>
      <c r="L458" s="80" t="s">
        <v>549</v>
      </c>
      <c r="M458" s="79" t="s">
        <v>550</v>
      </c>
      <c r="N458" s="80" t="s">
        <v>551</v>
      </c>
      <c r="O458" s="85" t="n">
        <v>46139</v>
      </c>
      <c r="P458" s="101" t="n">
        <f aca="false">O458+7</f>
        <v>46146</v>
      </c>
      <c r="Q458" s="84"/>
      <c r="R458" s="87" t="s">
        <v>757</v>
      </c>
      <c r="S458" s="87" t="s">
        <v>31</v>
      </c>
    </row>
    <row r="459" s="77" customFormat="true" ht="30" hidden="false" customHeight="true" outlineLevel="1" collapsed="false">
      <c r="B459" s="78"/>
      <c r="C459" s="79" t="n">
        <v>506</v>
      </c>
      <c r="D459" s="80" t="s">
        <v>439</v>
      </c>
      <c r="E459" s="82" t="s">
        <v>758</v>
      </c>
      <c r="F459" s="82" t="s">
        <v>440</v>
      </c>
      <c r="G459" s="88" t="n">
        <v>1</v>
      </c>
      <c r="H459" s="84" t="s">
        <v>152</v>
      </c>
      <c r="I459" s="80" t="s">
        <v>441</v>
      </c>
      <c r="J459" s="80" t="s">
        <v>442</v>
      </c>
      <c r="K459" s="80" t="s">
        <v>443</v>
      </c>
      <c r="L459" s="80" t="s">
        <v>444</v>
      </c>
      <c r="M459" s="79" t="s">
        <v>570</v>
      </c>
      <c r="N459" s="80" t="s">
        <v>446</v>
      </c>
      <c r="O459" s="85" t="n">
        <v>46139</v>
      </c>
      <c r="P459" s="101" t="n">
        <f aca="false">O459+7</f>
        <v>46146</v>
      </c>
      <c r="Q459" s="84"/>
      <c r="R459" s="87" t="s">
        <v>757</v>
      </c>
      <c r="S459" s="87" t="s">
        <v>31</v>
      </c>
    </row>
    <row r="460" s="77" customFormat="true" ht="15" hidden="false" customHeight="false" outlineLevel="1" collapsed="false">
      <c r="B460" s="78"/>
      <c r="C460" s="79" t="n">
        <v>507</v>
      </c>
      <c r="D460" s="80" t="s">
        <v>455</v>
      </c>
      <c r="E460" s="82" t="s">
        <v>758</v>
      </c>
      <c r="F460" s="82" t="s">
        <v>456</v>
      </c>
      <c r="G460" s="88" t="n">
        <v>6</v>
      </c>
      <c r="H460" s="84" t="s">
        <v>111</v>
      </c>
      <c r="I460" s="80" t="s">
        <v>457</v>
      </c>
      <c r="J460" s="80" t="s">
        <v>458</v>
      </c>
      <c r="K460" s="80" t="s">
        <v>459</v>
      </c>
      <c r="L460" s="80" t="s">
        <v>460</v>
      </c>
      <c r="M460" s="79" t="s">
        <v>461</v>
      </c>
      <c r="N460" s="80" t="s">
        <v>462</v>
      </c>
      <c r="O460" s="85" t="n">
        <v>46139</v>
      </c>
      <c r="P460" s="101" t="n">
        <f aca="false">O460+7</f>
        <v>46146</v>
      </c>
      <c r="Q460" s="84"/>
      <c r="R460" s="87" t="s">
        <v>757</v>
      </c>
      <c r="S460" s="87" t="s">
        <v>84</v>
      </c>
    </row>
    <row r="461" s="77" customFormat="true" ht="15" hidden="false" customHeight="false" outlineLevel="1" collapsed="false">
      <c r="B461" s="78"/>
      <c r="C461" s="79" t="n">
        <v>508</v>
      </c>
      <c r="D461" s="80" t="s">
        <v>463</v>
      </c>
      <c r="E461" s="82" t="s">
        <v>758</v>
      </c>
      <c r="F461" s="82" t="s">
        <v>464</v>
      </c>
      <c r="G461" s="88" t="n">
        <v>1</v>
      </c>
      <c r="H461" s="84" t="s">
        <v>152</v>
      </c>
      <c r="I461" s="80" t="s">
        <v>465</v>
      </c>
      <c r="J461" s="80" t="s">
        <v>466</v>
      </c>
      <c r="K461" s="80" t="s">
        <v>467</v>
      </c>
      <c r="L461" s="80" t="s">
        <v>468</v>
      </c>
      <c r="M461" s="79" t="s">
        <v>1133</v>
      </c>
      <c r="N461" s="80" t="s">
        <v>470</v>
      </c>
      <c r="O461" s="85" t="n">
        <v>46139</v>
      </c>
      <c r="P461" s="101" t="n">
        <f aca="false">O461+7</f>
        <v>46146</v>
      </c>
      <c r="Q461" s="84"/>
      <c r="R461" s="87" t="s">
        <v>757</v>
      </c>
      <c r="S461" s="87" t="s">
        <v>31</v>
      </c>
    </row>
    <row r="462" s="77" customFormat="true" ht="15" hidden="false" customHeight="false" outlineLevel="1" collapsed="false">
      <c r="B462" s="78" t="s">
        <v>1112</v>
      </c>
      <c r="C462" s="79" t="n">
        <v>509</v>
      </c>
      <c r="D462" s="80" t="s">
        <v>760</v>
      </c>
      <c r="E462" s="82" t="s">
        <v>758</v>
      </c>
      <c r="F462" s="82" t="s">
        <v>761</v>
      </c>
      <c r="G462" s="88" t="n">
        <v>1</v>
      </c>
      <c r="H462" s="84" t="s">
        <v>61</v>
      </c>
      <c r="I462" s="80" t="s">
        <v>762</v>
      </c>
      <c r="J462" s="80" t="s">
        <v>763</v>
      </c>
      <c r="K462" s="80" t="s">
        <v>764</v>
      </c>
      <c r="L462" s="80" t="s">
        <v>765</v>
      </c>
      <c r="M462" s="79" t="s">
        <v>765</v>
      </c>
      <c r="N462" s="80" t="s">
        <v>766</v>
      </c>
      <c r="O462" s="85" t="n">
        <v>46119</v>
      </c>
      <c r="P462" s="101" t="n">
        <f aca="false">O462+7</f>
        <v>46126</v>
      </c>
      <c r="Q462" s="84"/>
      <c r="R462" s="87" t="s">
        <v>757</v>
      </c>
      <c r="S462" s="87" t="s">
        <v>84</v>
      </c>
    </row>
    <row r="463" s="77" customFormat="true" ht="15" hidden="false" customHeight="false" outlineLevel="1" collapsed="false">
      <c r="B463" s="78"/>
      <c r="C463" s="79" t="n">
        <v>510</v>
      </c>
      <c r="D463" s="80" t="s">
        <v>471</v>
      </c>
      <c r="E463" s="82" t="s">
        <v>758</v>
      </c>
      <c r="F463" s="82" t="s">
        <v>472</v>
      </c>
      <c r="G463" s="88" t="n">
        <v>1</v>
      </c>
      <c r="H463" s="84" t="s">
        <v>111</v>
      </c>
      <c r="I463" s="80" t="s">
        <v>473</v>
      </c>
      <c r="J463" s="80" t="s">
        <v>474</v>
      </c>
      <c r="K463" s="80" t="s">
        <v>475</v>
      </c>
      <c r="L463" s="80" t="s">
        <v>476</v>
      </c>
      <c r="M463" s="79" t="s">
        <v>476</v>
      </c>
      <c r="N463" s="80" t="s">
        <v>477</v>
      </c>
      <c r="O463" s="85" t="n">
        <v>46139</v>
      </c>
      <c r="P463" s="101" t="n">
        <f aca="false">O463+7</f>
        <v>46146</v>
      </c>
      <c r="Q463" s="84"/>
      <c r="R463" s="87" t="s">
        <v>757</v>
      </c>
      <c r="S463" s="87" t="s">
        <v>84</v>
      </c>
    </row>
    <row r="464" s="77" customFormat="true" ht="45" hidden="false" customHeight="true" outlineLevel="1" collapsed="false">
      <c r="B464" s="78"/>
      <c r="C464" s="79" t="s">
        <v>1134</v>
      </c>
      <c r="D464" s="80" t="s">
        <v>478</v>
      </c>
      <c r="E464" s="82" t="s">
        <v>758</v>
      </c>
      <c r="F464" s="82" t="s">
        <v>479</v>
      </c>
      <c r="G464" s="88" t="n">
        <v>5</v>
      </c>
      <c r="H464" s="84" t="s">
        <v>111</v>
      </c>
      <c r="I464" s="80" t="s">
        <v>1135</v>
      </c>
      <c r="J464" s="80" t="s">
        <v>1136</v>
      </c>
      <c r="K464" s="80" t="s">
        <v>1137</v>
      </c>
      <c r="L464" s="80" t="s">
        <v>483</v>
      </c>
      <c r="M464" s="79" t="s">
        <v>1138</v>
      </c>
      <c r="N464" s="80" t="s">
        <v>485</v>
      </c>
      <c r="O464" s="85" t="n">
        <v>46139</v>
      </c>
      <c r="P464" s="101" t="n">
        <f aca="false">O464+7</f>
        <v>46146</v>
      </c>
      <c r="Q464" s="84"/>
      <c r="R464" s="87" t="s">
        <v>757</v>
      </c>
      <c r="S464" s="87" t="s">
        <v>84</v>
      </c>
    </row>
    <row r="465" s="77" customFormat="true" ht="15" hidden="false" customHeight="false" outlineLevel="1" collapsed="false">
      <c r="B465" s="78"/>
      <c r="C465" s="79" t="n">
        <v>512</v>
      </c>
      <c r="D465" s="80" t="s">
        <v>611</v>
      </c>
      <c r="E465" s="82" t="s">
        <v>758</v>
      </c>
      <c r="F465" s="82" t="s">
        <v>612</v>
      </c>
      <c r="G465" s="88" t="n">
        <v>1</v>
      </c>
      <c r="H465" s="84" t="s">
        <v>24</v>
      </c>
      <c r="I465" s="80" t="s">
        <v>613</v>
      </c>
      <c r="J465" s="80" t="s">
        <v>614</v>
      </c>
      <c r="K465" s="80" t="s">
        <v>615</v>
      </c>
      <c r="L465" s="80" t="s">
        <v>616</v>
      </c>
      <c r="M465" s="79" t="s">
        <v>616</v>
      </c>
      <c r="N465" s="80" t="s">
        <v>617</v>
      </c>
      <c r="O465" s="85" t="n">
        <v>46139</v>
      </c>
      <c r="P465" s="101" t="n">
        <f aca="false">O465+7</f>
        <v>46146</v>
      </c>
      <c r="Q465" s="84"/>
      <c r="R465" s="87" t="s">
        <v>757</v>
      </c>
      <c r="S465" s="87" t="s">
        <v>31</v>
      </c>
    </row>
    <row r="466" s="68" customFormat="true" ht="30" hidden="false" customHeight="true" outlineLevel="0" collapsed="false">
      <c r="B466" s="69"/>
      <c r="C466" s="102"/>
      <c r="D466" s="71"/>
      <c r="E466" s="72" t="s">
        <v>755</v>
      </c>
      <c r="F466" s="73"/>
      <c r="G466" s="74" t="n">
        <f aca="false">SUM(G467:G498)</f>
        <v>48</v>
      </c>
      <c r="H466" s="69"/>
      <c r="I466" s="69"/>
      <c r="J466" s="69"/>
      <c r="K466" s="69"/>
      <c r="L466" s="69"/>
      <c r="M466" s="102"/>
      <c r="N466" s="69"/>
      <c r="O466" s="69"/>
      <c r="P466" s="69" t="n">
        <f aca="false">O466+7</f>
        <v>7</v>
      </c>
      <c r="Q466" s="69"/>
      <c r="R466" s="74" t="s">
        <v>757</v>
      </c>
      <c r="S466" s="69"/>
    </row>
    <row r="467" s="77" customFormat="true" ht="54" hidden="false" customHeight="true" outlineLevel="1" collapsed="false">
      <c r="B467" s="78"/>
      <c r="C467" s="79" t="s">
        <v>820</v>
      </c>
      <c r="D467" s="80" t="s">
        <v>811</v>
      </c>
      <c r="E467" s="82" t="s">
        <v>755</v>
      </c>
      <c r="F467" s="82" t="s">
        <v>812</v>
      </c>
      <c r="G467" s="88" t="n">
        <v>6</v>
      </c>
      <c r="H467" s="84" t="s">
        <v>813</v>
      </c>
      <c r="I467" s="80" t="s">
        <v>814</v>
      </c>
      <c r="J467" s="80" t="s">
        <v>815</v>
      </c>
      <c r="K467" s="80" t="s">
        <v>816</v>
      </c>
      <c r="L467" s="80" t="s">
        <v>817</v>
      </c>
      <c r="M467" s="79" t="s">
        <v>821</v>
      </c>
      <c r="N467" s="80" t="s">
        <v>819</v>
      </c>
      <c r="O467" s="85" t="n">
        <v>46119</v>
      </c>
      <c r="P467" s="101"/>
      <c r="Q467" s="84"/>
      <c r="R467" s="87" t="s">
        <v>757</v>
      </c>
      <c r="S467" s="87" t="s">
        <v>84</v>
      </c>
    </row>
    <row r="468" s="77" customFormat="true" ht="15" hidden="false" customHeight="false" outlineLevel="1" collapsed="false">
      <c r="B468" s="78"/>
      <c r="C468" s="79" t="n">
        <v>514</v>
      </c>
      <c r="D468" s="80" t="s">
        <v>34</v>
      </c>
      <c r="E468" s="82" t="s">
        <v>755</v>
      </c>
      <c r="F468" s="82" t="s">
        <v>35</v>
      </c>
      <c r="G468" s="88" t="n">
        <v>1</v>
      </c>
      <c r="H468" s="84" t="s">
        <v>36</v>
      </c>
      <c r="I468" s="80" t="s">
        <v>37</v>
      </c>
      <c r="J468" s="80" t="s">
        <v>38</v>
      </c>
      <c r="K468" s="80" t="s">
        <v>39</v>
      </c>
      <c r="L468" s="80" t="s">
        <v>40</v>
      </c>
      <c r="M468" s="79" t="s">
        <v>858</v>
      </c>
      <c r="N468" s="80" t="s">
        <v>42</v>
      </c>
      <c r="O468" s="85" t="n">
        <v>46139</v>
      </c>
      <c r="P468" s="101" t="n">
        <f aca="false">O468+7</f>
        <v>46146</v>
      </c>
      <c r="Q468" s="84"/>
      <c r="R468" s="87" t="s">
        <v>757</v>
      </c>
      <c r="S468" s="87" t="s">
        <v>31</v>
      </c>
    </row>
    <row r="469" s="77" customFormat="true" ht="15" hidden="false" customHeight="false" outlineLevel="1" collapsed="false">
      <c r="B469" s="78"/>
      <c r="C469" s="79" t="n">
        <v>515</v>
      </c>
      <c r="D469" s="80" t="s">
        <v>51</v>
      </c>
      <c r="E469" s="82" t="s">
        <v>755</v>
      </c>
      <c r="F469" s="82" t="s">
        <v>52</v>
      </c>
      <c r="G469" s="88" t="n">
        <v>2</v>
      </c>
      <c r="H469" s="84" t="s">
        <v>24</v>
      </c>
      <c r="I469" s="80" t="s">
        <v>53</v>
      </c>
      <c r="J469" s="80" t="s">
        <v>54</v>
      </c>
      <c r="K469" s="80" t="s">
        <v>55</v>
      </c>
      <c r="L469" s="80" t="s">
        <v>56</v>
      </c>
      <c r="M469" s="79" t="s">
        <v>57</v>
      </c>
      <c r="N469" s="80" t="s">
        <v>58</v>
      </c>
      <c r="O469" s="85" t="n">
        <v>46119</v>
      </c>
      <c r="P469" s="101" t="n">
        <f aca="false">O469+7</f>
        <v>46126</v>
      </c>
      <c r="Q469" s="84"/>
      <c r="R469" s="87" t="s">
        <v>757</v>
      </c>
      <c r="S469" s="87" t="s">
        <v>31</v>
      </c>
    </row>
    <row r="470" s="77" customFormat="true" ht="15" hidden="false" customHeight="false" outlineLevel="1" collapsed="false">
      <c r="B470" s="78"/>
      <c r="C470" s="79" t="n">
        <v>516</v>
      </c>
      <c r="D470" s="80" t="s">
        <v>1077</v>
      </c>
      <c r="E470" s="82" t="s">
        <v>755</v>
      </c>
      <c r="F470" s="82" t="s">
        <v>916</v>
      </c>
      <c r="G470" s="88" t="n">
        <v>2</v>
      </c>
      <c r="H470" s="84" t="s">
        <v>152</v>
      </c>
      <c r="I470" s="80" t="s">
        <v>1078</v>
      </c>
      <c r="J470" s="80" t="s">
        <v>1079</v>
      </c>
      <c r="K470" s="80" t="s">
        <v>1080</v>
      </c>
      <c r="L470" s="80" t="s">
        <v>1081</v>
      </c>
      <c r="M470" s="79" t="s">
        <v>1082</v>
      </c>
      <c r="N470" s="80" t="s">
        <v>1083</v>
      </c>
      <c r="O470" s="85" t="n">
        <v>46139</v>
      </c>
      <c r="P470" s="101" t="n">
        <f aca="false">O470+7</f>
        <v>46146</v>
      </c>
      <c r="Q470" s="84"/>
      <c r="R470" s="87" t="s">
        <v>757</v>
      </c>
      <c r="S470" s="87" t="s">
        <v>84</v>
      </c>
    </row>
    <row r="471" s="77" customFormat="true" ht="15" hidden="false" customHeight="false" outlineLevel="1" collapsed="false">
      <c r="B471" s="78"/>
      <c r="C471" s="79" t="n">
        <v>517</v>
      </c>
      <c r="D471" s="80" t="s">
        <v>782</v>
      </c>
      <c r="E471" s="82" t="s">
        <v>755</v>
      </c>
      <c r="F471" s="82" t="s">
        <v>783</v>
      </c>
      <c r="G471" s="88" t="n">
        <v>1</v>
      </c>
      <c r="H471" s="84" t="s">
        <v>784</v>
      </c>
      <c r="I471" s="80" t="s">
        <v>785</v>
      </c>
      <c r="J471" s="80" t="s">
        <v>786</v>
      </c>
      <c r="K471" s="80" t="s">
        <v>787</v>
      </c>
      <c r="L471" s="80" t="s">
        <v>788</v>
      </c>
      <c r="M471" s="79" t="s">
        <v>789</v>
      </c>
      <c r="N471" s="80" t="s">
        <v>790</v>
      </c>
      <c r="O471" s="85" t="n">
        <v>46119</v>
      </c>
      <c r="P471" s="101" t="n">
        <f aca="false">O471+7</f>
        <v>46126</v>
      </c>
      <c r="Q471" s="84"/>
      <c r="R471" s="87" t="s">
        <v>757</v>
      </c>
      <c r="S471" s="87" t="s">
        <v>31</v>
      </c>
    </row>
    <row r="472" s="77" customFormat="true" ht="15" hidden="false" customHeight="false" outlineLevel="1" collapsed="false">
      <c r="B472" s="78" t="s">
        <v>1112</v>
      </c>
      <c r="C472" s="79" t="n">
        <v>518</v>
      </c>
      <c r="D472" s="80" t="s">
        <v>59</v>
      </c>
      <c r="E472" s="82" t="s">
        <v>755</v>
      </c>
      <c r="F472" s="82" t="s">
        <v>60</v>
      </c>
      <c r="G472" s="88" t="n">
        <v>1</v>
      </c>
      <c r="H472" s="84" t="s">
        <v>61</v>
      </c>
      <c r="I472" s="80" t="s">
        <v>62</v>
      </c>
      <c r="J472" s="80" t="s">
        <v>63</v>
      </c>
      <c r="K472" s="80" t="s">
        <v>64</v>
      </c>
      <c r="L472" s="80" t="s">
        <v>65</v>
      </c>
      <c r="M472" s="79" t="s">
        <v>66</v>
      </c>
      <c r="N472" s="80" t="s">
        <v>67</v>
      </c>
      <c r="O472" s="85" t="n">
        <v>46119</v>
      </c>
      <c r="P472" s="101" t="n">
        <f aca="false">O472+7</f>
        <v>46126</v>
      </c>
      <c r="Q472" s="84"/>
      <c r="R472" s="87" t="s">
        <v>757</v>
      </c>
      <c r="S472" s="87" t="s">
        <v>31</v>
      </c>
    </row>
    <row r="473" s="77" customFormat="true" ht="30" hidden="false" customHeight="true" outlineLevel="1" collapsed="false">
      <c r="B473" s="78" t="s">
        <v>1112</v>
      </c>
      <c r="C473" s="79" t="n">
        <v>519</v>
      </c>
      <c r="D473" s="80" t="s">
        <v>68</v>
      </c>
      <c r="E473" s="82" t="s">
        <v>755</v>
      </c>
      <c r="F473" s="82" t="s">
        <v>69</v>
      </c>
      <c r="G473" s="88" t="n">
        <v>2</v>
      </c>
      <c r="H473" s="84" t="s">
        <v>61</v>
      </c>
      <c r="I473" s="80" t="s">
        <v>839</v>
      </c>
      <c r="J473" s="80" t="s">
        <v>840</v>
      </c>
      <c r="K473" s="80" t="s">
        <v>841</v>
      </c>
      <c r="L473" s="80" t="s">
        <v>73</v>
      </c>
      <c r="M473" s="79" t="s">
        <v>842</v>
      </c>
      <c r="N473" s="80" t="s">
        <v>74</v>
      </c>
      <c r="O473" s="85" t="n">
        <v>46119</v>
      </c>
      <c r="P473" s="101" t="n">
        <f aca="false">O473+7</f>
        <v>46126</v>
      </c>
      <c r="Q473" s="84"/>
      <c r="R473" s="87" t="s">
        <v>757</v>
      </c>
      <c r="S473" s="87" t="s">
        <v>31</v>
      </c>
    </row>
    <row r="474" s="77" customFormat="true" ht="30" hidden="false" customHeight="true" outlineLevel="1" collapsed="false">
      <c r="B474" s="78"/>
      <c r="C474" s="79" t="n">
        <v>520</v>
      </c>
      <c r="D474" s="80" t="s">
        <v>75</v>
      </c>
      <c r="E474" s="82" t="s">
        <v>755</v>
      </c>
      <c r="F474" s="82" t="s">
        <v>76</v>
      </c>
      <c r="G474" s="88" t="n">
        <v>1</v>
      </c>
      <c r="H474" s="84" t="s">
        <v>77</v>
      </c>
      <c r="I474" s="80" t="s">
        <v>833</v>
      </c>
      <c r="J474" s="80" t="s">
        <v>834</v>
      </c>
      <c r="K474" s="80" t="s">
        <v>835</v>
      </c>
      <c r="L474" s="80" t="s">
        <v>81</v>
      </c>
      <c r="M474" s="79" t="s">
        <v>836</v>
      </c>
      <c r="N474" s="80" t="s">
        <v>83</v>
      </c>
      <c r="O474" s="85" t="n">
        <v>46119</v>
      </c>
      <c r="P474" s="101" t="n">
        <f aca="false">O474+7</f>
        <v>46126</v>
      </c>
      <c r="Q474" s="84"/>
      <c r="R474" s="87" t="s">
        <v>757</v>
      </c>
      <c r="S474" s="87" t="s">
        <v>84</v>
      </c>
    </row>
    <row r="475" s="77" customFormat="true" ht="15" hidden="false" customHeight="false" outlineLevel="1" collapsed="false">
      <c r="B475" s="78"/>
      <c r="C475" s="79" t="n">
        <v>521</v>
      </c>
      <c r="D475" s="80" t="s">
        <v>94</v>
      </c>
      <c r="E475" s="82" t="s">
        <v>755</v>
      </c>
      <c r="F475" s="82" t="s">
        <v>95</v>
      </c>
      <c r="G475" s="88" t="n">
        <v>1</v>
      </c>
      <c r="H475" s="84" t="s">
        <v>36</v>
      </c>
      <c r="I475" s="80" t="s">
        <v>96</v>
      </c>
      <c r="J475" s="80" t="s">
        <v>97</v>
      </c>
      <c r="K475" s="80" t="s">
        <v>98</v>
      </c>
      <c r="L475" s="80" t="s">
        <v>99</v>
      </c>
      <c r="M475" s="79" t="s">
        <v>100</v>
      </c>
      <c r="N475" s="80" t="s">
        <v>101</v>
      </c>
      <c r="O475" s="85" t="n">
        <v>46139</v>
      </c>
      <c r="P475" s="101" t="n">
        <f aca="false">O475+7</f>
        <v>46146</v>
      </c>
      <c r="Q475" s="84"/>
      <c r="R475" s="87" t="s">
        <v>757</v>
      </c>
      <c r="S475" s="87" t="s">
        <v>31</v>
      </c>
    </row>
    <row r="476" s="77" customFormat="true" ht="15" hidden="false" customHeight="false" outlineLevel="1" collapsed="false">
      <c r="B476" s="78"/>
      <c r="C476" s="79" t="n">
        <v>522</v>
      </c>
      <c r="D476" s="80" t="s">
        <v>618</v>
      </c>
      <c r="E476" s="82" t="s">
        <v>755</v>
      </c>
      <c r="F476" s="82" t="s">
        <v>619</v>
      </c>
      <c r="G476" s="88" t="n">
        <v>2</v>
      </c>
      <c r="H476" s="84" t="s">
        <v>61</v>
      </c>
      <c r="I476" s="80" t="s">
        <v>620</v>
      </c>
      <c r="J476" s="80" t="s">
        <v>621</v>
      </c>
      <c r="K476" s="80" t="s">
        <v>622</v>
      </c>
      <c r="L476" s="80" t="s">
        <v>623</v>
      </c>
      <c r="M476" s="79" t="s">
        <v>624</v>
      </c>
      <c r="N476" s="80" t="s">
        <v>625</v>
      </c>
      <c r="O476" s="85" t="n">
        <v>46119</v>
      </c>
      <c r="P476" s="101" t="n">
        <f aca="false">O476+7</f>
        <v>46126</v>
      </c>
      <c r="Q476" s="84"/>
      <c r="R476" s="87" t="s">
        <v>757</v>
      </c>
      <c r="S476" s="87" t="s">
        <v>31</v>
      </c>
    </row>
    <row r="477" s="77" customFormat="true" ht="15" hidden="false" customHeight="false" outlineLevel="1" collapsed="false">
      <c r="B477" s="78" t="s">
        <v>1112</v>
      </c>
      <c r="C477" s="79" t="n">
        <v>523</v>
      </c>
      <c r="D477" s="80" t="s">
        <v>142</v>
      </c>
      <c r="E477" s="82" t="s">
        <v>755</v>
      </c>
      <c r="F477" s="82" t="s">
        <v>143</v>
      </c>
      <c r="G477" s="88" t="n">
        <v>1</v>
      </c>
      <c r="H477" s="84" t="s">
        <v>61</v>
      </c>
      <c r="I477" s="80" t="s">
        <v>144</v>
      </c>
      <c r="J477" s="80" t="s">
        <v>145</v>
      </c>
      <c r="K477" s="80" t="s">
        <v>146</v>
      </c>
      <c r="L477" s="80" t="s">
        <v>147</v>
      </c>
      <c r="M477" s="79" t="s">
        <v>148</v>
      </c>
      <c r="N477" s="80" t="s">
        <v>149</v>
      </c>
      <c r="O477" s="85" t="n">
        <v>46119</v>
      </c>
      <c r="P477" s="101" t="n">
        <f aca="false">O477+7</f>
        <v>46126</v>
      </c>
      <c r="Q477" s="84"/>
      <c r="R477" s="87" t="s">
        <v>757</v>
      </c>
      <c r="S477" s="87" t="s">
        <v>84</v>
      </c>
    </row>
    <row r="478" s="77" customFormat="true" ht="15" hidden="false" customHeight="false" outlineLevel="1" collapsed="false">
      <c r="B478" s="78"/>
      <c r="C478" s="79" t="n">
        <v>524</v>
      </c>
      <c r="D478" s="80" t="s">
        <v>536</v>
      </c>
      <c r="E478" s="82" t="s">
        <v>755</v>
      </c>
      <c r="F478" s="82" t="s">
        <v>537</v>
      </c>
      <c r="G478" s="88" t="n">
        <v>2</v>
      </c>
      <c r="H478" s="84" t="s">
        <v>111</v>
      </c>
      <c r="I478" s="80" t="s">
        <v>538</v>
      </c>
      <c r="J478" s="80" t="s">
        <v>539</v>
      </c>
      <c r="K478" s="80" t="s">
        <v>540</v>
      </c>
      <c r="L478" s="80" t="s">
        <v>541</v>
      </c>
      <c r="M478" s="79" t="s">
        <v>541</v>
      </c>
      <c r="N478" s="80" t="s">
        <v>542</v>
      </c>
      <c r="O478" s="85" t="n">
        <v>46139</v>
      </c>
      <c r="P478" s="101" t="n">
        <f aca="false">O478+7</f>
        <v>46146</v>
      </c>
      <c r="Q478" s="84"/>
      <c r="R478" s="87" t="s">
        <v>757</v>
      </c>
      <c r="S478" s="87" t="s">
        <v>84</v>
      </c>
    </row>
    <row r="479" s="77" customFormat="true" ht="15" hidden="false" customHeight="false" outlineLevel="1" collapsed="false">
      <c r="B479" s="78"/>
      <c r="C479" s="79" t="n">
        <v>525</v>
      </c>
      <c r="D479" s="80" t="s">
        <v>150</v>
      </c>
      <c r="E479" s="82" t="s">
        <v>755</v>
      </c>
      <c r="F479" s="82" t="s">
        <v>151</v>
      </c>
      <c r="G479" s="88" t="n">
        <v>1</v>
      </c>
      <c r="H479" s="84" t="s">
        <v>152</v>
      </c>
      <c r="I479" s="80" t="s">
        <v>153</v>
      </c>
      <c r="J479" s="80" t="s">
        <v>154</v>
      </c>
      <c r="K479" s="80" t="s">
        <v>155</v>
      </c>
      <c r="L479" s="80" t="s">
        <v>156</v>
      </c>
      <c r="M479" s="79" t="s">
        <v>1113</v>
      </c>
      <c r="N479" s="80" t="s">
        <v>158</v>
      </c>
      <c r="O479" s="85" t="n">
        <v>46139</v>
      </c>
      <c r="P479" s="101" t="n">
        <f aca="false">O479+7</f>
        <v>46146</v>
      </c>
      <c r="Q479" s="84"/>
      <c r="R479" s="87" t="s">
        <v>757</v>
      </c>
      <c r="S479" s="87" t="s">
        <v>84</v>
      </c>
    </row>
    <row r="480" s="77" customFormat="true" ht="15" hidden="false" customHeight="false" outlineLevel="1" collapsed="false">
      <c r="B480" s="78" t="s">
        <v>1112</v>
      </c>
      <c r="C480" s="79" t="n">
        <v>526</v>
      </c>
      <c r="D480" s="80" t="s">
        <v>159</v>
      </c>
      <c r="E480" s="82" t="s">
        <v>755</v>
      </c>
      <c r="F480" s="82" t="s">
        <v>160</v>
      </c>
      <c r="G480" s="88" t="n">
        <v>1</v>
      </c>
      <c r="H480" s="84" t="s">
        <v>61</v>
      </c>
      <c r="I480" s="80" t="s">
        <v>161</v>
      </c>
      <c r="J480" s="80" t="s">
        <v>162</v>
      </c>
      <c r="K480" s="80" t="s">
        <v>163</v>
      </c>
      <c r="L480" s="80" t="s">
        <v>164</v>
      </c>
      <c r="M480" s="79" t="s">
        <v>164</v>
      </c>
      <c r="N480" s="80" t="s">
        <v>165</v>
      </c>
      <c r="O480" s="85" t="n">
        <v>46119</v>
      </c>
      <c r="P480" s="101" t="n">
        <f aca="false">O480+7</f>
        <v>46126</v>
      </c>
      <c r="Q480" s="84"/>
      <c r="R480" s="87" t="s">
        <v>757</v>
      </c>
      <c r="S480" s="87" t="s">
        <v>31</v>
      </c>
    </row>
    <row r="481" s="77" customFormat="true" ht="15" hidden="false" customHeight="false" outlineLevel="1" collapsed="false">
      <c r="B481" s="78" t="s">
        <v>1112</v>
      </c>
      <c r="C481" s="79" t="n">
        <v>527</v>
      </c>
      <c r="D481" s="80" t="s">
        <v>768</v>
      </c>
      <c r="E481" s="82" t="s">
        <v>755</v>
      </c>
      <c r="F481" s="82" t="s">
        <v>769</v>
      </c>
      <c r="G481" s="88" t="n">
        <v>1</v>
      </c>
      <c r="H481" s="84" t="s">
        <v>61</v>
      </c>
      <c r="I481" s="80" t="s">
        <v>770</v>
      </c>
      <c r="J481" s="80" t="s">
        <v>771</v>
      </c>
      <c r="K481" s="80" t="s">
        <v>772</v>
      </c>
      <c r="L481" s="80" t="s">
        <v>773</v>
      </c>
      <c r="M481" s="79" t="s">
        <v>774</v>
      </c>
      <c r="N481" s="80" t="s">
        <v>775</v>
      </c>
      <c r="O481" s="85" t="n">
        <v>46119</v>
      </c>
      <c r="P481" s="101" t="n">
        <f aca="false">O481+7</f>
        <v>46126</v>
      </c>
      <c r="Q481" s="84"/>
      <c r="R481" s="87" t="s">
        <v>757</v>
      </c>
      <c r="S481" s="87" t="s">
        <v>31</v>
      </c>
    </row>
    <row r="482" s="77" customFormat="true" ht="30" hidden="false" customHeight="true" outlineLevel="1" collapsed="false">
      <c r="B482" s="78"/>
      <c r="C482" s="79" t="s">
        <v>1139</v>
      </c>
      <c r="D482" s="80" t="s">
        <v>190</v>
      </c>
      <c r="E482" s="82" t="s">
        <v>755</v>
      </c>
      <c r="F482" s="82" t="s">
        <v>191</v>
      </c>
      <c r="G482" s="88" t="n">
        <v>2</v>
      </c>
      <c r="H482" s="84" t="s">
        <v>24</v>
      </c>
      <c r="I482" s="96" t="s">
        <v>1140</v>
      </c>
      <c r="J482" s="96" t="s">
        <v>1141</v>
      </c>
      <c r="K482" s="96" t="s">
        <v>1142</v>
      </c>
      <c r="L482" s="80" t="s">
        <v>195</v>
      </c>
      <c r="M482" s="79" t="s">
        <v>1143</v>
      </c>
      <c r="N482" s="80" t="s">
        <v>197</v>
      </c>
      <c r="O482" s="85" t="n">
        <v>46139</v>
      </c>
      <c r="P482" s="101" t="n">
        <f aca="false">O482+7</f>
        <v>46146</v>
      </c>
      <c r="Q482" s="84"/>
      <c r="R482" s="87" t="s">
        <v>757</v>
      </c>
      <c r="S482" s="87" t="s">
        <v>31</v>
      </c>
    </row>
    <row r="483" s="77" customFormat="true" ht="15" hidden="false" customHeight="false" outlineLevel="1" collapsed="false">
      <c r="B483" s="78"/>
      <c r="C483" s="79" t="n">
        <v>529</v>
      </c>
      <c r="D483" s="80" t="s">
        <v>198</v>
      </c>
      <c r="E483" s="82" t="s">
        <v>755</v>
      </c>
      <c r="F483" s="82" t="s">
        <v>199</v>
      </c>
      <c r="G483" s="88" t="n">
        <v>1</v>
      </c>
      <c r="H483" s="84" t="s">
        <v>200</v>
      </c>
      <c r="I483" s="80" t="s">
        <v>201</v>
      </c>
      <c r="J483" s="80" t="s">
        <v>202</v>
      </c>
      <c r="K483" s="80" t="s">
        <v>203</v>
      </c>
      <c r="L483" s="80" t="s">
        <v>204</v>
      </c>
      <c r="M483" s="79" t="s">
        <v>1144</v>
      </c>
      <c r="N483" s="80" t="s">
        <v>206</v>
      </c>
      <c r="O483" s="85" t="n">
        <v>46139</v>
      </c>
      <c r="P483" s="101" t="n">
        <f aca="false">O483+7</f>
        <v>46146</v>
      </c>
      <c r="Q483" s="84"/>
      <c r="R483" s="87" t="s">
        <v>757</v>
      </c>
      <c r="S483" s="87" t="s">
        <v>84</v>
      </c>
    </row>
    <row r="484" s="77" customFormat="true" ht="15" hidden="false" customHeight="false" outlineLevel="1" collapsed="false">
      <c r="B484" s="78"/>
      <c r="C484" s="79" t="n">
        <v>530</v>
      </c>
      <c r="D484" s="80" t="s">
        <v>706</v>
      </c>
      <c r="E484" s="82" t="s">
        <v>755</v>
      </c>
      <c r="F484" s="82" t="s">
        <v>707</v>
      </c>
      <c r="G484" s="88" t="n">
        <v>2</v>
      </c>
      <c r="H484" s="84" t="s">
        <v>111</v>
      </c>
      <c r="I484" s="80" t="s">
        <v>708</v>
      </c>
      <c r="J484" s="80" t="s">
        <v>709</v>
      </c>
      <c r="K484" s="80" t="s">
        <v>710</v>
      </c>
      <c r="L484" s="80" t="s">
        <v>711</v>
      </c>
      <c r="M484" s="79" t="s">
        <v>712</v>
      </c>
      <c r="N484" s="80" t="s">
        <v>713</v>
      </c>
      <c r="O484" s="85" t="n">
        <v>46139</v>
      </c>
      <c r="P484" s="101" t="n">
        <f aca="false">O484+7</f>
        <v>46146</v>
      </c>
      <c r="Q484" s="84"/>
      <c r="R484" s="87" t="s">
        <v>757</v>
      </c>
      <c r="S484" s="87" t="s">
        <v>84</v>
      </c>
    </row>
    <row r="485" s="77" customFormat="true" ht="30" hidden="false" customHeight="true" outlineLevel="1" collapsed="false">
      <c r="B485" s="78" t="s">
        <v>1112</v>
      </c>
      <c r="C485" s="79" t="s">
        <v>754</v>
      </c>
      <c r="D485" s="80" t="s">
        <v>302</v>
      </c>
      <c r="E485" s="82" t="s">
        <v>755</v>
      </c>
      <c r="F485" s="82" t="s">
        <v>303</v>
      </c>
      <c r="G485" s="88" t="n">
        <v>2</v>
      </c>
      <c r="H485" s="84" t="s">
        <v>61</v>
      </c>
      <c r="I485" s="80" t="s">
        <v>304</v>
      </c>
      <c r="J485" s="80" t="s">
        <v>305</v>
      </c>
      <c r="K485" s="80" t="s">
        <v>306</v>
      </c>
      <c r="L485" s="80" t="s">
        <v>307</v>
      </c>
      <c r="M485" s="79" t="s">
        <v>756</v>
      </c>
      <c r="N485" s="80" t="s">
        <v>309</v>
      </c>
      <c r="O485" s="85" t="n">
        <v>46119</v>
      </c>
      <c r="P485" s="101" t="n">
        <f aca="false">O485+7</f>
        <v>46126</v>
      </c>
      <c r="Q485" s="84"/>
      <c r="R485" s="87" t="s">
        <v>757</v>
      </c>
      <c r="S485" s="87" t="s">
        <v>84</v>
      </c>
    </row>
    <row r="486" s="77" customFormat="true" ht="15" hidden="false" customHeight="false" outlineLevel="1" collapsed="false">
      <c r="B486" s="78"/>
      <c r="C486" s="79" t="n">
        <v>532</v>
      </c>
      <c r="D486" s="80" t="s">
        <v>310</v>
      </c>
      <c r="E486" s="82" t="s">
        <v>755</v>
      </c>
      <c r="F486" s="82" t="s">
        <v>311</v>
      </c>
      <c r="G486" s="88" t="n">
        <v>2</v>
      </c>
      <c r="H486" s="84" t="s">
        <v>152</v>
      </c>
      <c r="I486" s="80" t="s">
        <v>312</v>
      </c>
      <c r="J486" s="80" t="s">
        <v>313</v>
      </c>
      <c r="K486" s="80" t="s">
        <v>314</v>
      </c>
      <c r="L486" s="80" t="s">
        <v>315</v>
      </c>
      <c r="M486" s="79" t="s">
        <v>316</v>
      </c>
      <c r="N486" s="80" t="s">
        <v>317</v>
      </c>
      <c r="O486" s="85" t="n">
        <v>46139</v>
      </c>
      <c r="P486" s="101" t="n">
        <f aca="false">O486+7</f>
        <v>46146</v>
      </c>
      <c r="Q486" s="84"/>
      <c r="R486" s="87" t="s">
        <v>757</v>
      </c>
      <c r="S486" s="87" t="s">
        <v>31</v>
      </c>
    </row>
    <row r="487" s="77" customFormat="true" ht="15" hidden="false" customHeight="false" outlineLevel="1" collapsed="false">
      <c r="B487" s="78"/>
      <c r="C487" s="79" t="n">
        <v>533</v>
      </c>
      <c r="D487" s="80" t="s">
        <v>318</v>
      </c>
      <c r="E487" s="82" t="s">
        <v>755</v>
      </c>
      <c r="F487" s="82" t="s">
        <v>319</v>
      </c>
      <c r="G487" s="88" t="n">
        <v>1</v>
      </c>
      <c r="H487" s="84" t="s">
        <v>111</v>
      </c>
      <c r="I487" s="80" t="s">
        <v>320</v>
      </c>
      <c r="J487" s="80" t="s">
        <v>321</v>
      </c>
      <c r="K487" s="80" t="s">
        <v>322</v>
      </c>
      <c r="L487" s="80" t="s">
        <v>323</v>
      </c>
      <c r="M487" s="79" t="s">
        <v>324</v>
      </c>
      <c r="N487" s="80" t="s">
        <v>325</v>
      </c>
      <c r="O487" s="85" t="n">
        <v>46139</v>
      </c>
      <c r="P487" s="101" t="n">
        <f aca="false">O487+7</f>
        <v>46146</v>
      </c>
      <c r="Q487" s="84"/>
      <c r="R487" s="87" t="s">
        <v>757</v>
      </c>
      <c r="S487" s="87" t="s">
        <v>84</v>
      </c>
    </row>
    <row r="488" s="77" customFormat="true" ht="15" hidden="false" customHeight="false" outlineLevel="1" collapsed="false">
      <c r="B488" s="78"/>
      <c r="C488" s="79" t="n">
        <v>534</v>
      </c>
      <c r="D488" s="80" t="s">
        <v>802</v>
      </c>
      <c r="E488" s="82" t="s">
        <v>755</v>
      </c>
      <c r="F488" s="82" t="s">
        <v>803</v>
      </c>
      <c r="G488" s="88" t="n">
        <v>1</v>
      </c>
      <c r="H488" s="84" t="s">
        <v>804</v>
      </c>
      <c r="I488" s="80" t="s">
        <v>805</v>
      </c>
      <c r="J488" s="80" t="s">
        <v>806</v>
      </c>
      <c r="K488" s="78" t="s">
        <v>807</v>
      </c>
      <c r="L488" s="80" t="s">
        <v>808</v>
      </c>
      <c r="M488" s="79" t="s">
        <v>809</v>
      </c>
      <c r="N488" s="80" t="s">
        <v>810</v>
      </c>
      <c r="O488" s="85" t="n">
        <v>46139</v>
      </c>
      <c r="P488" s="101" t="n">
        <f aca="false">O488+7</f>
        <v>46146</v>
      </c>
      <c r="Q488" s="84"/>
      <c r="R488" s="87" t="s">
        <v>757</v>
      </c>
      <c r="S488" s="87" t="s">
        <v>84</v>
      </c>
    </row>
    <row r="489" s="77" customFormat="true" ht="15" hidden="false" customHeight="false" outlineLevel="1" collapsed="false">
      <c r="B489" s="78"/>
      <c r="C489" s="79" t="n">
        <v>535</v>
      </c>
      <c r="D489" s="80" t="s">
        <v>366</v>
      </c>
      <c r="E489" s="82" t="s">
        <v>755</v>
      </c>
      <c r="F489" s="82" t="s">
        <v>367</v>
      </c>
      <c r="G489" s="88" t="n">
        <v>2</v>
      </c>
      <c r="H489" s="84" t="s">
        <v>368</v>
      </c>
      <c r="I489" s="80" t="s">
        <v>369</v>
      </c>
      <c r="J489" s="80" t="s">
        <v>370</v>
      </c>
      <c r="K489" s="80" t="s">
        <v>371</v>
      </c>
      <c r="L489" s="80" t="s">
        <v>372</v>
      </c>
      <c r="M489" s="79" t="s">
        <v>1145</v>
      </c>
      <c r="N489" s="80" t="s">
        <v>374</v>
      </c>
      <c r="O489" s="85" t="n">
        <v>46139</v>
      </c>
      <c r="P489" s="101" t="n">
        <f aca="false">O489+7</f>
        <v>46146</v>
      </c>
      <c r="Q489" s="84"/>
      <c r="R489" s="87" t="s">
        <v>757</v>
      </c>
      <c r="S489" s="87" t="s">
        <v>84</v>
      </c>
    </row>
    <row r="490" s="77" customFormat="true" ht="15" hidden="false" customHeight="false" outlineLevel="1" collapsed="false">
      <c r="B490" s="78" t="s">
        <v>1112</v>
      </c>
      <c r="C490" s="79" t="n">
        <v>536</v>
      </c>
      <c r="D490" s="80" t="s">
        <v>734</v>
      </c>
      <c r="E490" s="82" t="s">
        <v>755</v>
      </c>
      <c r="F490" s="82" t="s">
        <v>735</v>
      </c>
      <c r="G490" s="88" t="n">
        <v>1</v>
      </c>
      <c r="H490" s="84" t="s">
        <v>736</v>
      </c>
      <c r="I490" s="80" t="s">
        <v>737</v>
      </c>
      <c r="J490" s="80" t="s">
        <v>738</v>
      </c>
      <c r="K490" s="80" t="s">
        <v>739</v>
      </c>
      <c r="L490" s="80" t="s">
        <v>740</v>
      </c>
      <c r="M490" s="79" t="s">
        <v>741</v>
      </c>
      <c r="N490" s="80" t="s">
        <v>742</v>
      </c>
      <c r="O490" s="85" t="n">
        <v>46119</v>
      </c>
      <c r="P490" s="101" t="n">
        <f aca="false">O490+7</f>
        <v>46126</v>
      </c>
      <c r="Q490" s="84"/>
      <c r="R490" s="87" t="s">
        <v>757</v>
      </c>
      <c r="S490" s="87" t="s">
        <v>84</v>
      </c>
    </row>
    <row r="491" s="77" customFormat="true" ht="15" hidden="false" customHeight="false" outlineLevel="1" collapsed="false">
      <c r="B491" s="78"/>
      <c r="C491" s="79" t="n">
        <v>537</v>
      </c>
      <c r="D491" s="80" t="s">
        <v>375</v>
      </c>
      <c r="E491" s="82" t="s">
        <v>755</v>
      </c>
      <c r="F491" s="82" t="s">
        <v>376</v>
      </c>
      <c r="G491" s="88" t="n">
        <v>1</v>
      </c>
      <c r="H491" s="84" t="s">
        <v>111</v>
      </c>
      <c r="I491" s="80" t="s">
        <v>473</v>
      </c>
      <c r="J491" s="80" t="s">
        <v>878</v>
      </c>
      <c r="K491" s="80" t="s">
        <v>475</v>
      </c>
      <c r="L491" s="80" t="s">
        <v>380</v>
      </c>
      <c r="M491" s="79" t="s">
        <v>381</v>
      </c>
      <c r="N491" s="80" t="s">
        <v>382</v>
      </c>
      <c r="O491" s="85" t="n">
        <v>46139</v>
      </c>
      <c r="P491" s="101" t="n">
        <f aca="false">O491+7</f>
        <v>46146</v>
      </c>
      <c r="Q491" s="84"/>
      <c r="R491" s="87" t="s">
        <v>757</v>
      </c>
      <c r="S491" s="87" t="s">
        <v>31</v>
      </c>
    </row>
    <row r="492" s="77" customFormat="true" ht="15" hidden="false" customHeight="false" outlineLevel="1" collapsed="false">
      <c r="B492" s="78"/>
      <c r="C492" s="79" t="n">
        <v>538</v>
      </c>
      <c r="D492" s="80" t="s">
        <v>391</v>
      </c>
      <c r="E492" s="82" t="s">
        <v>755</v>
      </c>
      <c r="F492" s="82" t="s">
        <v>392</v>
      </c>
      <c r="G492" s="88" t="n">
        <v>1</v>
      </c>
      <c r="H492" s="84" t="s">
        <v>111</v>
      </c>
      <c r="I492" s="80" t="s">
        <v>393</v>
      </c>
      <c r="J492" s="80" t="s">
        <v>394</v>
      </c>
      <c r="K492" s="80" t="s">
        <v>395</v>
      </c>
      <c r="L492" s="80" t="s">
        <v>396</v>
      </c>
      <c r="M492" s="79" t="s">
        <v>397</v>
      </c>
      <c r="N492" s="80" t="s">
        <v>398</v>
      </c>
      <c r="O492" s="85" t="n">
        <v>46139</v>
      </c>
      <c r="P492" s="101" t="n">
        <f aca="false">O492+7</f>
        <v>46146</v>
      </c>
      <c r="Q492" s="84"/>
      <c r="R492" s="87" t="s">
        <v>757</v>
      </c>
      <c r="S492" s="87" t="s">
        <v>84</v>
      </c>
    </row>
    <row r="493" s="77" customFormat="true" ht="15" hidden="false" customHeight="false" outlineLevel="1" collapsed="false">
      <c r="B493" s="78"/>
      <c r="C493" s="79" t="n">
        <v>539</v>
      </c>
      <c r="D493" s="80" t="s">
        <v>424</v>
      </c>
      <c r="E493" s="82" t="s">
        <v>755</v>
      </c>
      <c r="F493" s="82" t="s">
        <v>425</v>
      </c>
      <c r="G493" s="88" t="n">
        <v>1</v>
      </c>
      <c r="H493" s="84" t="s">
        <v>111</v>
      </c>
      <c r="I493" s="80" t="s">
        <v>426</v>
      </c>
      <c r="J493" s="80" t="s">
        <v>427</v>
      </c>
      <c r="K493" s="80" t="s">
        <v>428</v>
      </c>
      <c r="L493" s="80" t="s">
        <v>429</v>
      </c>
      <c r="M493" s="79" t="s">
        <v>429</v>
      </c>
      <c r="N493" s="80" t="s">
        <v>430</v>
      </c>
      <c r="O493" s="85" t="n">
        <v>46139</v>
      </c>
      <c r="P493" s="101" t="n">
        <f aca="false">O493+7</f>
        <v>46146</v>
      </c>
      <c r="Q493" s="84"/>
      <c r="R493" s="87" t="s">
        <v>757</v>
      </c>
      <c r="S493" s="87" t="s">
        <v>84</v>
      </c>
    </row>
    <row r="494" s="77" customFormat="true" ht="30" hidden="false" customHeight="true" outlineLevel="1" collapsed="false">
      <c r="B494" s="78"/>
      <c r="C494" s="79" t="n">
        <v>540</v>
      </c>
      <c r="D494" s="80" t="s">
        <v>431</v>
      </c>
      <c r="E494" s="80" t="s">
        <v>755</v>
      </c>
      <c r="F494" s="82" t="s">
        <v>432</v>
      </c>
      <c r="G494" s="88" t="n">
        <v>1</v>
      </c>
      <c r="H494" s="84" t="s">
        <v>152</v>
      </c>
      <c r="I494" s="80" t="s">
        <v>868</v>
      </c>
      <c r="J494" s="80" t="s">
        <v>869</v>
      </c>
      <c r="K494" s="80" t="s">
        <v>870</v>
      </c>
      <c r="L494" s="80" t="s">
        <v>436</v>
      </c>
      <c r="M494" s="79" t="s">
        <v>1146</v>
      </c>
      <c r="N494" s="80" t="s">
        <v>438</v>
      </c>
      <c r="O494" s="85" t="n">
        <v>46139</v>
      </c>
      <c r="P494" s="101" t="n">
        <f aca="false">O494+7</f>
        <v>46146</v>
      </c>
      <c r="Q494" s="84"/>
      <c r="R494" s="87" t="s">
        <v>757</v>
      </c>
      <c r="S494" s="87" t="s">
        <v>31</v>
      </c>
    </row>
    <row r="495" s="77" customFormat="true" ht="15" hidden="false" customHeight="false" outlineLevel="1" collapsed="false">
      <c r="B495" s="78"/>
      <c r="C495" s="79" t="n">
        <v>541</v>
      </c>
      <c r="D495" s="80" t="s">
        <v>544</v>
      </c>
      <c r="E495" s="82" t="s">
        <v>755</v>
      </c>
      <c r="F495" s="82" t="s">
        <v>545</v>
      </c>
      <c r="G495" s="88" t="n">
        <v>1</v>
      </c>
      <c r="H495" s="84" t="s">
        <v>24</v>
      </c>
      <c r="I495" s="80" t="s">
        <v>546</v>
      </c>
      <c r="J495" s="80" t="s">
        <v>547</v>
      </c>
      <c r="K495" s="80" t="s">
        <v>548</v>
      </c>
      <c r="L495" s="80" t="s">
        <v>549</v>
      </c>
      <c r="M495" s="79" t="s">
        <v>550</v>
      </c>
      <c r="N495" s="80" t="s">
        <v>551</v>
      </c>
      <c r="O495" s="85" t="n">
        <v>46139</v>
      </c>
      <c r="P495" s="101" t="n">
        <f aca="false">O495+7</f>
        <v>46146</v>
      </c>
      <c r="Q495" s="84"/>
      <c r="R495" s="87" t="s">
        <v>757</v>
      </c>
      <c r="S495" s="87" t="s">
        <v>31</v>
      </c>
    </row>
    <row r="496" s="77" customFormat="true" ht="36" hidden="false" customHeight="true" outlineLevel="1" collapsed="false">
      <c r="B496" s="78" t="s">
        <v>1112</v>
      </c>
      <c r="C496" s="79" t="s">
        <v>1147</v>
      </c>
      <c r="D496" s="80" t="s">
        <v>596</v>
      </c>
      <c r="E496" s="82" t="s">
        <v>755</v>
      </c>
      <c r="F496" s="82" t="s">
        <v>597</v>
      </c>
      <c r="G496" s="88" t="n">
        <v>1</v>
      </c>
      <c r="H496" s="84" t="s">
        <v>61</v>
      </c>
      <c r="I496" s="80" t="s">
        <v>598</v>
      </c>
      <c r="J496" s="80" t="s">
        <v>599</v>
      </c>
      <c r="K496" s="80" t="s">
        <v>600</v>
      </c>
      <c r="L496" s="80" t="s">
        <v>601</v>
      </c>
      <c r="M496" s="79" t="s">
        <v>781</v>
      </c>
      <c r="N496" s="80" t="s">
        <v>603</v>
      </c>
      <c r="O496" s="85" t="n">
        <v>46119</v>
      </c>
      <c r="P496" s="101" t="n">
        <f aca="false">O496+7</f>
        <v>46126</v>
      </c>
      <c r="Q496" s="84"/>
      <c r="R496" s="87" t="s">
        <v>757</v>
      </c>
      <c r="S496" s="87" t="s">
        <v>84</v>
      </c>
    </row>
    <row r="497" s="77" customFormat="true" ht="15" hidden="false" customHeight="false" outlineLevel="1" collapsed="false">
      <c r="B497" s="78" t="s">
        <v>1112</v>
      </c>
      <c r="C497" s="79" t="n">
        <v>543</v>
      </c>
      <c r="D497" s="80" t="s">
        <v>508</v>
      </c>
      <c r="E497" s="82" t="s">
        <v>755</v>
      </c>
      <c r="F497" s="82" t="s">
        <v>509</v>
      </c>
      <c r="G497" s="88" t="n">
        <v>2</v>
      </c>
      <c r="H497" s="84" t="s">
        <v>61</v>
      </c>
      <c r="I497" s="80" t="s">
        <v>510</v>
      </c>
      <c r="J497" s="80" t="s">
        <v>511</v>
      </c>
      <c r="K497" s="80" t="s">
        <v>512</v>
      </c>
      <c r="L497" s="80" t="s">
        <v>513</v>
      </c>
      <c r="M497" s="79" t="s">
        <v>514</v>
      </c>
      <c r="N497" s="80" t="s">
        <v>515</v>
      </c>
      <c r="O497" s="85" t="n">
        <v>46119</v>
      </c>
      <c r="P497" s="101" t="n">
        <f aca="false">O497+7</f>
        <v>46126</v>
      </c>
      <c r="Q497" s="84"/>
      <c r="R497" s="87" t="s">
        <v>757</v>
      </c>
      <c r="S497" s="87" t="s">
        <v>31</v>
      </c>
    </row>
    <row r="498" s="77" customFormat="true" ht="15" hidden="false" customHeight="false" outlineLevel="1" collapsed="false">
      <c r="B498" s="78" t="s">
        <v>1112</v>
      </c>
      <c r="C498" s="79" t="n">
        <v>544</v>
      </c>
      <c r="D498" s="80" t="s">
        <v>644</v>
      </c>
      <c r="E498" s="82" t="s">
        <v>755</v>
      </c>
      <c r="F498" s="82" t="s">
        <v>645</v>
      </c>
      <c r="G498" s="88" t="n">
        <v>1</v>
      </c>
      <c r="H498" s="84" t="s">
        <v>61</v>
      </c>
      <c r="I498" s="80" t="s">
        <v>646</v>
      </c>
      <c r="J498" s="80" t="s">
        <v>647</v>
      </c>
      <c r="K498" s="80" t="s">
        <v>648</v>
      </c>
      <c r="L498" s="80" t="s">
        <v>649</v>
      </c>
      <c r="M498" s="79" t="s">
        <v>650</v>
      </c>
      <c r="N498" s="80"/>
      <c r="O498" s="85" t="n">
        <v>46119</v>
      </c>
      <c r="P498" s="101" t="n">
        <f aca="false">O498+7</f>
        <v>46126</v>
      </c>
      <c r="Q498" s="84"/>
      <c r="R498" s="87" t="s">
        <v>757</v>
      </c>
      <c r="S498" s="87" t="s">
        <v>793</v>
      </c>
    </row>
    <row r="499" s="68" customFormat="true" ht="15" hidden="false" customHeight="false" outlineLevel="0" collapsed="false">
      <c r="B499" s="69"/>
      <c r="C499" s="102"/>
      <c r="D499" s="71"/>
      <c r="E499" s="72" t="s">
        <v>856</v>
      </c>
      <c r="F499" s="73"/>
      <c r="G499" s="74" t="n">
        <f aca="false">SUM(G500:G514)</f>
        <v>34</v>
      </c>
      <c r="H499" s="69"/>
      <c r="I499" s="69"/>
      <c r="J499" s="69"/>
      <c r="K499" s="69"/>
      <c r="L499" s="69"/>
      <c r="M499" s="102"/>
      <c r="N499" s="69"/>
      <c r="O499" s="69"/>
      <c r="P499" s="69"/>
      <c r="Q499" s="69"/>
      <c r="R499" s="69"/>
      <c r="S499" s="69"/>
    </row>
    <row r="500" s="77" customFormat="true" ht="15" hidden="false" customHeight="false" outlineLevel="1" collapsed="false">
      <c r="B500" s="78"/>
      <c r="C500" s="79" t="n">
        <v>545</v>
      </c>
      <c r="D500" s="80" t="s">
        <v>75</v>
      </c>
      <c r="E500" s="82" t="s">
        <v>856</v>
      </c>
      <c r="F500" s="82" t="s">
        <v>76</v>
      </c>
      <c r="G500" s="88" t="n">
        <v>5</v>
      </c>
      <c r="H500" s="84" t="s">
        <v>77</v>
      </c>
      <c r="I500" s="80" t="s">
        <v>78</v>
      </c>
      <c r="J500" s="80" t="s">
        <v>79</v>
      </c>
      <c r="K500" s="80" t="s">
        <v>80</v>
      </c>
      <c r="L500" s="80" t="s">
        <v>81</v>
      </c>
      <c r="M500" s="79" t="s">
        <v>82</v>
      </c>
      <c r="N500" s="80" t="s">
        <v>83</v>
      </c>
      <c r="O500" s="85" t="n">
        <v>46125</v>
      </c>
      <c r="P500" s="101"/>
      <c r="Q500" s="84"/>
      <c r="R500" s="87"/>
      <c r="S500" s="87"/>
    </row>
    <row r="501" s="77" customFormat="true" ht="15" hidden="false" customHeight="false" outlineLevel="1" collapsed="false">
      <c r="B501" s="78"/>
      <c r="C501" s="79" t="n">
        <v>546</v>
      </c>
      <c r="D501" s="80" t="s">
        <v>102</v>
      </c>
      <c r="E501" s="82" t="s">
        <v>856</v>
      </c>
      <c r="F501" s="82" t="s">
        <v>103</v>
      </c>
      <c r="G501" s="88" t="n">
        <v>1</v>
      </c>
      <c r="H501" s="84" t="s">
        <v>61</v>
      </c>
      <c r="I501" s="80" t="s">
        <v>104</v>
      </c>
      <c r="J501" s="80" t="s">
        <v>105</v>
      </c>
      <c r="K501" s="80" t="s">
        <v>106</v>
      </c>
      <c r="L501" s="80" t="s">
        <v>107</v>
      </c>
      <c r="M501" s="79" t="s">
        <v>107</v>
      </c>
      <c r="N501" s="80" t="s">
        <v>108</v>
      </c>
      <c r="O501" s="85" t="n">
        <v>46125</v>
      </c>
      <c r="P501" s="101"/>
      <c r="Q501" s="84"/>
      <c r="R501" s="87"/>
      <c r="S501" s="87"/>
    </row>
    <row r="502" s="77" customFormat="true" ht="15" hidden="false" customHeight="false" outlineLevel="1" collapsed="false">
      <c r="B502" s="78"/>
      <c r="C502" s="79" t="n">
        <v>547</v>
      </c>
      <c r="D502" s="80" t="s">
        <v>166</v>
      </c>
      <c r="E502" s="82" t="s">
        <v>856</v>
      </c>
      <c r="F502" s="82" t="s">
        <v>167</v>
      </c>
      <c r="G502" s="88" t="n">
        <v>7</v>
      </c>
      <c r="H502" s="84" t="s">
        <v>61</v>
      </c>
      <c r="I502" s="80" t="s">
        <v>168</v>
      </c>
      <c r="J502" s="80" t="s">
        <v>169</v>
      </c>
      <c r="K502" s="80" t="s">
        <v>170</v>
      </c>
      <c r="L502" s="80" t="s">
        <v>171</v>
      </c>
      <c r="M502" s="79" t="s">
        <v>172</v>
      </c>
      <c r="N502" s="80" t="s">
        <v>173</v>
      </c>
      <c r="O502" s="85" t="n">
        <v>46125</v>
      </c>
      <c r="P502" s="101"/>
      <c r="Q502" s="84"/>
      <c r="R502" s="87"/>
      <c r="S502" s="87"/>
    </row>
    <row r="503" s="77" customFormat="true" ht="15" hidden="false" customHeight="false" outlineLevel="1" collapsed="false">
      <c r="B503" s="78"/>
      <c r="C503" s="79" t="n">
        <v>548</v>
      </c>
      <c r="D503" s="80" t="s">
        <v>667</v>
      </c>
      <c r="E503" s="82" t="s">
        <v>856</v>
      </c>
      <c r="F503" s="82" t="s">
        <v>668</v>
      </c>
      <c r="G503" s="88" t="n">
        <v>1</v>
      </c>
      <c r="H503" s="84" t="s">
        <v>61</v>
      </c>
      <c r="I503" s="80" t="s">
        <v>674</v>
      </c>
      <c r="J503" s="80" t="s">
        <v>675</v>
      </c>
      <c r="K503" s="78" t="s">
        <v>676</v>
      </c>
      <c r="L503" s="80" t="s">
        <v>672</v>
      </c>
      <c r="M503" s="79" t="s">
        <v>677</v>
      </c>
      <c r="N503" s="80" t="s">
        <v>673</v>
      </c>
      <c r="O503" s="85" t="n">
        <v>46125</v>
      </c>
      <c r="P503" s="101"/>
      <c r="Q503" s="84"/>
      <c r="R503" s="87"/>
      <c r="S503" s="87"/>
    </row>
    <row r="504" s="77" customFormat="true" ht="15" hidden="false" customHeight="false" outlineLevel="1" collapsed="false">
      <c r="B504" s="78"/>
      <c r="C504" s="79" t="n">
        <v>549</v>
      </c>
      <c r="D504" s="80" t="s">
        <v>198</v>
      </c>
      <c r="E504" s="82" t="s">
        <v>856</v>
      </c>
      <c r="F504" s="82" t="s">
        <v>199</v>
      </c>
      <c r="G504" s="88" t="n">
        <v>3</v>
      </c>
      <c r="H504" s="84" t="s">
        <v>200</v>
      </c>
      <c r="I504" s="80" t="s">
        <v>201</v>
      </c>
      <c r="J504" s="80" t="s">
        <v>202</v>
      </c>
      <c r="K504" s="80" t="s">
        <v>203</v>
      </c>
      <c r="L504" s="80" t="s">
        <v>204</v>
      </c>
      <c r="M504" s="79" t="s">
        <v>205</v>
      </c>
      <c r="N504" s="80" t="s">
        <v>206</v>
      </c>
      <c r="O504" s="85" t="n">
        <v>46125</v>
      </c>
      <c r="P504" s="101"/>
      <c r="Q504" s="84"/>
      <c r="R504" s="87"/>
      <c r="S504" s="87"/>
    </row>
    <row r="505" s="77" customFormat="true" ht="15" hidden="false" customHeight="false" outlineLevel="1" collapsed="false">
      <c r="B505" s="78"/>
      <c r="C505" s="79" t="n">
        <v>550</v>
      </c>
      <c r="D505" s="80" t="s">
        <v>223</v>
      </c>
      <c r="E505" s="82" t="s">
        <v>856</v>
      </c>
      <c r="F505" s="82" t="s">
        <v>224</v>
      </c>
      <c r="G505" s="88" t="n">
        <v>1</v>
      </c>
      <c r="H505" s="84" t="s">
        <v>61</v>
      </c>
      <c r="I505" s="80" t="s">
        <v>225</v>
      </c>
      <c r="J505" s="80" t="s">
        <v>226</v>
      </c>
      <c r="K505" s="80" t="s">
        <v>227</v>
      </c>
      <c r="L505" s="80" t="s">
        <v>228</v>
      </c>
      <c r="M505" s="79" t="s">
        <v>229</v>
      </c>
      <c r="N505" s="80" t="s">
        <v>230</v>
      </c>
      <c r="O505" s="85" t="n">
        <v>46125</v>
      </c>
      <c r="P505" s="101"/>
      <c r="Q505" s="84"/>
      <c r="R505" s="87"/>
      <c r="S505" s="87"/>
    </row>
    <row r="506" s="77" customFormat="true" ht="15" hidden="false" customHeight="false" outlineLevel="1" collapsed="false">
      <c r="B506" s="78"/>
      <c r="C506" s="79" t="n">
        <v>551</v>
      </c>
      <c r="D506" s="80" t="s">
        <v>651</v>
      </c>
      <c r="E506" s="82" t="s">
        <v>856</v>
      </c>
      <c r="F506" s="82" t="s">
        <v>652</v>
      </c>
      <c r="G506" s="88" t="n">
        <v>1</v>
      </c>
      <c r="H506" s="84" t="s">
        <v>111</v>
      </c>
      <c r="I506" s="80" t="s">
        <v>653</v>
      </c>
      <c r="J506" s="80" t="s">
        <v>654</v>
      </c>
      <c r="K506" s="80" t="s">
        <v>655</v>
      </c>
      <c r="L506" s="80" t="s">
        <v>656</v>
      </c>
      <c r="M506" s="79" t="s">
        <v>657</v>
      </c>
      <c r="N506" s="80" t="s">
        <v>658</v>
      </c>
      <c r="O506" s="85" t="n">
        <v>46125</v>
      </c>
      <c r="P506" s="101"/>
      <c r="Q506" s="84"/>
      <c r="R506" s="87"/>
      <c r="S506" s="87"/>
    </row>
    <row r="507" s="77" customFormat="true" ht="15" hidden="false" customHeight="false" outlineLevel="1" collapsed="false">
      <c r="B507" s="78"/>
      <c r="C507" s="79" t="n">
        <v>552</v>
      </c>
      <c r="D507" s="80" t="s">
        <v>270</v>
      </c>
      <c r="E507" s="82" t="s">
        <v>856</v>
      </c>
      <c r="F507" s="82" t="s">
        <v>271</v>
      </c>
      <c r="G507" s="88" t="n">
        <v>2</v>
      </c>
      <c r="H507" s="84" t="s">
        <v>61</v>
      </c>
      <c r="I507" s="80" t="s">
        <v>272</v>
      </c>
      <c r="J507" s="80" t="s">
        <v>273</v>
      </c>
      <c r="K507" s="80" t="s">
        <v>274</v>
      </c>
      <c r="L507" s="80" t="s">
        <v>275</v>
      </c>
      <c r="M507" s="79" t="s">
        <v>792</v>
      </c>
      <c r="N507" s="80" t="s">
        <v>277</v>
      </c>
      <c r="O507" s="85" t="n">
        <v>46125</v>
      </c>
      <c r="P507" s="101"/>
      <c r="Q507" s="84"/>
      <c r="R507" s="87"/>
      <c r="S507" s="87"/>
    </row>
    <row r="508" s="77" customFormat="true" ht="15" hidden="false" customHeight="false" outlineLevel="1" collapsed="false">
      <c r="B508" s="78"/>
      <c r="C508" s="79" t="n">
        <v>553</v>
      </c>
      <c r="D508" s="80" t="s">
        <v>743</v>
      </c>
      <c r="E508" s="82" t="s">
        <v>856</v>
      </c>
      <c r="F508" s="82" t="s">
        <v>744</v>
      </c>
      <c r="G508" s="88" t="n">
        <v>1</v>
      </c>
      <c r="H508" s="84" t="s">
        <v>745</v>
      </c>
      <c r="I508" s="80" t="s">
        <v>746</v>
      </c>
      <c r="J508" s="80" t="s">
        <v>747</v>
      </c>
      <c r="K508" s="80" t="s">
        <v>748</v>
      </c>
      <c r="L508" s="80" t="s">
        <v>749</v>
      </c>
      <c r="M508" s="79" t="s">
        <v>750</v>
      </c>
      <c r="N508" s="80" t="s">
        <v>751</v>
      </c>
      <c r="O508" s="85" t="n">
        <v>46125</v>
      </c>
      <c r="P508" s="101"/>
      <c r="Q508" s="84"/>
      <c r="R508" s="87"/>
      <c r="S508" s="87"/>
    </row>
    <row r="509" s="77" customFormat="true" ht="15" hidden="false" customHeight="false" outlineLevel="1" collapsed="false">
      <c r="B509" s="78"/>
      <c r="C509" s="79" t="n">
        <v>554</v>
      </c>
      <c r="D509" s="80" t="s">
        <v>286</v>
      </c>
      <c r="E509" s="82" t="s">
        <v>856</v>
      </c>
      <c r="F509" s="82" t="s">
        <v>287</v>
      </c>
      <c r="G509" s="88" t="n">
        <v>1</v>
      </c>
      <c r="H509" s="84" t="s">
        <v>61</v>
      </c>
      <c r="I509" s="80" t="s">
        <v>288</v>
      </c>
      <c r="J509" s="80" t="s">
        <v>289</v>
      </c>
      <c r="K509" s="80" t="s">
        <v>290</v>
      </c>
      <c r="L509" s="80" t="s">
        <v>291</v>
      </c>
      <c r="M509" s="79" t="s">
        <v>292</v>
      </c>
      <c r="N509" s="80" t="s">
        <v>293</v>
      </c>
      <c r="O509" s="85" t="n">
        <v>46125</v>
      </c>
      <c r="P509" s="101"/>
      <c r="Q509" s="84"/>
      <c r="R509" s="87"/>
      <c r="S509" s="87"/>
    </row>
    <row r="510" s="77" customFormat="true" ht="15" hidden="false" customHeight="false" outlineLevel="1" collapsed="false">
      <c r="B510" s="78"/>
      <c r="C510" s="79" t="n">
        <v>555</v>
      </c>
      <c r="D510" s="80" t="s">
        <v>310</v>
      </c>
      <c r="E510" s="82" t="s">
        <v>856</v>
      </c>
      <c r="F510" s="82" t="s">
        <v>311</v>
      </c>
      <c r="G510" s="88" t="n">
        <v>1</v>
      </c>
      <c r="H510" s="84" t="s">
        <v>152</v>
      </c>
      <c r="I510" s="80" t="s">
        <v>312</v>
      </c>
      <c r="J510" s="80" t="s">
        <v>313</v>
      </c>
      <c r="K510" s="80" t="s">
        <v>314</v>
      </c>
      <c r="L510" s="80" t="s">
        <v>315</v>
      </c>
      <c r="M510" s="79" t="s">
        <v>316</v>
      </c>
      <c r="N510" s="80" t="s">
        <v>317</v>
      </c>
      <c r="O510" s="85" t="n">
        <v>46125</v>
      </c>
      <c r="P510" s="101"/>
      <c r="Q510" s="84"/>
      <c r="R510" s="87"/>
      <c r="S510" s="87"/>
    </row>
    <row r="511" s="77" customFormat="true" ht="15" hidden="false" customHeight="false" outlineLevel="1" collapsed="false">
      <c r="B511" s="78"/>
      <c r="C511" s="79" t="n">
        <v>556</v>
      </c>
      <c r="D511" s="80" t="s">
        <v>802</v>
      </c>
      <c r="E511" s="82" t="s">
        <v>856</v>
      </c>
      <c r="F511" s="82" t="s">
        <v>803</v>
      </c>
      <c r="G511" s="88" t="n">
        <v>3</v>
      </c>
      <c r="H511" s="84" t="s">
        <v>804</v>
      </c>
      <c r="I511" s="80" t="s">
        <v>805</v>
      </c>
      <c r="J511" s="80" t="s">
        <v>806</v>
      </c>
      <c r="K511" s="78" t="s">
        <v>807</v>
      </c>
      <c r="L511" s="80" t="s">
        <v>808</v>
      </c>
      <c r="M511" s="79" t="s">
        <v>809</v>
      </c>
      <c r="N511" s="80" t="s">
        <v>810</v>
      </c>
      <c r="O511" s="85" t="n">
        <v>46125</v>
      </c>
      <c r="P511" s="101"/>
      <c r="Q511" s="84"/>
      <c r="R511" s="87"/>
      <c r="S511" s="87"/>
    </row>
    <row r="512" s="77" customFormat="true" ht="15" hidden="false" customHeight="false" outlineLevel="1" collapsed="false">
      <c r="B512" s="78"/>
      <c r="C512" s="79" t="n">
        <v>557</v>
      </c>
      <c r="D512" s="80" t="s">
        <v>366</v>
      </c>
      <c r="E512" s="82" t="s">
        <v>856</v>
      </c>
      <c r="F512" s="82" t="s">
        <v>367</v>
      </c>
      <c r="G512" s="88" t="n">
        <v>4</v>
      </c>
      <c r="H512" s="84" t="s">
        <v>368</v>
      </c>
      <c r="I512" s="80" t="s">
        <v>369</v>
      </c>
      <c r="J512" s="80" t="s">
        <v>370</v>
      </c>
      <c r="K512" s="80" t="s">
        <v>371</v>
      </c>
      <c r="L512" s="80" t="s">
        <v>372</v>
      </c>
      <c r="M512" s="79" t="s">
        <v>682</v>
      </c>
      <c r="N512" s="80" t="s">
        <v>374</v>
      </c>
      <c r="O512" s="85" t="n">
        <v>46125</v>
      </c>
      <c r="P512" s="101"/>
      <c r="Q512" s="84"/>
      <c r="R512" s="87"/>
      <c r="S512" s="87"/>
    </row>
    <row r="513" s="77" customFormat="true" ht="15" hidden="false" customHeight="false" outlineLevel="1" collapsed="false">
      <c r="B513" s="78"/>
      <c r="C513" s="79" t="n">
        <v>558</v>
      </c>
      <c r="D513" s="80" t="s">
        <v>375</v>
      </c>
      <c r="E513" s="82" t="s">
        <v>856</v>
      </c>
      <c r="F513" s="82" t="s">
        <v>376</v>
      </c>
      <c r="G513" s="88" t="n">
        <v>2</v>
      </c>
      <c r="H513" s="84" t="s">
        <v>111</v>
      </c>
      <c r="I513" s="80" t="s">
        <v>377</v>
      </c>
      <c r="J513" s="80" t="s">
        <v>378</v>
      </c>
      <c r="K513" s="80" t="s">
        <v>379</v>
      </c>
      <c r="L513" s="80" t="s">
        <v>380</v>
      </c>
      <c r="M513" s="79" t="s">
        <v>381</v>
      </c>
      <c r="N513" s="80" t="s">
        <v>382</v>
      </c>
      <c r="O513" s="85" t="n">
        <v>46125</v>
      </c>
      <c r="P513" s="101"/>
      <c r="Q513" s="84"/>
      <c r="R513" s="87"/>
      <c r="S513" s="87"/>
    </row>
    <row r="514" s="77" customFormat="true" ht="15" hidden="false" customHeight="false" outlineLevel="1" collapsed="false">
      <c r="B514" s="78"/>
      <c r="C514" s="79" t="n">
        <v>559</v>
      </c>
      <c r="D514" s="80" t="s">
        <v>399</v>
      </c>
      <c r="E514" s="82" t="s">
        <v>856</v>
      </c>
      <c r="F514" s="82" t="s">
        <v>400</v>
      </c>
      <c r="G514" s="88" t="n">
        <v>1</v>
      </c>
      <c r="H514" s="84" t="s">
        <v>152</v>
      </c>
      <c r="I514" s="80" t="s">
        <v>401</v>
      </c>
      <c r="J514" s="80" t="s">
        <v>402</v>
      </c>
      <c r="K514" s="80" t="s">
        <v>403</v>
      </c>
      <c r="L514" s="80" t="s">
        <v>404</v>
      </c>
      <c r="M514" s="79" t="s">
        <v>791</v>
      </c>
      <c r="N514" s="80" t="s">
        <v>406</v>
      </c>
      <c r="O514" s="85" t="n">
        <v>46125</v>
      </c>
      <c r="P514" s="101"/>
      <c r="Q514" s="84"/>
      <c r="R514" s="87"/>
      <c r="S514" s="87"/>
    </row>
    <row r="515" s="68" customFormat="true" ht="30" hidden="false" customHeight="true" outlineLevel="0" collapsed="false">
      <c r="B515" s="69"/>
      <c r="C515" s="102"/>
      <c r="D515" s="71"/>
      <c r="E515" s="72" t="s">
        <v>1148</v>
      </c>
      <c r="F515" s="73"/>
      <c r="G515" s="74" t="n">
        <f aca="false">SUM(G516:G545)</f>
        <v>78</v>
      </c>
      <c r="H515" s="69"/>
      <c r="I515" s="69"/>
      <c r="J515" s="69"/>
      <c r="K515" s="69"/>
      <c r="L515" s="69"/>
      <c r="M515" s="102"/>
      <c r="N515" s="69"/>
      <c r="O515" s="69"/>
      <c r="P515" s="69"/>
      <c r="Q515" s="69"/>
      <c r="R515" s="69"/>
      <c r="S515" s="69"/>
    </row>
    <row r="516" s="77" customFormat="true" ht="15" hidden="false" customHeight="false" outlineLevel="2" collapsed="false">
      <c r="B516" s="78"/>
      <c r="C516" s="79" t="n">
        <v>560</v>
      </c>
      <c r="D516" s="80" t="s">
        <v>21</v>
      </c>
      <c r="E516" s="82" t="s">
        <v>1148</v>
      </c>
      <c r="F516" s="82" t="s">
        <v>22</v>
      </c>
      <c r="G516" s="88" t="n">
        <v>1</v>
      </c>
      <c r="H516" s="84" t="s">
        <v>24</v>
      </c>
      <c r="I516" s="80" t="s">
        <v>25</v>
      </c>
      <c r="J516" s="80" t="s">
        <v>26</v>
      </c>
      <c r="K516" s="80" t="s">
        <v>27</v>
      </c>
      <c r="L516" s="80" t="s">
        <v>28</v>
      </c>
      <c r="M516" s="79" t="s">
        <v>29</v>
      </c>
      <c r="N516" s="80" t="s">
        <v>30</v>
      </c>
      <c r="O516" s="85" t="n">
        <v>46139</v>
      </c>
      <c r="P516" s="101"/>
      <c r="Q516" s="84"/>
      <c r="R516" s="87"/>
      <c r="S516" s="87"/>
    </row>
    <row r="517" s="77" customFormat="true" ht="15" hidden="false" customHeight="false" outlineLevel="2" collapsed="false">
      <c r="B517" s="78"/>
      <c r="C517" s="79" t="n">
        <v>561</v>
      </c>
      <c r="D517" s="80" t="s">
        <v>811</v>
      </c>
      <c r="E517" s="82" t="s">
        <v>1148</v>
      </c>
      <c r="F517" s="82" t="s">
        <v>812</v>
      </c>
      <c r="G517" s="88" t="n">
        <v>10</v>
      </c>
      <c r="H517" s="84" t="s">
        <v>813</v>
      </c>
      <c r="I517" s="80" t="s">
        <v>814</v>
      </c>
      <c r="J517" s="80" t="s">
        <v>815</v>
      </c>
      <c r="K517" s="80" t="s">
        <v>816</v>
      </c>
      <c r="L517" s="80" t="s">
        <v>817</v>
      </c>
      <c r="M517" s="79" t="s">
        <v>1149</v>
      </c>
      <c r="N517" s="80" t="s">
        <v>819</v>
      </c>
      <c r="O517" s="85" t="n">
        <v>46153</v>
      </c>
      <c r="P517" s="101"/>
      <c r="Q517" s="84"/>
      <c r="R517" s="87"/>
      <c r="S517" s="87"/>
    </row>
    <row r="518" s="77" customFormat="true" ht="15" hidden="false" customHeight="false" outlineLevel="2" collapsed="false">
      <c r="B518" s="78"/>
      <c r="C518" s="79" t="n">
        <v>562</v>
      </c>
      <c r="D518" s="80" t="s">
        <v>59</v>
      </c>
      <c r="E518" s="82" t="s">
        <v>1148</v>
      </c>
      <c r="F518" s="82" t="s">
        <v>60</v>
      </c>
      <c r="G518" s="88" t="n">
        <v>15</v>
      </c>
      <c r="H518" s="84" t="s">
        <v>61</v>
      </c>
      <c r="I518" s="80" t="s">
        <v>62</v>
      </c>
      <c r="J518" s="80" t="s">
        <v>63</v>
      </c>
      <c r="K518" s="80" t="s">
        <v>64</v>
      </c>
      <c r="L518" s="80" t="s">
        <v>65</v>
      </c>
      <c r="M518" s="79" t="s">
        <v>66</v>
      </c>
      <c r="N518" s="80" t="s">
        <v>67</v>
      </c>
      <c r="O518" s="85" t="n">
        <v>46139</v>
      </c>
      <c r="P518" s="101"/>
      <c r="Q518" s="84"/>
      <c r="R518" s="87"/>
      <c r="S518" s="87"/>
    </row>
    <row r="519" s="77" customFormat="true" ht="15" hidden="false" customHeight="false" outlineLevel="2" collapsed="false">
      <c r="B519" s="78"/>
      <c r="C519" s="79" t="n">
        <v>563</v>
      </c>
      <c r="D519" s="80" t="s">
        <v>75</v>
      </c>
      <c r="E519" s="82" t="s">
        <v>1148</v>
      </c>
      <c r="F519" s="82" t="s">
        <v>76</v>
      </c>
      <c r="G519" s="88" t="n">
        <v>8</v>
      </c>
      <c r="H519" s="84" t="s">
        <v>77</v>
      </c>
      <c r="I519" s="80" t="s">
        <v>78</v>
      </c>
      <c r="J519" s="80" t="s">
        <v>79</v>
      </c>
      <c r="K519" s="80" t="s">
        <v>80</v>
      </c>
      <c r="L519" s="80" t="s">
        <v>81</v>
      </c>
      <c r="M519" s="79" t="s">
        <v>82</v>
      </c>
      <c r="N519" s="80" t="s">
        <v>83</v>
      </c>
      <c r="O519" s="85" t="n">
        <v>46139</v>
      </c>
      <c r="P519" s="101"/>
      <c r="Q519" s="84"/>
      <c r="R519" s="87"/>
      <c r="S519" s="87"/>
    </row>
    <row r="520" s="77" customFormat="true" ht="15" hidden="false" customHeight="false" outlineLevel="2" collapsed="false">
      <c r="B520" s="78"/>
      <c r="C520" s="79" t="n">
        <v>564</v>
      </c>
      <c r="D520" s="80" t="s">
        <v>102</v>
      </c>
      <c r="E520" s="82" t="s">
        <v>1148</v>
      </c>
      <c r="F520" s="82" t="s">
        <v>103</v>
      </c>
      <c r="G520" s="88" t="n">
        <v>1</v>
      </c>
      <c r="H520" s="84" t="s">
        <v>61</v>
      </c>
      <c r="I520" s="80" t="s">
        <v>104</v>
      </c>
      <c r="J520" s="80" t="s">
        <v>105</v>
      </c>
      <c r="K520" s="80" t="s">
        <v>106</v>
      </c>
      <c r="L520" s="80" t="s">
        <v>107</v>
      </c>
      <c r="M520" s="79" t="s">
        <v>107</v>
      </c>
      <c r="N520" s="80" t="s">
        <v>108</v>
      </c>
      <c r="O520" s="85" t="n">
        <v>46139</v>
      </c>
      <c r="P520" s="101"/>
      <c r="Q520" s="84"/>
      <c r="R520" s="87"/>
      <c r="S520" s="87"/>
    </row>
    <row r="521" s="77" customFormat="true" ht="15" hidden="false" customHeight="false" outlineLevel="2" collapsed="false">
      <c r="B521" s="78"/>
      <c r="C521" s="79" t="n">
        <v>565</v>
      </c>
      <c r="D521" s="80" t="s">
        <v>117</v>
      </c>
      <c r="E521" s="82" t="s">
        <v>1148</v>
      </c>
      <c r="F521" s="82" t="s">
        <v>118</v>
      </c>
      <c r="G521" s="88" t="n">
        <v>1</v>
      </c>
      <c r="H521" s="84" t="s">
        <v>24</v>
      </c>
      <c r="I521" s="80" t="s">
        <v>119</v>
      </c>
      <c r="J521" s="80" t="s">
        <v>120</v>
      </c>
      <c r="K521" s="80" t="s">
        <v>121</v>
      </c>
      <c r="L521" s="80" t="s">
        <v>122</v>
      </c>
      <c r="M521" s="79" t="s">
        <v>123</v>
      </c>
      <c r="N521" s="80" t="s">
        <v>124</v>
      </c>
      <c r="O521" s="85" t="n">
        <v>46139</v>
      </c>
      <c r="P521" s="101"/>
      <c r="Q521" s="84"/>
      <c r="R521" s="87"/>
      <c r="S521" s="87"/>
    </row>
    <row r="522" s="77" customFormat="true" ht="15" hidden="false" customHeight="false" outlineLevel="2" collapsed="false">
      <c r="B522" s="78"/>
      <c r="C522" s="79" t="n">
        <v>566</v>
      </c>
      <c r="D522" s="80" t="s">
        <v>150</v>
      </c>
      <c r="E522" s="82" t="s">
        <v>1148</v>
      </c>
      <c r="F522" s="82" t="s">
        <v>151</v>
      </c>
      <c r="G522" s="88" t="n">
        <v>1</v>
      </c>
      <c r="H522" s="84" t="s">
        <v>152</v>
      </c>
      <c r="I522" s="80" t="s">
        <v>153</v>
      </c>
      <c r="J522" s="80" t="s">
        <v>154</v>
      </c>
      <c r="K522" s="80" t="s">
        <v>155</v>
      </c>
      <c r="L522" s="80" t="s">
        <v>156</v>
      </c>
      <c r="M522" s="79" t="s">
        <v>1113</v>
      </c>
      <c r="N522" s="80" t="s">
        <v>158</v>
      </c>
      <c r="O522" s="85" t="n">
        <v>46139</v>
      </c>
      <c r="P522" s="101"/>
      <c r="Q522" s="84"/>
      <c r="R522" s="87"/>
      <c r="S522" s="87"/>
    </row>
    <row r="523" s="77" customFormat="true" ht="15" hidden="false" customHeight="false" outlineLevel="2" collapsed="false">
      <c r="B523" s="78"/>
      <c r="C523" s="79" t="n">
        <v>567</v>
      </c>
      <c r="D523" s="80" t="s">
        <v>159</v>
      </c>
      <c r="E523" s="82" t="s">
        <v>1148</v>
      </c>
      <c r="F523" s="82" t="s">
        <v>160</v>
      </c>
      <c r="G523" s="88" t="n">
        <v>1</v>
      </c>
      <c r="H523" s="84" t="s">
        <v>61</v>
      </c>
      <c r="I523" s="80" t="s">
        <v>161</v>
      </c>
      <c r="J523" s="80" t="s">
        <v>162</v>
      </c>
      <c r="K523" s="80" t="s">
        <v>163</v>
      </c>
      <c r="L523" s="80" t="s">
        <v>164</v>
      </c>
      <c r="M523" s="79" t="s">
        <v>164</v>
      </c>
      <c r="N523" s="80" t="s">
        <v>165</v>
      </c>
      <c r="O523" s="85" t="n">
        <v>46139</v>
      </c>
      <c r="P523" s="101"/>
      <c r="Q523" s="84"/>
      <c r="R523" s="87"/>
      <c r="S523" s="87"/>
    </row>
    <row r="524" s="77" customFormat="true" ht="15" hidden="false" customHeight="false" outlineLevel="2" collapsed="false">
      <c r="B524" s="78"/>
      <c r="C524" s="79" t="n">
        <v>568</v>
      </c>
      <c r="D524" s="80" t="s">
        <v>174</v>
      </c>
      <c r="E524" s="82" t="s">
        <v>1148</v>
      </c>
      <c r="F524" s="82" t="s">
        <v>175</v>
      </c>
      <c r="G524" s="88" t="n">
        <v>1</v>
      </c>
      <c r="H524" s="84" t="s">
        <v>152</v>
      </c>
      <c r="I524" s="80" t="s">
        <v>176</v>
      </c>
      <c r="J524" s="80" t="s">
        <v>177</v>
      </c>
      <c r="K524" s="80" t="s">
        <v>178</v>
      </c>
      <c r="L524" s="80" t="s">
        <v>179</v>
      </c>
      <c r="M524" s="79" t="s">
        <v>180</v>
      </c>
      <c r="N524" s="80" t="s">
        <v>181</v>
      </c>
      <c r="O524" s="85" t="n">
        <v>46139</v>
      </c>
      <c r="P524" s="101"/>
      <c r="Q524" s="84"/>
      <c r="R524" s="87"/>
      <c r="S524" s="87"/>
    </row>
    <row r="525" s="77" customFormat="true" ht="15" hidden="false" customHeight="false" outlineLevel="2" collapsed="false">
      <c r="B525" s="78"/>
      <c r="C525" s="79" t="n">
        <v>569</v>
      </c>
      <c r="D525" s="80" t="s">
        <v>667</v>
      </c>
      <c r="E525" s="82" t="s">
        <v>1148</v>
      </c>
      <c r="F525" s="82" t="s">
        <v>668</v>
      </c>
      <c r="G525" s="88" t="n">
        <v>1</v>
      </c>
      <c r="H525" s="84" t="s">
        <v>61</v>
      </c>
      <c r="I525" s="80" t="s">
        <v>674</v>
      </c>
      <c r="J525" s="80" t="s">
        <v>675</v>
      </c>
      <c r="K525" s="78" t="s">
        <v>676</v>
      </c>
      <c r="L525" s="80" t="s">
        <v>672</v>
      </c>
      <c r="M525" s="79" t="s">
        <v>677</v>
      </c>
      <c r="N525" s="80" t="s">
        <v>673</v>
      </c>
      <c r="O525" s="85" t="n">
        <v>46139</v>
      </c>
      <c r="P525" s="101"/>
      <c r="Q525" s="84"/>
      <c r="R525" s="87"/>
      <c r="S525" s="87"/>
    </row>
    <row r="526" s="77" customFormat="true" ht="54" hidden="false" customHeight="true" outlineLevel="2" collapsed="false">
      <c r="B526" s="78"/>
      <c r="C526" s="79" t="s">
        <v>1150</v>
      </c>
      <c r="D526" s="80" t="s">
        <v>190</v>
      </c>
      <c r="E526" s="82" t="s">
        <v>1148</v>
      </c>
      <c r="F526" s="82" t="s">
        <v>191</v>
      </c>
      <c r="G526" s="88" t="n">
        <v>3</v>
      </c>
      <c r="H526" s="84" t="s">
        <v>24</v>
      </c>
      <c r="I526" s="96" t="s">
        <v>1151</v>
      </c>
      <c r="J526" s="96" t="s">
        <v>1152</v>
      </c>
      <c r="K526" s="96" t="s">
        <v>1153</v>
      </c>
      <c r="L526" s="80" t="s">
        <v>195</v>
      </c>
      <c r="M526" s="79" t="s">
        <v>1154</v>
      </c>
      <c r="N526" s="80" t="s">
        <v>197</v>
      </c>
      <c r="O526" s="85" t="n">
        <v>46139</v>
      </c>
      <c r="P526" s="101"/>
      <c r="Q526" s="84"/>
      <c r="R526" s="87"/>
      <c r="S526" s="87"/>
    </row>
    <row r="527" s="77" customFormat="true" ht="15" hidden="false" customHeight="false" outlineLevel="2" collapsed="false">
      <c r="B527" s="78"/>
      <c r="C527" s="79" t="n">
        <v>571</v>
      </c>
      <c r="D527" s="80" t="s">
        <v>198</v>
      </c>
      <c r="E527" s="82" t="s">
        <v>1148</v>
      </c>
      <c r="F527" s="82" t="s">
        <v>199</v>
      </c>
      <c r="G527" s="88" t="n">
        <v>3</v>
      </c>
      <c r="H527" s="84" t="s">
        <v>200</v>
      </c>
      <c r="I527" s="80" t="s">
        <v>201</v>
      </c>
      <c r="J527" s="80" t="s">
        <v>202</v>
      </c>
      <c r="K527" s="80" t="s">
        <v>203</v>
      </c>
      <c r="L527" s="80" t="s">
        <v>204</v>
      </c>
      <c r="M527" s="79" t="s">
        <v>205</v>
      </c>
      <c r="N527" s="80" t="s">
        <v>206</v>
      </c>
      <c r="O527" s="85" t="n">
        <v>46139</v>
      </c>
      <c r="P527" s="101"/>
      <c r="Q527" s="84"/>
      <c r="R527" s="87"/>
      <c r="S527" s="87"/>
    </row>
    <row r="528" s="77" customFormat="true" ht="15" hidden="false" customHeight="false" outlineLevel="2" collapsed="false">
      <c r="B528" s="78"/>
      <c r="C528" s="79" t="n">
        <v>572</v>
      </c>
      <c r="D528" s="80" t="s">
        <v>223</v>
      </c>
      <c r="E528" s="82" t="s">
        <v>1148</v>
      </c>
      <c r="F528" s="82" t="s">
        <v>224</v>
      </c>
      <c r="G528" s="88" t="n">
        <v>1</v>
      </c>
      <c r="H528" s="84" t="s">
        <v>61</v>
      </c>
      <c r="I528" s="80" t="s">
        <v>225</v>
      </c>
      <c r="J528" s="80" t="s">
        <v>226</v>
      </c>
      <c r="K528" s="80" t="s">
        <v>227</v>
      </c>
      <c r="L528" s="80" t="s">
        <v>228</v>
      </c>
      <c r="M528" s="79" t="s">
        <v>229</v>
      </c>
      <c r="N528" s="80" t="s">
        <v>230</v>
      </c>
      <c r="O528" s="85" t="n">
        <v>46139</v>
      </c>
      <c r="P528" s="101"/>
      <c r="Q528" s="84"/>
      <c r="R528" s="87"/>
      <c r="S528" s="87"/>
    </row>
    <row r="529" s="77" customFormat="true" ht="15" hidden="false" customHeight="false" outlineLevel="2" collapsed="false">
      <c r="B529" s="78"/>
      <c r="C529" s="79" t="n">
        <v>573</v>
      </c>
      <c r="D529" s="80" t="s">
        <v>231</v>
      </c>
      <c r="E529" s="82" t="s">
        <v>1148</v>
      </c>
      <c r="F529" s="82" t="s">
        <v>232</v>
      </c>
      <c r="G529" s="88" t="n">
        <v>2</v>
      </c>
      <c r="H529" s="84" t="s">
        <v>61</v>
      </c>
      <c r="I529" s="80" t="s">
        <v>697</v>
      </c>
      <c r="J529" s="80" t="s">
        <v>698</v>
      </c>
      <c r="K529" s="80" t="s">
        <v>699</v>
      </c>
      <c r="L529" s="80" t="s">
        <v>236</v>
      </c>
      <c r="M529" s="79" t="s">
        <v>700</v>
      </c>
      <c r="N529" s="80" t="s">
        <v>238</v>
      </c>
      <c r="O529" s="85" t="n">
        <v>46139</v>
      </c>
      <c r="P529" s="101"/>
      <c r="Q529" s="84"/>
      <c r="R529" s="87"/>
      <c r="S529" s="87"/>
    </row>
    <row r="530" s="77" customFormat="true" ht="15" hidden="false" customHeight="false" outlineLevel="2" collapsed="false">
      <c r="B530" s="78"/>
      <c r="C530" s="79" t="n">
        <v>574</v>
      </c>
      <c r="D530" s="80" t="s">
        <v>239</v>
      </c>
      <c r="E530" s="82" t="s">
        <v>1148</v>
      </c>
      <c r="F530" s="82" t="s">
        <v>240</v>
      </c>
      <c r="G530" s="88" t="n">
        <v>1</v>
      </c>
      <c r="H530" s="84" t="s">
        <v>24</v>
      </c>
      <c r="I530" s="80" t="s">
        <v>241</v>
      </c>
      <c r="J530" s="80" t="s">
        <v>242</v>
      </c>
      <c r="K530" s="80" t="s">
        <v>243</v>
      </c>
      <c r="L530" s="80" t="s">
        <v>244</v>
      </c>
      <c r="M530" s="79" t="s">
        <v>714</v>
      </c>
      <c r="N530" s="80" t="s">
        <v>246</v>
      </c>
      <c r="O530" s="85" t="n">
        <v>46139</v>
      </c>
      <c r="P530" s="101"/>
      <c r="Q530" s="84"/>
      <c r="R530" s="87"/>
      <c r="S530" s="87"/>
    </row>
    <row r="531" s="77" customFormat="true" ht="15" hidden="false" customHeight="false" outlineLevel="2" collapsed="false">
      <c r="B531" s="78"/>
      <c r="C531" s="79" t="n">
        <v>575</v>
      </c>
      <c r="D531" s="80" t="s">
        <v>651</v>
      </c>
      <c r="E531" s="82" t="s">
        <v>1148</v>
      </c>
      <c r="F531" s="82" t="s">
        <v>652</v>
      </c>
      <c r="G531" s="88" t="n">
        <v>1</v>
      </c>
      <c r="H531" s="84" t="s">
        <v>111</v>
      </c>
      <c r="I531" s="80" t="s">
        <v>653</v>
      </c>
      <c r="J531" s="80" t="s">
        <v>654</v>
      </c>
      <c r="K531" s="80" t="s">
        <v>655</v>
      </c>
      <c r="L531" s="80" t="s">
        <v>656</v>
      </c>
      <c r="M531" s="79" t="s">
        <v>657</v>
      </c>
      <c r="N531" s="80" t="s">
        <v>658</v>
      </c>
      <c r="O531" s="85" t="n">
        <v>46139</v>
      </c>
      <c r="P531" s="101"/>
      <c r="Q531" s="84"/>
      <c r="R531" s="87"/>
      <c r="S531" s="87"/>
    </row>
    <row r="532" s="77" customFormat="true" ht="15" hidden="false" customHeight="false" outlineLevel="2" collapsed="false">
      <c r="B532" s="78"/>
      <c r="C532" s="79" t="n">
        <v>576</v>
      </c>
      <c r="D532" s="80" t="s">
        <v>270</v>
      </c>
      <c r="E532" s="82" t="s">
        <v>1148</v>
      </c>
      <c r="F532" s="82" t="s">
        <v>271</v>
      </c>
      <c r="G532" s="88" t="n">
        <v>2</v>
      </c>
      <c r="H532" s="84" t="s">
        <v>61</v>
      </c>
      <c r="I532" s="80" t="s">
        <v>272</v>
      </c>
      <c r="J532" s="80" t="s">
        <v>273</v>
      </c>
      <c r="K532" s="80" t="s">
        <v>274</v>
      </c>
      <c r="L532" s="80" t="s">
        <v>275</v>
      </c>
      <c r="M532" s="79" t="s">
        <v>792</v>
      </c>
      <c r="N532" s="80" t="s">
        <v>277</v>
      </c>
      <c r="O532" s="85" t="n">
        <v>46139</v>
      </c>
      <c r="P532" s="101"/>
      <c r="Q532" s="84"/>
      <c r="R532" s="87"/>
      <c r="S532" s="87"/>
    </row>
    <row r="533" s="77" customFormat="true" ht="15" hidden="false" customHeight="false" outlineLevel="2" collapsed="false">
      <c r="B533" s="78"/>
      <c r="C533" s="79" t="n">
        <v>577</v>
      </c>
      <c r="D533" s="80" t="s">
        <v>294</v>
      </c>
      <c r="E533" s="82" t="s">
        <v>1148</v>
      </c>
      <c r="F533" s="82" t="s">
        <v>295</v>
      </c>
      <c r="G533" s="88" t="n">
        <v>1</v>
      </c>
      <c r="H533" s="84" t="s">
        <v>61</v>
      </c>
      <c r="I533" s="80" t="s">
        <v>908</v>
      </c>
      <c r="J533" s="80" t="s">
        <v>909</v>
      </c>
      <c r="K533" s="80" t="s">
        <v>910</v>
      </c>
      <c r="L533" s="80" t="s">
        <v>299</v>
      </c>
      <c r="M533" s="79" t="s">
        <v>300</v>
      </c>
      <c r="N533" s="80" t="s">
        <v>301</v>
      </c>
      <c r="O533" s="85" t="n">
        <v>46139</v>
      </c>
      <c r="P533" s="101"/>
      <c r="Q533" s="84"/>
      <c r="R533" s="87"/>
      <c r="S533" s="87"/>
    </row>
    <row r="534" s="77" customFormat="true" ht="15" hidden="false" customHeight="false" outlineLevel="2" collapsed="false">
      <c r="B534" s="78"/>
      <c r="C534" s="79" t="n">
        <v>578</v>
      </c>
      <c r="D534" s="80" t="s">
        <v>342</v>
      </c>
      <c r="E534" s="82" t="s">
        <v>1148</v>
      </c>
      <c r="F534" s="82" t="s">
        <v>343</v>
      </c>
      <c r="G534" s="88" t="n">
        <v>1</v>
      </c>
      <c r="H534" s="84" t="s">
        <v>24</v>
      </c>
      <c r="I534" s="80" t="s">
        <v>344</v>
      </c>
      <c r="J534" s="80" t="s">
        <v>345</v>
      </c>
      <c r="K534" s="80" t="s">
        <v>346</v>
      </c>
      <c r="L534" s="80" t="s">
        <v>347</v>
      </c>
      <c r="M534" s="79" t="s">
        <v>348</v>
      </c>
      <c r="N534" s="80" t="s">
        <v>349</v>
      </c>
      <c r="O534" s="85" t="n">
        <v>46139</v>
      </c>
      <c r="P534" s="101"/>
      <c r="Q534" s="84"/>
      <c r="R534" s="87"/>
      <c r="S534" s="87"/>
    </row>
    <row r="535" s="77" customFormat="true" ht="15" hidden="false" customHeight="false" outlineLevel="2" collapsed="false">
      <c r="B535" s="78"/>
      <c r="C535" s="79" t="n">
        <v>579</v>
      </c>
      <c r="D535" s="80" t="s">
        <v>350</v>
      </c>
      <c r="E535" s="82" t="s">
        <v>1148</v>
      </c>
      <c r="F535" s="82" t="s">
        <v>351</v>
      </c>
      <c r="G535" s="88" t="n">
        <v>2</v>
      </c>
      <c r="H535" s="84" t="s">
        <v>152</v>
      </c>
      <c r="I535" s="80" t="s">
        <v>352</v>
      </c>
      <c r="J535" s="80" t="s">
        <v>353</v>
      </c>
      <c r="K535" s="80" t="s">
        <v>354</v>
      </c>
      <c r="L535" s="80" t="s">
        <v>355</v>
      </c>
      <c r="M535" s="79" t="s">
        <v>355</v>
      </c>
      <c r="N535" s="80" t="s">
        <v>356</v>
      </c>
      <c r="O535" s="85" t="n">
        <v>46139</v>
      </c>
      <c r="P535" s="101"/>
      <c r="Q535" s="84"/>
      <c r="R535" s="87"/>
      <c r="S535" s="87"/>
    </row>
    <row r="536" s="77" customFormat="true" ht="15" hidden="false" customHeight="false" outlineLevel="2" collapsed="false">
      <c r="B536" s="78"/>
      <c r="C536" s="79" t="n">
        <v>580</v>
      </c>
      <c r="D536" s="80" t="s">
        <v>802</v>
      </c>
      <c r="E536" s="82" t="s">
        <v>1148</v>
      </c>
      <c r="F536" s="82" t="s">
        <v>803</v>
      </c>
      <c r="G536" s="88" t="n">
        <v>4</v>
      </c>
      <c r="H536" s="84" t="s">
        <v>804</v>
      </c>
      <c r="I536" s="80" t="s">
        <v>805</v>
      </c>
      <c r="J536" s="80" t="s">
        <v>806</v>
      </c>
      <c r="K536" s="78" t="s">
        <v>807</v>
      </c>
      <c r="L536" s="80" t="s">
        <v>808</v>
      </c>
      <c r="M536" s="79" t="s">
        <v>809</v>
      </c>
      <c r="N536" s="80" t="s">
        <v>810</v>
      </c>
      <c r="O536" s="85" t="n">
        <v>46139</v>
      </c>
      <c r="P536" s="101"/>
      <c r="Q536" s="84"/>
      <c r="R536" s="87"/>
      <c r="S536" s="87"/>
    </row>
    <row r="537" s="77" customFormat="true" ht="15" hidden="false" customHeight="false" outlineLevel="2" collapsed="false">
      <c r="B537" s="78"/>
      <c r="C537" s="79" t="n">
        <v>581</v>
      </c>
      <c r="D537" s="80" t="s">
        <v>366</v>
      </c>
      <c r="E537" s="82" t="s">
        <v>1148</v>
      </c>
      <c r="F537" s="82" t="s">
        <v>367</v>
      </c>
      <c r="G537" s="88" t="n">
        <v>4</v>
      </c>
      <c r="H537" s="84" t="s">
        <v>368</v>
      </c>
      <c r="I537" s="80" t="s">
        <v>369</v>
      </c>
      <c r="J537" s="80" t="s">
        <v>370</v>
      </c>
      <c r="K537" s="80" t="s">
        <v>371</v>
      </c>
      <c r="L537" s="80" t="s">
        <v>372</v>
      </c>
      <c r="M537" s="79" t="s">
        <v>682</v>
      </c>
      <c r="N537" s="80" t="s">
        <v>374</v>
      </c>
      <c r="O537" s="85" t="n">
        <v>46139</v>
      </c>
      <c r="P537" s="101"/>
      <c r="Q537" s="84"/>
      <c r="R537" s="87"/>
      <c r="S537" s="87"/>
    </row>
    <row r="538" s="77" customFormat="true" ht="15" hidden="false" customHeight="false" outlineLevel="2" collapsed="false">
      <c r="B538" s="78"/>
      <c r="C538" s="79" t="n">
        <v>582</v>
      </c>
      <c r="D538" s="80" t="s">
        <v>375</v>
      </c>
      <c r="E538" s="82" t="s">
        <v>1148</v>
      </c>
      <c r="F538" s="82" t="s">
        <v>376</v>
      </c>
      <c r="G538" s="88" t="n">
        <v>3</v>
      </c>
      <c r="H538" s="84" t="s">
        <v>111</v>
      </c>
      <c r="I538" s="80" t="s">
        <v>377</v>
      </c>
      <c r="J538" s="80" t="s">
        <v>378</v>
      </c>
      <c r="K538" s="80" t="s">
        <v>379</v>
      </c>
      <c r="L538" s="80" t="s">
        <v>380</v>
      </c>
      <c r="M538" s="79" t="s">
        <v>381</v>
      </c>
      <c r="N538" s="80" t="s">
        <v>382</v>
      </c>
      <c r="O538" s="85" t="n">
        <v>46139</v>
      </c>
      <c r="P538" s="101"/>
      <c r="Q538" s="84"/>
      <c r="R538" s="87"/>
      <c r="S538" s="87"/>
    </row>
    <row r="539" s="77" customFormat="true" ht="15" hidden="false" customHeight="false" outlineLevel="2" collapsed="false">
      <c r="B539" s="78"/>
      <c r="C539" s="79" t="n">
        <v>583</v>
      </c>
      <c r="D539" s="80" t="s">
        <v>383</v>
      </c>
      <c r="E539" s="82" t="s">
        <v>1148</v>
      </c>
      <c r="F539" s="82" t="s">
        <v>384</v>
      </c>
      <c r="G539" s="88" t="n">
        <v>2</v>
      </c>
      <c r="H539" s="84" t="s">
        <v>61</v>
      </c>
      <c r="I539" s="80" t="s">
        <v>385</v>
      </c>
      <c r="J539" s="80" t="s">
        <v>386</v>
      </c>
      <c r="K539" s="80" t="s">
        <v>387</v>
      </c>
      <c r="L539" s="80" t="s">
        <v>388</v>
      </c>
      <c r="M539" s="79" t="s">
        <v>389</v>
      </c>
      <c r="N539" s="80" t="s">
        <v>390</v>
      </c>
      <c r="O539" s="85" t="n">
        <v>46139</v>
      </c>
      <c r="P539" s="101"/>
      <c r="Q539" s="84"/>
      <c r="R539" s="87"/>
      <c r="S539" s="87"/>
    </row>
    <row r="540" s="77" customFormat="true" ht="15" hidden="false" customHeight="false" outlineLevel="2" collapsed="false">
      <c r="B540" s="78"/>
      <c r="C540" s="79" t="n">
        <v>584</v>
      </c>
      <c r="D540" s="80" t="s">
        <v>399</v>
      </c>
      <c r="E540" s="82" t="s">
        <v>1148</v>
      </c>
      <c r="F540" s="82" t="s">
        <v>400</v>
      </c>
      <c r="G540" s="88" t="n">
        <v>1</v>
      </c>
      <c r="H540" s="84" t="s">
        <v>152</v>
      </c>
      <c r="I540" s="80" t="s">
        <v>401</v>
      </c>
      <c r="J540" s="80" t="s">
        <v>402</v>
      </c>
      <c r="K540" s="80" t="s">
        <v>403</v>
      </c>
      <c r="L540" s="80" t="s">
        <v>404</v>
      </c>
      <c r="M540" s="79" t="s">
        <v>791</v>
      </c>
      <c r="N540" s="80" t="s">
        <v>406</v>
      </c>
      <c r="O540" s="85" t="n">
        <v>46139</v>
      </c>
      <c r="P540" s="101"/>
      <c r="Q540" s="84"/>
      <c r="R540" s="87"/>
      <c r="S540" s="87"/>
    </row>
    <row r="541" s="77" customFormat="true" ht="30" hidden="false" customHeight="true" outlineLevel="2" collapsed="false">
      <c r="B541" s="78"/>
      <c r="C541" s="79" t="n">
        <v>585</v>
      </c>
      <c r="D541" s="80" t="s">
        <v>431</v>
      </c>
      <c r="E541" s="80" t="s">
        <v>1148</v>
      </c>
      <c r="F541" s="82" t="s">
        <v>432</v>
      </c>
      <c r="G541" s="88" t="n">
        <v>1</v>
      </c>
      <c r="H541" s="84" t="s">
        <v>152</v>
      </c>
      <c r="I541" s="80" t="s">
        <v>868</v>
      </c>
      <c r="J541" s="80" t="s">
        <v>869</v>
      </c>
      <c r="K541" s="80" t="s">
        <v>870</v>
      </c>
      <c r="L541" s="80" t="s">
        <v>436</v>
      </c>
      <c r="M541" s="79" t="s">
        <v>1146</v>
      </c>
      <c r="N541" s="80" t="s">
        <v>438</v>
      </c>
      <c r="O541" s="85" t="n">
        <v>46139</v>
      </c>
      <c r="P541" s="101"/>
      <c r="Q541" s="84"/>
      <c r="R541" s="87"/>
      <c r="S541" s="87"/>
    </row>
    <row r="542" s="77" customFormat="true" ht="15" hidden="false" customHeight="false" outlineLevel="2" collapsed="false">
      <c r="B542" s="78"/>
      <c r="C542" s="79" t="n">
        <v>586</v>
      </c>
      <c r="D542" s="80" t="s">
        <v>571</v>
      </c>
      <c r="E542" s="82" t="s">
        <v>1148</v>
      </c>
      <c r="F542" s="82" t="s">
        <v>572</v>
      </c>
      <c r="G542" s="88" t="n">
        <v>2</v>
      </c>
      <c r="H542" s="84" t="s">
        <v>573</v>
      </c>
      <c r="I542" s="80" t="s">
        <v>574</v>
      </c>
      <c r="J542" s="80" t="s">
        <v>575</v>
      </c>
      <c r="K542" s="80" t="s">
        <v>576</v>
      </c>
      <c r="L542" s="80" t="s">
        <v>577</v>
      </c>
      <c r="M542" s="79" t="s">
        <v>578</v>
      </c>
      <c r="N542" s="80" t="s">
        <v>579</v>
      </c>
      <c r="O542" s="85" t="n">
        <v>46139</v>
      </c>
      <c r="P542" s="101"/>
      <c r="Q542" s="84"/>
      <c r="R542" s="87"/>
      <c r="S542" s="87"/>
    </row>
    <row r="543" s="77" customFormat="true" ht="15" hidden="false" customHeight="false" outlineLevel="2" collapsed="false">
      <c r="B543" s="78"/>
      <c r="C543" s="79" t="n">
        <v>587</v>
      </c>
      <c r="D543" s="80" t="s">
        <v>463</v>
      </c>
      <c r="E543" s="82" t="s">
        <v>1148</v>
      </c>
      <c r="F543" s="82" t="s">
        <v>464</v>
      </c>
      <c r="G543" s="88" t="n">
        <v>2</v>
      </c>
      <c r="H543" s="84" t="s">
        <v>152</v>
      </c>
      <c r="I543" s="80" t="s">
        <v>465</v>
      </c>
      <c r="J543" s="80" t="s">
        <v>466</v>
      </c>
      <c r="K543" s="80" t="s">
        <v>467</v>
      </c>
      <c r="L543" s="80" t="s">
        <v>468</v>
      </c>
      <c r="M543" s="79" t="s">
        <v>469</v>
      </c>
      <c r="N543" s="80" t="s">
        <v>470</v>
      </c>
      <c r="O543" s="85" t="n">
        <v>46139</v>
      </c>
      <c r="P543" s="101"/>
      <c r="Q543" s="84"/>
      <c r="R543" s="87"/>
      <c r="S543" s="87"/>
    </row>
    <row r="544" s="77" customFormat="true" ht="15" hidden="false" customHeight="false" outlineLevel="2" collapsed="false">
      <c r="B544" s="78"/>
      <c r="C544" s="79" t="n">
        <v>588</v>
      </c>
      <c r="D544" s="80" t="s">
        <v>471</v>
      </c>
      <c r="E544" s="82" t="s">
        <v>1148</v>
      </c>
      <c r="F544" s="82" t="s">
        <v>472</v>
      </c>
      <c r="G544" s="88" t="n">
        <v>1</v>
      </c>
      <c r="H544" s="84" t="s">
        <v>111</v>
      </c>
      <c r="I544" s="80" t="s">
        <v>473</v>
      </c>
      <c r="J544" s="80" t="s">
        <v>474</v>
      </c>
      <c r="K544" s="80" t="s">
        <v>475</v>
      </c>
      <c r="L544" s="80" t="s">
        <v>476</v>
      </c>
      <c r="M544" s="79" t="s">
        <v>476</v>
      </c>
      <c r="N544" s="80" t="s">
        <v>477</v>
      </c>
      <c r="O544" s="85" t="n">
        <v>46139</v>
      </c>
      <c r="P544" s="101"/>
      <c r="Q544" s="84"/>
      <c r="R544" s="87"/>
      <c r="S544" s="87"/>
    </row>
    <row r="545" s="77" customFormat="true" ht="15" hidden="false" customHeight="false" outlineLevel="2" collapsed="false">
      <c r="B545" s="78"/>
      <c r="C545" s="79" t="n">
        <v>589</v>
      </c>
      <c r="D545" s="80" t="s">
        <v>588</v>
      </c>
      <c r="E545" s="82" t="s">
        <v>1148</v>
      </c>
      <c r="F545" s="82" t="s">
        <v>589</v>
      </c>
      <c r="G545" s="88" t="n">
        <v>1</v>
      </c>
      <c r="H545" s="84" t="s">
        <v>24</v>
      </c>
      <c r="I545" s="80" t="s">
        <v>590</v>
      </c>
      <c r="J545" s="80" t="s">
        <v>591</v>
      </c>
      <c r="K545" s="80" t="s">
        <v>592</v>
      </c>
      <c r="L545" s="80" t="s">
        <v>593</v>
      </c>
      <c r="M545" s="79" t="s">
        <v>594</v>
      </c>
      <c r="N545" s="80" t="s">
        <v>595</v>
      </c>
      <c r="O545" s="85" t="n">
        <v>46139</v>
      </c>
      <c r="P545" s="101"/>
      <c r="Q545" s="84"/>
      <c r="R545" s="87"/>
      <c r="S545" s="87"/>
    </row>
    <row r="546" s="68" customFormat="true" ht="15" hidden="false" customHeight="false" outlineLevel="0" collapsed="false">
      <c r="B546" s="69"/>
      <c r="C546" s="102"/>
      <c r="D546" s="71"/>
      <c r="E546" s="72" t="s">
        <v>527</v>
      </c>
      <c r="F546" s="73"/>
      <c r="G546" s="74" t="n">
        <f aca="false">SUM(G547:G603)</f>
        <v>131</v>
      </c>
      <c r="H546" s="69"/>
      <c r="I546" s="69"/>
      <c r="J546" s="69"/>
      <c r="K546" s="69"/>
      <c r="L546" s="69"/>
      <c r="M546" s="102"/>
      <c r="N546" s="69"/>
      <c r="O546" s="69"/>
      <c r="P546" s="69"/>
      <c r="Q546" s="69"/>
      <c r="R546" s="69"/>
      <c r="S546" s="69"/>
    </row>
    <row r="547" s="77" customFormat="true" ht="15" hidden="false" customHeight="false" outlineLevel="1" collapsed="false">
      <c r="B547" s="78"/>
      <c r="C547" s="79" t="n">
        <v>590</v>
      </c>
      <c r="D547" s="80" t="s">
        <v>21</v>
      </c>
      <c r="E547" s="82" t="s">
        <v>527</v>
      </c>
      <c r="F547" s="82" t="s">
        <v>22</v>
      </c>
      <c r="G547" s="88" t="n">
        <v>1</v>
      </c>
      <c r="H547" s="84" t="s">
        <v>24</v>
      </c>
      <c r="I547" s="80" t="s">
        <v>25</v>
      </c>
      <c r="J547" s="80" t="s">
        <v>26</v>
      </c>
      <c r="K547" s="80" t="s">
        <v>27</v>
      </c>
      <c r="L547" s="80" t="s">
        <v>28</v>
      </c>
      <c r="M547" s="79" t="s">
        <v>29</v>
      </c>
      <c r="N547" s="80" t="s">
        <v>30</v>
      </c>
      <c r="O547" s="85" t="n">
        <v>46111</v>
      </c>
      <c r="P547" s="101"/>
      <c r="Q547" s="84"/>
      <c r="R547" s="109"/>
      <c r="S547" s="109"/>
    </row>
    <row r="548" s="77" customFormat="true" ht="15" hidden="false" customHeight="false" outlineLevel="1" collapsed="false">
      <c r="B548" s="78"/>
      <c r="C548" s="79" t="n">
        <v>591</v>
      </c>
      <c r="D548" s="80" t="s">
        <v>811</v>
      </c>
      <c r="E548" s="82" t="s">
        <v>527</v>
      </c>
      <c r="F548" s="82" t="s">
        <v>812</v>
      </c>
      <c r="G548" s="88" t="n">
        <v>23</v>
      </c>
      <c r="H548" s="84" t="s">
        <v>813</v>
      </c>
      <c r="I548" s="80" t="s">
        <v>814</v>
      </c>
      <c r="J548" s="80" t="s">
        <v>815</v>
      </c>
      <c r="K548" s="80" t="s">
        <v>816</v>
      </c>
      <c r="L548" s="80" t="s">
        <v>817</v>
      </c>
      <c r="M548" s="79" t="s">
        <v>1149</v>
      </c>
      <c r="N548" s="80" t="s">
        <v>819</v>
      </c>
      <c r="O548" s="85" t="n">
        <v>46153</v>
      </c>
      <c r="P548" s="101"/>
      <c r="Q548" s="84"/>
      <c r="R548" s="109"/>
      <c r="S548" s="109"/>
    </row>
    <row r="549" s="77" customFormat="true" ht="15" hidden="false" customHeight="false" outlineLevel="1" collapsed="false">
      <c r="B549" s="78"/>
      <c r="C549" s="79" t="n">
        <v>592</v>
      </c>
      <c r="D549" s="80" t="s">
        <v>34</v>
      </c>
      <c r="E549" s="82" t="s">
        <v>527</v>
      </c>
      <c r="F549" s="82" t="s">
        <v>35</v>
      </c>
      <c r="G549" s="88" t="n">
        <v>8</v>
      </c>
      <c r="H549" s="84" t="s">
        <v>36</v>
      </c>
      <c r="I549" s="80" t="s">
        <v>37</v>
      </c>
      <c r="J549" s="80" t="s">
        <v>38</v>
      </c>
      <c r="K549" s="80" t="s">
        <v>39</v>
      </c>
      <c r="L549" s="80" t="s">
        <v>40</v>
      </c>
      <c r="M549" s="79" t="s">
        <v>553</v>
      </c>
      <c r="N549" s="80" t="s">
        <v>42</v>
      </c>
      <c r="O549" s="85" t="n">
        <v>46111</v>
      </c>
      <c r="P549" s="101"/>
      <c r="Q549" s="84"/>
      <c r="R549" s="109"/>
      <c r="S549" s="109"/>
    </row>
    <row r="550" s="77" customFormat="true" ht="15" hidden="false" customHeight="false" outlineLevel="1" collapsed="false">
      <c r="B550" s="78"/>
      <c r="C550" s="79" t="n">
        <v>593</v>
      </c>
      <c r="D550" s="80" t="s">
        <v>43</v>
      </c>
      <c r="E550" s="82" t="s">
        <v>527</v>
      </c>
      <c r="F550" s="82" t="s">
        <v>44</v>
      </c>
      <c r="G550" s="88" t="n">
        <v>1</v>
      </c>
      <c r="H550" s="84" t="s">
        <v>24</v>
      </c>
      <c r="I550" s="80" t="s">
        <v>45</v>
      </c>
      <c r="J550" s="80" t="s">
        <v>46</v>
      </c>
      <c r="K550" s="80" t="s">
        <v>47</v>
      </c>
      <c r="L550" s="80" t="s">
        <v>48</v>
      </c>
      <c r="M550" s="79" t="s">
        <v>49</v>
      </c>
      <c r="N550" s="80" t="s">
        <v>50</v>
      </c>
      <c r="O550" s="85" t="n">
        <v>46111</v>
      </c>
      <c r="P550" s="101"/>
      <c r="Q550" s="84"/>
      <c r="R550" s="109"/>
      <c r="S550" s="109"/>
    </row>
    <row r="551" s="77" customFormat="true" ht="15" hidden="false" customHeight="false" outlineLevel="1" collapsed="false">
      <c r="B551" s="78"/>
      <c r="C551" s="79" t="n">
        <v>594</v>
      </c>
      <c r="D551" s="80" t="s">
        <v>51</v>
      </c>
      <c r="E551" s="82" t="s">
        <v>527</v>
      </c>
      <c r="F551" s="82" t="s">
        <v>52</v>
      </c>
      <c r="G551" s="88" t="n">
        <v>2</v>
      </c>
      <c r="H551" s="84" t="s">
        <v>24</v>
      </c>
      <c r="I551" s="80" t="s">
        <v>53</v>
      </c>
      <c r="J551" s="80" t="s">
        <v>54</v>
      </c>
      <c r="K551" s="80" t="s">
        <v>55</v>
      </c>
      <c r="L551" s="80" t="s">
        <v>56</v>
      </c>
      <c r="M551" s="79" t="s">
        <v>57</v>
      </c>
      <c r="N551" s="80" t="s">
        <v>58</v>
      </c>
      <c r="O551" s="85" t="n">
        <v>46111</v>
      </c>
      <c r="P551" s="101"/>
      <c r="Q551" s="84"/>
      <c r="R551" s="109"/>
      <c r="S551" s="109"/>
    </row>
    <row r="552" s="77" customFormat="true" ht="15" hidden="false" customHeight="false" outlineLevel="1" collapsed="false">
      <c r="B552" s="78"/>
      <c r="C552" s="79" t="n">
        <v>595</v>
      </c>
      <c r="D552" s="80" t="s">
        <v>562</v>
      </c>
      <c r="E552" s="82" t="s">
        <v>527</v>
      </c>
      <c r="F552" s="82" t="s">
        <v>563</v>
      </c>
      <c r="G552" s="88" t="n">
        <v>1</v>
      </c>
      <c r="H552" s="84" t="s">
        <v>61</v>
      </c>
      <c r="I552" s="80" t="s">
        <v>564</v>
      </c>
      <c r="J552" s="80" t="s">
        <v>565</v>
      </c>
      <c r="K552" s="80" t="s">
        <v>566</v>
      </c>
      <c r="L552" s="80" t="s">
        <v>567</v>
      </c>
      <c r="M552" s="79" t="s">
        <v>568</v>
      </c>
      <c r="N552" s="80" t="s">
        <v>569</v>
      </c>
      <c r="O552" s="85" t="n">
        <v>46111</v>
      </c>
      <c r="P552" s="101"/>
      <c r="Q552" s="84"/>
      <c r="R552" s="109"/>
      <c r="S552" s="109"/>
    </row>
    <row r="553" s="77" customFormat="true" ht="15" hidden="false" customHeight="false" outlineLevel="1" collapsed="false">
      <c r="B553" s="78"/>
      <c r="C553" s="79" t="n">
        <v>596</v>
      </c>
      <c r="D553" s="80" t="s">
        <v>59</v>
      </c>
      <c r="E553" s="82" t="s">
        <v>527</v>
      </c>
      <c r="F553" s="82" t="s">
        <v>60</v>
      </c>
      <c r="G553" s="88" t="n">
        <v>2</v>
      </c>
      <c r="H553" s="84" t="s">
        <v>61</v>
      </c>
      <c r="I553" s="80" t="s">
        <v>62</v>
      </c>
      <c r="J553" s="80" t="s">
        <v>63</v>
      </c>
      <c r="K553" s="80" t="s">
        <v>64</v>
      </c>
      <c r="L553" s="80" t="s">
        <v>65</v>
      </c>
      <c r="M553" s="79" t="s">
        <v>66</v>
      </c>
      <c r="N553" s="80" t="s">
        <v>67</v>
      </c>
      <c r="O553" s="85" t="n">
        <v>46111</v>
      </c>
      <c r="P553" s="101"/>
      <c r="Q553" s="84"/>
      <c r="R553" s="109"/>
      <c r="S553" s="109"/>
    </row>
    <row r="554" s="77" customFormat="true" ht="15" hidden="false" customHeight="false" outlineLevel="1" collapsed="false">
      <c r="B554" s="78"/>
      <c r="C554" s="79" t="n">
        <v>597</v>
      </c>
      <c r="D554" s="80" t="s">
        <v>68</v>
      </c>
      <c r="E554" s="82" t="s">
        <v>527</v>
      </c>
      <c r="F554" s="82" t="s">
        <v>69</v>
      </c>
      <c r="G554" s="88" t="n">
        <v>1</v>
      </c>
      <c r="H554" s="84" t="s">
        <v>61</v>
      </c>
      <c r="I554" s="80" t="s">
        <v>70</v>
      </c>
      <c r="J554" s="80" t="s">
        <v>71</v>
      </c>
      <c r="K554" s="78" t="s">
        <v>72</v>
      </c>
      <c r="L554" s="80" t="s">
        <v>73</v>
      </c>
      <c r="M554" s="79" t="s">
        <v>73</v>
      </c>
      <c r="N554" s="80" t="s">
        <v>74</v>
      </c>
      <c r="O554" s="85" t="n">
        <v>46111</v>
      </c>
      <c r="P554" s="101"/>
      <c r="Q554" s="84"/>
      <c r="R554" s="109"/>
      <c r="S554" s="109"/>
    </row>
    <row r="555" s="77" customFormat="true" ht="15" hidden="false" customHeight="false" outlineLevel="1" collapsed="false">
      <c r="B555" s="78"/>
      <c r="C555" s="79" t="n">
        <v>598</v>
      </c>
      <c r="D555" s="80" t="s">
        <v>75</v>
      </c>
      <c r="E555" s="82" t="s">
        <v>527</v>
      </c>
      <c r="F555" s="82" t="s">
        <v>76</v>
      </c>
      <c r="G555" s="88" t="n">
        <v>1</v>
      </c>
      <c r="H555" s="84" t="s">
        <v>77</v>
      </c>
      <c r="I555" s="80" t="s">
        <v>78</v>
      </c>
      <c r="J555" s="80" t="s">
        <v>79</v>
      </c>
      <c r="K555" s="80" t="s">
        <v>80</v>
      </c>
      <c r="L555" s="80" t="s">
        <v>81</v>
      </c>
      <c r="M555" s="79" t="s">
        <v>82</v>
      </c>
      <c r="N555" s="80" t="s">
        <v>83</v>
      </c>
      <c r="O555" s="85" t="n">
        <v>46111</v>
      </c>
      <c r="P555" s="101"/>
      <c r="Q555" s="84"/>
      <c r="R555" s="109"/>
      <c r="S555" s="109"/>
    </row>
    <row r="556" s="77" customFormat="true" ht="15" hidden="false" customHeight="false" outlineLevel="1" collapsed="false">
      <c r="B556" s="78"/>
      <c r="C556" s="79" t="n">
        <v>599</v>
      </c>
      <c r="D556" s="80" t="s">
        <v>85</v>
      </c>
      <c r="E556" s="82" t="s">
        <v>527</v>
      </c>
      <c r="F556" s="82" t="s">
        <v>86</v>
      </c>
      <c r="G556" s="88" t="n">
        <v>2</v>
      </c>
      <c r="H556" s="84" t="s">
        <v>87</v>
      </c>
      <c r="I556" s="80" t="s">
        <v>88</v>
      </c>
      <c r="J556" s="80" t="s">
        <v>89</v>
      </c>
      <c r="K556" s="80" t="s">
        <v>90</v>
      </c>
      <c r="L556" s="80" t="s">
        <v>91</v>
      </c>
      <c r="M556" s="79" t="s">
        <v>92</v>
      </c>
      <c r="N556" s="80" t="s">
        <v>93</v>
      </c>
      <c r="O556" s="85" t="n">
        <v>46111</v>
      </c>
      <c r="P556" s="101"/>
      <c r="Q556" s="84"/>
      <c r="R556" s="109"/>
      <c r="S556" s="109"/>
    </row>
    <row r="557" s="77" customFormat="true" ht="15" hidden="false" customHeight="false" outlineLevel="1" collapsed="false">
      <c r="B557" s="78"/>
      <c r="C557" s="79" t="n">
        <v>600</v>
      </c>
      <c r="D557" s="80" t="s">
        <v>580</v>
      </c>
      <c r="E557" s="82" t="s">
        <v>527</v>
      </c>
      <c r="F557" s="82" t="s">
        <v>581</v>
      </c>
      <c r="G557" s="88" t="n">
        <v>1</v>
      </c>
      <c r="H557" s="84" t="s">
        <v>61</v>
      </c>
      <c r="I557" s="80" t="s">
        <v>582</v>
      </c>
      <c r="J557" s="80" t="s">
        <v>583</v>
      </c>
      <c r="K557" s="80" t="s">
        <v>584</v>
      </c>
      <c r="L557" s="80" t="s">
        <v>585</v>
      </c>
      <c r="M557" s="79" t="s">
        <v>586</v>
      </c>
      <c r="N557" s="80" t="s">
        <v>587</v>
      </c>
      <c r="O557" s="85" t="n">
        <v>46111</v>
      </c>
      <c r="P557" s="101"/>
      <c r="Q557" s="84"/>
      <c r="R557" s="109"/>
      <c r="S557" s="109"/>
    </row>
    <row r="558" s="77" customFormat="true" ht="30" hidden="false" customHeight="true" outlineLevel="1" collapsed="false">
      <c r="B558" s="78"/>
      <c r="C558" s="79" t="s">
        <v>724</v>
      </c>
      <c r="D558" s="80" t="s">
        <v>725</v>
      </c>
      <c r="E558" s="82" t="s">
        <v>527</v>
      </c>
      <c r="F558" s="82" t="s">
        <v>726</v>
      </c>
      <c r="G558" s="88" t="n">
        <v>2</v>
      </c>
      <c r="H558" s="84" t="s">
        <v>727</v>
      </c>
      <c r="I558" s="80" t="s">
        <v>728</v>
      </c>
      <c r="J558" s="80" t="s">
        <v>729</v>
      </c>
      <c r="K558" s="80" t="s">
        <v>730</v>
      </c>
      <c r="L558" s="80" t="s">
        <v>731</v>
      </c>
      <c r="M558" s="79" t="s">
        <v>732</v>
      </c>
      <c r="N558" s="80" t="s">
        <v>733</v>
      </c>
      <c r="O558" s="85" t="n">
        <v>46111</v>
      </c>
      <c r="P558" s="101"/>
      <c r="Q558" s="84"/>
      <c r="R558" s="109"/>
      <c r="S558" s="109"/>
    </row>
    <row r="559" s="77" customFormat="true" ht="15" hidden="false" customHeight="false" outlineLevel="1" collapsed="false">
      <c r="B559" s="78"/>
      <c r="C559" s="79" t="n">
        <v>602</v>
      </c>
      <c r="D559" s="80" t="s">
        <v>102</v>
      </c>
      <c r="E559" s="82" t="s">
        <v>527</v>
      </c>
      <c r="F559" s="82" t="s">
        <v>103</v>
      </c>
      <c r="G559" s="88" t="n">
        <v>1</v>
      </c>
      <c r="H559" s="84" t="s">
        <v>61</v>
      </c>
      <c r="I559" s="80" t="s">
        <v>104</v>
      </c>
      <c r="J559" s="80" t="s">
        <v>105</v>
      </c>
      <c r="K559" s="80" t="s">
        <v>106</v>
      </c>
      <c r="L559" s="80" t="s">
        <v>107</v>
      </c>
      <c r="M559" s="79" t="s">
        <v>107</v>
      </c>
      <c r="N559" s="80" t="s">
        <v>108</v>
      </c>
      <c r="O559" s="85" t="n">
        <v>46111</v>
      </c>
      <c r="P559" s="101"/>
      <c r="Q559" s="84"/>
      <c r="R559" s="109"/>
      <c r="S559" s="109"/>
    </row>
    <row r="560" s="77" customFormat="true" ht="15" hidden="false" customHeight="false" outlineLevel="1" collapsed="false">
      <c r="B560" s="78"/>
      <c r="C560" s="79" t="n">
        <v>603</v>
      </c>
      <c r="D560" s="80" t="s">
        <v>109</v>
      </c>
      <c r="E560" s="82" t="s">
        <v>527</v>
      </c>
      <c r="F560" s="82" t="s">
        <v>110</v>
      </c>
      <c r="G560" s="88" t="n">
        <v>1</v>
      </c>
      <c r="H560" s="84" t="s">
        <v>111</v>
      </c>
      <c r="I560" s="80" t="s">
        <v>112</v>
      </c>
      <c r="J560" s="80" t="s">
        <v>113</v>
      </c>
      <c r="K560" s="80" t="s">
        <v>114</v>
      </c>
      <c r="L560" s="80" t="s">
        <v>115</v>
      </c>
      <c r="M560" s="79" t="s">
        <v>115</v>
      </c>
      <c r="N560" s="80" t="s">
        <v>116</v>
      </c>
      <c r="O560" s="85" t="n">
        <v>46111</v>
      </c>
      <c r="P560" s="101"/>
      <c r="Q560" s="84"/>
      <c r="R560" s="109"/>
      <c r="S560" s="109"/>
    </row>
    <row r="561" s="77" customFormat="true" ht="15" hidden="false" customHeight="false" outlineLevel="1" collapsed="false">
      <c r="B561" s="78"/>
      <c r="C561" s="79" t="n">
        <v>604</v>
      </c>
      <c r="D561" s="80" t="s">
        <v>125</v>
      </c>
      <c r="E561" s="82" t="s">
        <v>527</v>
      </c>
      <c r="F561" s="82" t="s">
        <v>126</v>
      </c>
      <c r="G561" s="88" t="n">
        <v>1</v>
      </c>
      <c r="H561" s="84" t="s">
        <v>127</v>
      </c>
      <c r="I561" s="80" t="s">
        <v>128</v>
      </c>
      <c r="J561" s="80" t="s">
        <v>129</v>
      </c>
      <c r="K561" s="80" t="s">
        <v>130</v>
      </c>
      <c r="L561" s="80" t="s">
        <v>131</v>
      </c>
      <c r="M561" s="79" t="s">
        <v>132</v>
      </c>
      <c r="N561" s="80" t="s">
        <v>133</v>
      </c>
      <c r="O561" s="85" t="n">
        <v>46111</v>
      </c>
      <c r="P561" s="101"/>
      <c r="Q561" s="84"/>
      <c r="R561" s="109"/>
      <c r="S561" s="109"/>
    </row>
    <row r="562" s="77" customFormat="true" ht="15" hidden="false" customHeight="false" outlineLevel="1" collapsed="false">
      <c r="B562" s="78"/>
      <c r="C562" s="79" t="n">
        <v>605</v>
      </c>
      <c r="D562" s="80" t="s">
        <v>618</v>
      </c>
      <c r="E562" s="82" t="s">
        <v>527</v>
      </c>
      <c r="F562" s="82" t="s">
        <v>619</v>
      </c>
      <c r="G562" s="88" t="n">
        <v>3</v>
      </c>
      <c r="H562" s="84" t="s">
        <v>61</v>
      </c>
      <c r="I562" s="80" t="s">
        <v>620</v>
      </c>
      <c r="J562" s="80" t="s">
        <v>621</v>
      </c>
      <c r="K562" s="80" t="s">
        <v>622</v>
      </c>
      <c r="L562" s="80" t="s">
        <v>623</v>
      </c>
      <c r="M562" s="79" t="s">
        <v>624</v>
      </c>
      <c r="N562" s="80" t="s">
        <v>625</v>
      </c>
      <c r="O562" s="85" t="n">
        <v>46111</v>
      </c>
      <c r="P562" s="101"/>
      <c r="Q562" s="84"/>
      <c r="R562" s="109"/>
      <c r="S562" s="109"/>
    </row>
    <row r="563" s="77" customFormat="true" ht="15" hidden="false" customHeight="false" outlineLevel="1" collapsed="false">
      <c r="B563" s="78"/>
      <c r="C563" s="79" t="n">
        <v>606</v>
      </c>
      <c r="D563" s="80" t="s">
        <v>554</v>
      </c>
      <c r="E563" s="82" t="s">
        <v>527</v>
      </c>
      <c r="F563" s="82" t="s">
        <v>555</v>
      </c>
      <c r="G563" s="88" t="n">
        <v>2</v>
      </c>
      <c r="H563" s="84" t="s">
        <v>61</v>
      </c>
      <c r="I563" s="80" t="s">
        <v>556</v>
      </c>
      <c r="J563" s="80" t="s">
        <v>557</v>
      </c>
      <c r="K563" s="80" t="s">
        <v>558</v>
      </c>
      <c r="L563" s="80" t="s">
        <v>559</v>
      </c>
      <c r="M563" s="79" t="s">
        <v>560</v>
      </c>
      <c r="N563" s="80" t="s">
        <v>561</v>
      </c>
      <c r="O563" s="85" t="n">
        <v>46111</v>
      </c>
      <c r="P563" s="101"/>
      <c r="Q563" s="84"/>
      <c r="R563" s="109"/>
      <c r="S563" s="109"/>
    </row>
    <row r="564" s="77" customFormat="true" ht="15" hidden="false" customHeight="false" outlineLevel="1" collapsed="false">
      <c r="B564" s="78"/>
      <c r="C564" s="79" t="n">
        <v>607</v>
      </c>
      <c r="D564" s="80" t="s">
        <v>166</v>
      </c>
      <c r="E564" s="82" t="s">
        <v>527</v>
      </c>
      <c r="F564" s="82" t="s">
        <v>167</v>
      </c>
      <c r="G564" s="88" t="n">
        <v>1</v>
      </c>
      <c r="H564" s="84" t="s">
        <v>61</v>
      </c>
      <c r="I564" s="80" t="s">
        <v>168</v>
      </c>
      <c r="J564" s="80" t="s">
        <v>169</v>
      </c>
      <c r="K564" s="80" t="s">
        <v>170</v>
      </c>
      <c r="L564" s="80" t="s">
        <v>171</v>
      </c>
      <c r="M564" s="79" t="s">
        <v>172</v>
      </c>
      <c r="N564" s="80" t="s">
        <v>173</v>
      </c>
      <c r="O564" s="85" t="n">
        <v>46111</v>
      </c>
      <c r="P564" s="101"/>
      <c r="Q564" s="84"/>
      <c r="R564" s="109"/>
      <c r="S564" s="109"/>
    </row>
    <row r="565" s="77" customFormat="true" ht="15" hidden="false" customHeight="false" outlineLevel="1" collapsed="false">
      <c r="B565" s="78"/>
      <c r="C565" s="79" t="n">
        <v>608</v>
      </c>
      <c r="D565" s="80" t="s">
        <v>667</v>
      </c>
      <c r="E565" s="82" t="s">
        <v>527</v>
      </c>
      <c r="F565" s="82" t="s">
        <v>668</v>
      </c>
      <c r="G565" s="88" t="n">
        <v>2</v>
      </c>
      <c r="H565" s="84" t="s">
        <v>61</v>
      </c>
      <c r="I565" s="80" t="s">
        <v>674</v>
      </c>
      <c r="J565" s="80" t="s">
        <v>675</v>
      </c>
      <c r="K565" s="78" t="s">
        <v>676</v>
      </c>
      <c r="L565" s="80" t="s">
        <v>672</v>
      </c>
      <c r="M565" s="79" t="s">
        <v>677</v>
      </c>
      <c r="N565" s="80" t="s">
        <v>673</v>
      </c>
      <c r="O565" s="85" t="n">
        <v>46111</v>
      </c>
      <c r="P565" s="101"/>
      <c r="Q565" s="84"/>
      <c r="R565" s="109"/>
      <c r="S565" s="109"/>
    </row>
    <row r="566" s="77" customFormat="true" ht="15" hidden="false" customHeight="false" outlineLevel="1" collapsed="false">
      <c r="B566" s="78"/>
      <c r="C566" s="79" t="n">
        <v>609</v>
      </c>
      <c r="D566" s="80" t="s">
        <v>182</v>
      </c>
      <c r="E566" s="82" t="s">
        <v>527</v>
      </c>
      <c r="F566" s="82" t="s">
        <v>183</v>
      </c>
      <c r="G566" s="88" t="n">
        <v>7</v>
      </c>
      <c r="H566" s="84" t="s">
        <v>111</v>
      </c>
      <c r="I566" s="80" t="s">
        <v>184</v>
      </c>
      <c r="J566" s="80" t="s">
        <v>185</v>
      </c>
      <c r="K566" s="80" t="s">
        <v>186</v>
      </c>
      <c r="L566" s="80" t="s">
        <v>187</v>
      </c>
      <c r="M566" s="79" t="s">
        <v>188</v>
      </c>
      <c r="N566" s="80" t="s">
        <v>189</v>
      </c>
      <c r="O566" s="85" t="n">
        <v>46111</v>
      </c>
      <c r="P566" s="101"/>
      <c r="Q566" s="84"/>
      <c r="R566" s="109"/>
      <c r="S566" s="109"/>
    </row>
    <row r="567" s="77" customFormat="true" ht="30" hidden="false" customHeight="true" outlineLevel="1" collapsed="false">
      <c r="B567" s="78"/>
      <c r="C567" s="79" t="n">
        <v>610</v>
      </c>
      <c r="D567" s="80" t="s">
        <v>190</v>
      </c>
      <c r="E567" s="82" t="s">
        <v>527</v>
      </c>
      <c r="F567" s="82" t="s">
        <v>191</v>
      </c>
      <c r="G567" s="88" t="n">
        <v>1</v>
      </c>
      <c r="H567" s="84" t="s">
        <v>24</v>
      </c>
      <c r="I567" s="96" t="s">
        <v>693</v>
      </c>
      <c r="J567" s="96" t="s">
        <v>694</v>
      </c>
      <c r="K567" s="96" t="s">
        <v>695</v>
      </c>
      <c r="L567" s="80" t="s">
        <v>195</v>
      </c>
      <c r="M567" s="79" t="s">
        <v>696</v>
      </c>
      <c r="N567" s="80" t="s">
        <v>197</v>
      </c>
      <c r="O567" s="85" t="n">
        <v>46111</v>
      </c>
      <c r="P567" s="101"/>
      <c r="Q567" s="84"/>
      <c r="R567" s="109"/>
      <c r="S567" s="109"/>
    </row>
    <row r="568" s="77" customFormat="true" ht="15" hidden="false" customHeight="false" outlineLevel="1" collapsed="false">
      <c r="B568" s="78"/>
      <c r="C568" s="79" t="n">
        <v>611</v>
      </c>
      <c r="D568" s="80" t="s">
        <v>635</v>
      </c>
      <c r="E568" s="82" t="s">
        <v>527</v>
      </c>
      <c r="F568" s="82" t="s">
        <v>636</v>
      </c>
      <c r="G568" s="88" t="n">
        <v>1</v>
      </c>
      <c r="H568" s="84" t="s">
        <v>637</v>
      </c>
      <c r="I568" s="80" t="s">
        <v>638</v>
      </c>
      <c r="J568" s="80" t="s">
        <v>639</v>
      </c>
      <c r="K568" s="80" t="s">
        <v>640</v>
      </c>
      <c r="L568" s="80" t="s">
        <v>641</v>
      </c>
      <c r="M568" s="79" t="s">
        <v>642</v>
      </c>
      <c r="N568" s="80" t="s">
        <v>643</v>
      </c>
      <c r="O568" s="85" t="n">
        <v>46111</v>
      </c>
      <c r="P568" s="101"/>
      <c r="Q568" s="84"/>
      <c r="R568" s="109"/>
      <c r="S568" s="109"/>
    </row>
    <row r="569" s="77" customFormat="true" ht="15" hidden="false" customHeight="false" outlineLevel="1" collapsed="false">
      <c r="B569" s="78"/>
      <c r="C569" s="79" t="n">
        <v>612</v>
      </c>
      <c r="D569" s="80" t="s">
        <v>198</v>
      </c>
      <c r="E569" s="82" t="s">
        <v>527</v>
      </c>
      <c r="F569" s="82" t="s">
        <v>199</v>
      </c>
      <c r="G569" s="88" t="n">
        <v>4</v>
      </c>
      <c r="H569" s="84" t="s">
        <v>200</v>
      </c>
      <c r="I569" s="80" t="s">
        <v>201</v>
      </c>
      <c r="J569" s="80" t="s">
        <v>202</v>
      </c>
      <c r="K569" s="80" t="s">
        <v>203</v>
      </c>
      <c r="L569" s="80" t="s">
        <v>204</v>
      </c>
      <c r="M569" s="79" t="s">
        <v>205</v>
      </c>
      <c r="N569" s="80" t="s">
        <v>206</v>
      </c>
      <c r="O569" s="85" t="n">
        <v>46111</v>
      </c>
      <c r="P569" s="101"/>
      <c r="Q569" s="84"/>
      <c r="R569" s="109"/>
      <c r="S569" s="109"/>
    </row>
    <row r="570" s="77" customFormat="true" ht="15" hidden="false" customHeight="false" outlineLevel="1" collapsed="false">
      <c r="B570" s="78"/>
      <c r="C570" s="79" t="n">
        <v>613</v>
      </c>
      <c r="D570" s="80" t="s">
        <v>215</v>
      </c>
      <c r="E570" s="82" t="s">
        <v>527</v>
      </c>
      <c r="F570" s="82" t="s">
        <v>216</v>
      </c>
      <c r="G570" s="88" t="n">
        <v>1</v>
      </c>
      <c r="H570" s="84" t="s">
        <v>24</v>
      </c>
      <c r="I570" s="80" t="s">
        <v>217</v>
      </c>
      <c r="J570" s="80" t="s">
        <v>218</v>
      </c>
      <c r="K570" s="80" t="s">
        <v>219</v>
      </c>
      <c r="L570" s="80" t="s">
        <v>220</v>
      </c>
      <c r="M570" s="79" t="s">
        <v>221</v>
      </c>
      <c r="N570" s="80" t="s">
        <v>222</v>
      </c>
      <c r="O570" s="85" t="n">
        <v>46111</v>
      </c>
      <c r="P570" s="101"/>
      <c r="Q570" s="84"/>
      <c r="R570" s="109"/>
      <c r="S570" s="109"/>
    </row>
    <row r="571" s="77" customFormat="true" ht="15" hidden="false" customHeight="false" outlineLevel="1" collapsed="false">
      <c r="B571" s="78"/>
      <c r="C571" s="79" t="n">
        <v>614</v>
      </c>
      <c r="D571" s="80" t="s">
        <v>223</v>
      </c>
      <c r="E571" s="82" t="s">
        <v>527</v>
      </c>
      <c r="F571" s="82" t="s">
        <v>224</v>
      </c>
      <c r="G571" s="88" t="n">
        <v>1</v>
      </c>
      <c r="H571" s="84" t="s">
        <v>61</v>
      </c>
      <c r="I571" s="80" t="s">
        <v>225</v>
      </c>
      <c r="J571" s="80" t="s">
        <v>226</v>
      </c>
      <c r="K571" s="80" t="s">
        <v>227</v>
      </c>
      <c r="L571" s="80" t="s">
        <v>228</v>
      </c>
      <c r="M571" s="79" t="s">
        <v>229</v>
      </c>
      <c r="N571" s="80" t="s">
        <v>230</v>
      </c>
      <c r="O571" s="85" t="n">
        <v>46111</v>
      </c>
      <c r="P571" s="101"/>
      <c r="Q571" s="84"/>
      <c r="R571" s="109"/>
      <c r="S571" s="109"/>
    </row>
    <row r="572" s="77" customFormat="true" ht="30" hidden="false" customHeight="true" outlineLevel="1" collapsed="false">
      <c r="B572" s="78"/>
      <c r="C572" s="79" t="s">
        <v>701</v>
      </c>
      <c r="D572" s="80" t="s">
        <v>231</v>
      </c>
      <c r="E572" s="82" t="s">
        <v>527</v>
      </c>
      <c r="F572" s="82" t="s">
        <v>232</v>
      </c>
      <c r="G572" s="88" t="n">
        <v>3</v>
      </c>
      <c r="H572" s="84" t="s">
        <v>61</v>
      </c>
      <c r="I572" s="80" t="s">
        <v>702</v>
      </c>
      <c r="J572" s="80" t="s">
        <v>703</v>
      </c>
      <c r="K572" s="80" t="s">
        <v>704</v>
      </c>
      <c r="L572" s="80" t="s">
        <v>236</v>
      </c>
      <c r="M572" s="79" t="s">
        <v>705</v>
      </c>
      <c r="N572" s="80" t="s">
        <v>238</v>
      </c>
      <c r="O572" s="85" t="n">
        <v>46111</v>
      </c>
      <c r="P572" s="101"/>
      <c r="Q572" s="84"/>
      <c r="R572" s="109"/>
      <c r="S572" s="109"/>
    </row>
    <row r="573" s="77" customFormat="true" ht="15" hidden="false" customHeight="false" outlineLevel="1" collapsed="false">
      <c r="B573" s="78"/>
      <c r="C573" s="79" t="n">
        <v>616</v>
      </c>
      <c r="D573" s="80" t="s">
        <v>247</v>
      </c>
      <c r="E573" s="82" t="s">
        <v>527</v>
      </c>
      <c r="F573" s="82" t="s">
        <v>248</v>
      </c>
      <c r="G573" s="88" t="n">
        <v>2</v>
      </c>
      <c r="H573" s="84" t="s">
        <v>61</v>
      </c>
      <c r="I573" s="80" t="s">
        <v>532</v>
      </c>
      <c r="J573" s="80" t="s">
        <v>533</v>
      </c>
      <c r="K573" s="78" t="s">
        <v>534</v>
      </c>
      <c r="L573" s="80" t="s">
        <v>252</v>
      </c>
      <c r="M573" s="79" t="s">
        <v>535</v>
      </c>
      <c r="N573" s="80" t="s">
        <v>254</v>
      </c>
      <c r="O573" s="85" t="n">
        <v>46111</v>
      </c>
      <c r="P573" s="101"/>
      <c r="Q573" s="84"/>
      <c r="R573" s="109"/>
      <c r="S573" s="109"/>
    </row>
    <row r="574" s="77" customFormat="true" ht="15" hidden="false" customHeight="false" outlineLevel="1" collapsed="false">
      <c r="B574" s="78"/>
      <c r="C574" s="79" t="n">
        <v>617</v>
      </c>
      <c r="D574" s="80" t="s">
        <v>715</v>
      </c>
      <c r="E574" s="82" t="s">
        <v>527</v>
      </c>
      <c r="F574" s="82" t="s">
        <v>716</v>
      </c>
      <c r="G574" s="88" t="n">
        <v>3</v>
      </c>
      <c r="H574" s="84" t="s">
        <v>717</v>
      </c>
      <c r="I574" s="80" t="s">
        <v>718</v>
      </c>
      <c r="J574" s="80" t="s">
        <v>719</v>
      </c>
      <c r="K574" s="80" t="s">
        <v>720</v>
      </c>
      <c r="L574" s="80" t="s">
        <v>721</v>
      </c>
      <c r="M574" s="79" t="s">
        <v>722</v>
      </c>
      <c r="N574" s="80" t="s">
        <v>723</v>
      </c>
      <c r="O574" s="85" t="n">
        <v>46111</v>
      </c>
      <c r="P574" s="101"/>
      <c r="Q574" s="84"/>
      <c r="R574" s="109"/>
      <c r="S574" s="109"/>
    </row>
    <row r="575" s="77" customFormat="true" ht="15" hidden="false" customHeight="false" outlineLevel="1" collapsed="false">
      <c r="B575" s="78"/>
      <c r="C575" s="79" t="n">
        <v>618</v>
      </c>
      <c r="D575" s="80" t="s">
        <v>263</v>
      </c>
      <c r="E575" s="82" t="s">
        <v>527</v>
      </c>
      <c r="F575" s="82" t="s">
        <v>264</v>
      </c>
      <c r="G575" s="88" t="n">
        <v>1</v>
      </c>
      <c r="H575" s="84" t="s">
        <v>61</v>
      </c>
      <c r="I575" s="80" t="s">
        <v>265</v>
      </c>
      <c r="J575" s="80" t="s">
        <v>266</v>
      </c>
      <c r="K575" s="80" t="s">
        <v>267</v>
      </c>
      <c r="L575" s="80" t="s">
        <v>252</v>
      </c>
      <c r="M575" s="79" t="s">
        <v>268</v>
      </c>
      <c r="N575" s="80" t="s">
        <v>269</v>
      </c>
      <c r="O575" s="85" t="n">
        <v>46111</v>
      </c>
      <c r="P575" s="101"/>
      <c r="Q575" s="84"/>
      <c r="R575" s="109"/>
      <c r="S575" s="109"/>
    </row>
    <row r="576" s="77" customFormat="true" ht="15" hidden="false" customHeight="false" outlineLevel="1" collapsed="false">
      <c r="B576" s="78"/>
      <c r="C576" s="79" t="n">
        <v>619</v>
      </c>
      <c r="D576" s="80" t="s">
        <v>706</v>
      </c>
      <c r="E576" s="82" t="s">
        <v>527</v>
      </c>
      <c r="F576" s="82" t="s">
        <v>707</v>
      </c>
      <c r="G576" s="88" t="n">
        <v>1</v>
      </c>
      <c r="H576" s="84" t="s">
        <v>111</v>
      </c>
      <c r="I576" s="80" t="s">
        <v>708</v>
      </c>
      <c r="J576" s="80" t="s">
        <v>709</v>
      </c>
      <c r="K576" s="80" t="s">
        <v>710</v>
      </c>
      <c r="L576" s="80" t="s">
        <v>711</v>
      </c>
      <c r="M576" s="79" t="s">
        <v>712</v>
      </c>
      <c r="N576" s="80" t="s">
        <v>713</v>
      </c>
      <c r="O576" s="85" t="n">
        <v>46111</v>
      </c>
      <c r="P576" s="101"/>
      <c r="Q576" s="84"/>
      <c r="R576" s="109"/>
      <c r="S576" s="109"/>
    </row>
    <row r="577" s="77" customFormat="true" ht="15" hidden="false" customHeight="false" outlineLevel="1" collapsed="false">
      <c r="B577" s="78"/>
      <c r="C577" s="79" t="n">
        <v>620</v>
      </c>
      <c r="D577" s="80" t="s">
        <v>743</v>
      </c>
      <c r="E577" s="82" t="s">
        <v>527</v>
      </c>
      <c r="F577" s="82" t="s">
        <v>744</v>
      </c>
      <c r="G577" s="88" t="n">
        <v>6</v>
      </c>
      <c r="H577" s="84" t="s">
        <v>745</v>
      </c>
      <c r="I577" s="80" t="s">
        <v>746</v>
      </c>
      <c r="J577" s="80" t="s">
        <v>747</v>
      </c>
      <c r="K577" s="80" t="s">
        <v>748</v>
      </c>
      <c r="L577" s="80" t="s">
        <v>749</v>
      </c>
      <c r="M577" s="79" t="s">
        <v>750</v>
      </c>
      <c r="N577" s="80" t="s">
        <v>751</v>
      </c>
      <c r="O577" s="85" t="n">
        <v>46111</v>
      </c>
      <c r="P577" s="101"/>
      <c r="Q577" s="84"/>
      <c r="R577" s="109"/>
      <c r="S577" s="109"/>
    </row>
    <row r="578" s="77" customFormat="true" ht="15" hidden="false" customHeight="false" outlineLevel="1" collapsed="false">
      <c r="B578" s="78"/>
      <c r="C578" s="79" t="n">
        <v>621</v>
      </c>
      <c r="D578" s="80" t="s">
        <v>278</v>
      </c>
      <c r="E578" s="82" t="s">
        <v>527</v>
      </c>
      <c r="F578" s="82" t="s">
        <v>279</v>
      </c>
      <c r="G578" s="88" t="n">
        <v>2</v>
      </c>
      <c r="H578" s="84" t="s">
        <v>61</v>
      </c>
      <c r="I578" s="80" t="s">
        <v>280</v>
      </c>
      <c r="J578" s="80" t="s">
        <v>281</v>
      </c>
      <c r="K578" s="80" t="s">
        <v>282</v>
      </c>
      <c r="L578" s="80" t="s">
        <v>283</v>
      </c>
      <c r="M578" s="79" t="s">
        <v>284</v>
      </c>
      <c r="N578" s="80" t="s">
        <v>285</v>
      </c>
      <c r="O578" s="85" t="n">
        <v>46111</v>
      </c>
      <c r="P578" s="101"/>
      <c r="Q578" s="84"/>
      <c r="R578" s="109"/>
      <c r="S578" s="109"/>
    </row>
    <row r="579" s="77" customFormat="true" ht="15" hidden="false" customHeight="false" outlineLevel="1" collapsed="false">
      <c r="B579" s="78"/>
      <c r="C579" s="79" t="n">
        <v>622</v>
      </c>
      <c r="D579" s="80" t="s">
        <v>286</v>
      </c>
      <c r="E579" s="82" t="s">
        <v>527</v>
      </c>
      <c r="F579" s="82" t="s">
        <v>287</v>
      </c>
      <c r="G579" s="88" t="n">
        <v>1</v>
      </c>
      <c r="H579" s="84" t="s">
        <v>61</v>
      </c>
      <c r="I579" s="80" t="s">
        <v>288</v>
      </c>
      <c r="J579" s="80" t="s">
        <v>289</v>
      </c>
      <c r="K579" s="80" t="s">
        <v>290</v>
      </c>
      <c r="L579" s="80" t="s">
        <v>291</v>
      </c>
      <c r="M579" s="79" t="s">
        <v>292</v>
      </c>
      <c r="N579" s="80" t="s">
        <v>293</v>
      </c>
      <c r="O579" s="85" t="n">
        <v>46111</v>
      </c>
      <c r="P579" s="101"/>
      <c r="Q579" s="84"/>
      <c r="R579" s="109"/>
      <c r="S579" s="109"/>
    </row>
    <row r="580" s="77" customFormat="true" ht="15" hidden="false" customHeight="false" outlineLevel="1" collapsed="false">
      <c r="B580" s="78"/>
      <c r="C580" s="79" t="n">
        <v>623</v>
      </c>
      <c r="D580" s="80" t="s">
        <v>302</v>
      </c>
      <c r="E580" s="82" t="s">
        <v>527</v>
      </c>
      <c r="F580" s="82" t="s">
        <v>303</v>
      </c>
      <c r="G580" s="88" t="n">
        <v>1</v>
      </c>
      <c r="H580" s="84" t="s">
        <v>61</v>
      </c>
      <c r="I580" s="80" t="s">
        <v>304</v>
      </c>
      <c r="J580" s="80" t="s">
        <v>305</v>
      </c>
      <c r="K580" s="80" t="s">
        <v>306</v>
      </c>
      <c r="L580" s="80" t="s">
        <v>307</v>
      </c>
      <c r="M580" s="79" t="s">
        <v>526</v>
      </c>
      <c r="N580" s="80" t="s">
        <v>309</v>
      </c>
      <c r="O580" s="85" t="n">
        <v>46111</v>
      </c>
      <c r="P580" s="101"/>
      <c r="Q580" s="84"/>
      <c r="R580" s="109"/>
      <c r="S580" s="109"/>
    </row>
    <row r="581" s="77" customFormat="true" ht="15" hidden="false" customHeight="false" outlineLevel="1" collapsed="false">
      <c r="B581" s="78"/>
      <c r="C581" s="79" t="n">
        <v>624</v>
      </c>
      <c r="D581" s="80" t="s">
        <v>310</v>
      </c>
      <c r="E581" s="82" t="s">
        <v>527</v>
      </c>
      <c r="F581" s="82" t="s">
        <v>311</v>
      </c>
      <c r="G581" s="88" t="n">
        <v>2</v>
      </c>
      <c r="H581" s="84" t="s">
        <v>152</v>
      </c>
      <c r="I581" s="80" t="s">
        <v>312</v>
      </c>
      <c r="J581" s="80" t="s">
        <v>313</v>
      </c>
      <c r="K581" s="80" t="s">
        <v>314</v>
      </c>
      <c r="L581" s="80" t="s">
        <v>315</v>
      </c>
      <c r="M581" s="79" t="s">
        <v>316</v>
      </c>
      <c r="N581" s="80" t="s">
        <v>317</v>
      </c>
      <c r="O581" s="85" t="n">
        <v>46111</v>
      </c>
      <c r="P581" s="101"/>
      <c r="Q581" s="84"/>
      <c r="R581" s="109"/>
      <c r="S581" s="109"/>
    </row>
    <row r="582" s="77" customFormat="true" ht="15" hidden="false" customHeight="false" outlineLevel="1" collapsed="false">
      <c r="B582" s="78"/>
      <c r="C582" s="79" t="n">
        <v>625</v>
      </c>
      <c r="D582" s="80" t="s">
        <v>318</v>
      </c>
      <c r="E582" s="82" t="s">
        <v>527</v>
      </c>
      <c r="F582" s="82" t="s">
        <v>319</v>
      </c>
      <c r="G582" s="88" t="n">
        <v>1</v>
      </c>
      <c r="H582" s="84" t="s">
        <v>111</v>
      </c>
      <c r="I582" s="80" t="s">
        <v>320</v>
      </c>
      <c r="J582" s="80" t="s">
        <v>321</v>
      </c>
      <c r="K582" s="80" t="s">
        <v>322</v>
      </c>
      <c r="L582" s="80" t="s">
        <v>323</v>
      </c>
      <c r="M582" s="79" t="s">
        <v>324</v>
      </c>
      <c r="N582" s="80" t="s">
        <v>325</v>
      </c>
      <c r="O582" s="85" t="n">
        <v>46111</v>
      </c>
      <c r="P582" s="101"/>
      <c r="Q582" s="84"/>
      <c r="R582" s="109"/>
      <c r="S582" s="109"/>
    </row>
    <row r="583" s="77" customFormat="true" ht="15" hidden="false" customHeight="false" outlineLevel="1" collapsed="false">
      <c r="B583" s="78"/>
      <c r="C583" s="79" t="n">
        <v>626</v>
      </c>
      <c r="D583" s="80" t="s">
        <v>326</v>
      </c>
      <c r="E583" s="82" t="s">
        <v>527</v>
      </c>
      <c r="F583" s="82" t="s">
        <v>327</v>
      </c>
      <c r="G583" s="88" t="n">
        <v>1</v>
      </c>
      <c r="H583" s="84" t="s">
        <v>152</v>
      </c>
      <c r="I583" s="80" t="s">
        <v>328</v>
      </c>
      <c r="J583" s="80" t="s">
        <v>329</v>
      </c>
      <c r="K583" s="80" t="s">
        <v>330</v>
      </c>
      <c r="L583" s="80" t="s">
        <v>331</v>
      </c>
      <c r="M583" s="79" t="s">
        <v>332</v>
      </c>
      <c r="N583" s="80" t="s">
        <v>333</v>
      </c>
      <c r="O583" s="85" t="n">
        <v>46111</v>
      </c>
      <c r="P583" s="101"/>
      <c r="Q583" s="84"/>
      <c r="R583" s="109"/>
      <c r="S583" s="109"/>
    </row>
    <row r="584" s="77" customFormat="true" ht="15" hidden="false" customHeight="false" outlineLevel="1" collapsed="false">
      <c r="B584" s="78"/>
      <c r="C584" s="79" t="n">
        <v>627</v>
      </c>
      <c r="D584" s="80" t="s">
        <v>334</v>
      </c>
      <c r="E584" s="82" t="s">
        <v>527</v>
      </c>
      <c r="F584" s="82" t="s">
        <v>335</v>
      </c>
      <c r="G584" s="88" t="n">
        <v>1</v>
      </c>
      <c r="H584" s="84" t="s">
        <v>61</v>
      </c>
      <c r="I584" s="80" t="s">
        <v>336</v>
      </c>
      <c r="J584" s="80" t="s">
        <v>337</v>
      </c>
      <c r="K584" s="80" t="s">
        <v>338</v>
      </c>
      <c r="L584" s="80" t="s">
        <v>339</v>
      </c>
      <c r="M584" s="79" t="s">
        <v>543</v>
      </c>
      <c r="N584" s="80" t="s">
        <v>341</v>
      </c>
      <c r="O584" s="85" t="n">
        <v>46111</v>
      </c>
      <c r="P584" s="101"/>
      <c r="Q584" s="84"/>
      <c r="R584" s="109"/>
      <c r="S584" s="109"/>
    </row>
    <row r="585" s="77" customFormat="true" ht="15" hidden="false" customHeight="false" outlineLevel="1" collapsed="false">
      <c r="B585" s="78"/>
      <c r="C585" s="79" t="n">
        <v>628</v>
      </c>
      <c r="D585" s="80" t="s">
        <v>350</v>
      </c>
      <c r="E585" s="82" t="s">
        <v>527</v>
      </c>
      <c r="F585" s="82" t="s">
        <v>351</v>
      </c>
      <c r="G585" s="88" t="n">
        <v>2</v>
      </c>
      <c r="H585" s="84" t="s">
        <v>152</v>
      </c>
      <c r="I585" s="80" t="s">
        <v>352</v>
      </c>
      <c r="J585" s="80" t="s">
        <v>353</v>
      </c>
      <c r="K585" s="80" t="s">
        <v>354</v>
      </c>
      <c r="L585" s="80" t="s">
        <v>355</v>
      </c>
      <c r="M585" s="79" t="s">
        <v>355</v>
      </c>
      <c r="N585" s="80" t="s">
        <v>356</v>
      </c>
      <c r="O585" s="85" t="n">
        <v>46111</v>
      </c>
      <c r="P585" s="101"/>
      <c r="Q585" s="84"/>
      <c r="R585" s="109"/>
      <c r="S585" s="109"/>
    </row>
    <row r="586" s="77" customFormat="true" ht="15" hidden="false" customHeight="false" outlineLevel="1" collapsed="false">
      <c r="B586" s="78"/>
      <c r="C586" s="79" t="n">
        <v>629</v>
      </c>
      <c r="D586" s="80" t="s">
        <v>366</v>
      </c>
      <c r="E586" s="82" t="s">
        <v>527</v>
      </c>
      <c r="F586" s="82" t="s">
        <v>367</v>
      </c>
      <c r="G586" s="88" t="n">
        <v>2</v>
      </c>
      <c r="H586" s="84" t="s">
        <v>368</v>
      </c>
      <c r="I586" s="80" t="s">
        <v>369</v>
      </c>
      <c r="J586" s="80" t="s">
        <v>370</v>
      </c>
      <c r="K586" s="80" t="s">
        <v>371</v>
      </c>
      <c r="L586" s="80" t="s">
        <v>372</v>
      </c>
      <c r="M586" s="79" t="s">
        <v>682</v>
      </c>
      <c r="N586" s="80" t="s">
        <v>374</v>
      </c>
      <c r="O586" s="85" t="n">
        <v>46111</v>
      </c>
      <c r="P586" s="101"/>
      <c r="Q586" s="84"/>
      <c r="R586" s="109"/>
      <c r="S586" s="109"/>
    </row>
    <row r="587" s="77" customFormat="true" ht="15" hidden="false" customHeight="false" outlineLevel="1" collapsed="false">
      <c r="B587" s="78"/>
      <c r="C587" s="79" t="n">
        <v>630</v>
      </c>
      <c r="D587" s="80" t="s">
        <v>734</v>
      </c>
      <c r="E587" s="82" t="s">
        <v>527</v>
      </c>
      <c r="F587" s="82" t="s">
        <v>735</v>
      </c>
      <c r="G587" s="88" t="n">
        <v>1</v>
      </c>
      <c r="H587" s="84" t="s">
        <v>736</v>
      </c>
      <c r="I587" s="80" t="s">
        <v>737</v>
      </c>
      <c r="J587" s="80" t="s">
        <v>738</v>
      </c>
      <c r="K587" s="80" t="s">
        <v>739</v>
      </c>
      <c r="L587" s="80" t="s">
        <v>740</v>
      </c>
      <c r="M587" s="79" t="s">
        <v>741</v>
      </c>
      <c r="N587" s="80" t="s">
        <v>742</v>
      </c>
      <c r="O587" s="85" t="n">
        <v>46111</v>
      </c>
      <c r="P587" s="101"/>
      <c r="Q587" s="84"/>
      <c r="R587" s="109"/>
      <c r="S587" s="109"/>
    </row>
    <row r="588" s="77" customFormat="true" ht="15" hidden="false" customHeight="false" outlineLevel="1" collapsed="false">
      <c r="B588" s="78"/>
      <c r="C588" s="79" t="n">
        <v>631</v>
      </c>
      <c r="D588" s="80" t="s">
        <v>604</v>
      </c>
      <c r="E588" s="82" t="s">
        <v>527</v>
      </c>
      <c r="F588" s="82" t="s">
        <v>605</v>
      </c>
      <c r="G588" s="88" t="n">
        <v>1</v>
      </c>
      <c r="H588" s="84" t="s">
        <v>61</v>
      </c>
      <c r="I588" s="80" t="s">
        <v>606</v>
      </c>
      <c r="J588" s="80" t="s">
        <v>607</v>
      </c>
      <c r="K588" s="80" t="s">
        <v>608</v>
      </c>
      <c r="L588" s="80" t="s">
        <v>252</v>
      </c>
      <c r="M588" s="79" t="s">
        <v>609</v>
      </c>
      <c r="N588" s="80" t="s">
        <v>610</v>
      </c>
      <c r="O588" s="85" t="n">
        <v>46111</v>
      </c>
      <c r="P588" s="101"/>
      <c r="Q588" s="84"/>
      <c r="R588" s="109"/>
      <c r="S588" s="109"/>
    </row>
    <row r="589" s="77" customFormat="true" ht="45" hidden="false" customHeight="true" outlineLevel="1" collapsed="false">
      <c r="B589" s="78"/>
      <c r="C589" s="79" t="s">
        <v>683</v>
      </c>
      <c r="D589" s="80" t="s">
        <v>375</v>
      </c>
      <c r="E589" s="82" t="s">
        <v>527</v>
      </c>
      <c r="F589" s="82" t="s">
        <v>376</v>
      </c>
      <c r="G589" s="88" t="n">
        <v>10</v>
      </c>
      <c r="H589" s="84" t="s">
        <v>111</v>
      </c>
      <c r="I589" s="80" t="s">
        <v>684</v>
      </c>
      <c r="J589" s="80" t="s">
        <v>685</v>
      </c>
      <c r="K589" s="80" t="s">
        <v>686</v>
      </c>
      <c r="L589" s="80" t="s">
        <v>380</v>
      </c>
      <c r="M589" s="79" t="s">
        <v>687</v>
      </c>
      <c r="N589" s="80" t="s">
        <v>382</v>
      </c>
      <c r="O589" s="85" t="n">
        <v>46111</v>
      </c>
      <c r="P589" s="101"/>
      <c r="Q589" s="84"/>
      <c r="R589" s="109"/>
      <c r="S589" s="109"/>
    </row>
    <row r="590" s="77" customFormat="true" ht="15" hidden="false" customHeight="false" outlineLevel="1" collapsed="false">
      <c r="B590" s="78"/>
      <c r="C590" s="79" t="n">
        <v>633</v>
      </c>
      <c r="D590" s="80" t="s">
        <v>383</v>
      </c>
      <c r="E590" s="82" t="s">
        <v>527</v>
      </c>
      <c r="F590" s="82" t="s">
        <v>384</v>
      </c>
      <c r="G590" s="88" t="n">
        <v>2</v>
      </c>
      <c r="H590" s="84" t="s">
        <v>61</v>
      </c>
      <c r="I590" s="80" t="s">
        <v>385</v>
      </c>
      <c r="J590" s="80" t="s">
        <v>386</v>
      </c>
      <c r="K590" s="80" t="s">
        <v>387</v>
      </c>
      <c r="L590" s="80" t="s">
        <v>388</v>
      </c>
      <c r="M590" s="79" t="s">
        <v>389</v>
      </c>
      <c r="N590" s="80" t="s">
        <v>390</v>
      </c>
      <c r="O590" s="85" t="n">
        <v>46111</v>
      </c>
      <c r="P590" s="101"/>
      <c r="Q590" s="84"/>
      <c r="R590" s="109"/>
      <c r="S590" s="109"/>
    </row>
    <row r="591" s="77" customFormat="true" ht="15" hidden="false" customHeight="false" outlineLevel="1" collapsed="false">
      <c r="B591" s="78"/>
      <c r="C591" s="79" t="n">
        <v>634</v>
      </c>
      <c r="D591" s="80" t="s">
        <v>407</v>
      </c>
      <c r="E591" s="82" t="s">
        <v>527</v>
      </c>
      <c r="F591" s="82" t="s">
        <v>408</v>
      </c>
      <c r="G591" s="88" t="n">
        <v>1</v>
      </c>
      <c r="H591" s="84" t="s">
        <v>61</v>
      </c>
      <c r="I591" s="80" t="s">
        <v>409</v>
      </c>
      <c r="J591" s="80" t="s">
        <v>410</v>
      </c>
      <c r="K591" s="80" t="s">
        <v>411</v>
      </c>
      <c r="L591" s="80" t="s">
        <v>412</v>
      </c>
      <c r="M591" s="79" t="s">
        <v>552</v>
      </c>
      <c r="N591" s="80" t="s">
        <v>414</v>
      </c>
      <c r="O591" s="85" t="n">
        <v>46111</v>
      </c>
      <c r="P591" s="101"/>
      <c r="Q591" s="84"/>
      <c r="R591" s="109"/>
      <c r="S591" s="109"/>
    </row>
    <row r="592" s="77" customFormat="true" ht="15" hidden="false" customHeight="false" outlineLevel="1" collapsed="false">
      <c r="B592" s="78"/>
      <c r="C592" s="79" t="n">
        <v>635</v>
      </c>
      <c r="D592" s="80" t="s">
        <v>415</v>
      </c>
      <c r="E592" s="82" t="s">
        <v>527</v>
      </c>
      <c r="F592" s="82" t="s">
        <v>416</v>
      </c>
      <c r="G592" s="88" t="n">
        <v>1</v>
      </c>
      <c r="H592" s="84" t="s">
        <v>417</v>
      </c>
      <c r="I592" s="80" t="s">
        <v>418</v>
      </c>
      <c r="J592" s="80" t="s">
        <v>419</v>
      </c>
      <c r="K592" s="80" t="s">
        <v>420</v>
      </c>
      <c r="L592" s="80" t="s">
        <v>421</v>
      </c>
      <c r="M592" s="79" t="s">
        <v>422</v>
      </c>
      <c r="N592" s="80" t="s">
        <v>423</v>
      </c>
      <c r="O592" s="85" t="n">
        <v>46111</v>
      </c>
      <c r="P592" s="101"/>
      <c r="Q592" s="84"/>
      <c r="R592" s="109"/>
      <c r="S592" s="109"/>
    </row>
    <row r="593" s="77" customFormat="true" ht="15" hidden="false" customHeight="false" outlineLevel="1" collapsed="false">
      <c r="B593" s="78"/>
      <c r="C593" s="79" t="n">
        <v>636</v>
      </c>
      <c r="D593" s="80" t="s">
        <v>431</v>
      </c>
      <c r="E593" s="80" t="s">
        <v>527</v>
      </c>
      <c r="F593" s="82" t="s">
        <v>432</v>
      </c>
      <c r="G593" s="88" t="n">
        <v>1</v>
      </c>
      <c r="H593" s="84" t="s">
        <v>152</v>
      </c>
      <c r="I593" s="80" t="s">
        <v>678</v>
      </c>
      <c r="J593" s="80" t="s">
        <v>679</v>
      </c>
      <c r="K593" s="80" t="s">
        <v>680</v>
      </c>
      <c r="L593" s="80" t="s">
        <v>436</v>
      </c>
      <c r="M593" s="79" t="s">
        <v>681</v>
      </c>
      <c r="N593" s="80" t="s">
        <v>438</v>
      </c>
      <c r="O593" s="85" t="n">
        <v>46111</v>
      </c>
      <c r="P593" s="101"/>
      <c r="Q593" s="84"/>
      <c r="R593" s="109"/>
      <c r="S593" s="109"/>
    </row>
    <row r="594" s="77" customFormat="true" ht="15" hidden="false" customHeight="false" outlineLevel="1" collapsed="false">
      <c r="B594" s="78"/>
      <c r="C594" s="79" t="n">
        <v>637</v>
      </c>
      <c r="D594" s="80" t="s">
        <v>544</v>
      </c>
      <c r="E594" s="82" t="s">
        <v>527</v>
      </c>
      <c r="F594" s="82" t="s">
        <v>545</v>
      </c>
      <c r="G594" s="88" t="n">
        <v>2</v>
      </c>
      <c r="H594" s="84" t="s">
        <v>24</v>
      </c>
      <c r="I594" s="80" t="s">
        <v>546</v>
      </c>
      <c r="J594" s="80" t="s">
        <v>547</v>
      </c>
      <c r="K594" s="80" t="s">
        <v>548</v>
      </c>
      <c r="L594" s="80" t="s">
        <v>549</v>
      </c>
      <c r="M594" s="79" t="s">
        <v>550</v>
      </c>
      <c r="N594" s="80" t="s">
        <v>551</v>
      </c>
      <c r="O594" s="85" t="n">
        <v>46111</v>
      </c>
      <c r="P594" s="101"/>
      <c r="Q594" s="84"/>
      <c r="R594" s="109"/>
      <c r="S594" s="109"/>
    </row>
    <row r="595" s="77" customFormat="true" ht="30" hidden="false" customHeight="true" outlineLevel="1" collapsed="false">
      <c r="B595" s="78"/>
      <c r="C595" s="79" t="n">
        <v>638</v>
      </c>
      <c r="D595" s="80" t="s">
        <v>439</v>
      </c>
      <c r="E595" s="82" t="s">
        <v>527</v>
      </c>
      <c r="F595" s="82" t="s">
        <v>440</v>
      </c>
      <c r="G595" s="88" t="n">
        <v>1</v>
      </c>
      <c r="H595" s="84" t="s">
        <v>152</v>
      </c>
      <c r="I595" s="80" t="s">
        <v>441</v>
      </c>
      <c r="J595" s="80" t="s">
        <v>442</v>
      </c>
      <c r="K595" s="80" t="s">
        <v>443</v>
      </c>
      <c r="L595" s="80" t="s">
        <v>444</v>
      </c>
      <c r="M595" s="79" t="s">
        <v>570</v>
      </c>
      <c r="N595" s="80" t="s">
        <v>446</v>
      </c>
      <c r="O595" s="85" t="n">
        <v>46111</v>
      </c>
      <c r="P595" s="101"/>
      <c r="Q595" s="84"/>
      <c r="R595" s="109"/>
      <c r="S595" s="109"/>
    </row>
    <row r="596" s="77" customFormat="true" ht="15" hidden="false" customHeight="false" outlineLevel="1" collapsed="false">
      <c r="B596" s="78"/>
      <c r="C596" s="79" t="n">
        <v>639</v>
      </c>
      <c r="D596" s="80" t="s">
        <v>447</v>
      </c>
      <c r="E596" s="82" t="s">
        <v>527</v>
      </c>
      <c r="F596" s="82" t="s">
        <v>448</v>
      </c>
      <c r="G596" s="88" t="n">
        <v>1</v>
      </c>
      <c r="H596" s="84" t="s">
        <v>24</v>
      </c>
      <c r="I596" s="80" t="s">
        <v>449</v>
      </c>
      <c r="J596" s="80" t="s">
        <v>450</v>
      </c>
      <c r="K596" s="80" t="s">
        <v>451</v>
      </c>
      <c r="L596" s="80" t="s">
        <v>452</v>
      </c>
      <c r="M596" s="79" t="s">
        <v>453</v>
      </c>
      <c r="N596" s="80" t="s">
        <v>454</v>
      </c>
      <c r="O596" s="85" t="n">
        <v>46111</v>
      </c>
      <c r="P596" s="101"/>
      <c r="Q596" s="84"/>
      <c r="R596" s="109"/>
      <c r="S596" s="109"/>
    </row>
    <row r="597" s="77" customFormat="true" ht="15" hidden="false" customHeight="false" outlineLevel="1" collapsed="false">
      <c r="B597" s="78"/>
      <c r="C597" s="79" t="n">
        <v>640</v>
      </c>
      <c r="D597" s="80" t="s">
        <v>571</v>
      </c>
      <c r="E597" s="82" t="s">
        <v>527</v>
      </c>
      <c r="F597" s="82" t="s">
        <v>572</v>
      </c>
      <c r="G597" s="88" t="n">
        <v>2</v>
      </c>
      <c r="H597" s="84" t="s">
        <v>573</v>
      </c>
      <c r="I597" s="80" t="s">
        <v>574</v>
      </c>
      <c r="J597" s="80" t="s">
        <v>575</v>
      </c>
      <c r="K597" s="80" t="s">
        <v>576</v>
      </c>
      <c r="L597" s="80" t="s">
        <v>577</v>
      </c>
      <c r="M597" s="79" t="s">
        <v>578</v>
      </c>
      <c r="N597" s="80" t="s">
        <v>579</v>
      </c>
      <c r="O597" s="85" t="n">
        <v>46111</v>
      </c>
      <c r="P597" s="101"/>
      <c r="Q597" s="84"/>
      <c r="R597" s="109"/>
      <c r="S597" s="109"/>
    </row>
    <row r="598" s="77" customFormat="true" ht="15" hidden="false" customHeight="false" outlineLevel="1" collapsed="false">
      <c r="B598" s="78"/>
      <c r="C598" s="79" t="n">
        <v>641</v>
      </c>
      <c r="D598" s="80" t="s">
        <v>596</v>
      </c>
      <c r="E598" s="82" t="s">
        <v>527</v>
      </c>
      <c r="F598" s="82" t="s">
        <v>597</v>
      </c>
      <c r="G598" s="88" t="n">
        <v>1</v>
      </c>
      <c r="H598" s="84" t="s">
        <v>61</v>
      </c>
      <c r="I598" s="80" t="s">
        <v>598</v>
      </c>
      <c r="J598" s="80" t="s">
        <v>599</v>
      </c>
      <c r="K598" s="80" t="s">
        <v>600</v>
      </c>
      <c r="L598" s="80" t="s">
        <v>601</v>
      </c>
      <c r="M598" s="79" t="s">
        <v>602</v>
      </c>
      <c r="N598" s="80" t="s">
        <v>603</v>
      </c>
      <c r="O598" s="85" t="n">
        <v>46111</v>
      </c>
      <c r="P598" s="101"/>
      <c r="Q598" s="84"/>
      <c r="R598" s="109"/>
      <c r="S598" s="109"/>
    </row>
    <row r="599" s="77" customFormat="true" ht="15" hidden="false" customHeight="false" outlineLevel="1" collapsed="false">
      <c r="B599" s="78"/>
      <c r="C599" s="79" t="n">
        <v>642</v>
      </c>
      <c r="D599" s="80" t="s">
        <v>455</v>
      </c>
      <c r="E599" s="82" t="s">
        <v>527</v>
      </c>
      <c r="F599" s="82" t="s">
        <v>456</v>
      </c>
      <c r="G599" s="88" t="n">
        <v>2</v>
      </c>
      <c r="H599" s="84" t="s">
        <v>111</v>
      </c>
      <c r="I599" s="80" t="s">
        <v>457</v>
      </c>
      <c r="J599" s="80" t="s">
        <v>458</v>
      </c>
      <c r="K599" s="80" t="s">
        <v>459</v>
      </c>
      <c r="L599" s="80" t="s">
        <v>460</v>
      </c>
      <c r="M599" s="79" t="s">
        <v>461</v>
      </c>
      <c r="N599" s="80" t="s">
        <v>462</v>
      </c>
      <c r="O599" s="85" t="n">
        <v>46111</v>
      </c>
      <c r="P599" s="101"/>
      <c r="Q599" s="84"/>
      <c r="R599" s="109"/>
      <c r="S599" s="109"/>
    </row>
    <row r="600" s="77" customFormat="true" ht="15" hidden="false" customHeight="false" outlineLevel="1" collapsed="false">
      <c r="B600" s="78"/>
      <c r="C600" s="79" t="n">
        <v>643</v>
      </c>
      <c r="D600" s="80" t="s">
        <v>471</v>
      </c>
      <c r="E600" s="82" t="s">
        <v>527</v>
      </c>
      <c r="F600" s="82" t="s">
        <v>472</v>
      </c>
      <c r="G600" s="88" t="n">
        <v>1</v>
      </c>
      <c r="H600" s="84" t="s">
        <v>111</v>
      </c>
      <c r="I600" s="80" t="s">
        <v>473</v>
      </c>
      <c r="J600" s="80" t="s">
        <v>474</v>
      </c>
      <c r="K600" s="80" t="s">
        <v>475</v>
      </c>
      <c r="L600" s="80" t="s">
        <v>476</v>
      </c>
      <c r="M600" s="79" t="s">
        <v>476</v>
      </c>
      <c r="N600" s="80" t="s">
        <v>477</v>
      </c>
      <c r="O600" s="85" t="n">
        <v>46111</v>
      </c>
      <c r="P600" s="101"/>
      <c r="Q600" s="84"/>
      <c r="R600" s="109"/>
      <c r="S600" s="109"/>
    </row>
    <row r="601" s="77" customFormat="true" ht="30" hidden="false" customHeight="true" outlineLevel="1" collapsed="false">
      <c r="B601" s="78"/>
      <c r="C601" s="79" t="n">
        <v>644</v>
      </c>
      <c r="D601" s="80" t="s">
        <v>478</v>
      </c>
      <c r="E601" s="82" t="s">
        <v>527</v>
      </c>
      <c r="F601" s="82" t="s">
        <v>479</v>
      </c>
      <c r="G601" s="88" t="n">
        <v>2</v>
      </c>
      <c r="H601" s="84" t="s">
        <v>111</v>
      </c>
      <c r="I601" s="80" t="s">
        <v>480</v>
      </c>
      <c r="J601" s="80" t="s">
        <v>481</v>
      </c>
      <c r="K601" s="80" t="s">
        <v>482</v>
      </c>
      <c r="L601" s="80" t="s">
        <v>483</v>
      </c>
      <c r="M601" s="79" t="s">
        <v>634</v>
      </c>
      <c r="N601" s="80" t="s">
        <v>485</v>
      </c>
      <c r="O601" s="85" t="n">
        <v>46111</v>
      </c>
      <c r="P601" s="101"/>
      <c r="Q601" s="84"/>
      <c r="R601" s="109"/>
      <c r="S601" s="109"/>
    </row>
    <row r="602" s="77" customFormat="true" ht="15" hidden="false" customHeight="false" outlineLevel="1" collapsed="false">
      <c r="B602" s="78"/>
      <c r="C602" s="79" t="n">
        <v>645</v>
      </c>
      <c r="D602" s="80" t="s">
        <v>486</v>
      </c>
      <c r="E602" s="82" t="s">
        <v>527</v>
      </c>
      <c r="F602" s="82" t="s">
        <v>487</v>
      </c>
      <c r="G602" s="88" t="n">
        <v>1</v>
      </c>
      <c r="H602" s="84" t="s">
        <v>152</v>
      </c>
      <c r="I602" s="80" t="s">
        <v>488</v>
      </c>
      <c r="J602" s="80" t="s">
        <v>489</v>
      </c>
      <c r="K602" s="80" t="s">
        <v>490</v>
      </c>
      <c r="L602" s="80" t="s">
        <v>491</v>
      </c>
      <c r="M602" s="79" t="s">
        <v>492</v>
      </c>
      <c r="N602" s="80" t="s">
        <v>493</v>
      </c>
      <c r="O602" s="85" t="n">
        <v>46111</v>
      </c>
      <c r="P602" s="101"/>
      <c r="Q602" s="84"/>
      <c r="R602" s="109"/>
      <c r="S602" s="109"/>
    </row>
    <row r="603" s="77" customFormat="true" ht="15" hidden="false" customHeight="false" outlineLevel="1" collapsed="false">
      <c r="B603" s="78"/>
      <c r="C603" s="79" t="n">
        <v>646</v>
      </c>
      <c r="D603" s="80" t="s">
        <v>502</v>
      </c>
      <c r="E603" s="82" t="s">
        <v>527</v>
      </c>
      <c r="F603" s="82" t="s">
        <v>503</v>
      </c>
      <c r="G603" s="88" t="n">
        <v>1</v>
      </c>
      <c r="H603" s="84" t="s">
        <v>61</v>
      </c>
      <c r="I603" s="80" t="s">
        <v>504</v>
      </c>
      <c r="J603" s="80" t="s">
        <v>505</v>
      </c>
      <c r="K603" s="80" t="s">
        <v>506</v>
      </c>
      <c r="L603" s="80" t="s">
        <v>283</v>
      </c>
      <c r="M603" s="79" t="s">
        <v>284</v>
      </c>
      <c r="N603" s="80" t="s">
        <v>507</v>
      </c>
      <c r="O603" s="85" t="n">
        <v>46111</v>
      </c>
      <c r="P603" s="101"/>
      <c r="Q603" s="84"/>
      <c r="R603" s="109"/>
      <c r="S603" s="109"/>
    </row>
    <row r="604" s="68" customFormat="true" ht="30" hidden="false" customHeight="true" outlineLevel="0" collapsed="false">
      <c r="B604" s="69"/>
      <c r="C604" s="102"/>
      <c r="D604" s="71"/>
      <c r="E604" s="72" t="s">
        <v>854</v>
      </c>
      <c r="F604" s="73"/>
      <c r="G604" s="74" t="n">
        <f aca="false">SUM(G605:G654)</f>
        <v>88</v>
      </c>
      <c r="H604" s="69"/>
      <c r="I604" s="69"/>
      <c r="J604" s="69"/>
      <c r="K604" s="69"/>
      <c r="L604" s="69"/>
      <c r="M604" s="102"/>
      <c r="N604" s="69"/>
      <c r="O604" s="69"/>
      <c r="P604" s="69"/>
      <c r="Q604" s="69"/>
      <c r="R604" s="69"/>
      <c r="S604" s="69"/>
    </row>
    <row r="605" s="77" customFormat="true" ht="15" hidden="false" customHeight="false" outlineLevel="1" collapsed="false">
      <c r="B605" s="78"/>
      <c r="C605" s="79" t="n">
        <v>647</v>
      </c>
      <c r="D605" s="80" t="s">
        <v>21</v>
      </c>
      <c r="E605" s="82" t="s">
        <v>854</v>
      </c>
      <c r="F605" s="82" t="s">
        <v>22</v>
      </c>
      <c r="G605" s="88" t="n">
        <v>1</v>
      </c>
      <c r="H605" s="84" t="s">
        <v>24</v>
      </c>
      <c r="I605" s="80" t="s">
        <v>25</v>
      </c>
      <c r="J605" s="80" t="s">
        <v>26</v>
      </c>
      <c r="K605" s="80" t="s">
        <v>27</v>
      </c>
      <c r="L605" s="80" t="s">
        <v>28</v>
      </c>
      <c r="M605" s="79" t="s">
        <v>29</v>
      </c>
      <c r="N605" s="80" t="s">
        <v>30</v>
      </c>
      <c r="O605" s="85" t="n">
        <v>46125</v>
      </c>
      <c r="P605" s="101"/>
      <c r="Q605" s="84"/>
      <c r="R605" s="109"/>
      <c r="S605" s="109"/>
    </row>
    <row r="606" s="77" customFormat="true" ht="15" hidden="false" customHeight="false" outlineLevel="1" collapsed="false">
      <c r="B606" s="78"/>
      <c r="C606" s="79" t="n">
        <v>648</v>
      </c>
      <c r="D606" s="80" t="s">
        <v>811</v>
      </c>
      <c r="E606" s="82" t="s">
        <v>854</v>
      </c>
      <c r="F606" s="82" t="s">
        <v>812</v>
      </c>
      <c r="G606" s="88" t="n">
        <v>11</v>
      </c>
      <c r="H606" s="84" t="s">
        <v>813</v>
      </c>
      <c r="I606" s="80" t="s">
        <v>814</v>
      </c>
      <c r="J606" s="80" t="s">
        <v>815</v>
      </c>
      <c r="K606" s="80" t="s">
        <v>816</v>
      </c>
      <c r="L606" s="80" t="s">
        <v>817</v>
      </c>
      <c r="M606" s="79" t="s">
        <v>818</v>
      </c>
      <c r="N606" s="80" t="s">
        <v>819</v>
      </c>
      <c r="O606" s="85" t="n">
        <v>46125</v>
      </c>
      <c r="P606" s="101"/>
      <c r="Q606" s="84"/>
      <c r="R606" s="109"/>
      <c r="S606" s="109"/>
    </row>
    <row r="607" s="77" customFormat="true" ht="15" hidden="false" customHeight="false" outlineLevel="1" collapsed="false">
      <c r="B607" s="78"/>
      <c r="C607" s="79" t="n">
        <v>649</v>
      </c>
      <c r="D607" s="80" t="s">
        <v>34</v>
      </c>
      <c r="E607" s="82" t="s">
        <v>854</v>
      </c>
      <c r="F607" s="82" t="s">
        <v>35</v>
      </c>
      <c r="G607" s="88" t="n">
        <v>1</v>
      </c>
      <c r="H607" s="84" t="s">
        <v>36</v>
      </c>
      <c r="I607" s="80" t="s">
        <v>37</v>
      </c>
      <c r="J607" s="80" t="s">
        <v>38</v>
      </c>
      <c r="K607" s="80" t="s">
        <v>39</v>
      </c>
      <c r="L607" s="80" t="s">
        <v>40</v>
      </c>
      <c r="M607" s="79" t="s">
        <v>858</v>
      </c>
      <c r="N607" s="80" t="s">
        <v>42</v>
      </c>
      <c r="O607" s="85" t="n">
        <v>46125</v>
      </c>
      <c r="P607" s="101"/>
      <c r="Q607" s="84"/>
      <c r="R607" s="109"/>
      <c r="S607" s="109"/>
    </row>
    <row r="608" s="77" customFormat="true" ht="15" hidden="false" customHeight="false" outlineLevel="1" collapsed="false">
      <c r="B608" s="78"/>
      <c r="C608" s="79" t="n">
        <v>650</v>
      </c>
      <c r="D608" s="80" t="s">
        <v>43</v>
      </c>
      <c r="E608" s="82" t="s">
        <v>854</v>
      </c>
      <c r="F608" s="82" t="s">
        <v>44</v>
      </c>
      <c r="G608" s="88" t="n">
        <v>2</v>
      </c>
      <c r="H608" s="84" t="s">
        <v>24</v>
      </c>
      <c r="I608" s="80" t="s">
        <v>45</v>
      </c>
      <c r="J608" s="80" t="s">
        <v>46</v>
      </c>
      <c r="K608" s="80" t="s">
        <v>47</v>
      </c>
      <c r="L608" s="80" t="s">
        <v>48</v>
      </c>
      <c r="M608" s="79" t="s">
        <v>49</v>
      </c>
      <c r="N608" s="80" t="s">
        <v>50</v>
      </c>
      <c r="O608" s="85" t="n">
        <v>46125</v>
      </c>
      <c r="P608" s="101"/>
      <c r="Q608" s="84"/>
      <c r="R608" s="109"/>
      <c r="S608" s="109"/>
    </row>
    <row r="609" s="77" customFormat="true" ht="15" hidden="false" customHeight="false" outlineLevel="1" collapsed="false">
      <c r="B609" s="78"/>
      <c r="C609" s="79" t="n">
        <v>651</v>
      </c>
      <c r="D609" s="80" t="s">
        <v>51</v>
      </c>
      <c r="E609" s="82" t="s">
        <v>854</v>
      </c>
      <c r="F609" s="82" t="s">
        <v>52</v>
      </c>
      <c r="G609" s="88" t="n">
        <v>4</v>
      </c>
      <c r="H609" s="84" t="s">
        <v>24</v>
      </c>
      <c r="I609" s="80" t="s">
        <v>53</v>
      </c>
      <c r="J609" s="80" t="s">
        <v>54</v>
      </c>
      <c r="K609" s="80" t="s">
        <v>55</v>
      </c>
      <c r="L609" s="80" t="s">
        <v>56</v>
      </c>
      <c r="M609" s="79" t="s">
        <v>57</v>
      </c>
      <c r="N609" s="80" t="s">
        <v>58</v>
      </c>
      <c r="O609" s="85" t="n">
        <v>46125</v>
      </c>
      <c r="P609" s="101"/>
      <c r="Q609" s="84"/>
      <c r="R609" s="109"/>
      <c r="S609" s="109"/>
    </row>
    <row r="610" s="77" customFormat="true" ht="15" hidden="false" customHeight="false" outlineLevel="1" collapsed="false">
      <c r="B610" s="78"/>
      <c r="C610" s="79" t="n">
        <v>652</v>
      </c>
      <c r="D610" s="80" t="s">
        <v>59</v>
      </c>
      <c r="E610" s="82" t="s">
        <v>854</v>
      </c>
      <c r="F610" s="82" t="s">
        <v>60</v>
      </c>
      <c r="G610" s="88" t="n">
        <v>8</v>
      </c>
      <c r="H610" s="84" t="s">
        <v>61</v>
      </c>
      <c r="I610" s="80" t="s">
        <v>62</v>
      </c>
      <c r="J610" s="80" t="s">
        <v>63</v>
      </c>
      <c r="K610" s="80" t="s">
        <v>64</v>
      </c>
      <c r="L610" s="80" t="s">
        <v>65</v>
      </c>
      <c r="M610" s="79" t="s">
        <v>66</v>
      </c>
      <c r="N610" s="80" t="s">
        <v>67</v>
      </c>
      <c r="O610" s="85" t="n">
        <v>46125</v>
      </c>
      <c r="P610" s="101"/>
      <c r="Q610" s="84"/>
      <c r="R610" s="109"/>
      <c r="S610" s="109"/>
    </row>
    <row r="611" s="77" customFormat="true" ht="15" hidden="false" customHeight="false" outlineLevel="1" collapsed="false">
      <c r="B611" s="78"/>
      <c r="C611" s="79" t="n">
        <v>653</v>
      </c>
      <c r="D611" s="80" t="s">
        <v>75</v>
      </c>
      <c r="E611" s="82" t="s">
        <v>854</v>
      </c>
      <c r="F611" s="82" t="s">
        <v>76</v>
      </c>
      <c r="G611" s="88" t="n">
        <v>5</v>
      </c>
      <c r="H611" s="84" t="s">
        <v>77</v>
      </c>
      <c r="I611" s="80" t="s">
        <v>78</v>
      </c>
      <c r="J611" s="80" t="s">
        <v>79</v>
      </c>
      <c r="K611" s="80" t="s">
        <v>80</v>
      </c>
      <c r="L611" s="80" t="s">
        <v>81</v>
      </c>
      <c r="M611" s="79" t="s">
        <v>82</v>
      </c>
      <c r="N611" s="80" t="s">
        <v>83</v>
      </c>
      <c r="O611" s="85" t="n">
        <v>46125</v>
      </c>
      <c r="P611" s="101"/>
      <c r="Q611" s="84"/>
      <c r="R611" s="109"/>
      <c r="S611" s="109"/>
    </row>
    <row r="612" s="77" customFormat="true" ht="15" hidden="false" customHeight="false" outlineLevel="1" collapsed="false">
      <c r="B612" s="78"/>
      <c r="C612" s="79" t="n">
        <v>654</v>
      </c>
      <c r="D612" s="80" t="s">
        <v>899</v>
      </c>
      <c r="E612" s="82" t="s">
        <v>854</v>
      </c>
      <c r="F612" s="82" t="s">
        <v>900</v>
      </c>
      <c r="G612" s="88" t="n">
        <v>2</v>
      </c>
      <c r="H612" s="84" t="s">
        <v>901</v>
      </c>
      <c r="I612" s="80" t="s">
        <v>902</v>
      </c>
      <c r="J612" s="80" t="s">
        <v>903</v>
      </c>
      <c r="K612" s="80" t="s">
        <v>904</v>
      </c>
      <c r="L612" s="80" t="s">
        <v>905</v>
      </c>
      <c r="M612" s="79" t="s">
        <v>906</v>
      </c>
      <c r="N612" s="80" t="s">
        <v>907</v>
      </c>
      <c r="O612" s="85" t="n">
        <v>46125</v>
      </c>
      <c r="P612" s="101"/>
      <c r="Q612" s="84"/>
      <c r="R612" s="109"/>
      <c r="S612" s="109"/>
    </row>
    <row r="613" s="77" customFormat="true" ht="15" hidden="false" customHeight="false" outlineLevel="1" collapsed="false">
      <c r="B613" s="78"/>
      <c r="C613" s="79" t="n">
        <v>655</v>
      </c>
      <c r="D613" s="80" t="s">
        <v>626</v>
      </c>
      <c r="E613" s="82" t="s">
        <v>854</v>
      </c>
      <c r="F613" s="82" t="s">
        <v>627</v>
      </c>
      <c r="G613" s="88" t="n">
        <v>1</v>
      </c>
      <c r="H613" s="84" t="s">
        <v>152</v>
      </c>
      <c r="I613" s="80" t="s">
        <v>628</v>
      </c>
      <c r="J613" s="80" t="s">
        <v>629</v>
      </c>
      <c r="K613" s="80" t="s">
        <v>630</v>
      </c>
      <c r="L613" s="80" t="s">
        <v>631</v>
      </c>
      <c r="M613" s="79" t="s">
        <v>632</v>
      </c>
      <c r="N613" s="80" t="s">
        <v>633</v>
      </c>
      <c r="O613" s="85" t="n">
        <v>46125</v>
      </c>
      <c r="P613" s="101"/>
      <c r="Q613" s="84"/>
      <c r="R613" s="109"/>
      <c r="S613" s="109"/>
    </row>
    <row r="614" s="77" customFormat="true" ht="15" hidden="false" customHeight="false" outlineLevel="1" collapsed="false">
      <c r="B614" s="78"/>
      <c r="C614" s="79" t="n">
        <v>656</v>
      </c>
      <c r="D614" s="80" t="s">
        <v>117</v>
      </c>
      <c r="E614" s="82" t="s">
        <v>854</v>
      </c>
      <c r="F614" s="82" t="s">
        <v>118</v>
      </c>
      <c r="G614" s="88" t="n">
        <v>1</v>
      </c>
      <c r="H614" s="84" t="s">
        <v>24</v>
      </c>
      <c r="I614" s="80" t="s">
        <v>119</v>
      </c>
      <c r="J614" s="80" t="s">
        <v>120</v>
      </c>
      <c r="K614" s="80" t="s">
        <v>121</v>
      </c>
      <c r="L614" s="80" t="s">
        <v>122</v>
      </c>
      <c r="M614" s="79" t="s">
        <v>123</v>
      </c>
      <c r="N614" s="80" t="s">
        <v>124</v>
      </c>
      <c r="O614" s="85" t="n">
        <v>46125</v>
      </c>
      <c r="P614" s="101"/>
      <c r="Q614" s="84"/>
      <c r="R614" s="109"/>
      <c r="S614" s="109"/>
    </row>
    <row r="615" s="77" customFormat="true" ht="15" hidden="false" customHeight="false" outlineLevel="1" collapsed="false">
      <c r="B615" s="78"/>
      <c r="C615" s="79" t="n">
        <v>657</v>
      </c>
      <c r="D615" s="80" t="s">
        <v>134</v>
      </c>
      <c r="E615" s="82" t="s">
        <v>854</v>
      </c>
      <c r="F615" s="82" t="s">
        <v>135</v>
      </c>
      <c r="G615" s="88" t="n">
        <v>2</v>
      </c>
      <c r="H615" s="84" t="s">
        <v>24</v>
      </c>
      <c r="I615" s="80" t="s">
        <v>136</v>
      </c>
      <c r="J615" s="80" t="s">
        <v>137</v>
      </c>
      <c r="K615" s="80" t="s">
        <v>138</v>
      </c>
      <c r="L615" s="80" t="s">
        <v>139</v>
      </c>
      <c r="M615" s="79" t="s">
        <v>140</v>
      </c>
      <c r="N615" s="80" t="s">
        <v>141</v>
      </c>
      <c r="O615" s="85" t="n">
        <v>46125</v>
      </c>
      <c r="P615" s="101"/>
      <c r="Q615" s="84"/>
      <c r="R615" s="109"/>
      <c r="S615" s="109"/>
    </row>
    <row r="616" s="77" customFormat="true" ht="15" hidden="false" customHeight="false" outlineLevel="1" collapsed="false">
      <c r="B616" s="78"/>
      <c r="C616" s="79" t="n">
        <v>658</v>
      </c>
      <c r="D616" s="80" t="s">
        <v>554</v>
      </c>
      <c r="E616" s="82" t="s">
        <v>854</v>
      </c>
      <c r="F616" s="82" t="s">
        <v>555</v>
      </c>
      <c r="G616" s="88" t="n">
        <v>1</v>
      </c>
      <c r="H616" s="84" t="s">
        <v>61</v>
      </c>
      <c r="I616" s="80" t="s">
        <v>556</v>
      </c>
      <c r="J616" s="80" t="s">
        <v>557</v>
      </c>
      <c r="K616" s="80" t="s">
        <v>558</v>
      </c>
      <c r="L616" s="80" t="s">
        <v>559</v>
      </c>
      <c r="M616" s="79" t="s">
        <v>560</v>
      </c>
      <c r="N616" s="80" t="s">
        <v>561</v>
      </c>
      <c r="O616" s="85" t="n">
        <v>46125</v>
      </c>
      <c r="P616" s="101"/>
      <c r="Q616" s="84"/>
      <c r="R616" s="109"/>
      <c r="S616" s="109"/>
    </row>
    <row r="617" s="77" customFormat="true" ht="15" hidden="false" customHeight="false" outlineLevel="1" collapsed="false">
      <c r="B617" s="78"/>
      <c r="C617" s="79" t="n">
        <v>659</v>
      </c>
      <c r="D617" s="80" t="s">
        <v>142</v>
      </c>
      <c r="E617" s="82" t="s">
        <v>854</v>
      </c>
      <c r="F617" s="82" t="s">
        <v>143</v>
      </c>
      <c r="G617" s="88" t="n">
        <v>1</v>
      </c>
      <c r="H617" s="84" t="s">
        <v>61</v>
      </c>
      <c r="I617" s="80" t="s">
        <v>144</v>
      </c>
      <c r="J617" s="80" t="s">
        <v>145</v>
      </c>
      <c r="K617" s="80" t="s">
        <v>146</v>
      </c>
      <c r="L617" s="80" t="s">
        <v>147</v>
      </c>
      <c r="M617" s="79" t="s">
        <v>148</v>
      </c>
      <c r="N617" s="80" t="s">
        <v>149</v>
      </c>
      <c r="O617" s="85" t="n">
        <v>46125</v>
      </c>
      <c r="P617" s="101"/>
      <c r="Q617" s="84"/>
      <c r="R617" s="109"/>
      <c r="S617" s="109"/>
    </row>
    <row r="618" s="77" customFormat="true" ht="15" hidden="false" customHeight="false" outlineLevel="1" collapsed="false">
      <c r="B618" s="78"/>
      <c r="C618" s="79" t="n">
        <v>660</v>
      </c>
      <c r="D618" s="80" t="s">
        <v>159</v>
      </c>
      <c r="E618" s="82" t="s">
        <v>854</v>
      </c>
      <c r="F618" s="82" t="s">
        <v>160</v>
      </c>
      <c r="G618" s="88" t="n">
        <v>1</v>
      </c>
      <c r="H618" s="84" t="s">
        <v>61</v>
      </c>
      <c r="I618" s="80" t="s">
        <v>161</v>
      </c>
      <c r="J618" s="80" t="s">
        <v>162</v>
      </c>
      <c r="K618" s="80" t="s">
        <v>163</v>
      </c>
      <c r="L618" s="80" t="s">
        <v>164</v>
      </c>
      <c r="M618" s="79" t="s">
        <v>164</v>
      </c>
      <c r="N618" s="80" t="s">
        <v>165</v>
      </c>
      <c r="O618" s="85" t="n">
        <v>46125</v>
      </c>
      <c r="P618" s="101"/>
      <c r="Q618" s="84"/>
      <c r="R618" s="109"/>
      <c r="S618" s="109"/>
    </row>
    <row r="619" s="77" customFormat="true" ht="15" hidden="false" customHeight="false" outlineLevel="1" collapsed="false">
      <c r="B619" s="78"/>
      <c r="C619" s="79" t="n">
        <v>661</v>
      </c>
      <c r="D619" s="80" t="s">
        <v>174</v>
      </c>
      <c r="E619" s="82" t="s">
        <v>854</v>
      </c>
      <c r="F619" s="82" t="s">
        <v>175</v>
      </c>
      <c r="G619" s="88" t="n">
        <v>2</v>
      </c>
      <c r="H619" s="84" t="s">
        <v>152</v>
      </c>
      <c r="I619" s="80" t="s">
        <v>176</v>
      </c>
      <c r="J619" s="80" t="s">
        <v>177</v>
      </c>
      <c r="K619" s="80" t="s">
        <v>178</v>
      </c>
      <c r="L619" s="80" t="s">
        <v>179</v>
      </c>
      <c r="M619" s="79" t="s">
        <v>180</v>
      </c>
      <c r="N619" s="80" t="s">
        <v>181</v>
      </c>
      <c r="O619" s="85" t="n">
        <v>46125</v>
      </c>
      <c r="P619" s="101"/>
      <c r="Q619" s="84"/>
      <c r="R619" s="109"/>
      <c r="S619" s="109"/>
    </row>
    <row r="620" s="77" customFormat="true" ht="90" hidden="false" customHeight="true" outlineLevel="1" collapsed="false">
      <c r="B620" s="78"/>
      <c r="C620" s="79" t="s">
        <v>880</v>
      </c>
      <c r="D620" s="80" t="s">
        <v>190</v>
      </c>
      <c r="E620" s="82" t="s">
        <v>854</v>
      </c>
      <c r="F620" s="82" t="s">
        <v>191</v>
      </c>
      <c r="G620" s="88" t="n">
        <v>6</v>
      </c>
      <c r="H620" s="84" t="s">
        <v>24</v>
      </c>
      <c r="I620" s="96" t="s">
        <v>881</v>
      </c>
      <c r="J620" s="96" t="s">
        <v>882</v>
      </c>
      <c r="K620" s="96" t="s">
        <v>883</v>
      </c>
      <c r="L620" s="80" t="s">
        <v>195</v>
      </c>
      <c r="M620" s="79" t="s">
        <v>884</v>
      </c>
      <c r="N620" s="80" t="s">
        <v>197</v>
      </c>
      <c r="O620" s="85" t="n">
        <v>46125</v>
      </c>
      <c r="P620" s="101"/>
      <c r="Q620" s="84"/>
      <c r="R620" s="109"/>
      <c r="S620" s="109"/>
    </row>
    <row r="621" s="77" customFormat="true" ht="15" hidden="false" customHeight="false" outlineLevel="1" collapsed="false">
      <c r="B621" s="78"/>
      <c r="C621" s="79" t="n">
        <v>663</v>
      </c>
      <c r="D621" s="80" t="s">
        <v>198</v>
      </c>
      <c r="E621" s="82" t="s">
        <v>854</v>
      </c>
      <c r="F621" s="82" t="s">
        <v>199</v>
      </c>
      <c r="G621" s="88" t="n">
        <v>2</v>
      </c>
      <c r="H621" s="84" t="s">
        <v>200</v>
      </c>
      <c r="I621" s="80" t="s">
        <v>201</v>
      </c>
      <c r="J621" s="80" t="s">
        <v>202</v>
      </c>
      <c r="K621" s="80" t="s">
        <v>203</v>
      </c>
      <c r="L621" s="80" t="s">
        <v>204</v>
      </c>
      <c r="M621" s="79" t="s">
        <v>205</v>
      </c>
      <c r="N621" s="80" t="s">
        <v>206</v>
      </c>
      <c r="O621" s="85" t="n">
        <v>46125</v>
      </c>
      <c r="P621" s="101"/>
      <c r="Q621" s="84"/>
      <c r="R621" s="109"/>
      <c r="S621" s="109"/>
    </row>
    <row r="622" s="77" customFormat="true" ht="15" hidden="false" customHeight="false" outlineLevel="1" collapsed="false">
      <c r="B622" s="78"/>
      <c r="C622" s="79" t="n">
        <v>664</v>
      </c>
      <c r="D622" s="80" t="s">
        <v>215</v>
      </c>
      <c r="E622" s="82" t="s">
        <v>854</v>
      </c>
      <c r="F622" s="82" t="s">
        <v>216</v>
      </c>
      <c r="G622" s="88" t="n">
        <v>1</v>
      </c>
      <c r="H622" s="84" t="s">
        <v>24</v>
      </c>
      <c r="I622" s="80" t="s">
        <v>217</v>
      </c>
      <c r="J622" s="80" t="s">
        <v>218</v>
      </c>
      <c r="K622" s="80" t="s">
        <v>219</v>
      </c>
      <c r="L622" s="80" t="s">
        <v>220</v>
      </c>
      <c r="M622" s="79" t="s">
        <v>221</v>
      </c>
      <c r="N622" s="80" t="s">
        <v>222</v>
      </c>
      <c r="O622" s="85" t="n">
        <v>46125</v>
      </c>
      <c r="P622" s="101"/>
      <c r="Q622" s="84"/>
      <c r="R622" s="109"/>
      <c r="S622" s="109"/>
    </row>
    <row r="623" s="77" customFormat="true" ht="36" hidden="false" customHeight="true" outlineLevel="1" collapsed="false">
      <c r="B623" s="78"/>
      <c r="C623" s="79" t="s">
        <v>890</v>
      </c>
      <c r="D623" s="80" t="s">
        <v>231</v>
      </c>
      <c r="E623" s="82" t="s">
        <v>854</v>
      </c>
      <c r="F623" s="82" t="s">
        <v>232</v>
      </c>
      <c r="G623" s="88" t="n">
        <v>2</v>
      </c>
      <c r="H623" s="84" t="s">
        <v>61</v>
      </c>
      <c r="I623" s="80" t="s">
        <v>702</v>
      </c>
      <c r="J623" s="80" t="s">
        <v>703</v>
      </c>
      <c r="K623" s="80" t="s">
        <v>704</v>
      </c>
      <c r="L623" s="80" t="s">
        <v>236</v>
      </c>
      <c r="M623" s="79" t="s">
        <v>838</v>
      </c>
      <c r="N623" s="80" t="s">
        <v>238</v>
      </c>
      <c r="O623" s="85" t="n">
        <v>46125</v>
      </c>
      <c r="P623" s="101"/>
      <c r="Q623" s="84"/>
      <c r="R623" s="109"/>
      <c r="S623" s="109"/>
    </row>
    <row r="624" s="77" customFormat="true" ht="30" hidden="false" customHeight="true" outlineLevel="1" collapsed="false">
      <c r="B624" s="78"/>
      <c r="C624" s="79" t="n">
        <v>666</v>
      </c>
      <c r="D624" s="80" t="s">
        <v>247</v>
      </c>
      <c r="E624" s="82" t="s">
        <v>854</v>
      </c>
      <c r="F624" s="82" t="s">
        <v>248</v>
      </c>
      <c r="G624" s="88" t="n">
        <v>1</v>
      </c>
      <c r="H624" s="84" t="s">
        <v>61</v>
      </c>
      <c r="I624" s="80" t="s">
        <v>528</v>
      </c>
      <c r="J624" s="80" t="s">
        <v>529</v>
      </c>
      <c r="K624" s="80" t="s">
        <v>530</v>
      </c>
      <c r="L624" s="80" t="s">
        <v>252</v>
      </c>
      <c r="M624" s="79" t="s">
        <v>531</v>
      </c>
      <c r="N624" s="80" t="s">
        <v>254</v>
      </c>
      <c r="O624" s="85" t="n">
        <v>46125</v>
      </c>
      <c r="P624" s="101"/>
      <c r="Q624" s="84"/>
      <c r="R624" s="109"/>
      <c r="S624" s="109"/>
    </row>
    <row r="625" s="77" customFormat="true" ht="30" hidden="false" customHeight="true" outlineLevel="1" collapsed="false">
      <c r="B625" s="78"/>
      <c r="C625" s="79" t="n">
        <v>667</v>
      </c>
      <c r="D625" s="80" t="s">
        <v>255</v>
      </c>
      <c r="E625" s="82" t="s">
        <v>854</v>
      </c>
      <c r="F625" s="82" t="s">
        <v>256</v>
      </c>
      <c r="G625" s="88" t="n">
        <v>1</v>
      </c>
      <c r="H625" s="84" t="s">
        <v>61</v>
      </c>
      <c r="I625" s="80" t="s">
        <v>257</v>
      </c>
      <c r="J625" s="80" t="s">
        <v>258</v>
      </c>
      <c r="K625" s="80" t="s">
        <v>259</v>
      </c>
      <c r="L625" s="80" t="s">
        <v>260</v>
      </c>
      <c r="M625" s="79" t="s">
        <v>847</v>
      </c>
      <c r="N625" s="80" t="s">
        <v>262</v>
      </c>
      <c r="O625" s="85" t="n">
        <v>46125</v>
      </c>
      <c r="P625" s="101"/>
      <c r="Q625" s="84"/>
      <c r="R625" s="109"/>
      <c r="S625" s="109"/>
    </row>
    <row r="626" s="77" customFormat="true" ht="15" hidden="false" customHeight="false" outlineLevel="1" collapsed="false">
      <c r="B626" s="78"/>
      <c r="C626" s="79" t="n">
        <v>668</v>
      </c>
      <c r="D626" s="80" t="s">
        <v>263</v>
      </c>
      <c r="E626" s="82" t="s">
        <v>854</v>
      </c>
      <c r="F626" s="82" t="s">
        <v>264</v>
      </c>
      <c r="G626" s="88" t="n">
        <v>2</v>
      </c>
      <c r="H626" s="84" t="s">
        <v>61</v>
      </c>
      <c r="I626" s="80" t="s">
        <v>265</v>
      </c>
      <c r="J626" s="80" t="s">
        <v>266</v>
      </c>
      <c r="K626" s="80" t="s">
        <v>267</v>
      </c>
      <c r="L626" s="80" t="s">
        <v>252</v>
      </c>
      <c r="M626" s="79" t="s">
        <v>268</v>
      </c>
      <c r="N626" s="80" t="s">
        <v>269</v>
      </c>
      <c r="O626" s="85" t="n">
        <v>46125</v>
      </c>
      <c r="P626" s="101"/>
      <c r="Q626" s="84"/>
      <c r="R626" s="109"/>
      <c r="S626" s="109"/>
    </row>
    <row r="627" s="77" customFormat="true" ht="15" hidden="false" customHeight="false" outlineLevel="1" collapsed="false">
      <c r="B627" s="78"/>
      <c r="C627" s="79" t="n">
        <v>669</v>
      </c>
      <c r="D627" s="80" t="s">
        <v>651</v>
      </c>
      <c r="E627" s="82" t="s">
        <v>854</v>
      </c>
      <c r="F627" s="82" t="s">
        <v>652</v>
      </c>
      <c r="G627" s="88" t="n">
        <v>1</v>
      </c>
      <c r="H627" s="84" t="s">
        <v>111</v>
      </c>
      <c r="I627" s="80" t="s">
        <v>653</v>
      </c>
      <c r="J627" s="80" t="s">
        <v>654</v>
      </c>
      <c r="K627" s="80" t="s">
        <v>655</v>
      </c>
      <c r="L627" s="80" t="s">
        <v>656</v>
      </c>
      <c r="M627" s="79" t="s">
        <v>657</v>
      </c>
      <c r="N627" s="80" t="s">
        <v>658</v>
      </c>
      <c r="O627" s="85" t="n">
        <v>46125</v>
      </c>
      <c r="P627" s="101"/>
      <c r="Q627" s="84"/>
      <c r="R627" s="109"/>
      <c r="S627" s="109"/>
    </row>
    <row r="628" s="77" customFormat="true" ht="15" hidden="false" customHeight="false" outlineLevel="1" collapsed="false">
      <c r="B628" s="78"/>
      <c r="C628" s="79" t="n">
        <v>670</v>
      </c>
      <c r="D628" s="80" t="s">
        <v>706</v>
      </c>
      <c r="E628" s="82" t="s">
        <v>854</v>
      </c>
      <c r="F628" s="82" t="s">
        <v>707</v>
      </c>
      <c r="G628" s="88" t="n">
        <v>1</v>
      </c>
      <c r="H628" s="84" t="s">
        <v>111</v>
      </c>
      <c r="I628" s="80" t="s">
        <v>708</v>
      </c>
      <c r="J628" s="80" t="s">
        <v>709</v>
      </c>
      <c r="K628" s="80" t="s">
        <v>710</v>
      </c>
      <c r="L628" s="80" t="s">
        <v>711</v>
      </c>
      <c r="M628" s="79" t="s">
        <v>712</v>
      </c>
      <c r="N628" s="80" t="s">
        <v>713</v>
      </c>
      <c r="O628" s="85" t="n">
        <v>46125</v>
      </c>
      <c r="P628" s="101"/>
      <c r="Q628" s="84"/>
      <c r="R628" s="109"/>
      <c r="S628" s="109"/>
    </row>
    <row r="629" s="77" customFormat="true" ht="15" hidden="false" customHeight="false" outlineLevel="1" collapsed="false">
      <c r="B629" s="78"/>
      <c r="C629" s="79" t="n">
        <v>671</v>
      </c>
      <c r="D629" s="80" t="s">
        <v>310</v>
      </c>
      <c r="E629" s="82" t="s">
        <v>854</v>
      </c>
      <c r="F629" s="82" t="s">
        <v>311</v>
      </c>
      <c r="G629" s="88" t="n">
        <v>1</v>
      </c>
      <c r="H629" s="84" t="s">
        <v>152</v>
      </c>
      <c r="I629" s="80" t="s">
        <v>312</v>
      </c>
      <c r="J629" s="80" t="s">
        <v>313</v>
      </c>
      <c r="K629" s="80" t="s">
        <v>314</v>
      </c>
      <c r="L629" s="80" t="s">
        <v>315</v>
      </c>
      <c r="M629" s="79" t="s">
        <v>316</v>
      </c>
      <c r="N629" s="80" t="s">
        <v>317</v>
      </c>
      <c r="O629" s="85" t="n">
        <v>46125</v>
      </c>
      <c r="P629" s="101"/>
      <c r="Q629" s="84"/>
      <c r="R629" s="109"/>
      <c r="S629" s="109"/>
    </row>
    <row r="630" s="77" customFormat="true" ht="15" hidden="false" customHeight="false" outlineLevel="1" collapsed="false">
      <c r="B630" s="78"/>
      <c r="C630" s="79" t="n">
        <v>672</v>
      </c>
      <c r="D630" s="80" t="s">
        <v>318</v>
      </c>
      <c r="E630" s="82" t="s">
        <v>854</v>
      </c>
      <c r="F630" s="82" t="s">
        <v>319</v>
      </c>
      <c r="G630" s="88" t="n">
        <v>1</v>
      </c>
      <c r="H630" s="84" t="s">
        <v>111</v>
      </c>
      <c r="I630" s="80" t="s">
        <v>320</v>
      </c>
      <c r="J630" s="80" t="s">
        <v>321</v>
      </c>
      <c r="K630" s="80" t="s">
        <v>322</v>
      </c>
      <c r="L630" s="80" t="s">
        <v>323</v>
      </c>
      <c r="M630" s="79" t="s">
        <v>324</v>
      </c>
      <c r="N630" s="80" t="s">
        <v>325</v>
      </c>
      <c r="O630" s="85" t="n">
        <v>46125</v>
      </c>
      <c r="P630" s="101"/>
      <c r="Q630" s="84"/>
      <c r="R630" s="109"/>
      <c r="S630" s="109"/>
    </row>
    <row r="631" s="77" customFormat="true" ht="15" hidden="false" customHeight="false" outlineLevel="1" collapsed="false">
      <c r="B631" s="78"/>
      <c r="C631" s="79" t="n">
        <v>673</v>
      </c>
      <c r="D631" s="80" t="s">
        <v>326</v>
      </c>
      <c r="E631" s="82" t="s">
        <v>854</v>
      </c>
      <c r="F631" s="82" t="s">
        <v>327</v>
      </c>
      <c r="G631" s="88" t="n">
        <v>1</v>
      </c>
      <c r="H631" s="84" t="s">
        <v>152</v>
      </c>
      <c r="I631" s="80" t="s">
        <v>328</v>
      </c>
      <c r="J631" s="80" t="s">
        <v>329</v>
      </c>
      <c r="K631" s="80" t="s">
        <v>330</v>
      </c>
      <c r="L631" s="80" t="s">
        <v>331</v>
      </c>
      <c r="M631" s="79" t="s">
        <v>332</v>
      </c>
      <c r="N631" s="80" t="s">
        <v>333</v>
      </c>
      <c r="O631" s="85" t="n">
        <v>46125</v>
      </c>
      <c r="P631" s="101"/>
      <c r="Q631" s="84"/>
      <c r="R631" s="109"/>
      <c r="S631" s="109"/>
    </row>
    <row r="632" s="77" customFormat="true" ht="15" hidden="false" customHeight="false" outlineLevel="1" collapsed="false">
      <c r="B632" s="78"/>
      <c r="C632" s="79" t="n">
        <v>674</v>
      </c>
      <c r="D632" s="80" t="s">
        <v>334</v>
      </c>
      <c r="E632" s="82" t="s">
        <v>854</v>
      </c>
      <c r="F632" s="82" t="s">
        <v>335</v>
      </c>
      <c r="G632" s="88" t="n">
        <v>1</v>
      </c>
      <c r="H632" s="84" t="s">
        <v>61</v>
      </c>
      <c r="I632" s="80" t="s">
        <v>336</v>
      </c>
      <c r="J632" s="80" t="s">
        <v>337</v>
      </c>
      <c r="K632" s="80" t="s">
        <v>338</v>
      </c>
      <c r="L632" s="80" t="s">
        <v>339</v>
      </c>
      <c r="M632" s="79" t="s">
        <v>543</v>
      </c>
      <c r="N632" s="80" t="s">
        <v>341</v>
      </c>
      <c r="O632" s="85" t="n">
        <v>46125</v>
      </c>
      <c r="P632" s="101"/>
      <c r="Q632" s="84"/>
      <c r="R632" s="109"/>
      <c r="S632" s="109"/>
    </row>
    <row r="633" s="77" customFormat="true" ht="15" hidden="false" customHeight="false" outlineLevel="1" collapsed="false">
      <c r="B633" s="78"/>
      <c r="C633" s="79" t="n">
        <v>675</v>
      </c>
      <c r="D633" s="80" t="s">
        <v>342</v>
      </c>
      <c r="E633" s="82" t="s">
        <v>854</v>
      </c>
      <c r="F633" s="82" t="s">
        <v>343</v>
      </c>
      <c r="G633" s="88" t="n">
        <v>1</v>
      </c>
      <c r="H633" s="84" t="s">
        <v>24</v>
      </c>
      <c r="I633" s="80" t="s">
        <v>344</v>
      </c>
      <c r="J633" s="80" t="s">
        <v>345</v>
      </c>
      <c r="K633" s="80" t="s">
        <v>346</v>
      </c>
      <c r="L633" s="80" t="s">
        <v>347</v>
      </c>
      <c r="M633" s="79" t="s">
        <v>348</v>
      </c>
      <c r="N633" s="80" t="s">
        <v>349</v>
      </c>
      <c r="O633" s="85" t="n">
        <v>46125</v>
      </c>
      <c r="P633" s="101"/>
      <c r="Q633" s="84"/>
      <c r="R633" s="109"/>
      <c r="S633" s="109"/>
    </row>
    <row r="634" s="77" customFormat="true" ht="15" hidden="false" customHeight="false" outlineLevel="1" collapsed="false">
      <c r="B634" s="78"/>
      <c r="C634" s="79" t="n">
        <v>676</v>
      </c>
      <c r="D634" s="80" t="s">
        <v>350</v>
      </c>
      <c r="E634" s="82" t="s">
        <v>854</v>
      </c>
      <c r="F634" s="82" t="s">
        <v>351</v>
      </c>
      <c r="G634" s="88" t="n">
        <v>1</v>
      </c>
      <c r="H634" s="84" t="s">
        <v>152</v>
      </c>
      <c r="I634" s="80" t="s">
        <v>352</v>
      </c>
      <c r="J634" s="80" t="s">
        <v>353</v>
      </c>
      <c r="K634" s="80" t="s">
        <v>354</v>
      </c>
      <c r="L634" s="80" t="s">
        <v>355</v>
      </c>
      <c r="M634" s="79" t="s">
        <v>355</v>
      </c>
      <c r="N634" s="80" t="s">
        <v>356</v>
      </c>
      <c r="O634" s="85" t="n">
        <v>46125</v>
      </c>
      <c r="P634" s="101"/>
      <c r="Q634" s="84"/>
      <c r="R634" s="109"/>
      <c r="S634" s="109"/>
    </row>
    <row r="635" s="77" customFormat="true" ht="15" hidden="false" customHeight="false" outlineLevel="1" collapsed="false">
      <c r="B635" s="78"/>
      <c r="C635" s="79" t="n">
        <v>677</v>
      </c>
      <c r="D635" s="80" t="s">
        <v>802</v>
      </c>
      <c r="E635" s="82" t="s">
        <v>854</v>
      </c>
      <c r="F635" s="82" t="s">
        <v>803</v>
      </c>
      <c r="G635" s="88" t="n">
        <v>1</v>
      </c>
      <c r="H635" s="84" t="s">
        <v>804</v>
      </c>
      <c r="I635" s="80" t="s">
        <v>805</v>
      </c>
      <c r="J635" s="80" t="s">
        <v>806</v>
      </c>
      <c r="K635" s="78" t="s">
        <v>807</v>
      </c>
      <c r="L635" s="80" t="s">
        <v>808</v>
      </c>
      <c r="M635" s="79" t="s">
        <v>809</v>
      </c>
      <c r="N635" s="80" t="s">
        <v>810</v>
      </c>
      <c r="O635" s="85" t="n">
        <v>46125</v>
      </c>
      <c r="P635" s="101"/>
      <c r="Q635" s="84"/>
      <c r="R635" s="109"/>
      <c r="S635" s="109"/>
    </row>
    <row r="636" s="77" customFormat="true" ht="15" hidden="false" customHeight="false" outlineLevel="1" collapsed="false">
      <c r="B636" s="78"/>
      <c r="C636" s="79" t="n">
        <v>678</v>
      </c>
      <c r="D636" s="80" t="s">
        <v>604</v>
      </c>
      <c r="E636" s="82" t="s">
        <v>854</v>
      </c>
      <c r="F636" s="82" t="s">
        <v>605</v>
      </c>
      <c r="G636" s="88" t="n">
        <v>1</v>
      </c>
      <c r="H636" s="84" t="s">
        <v>61</v>
      </c>
      <c r="I636" s="80" t="s">
        <v>606</v>
      </c>
      <c r="J636" s="80" t="s">
        <v>607</v>
      </c>
      <c r="K636" s="80" t="s">
        <v>608</v>
      </c>
      <c r="L636" s="80" t="s">
        <v>252</v>
      </c>
      <c r="M636" s="79" t="s">
        <v>609</v>
      </c>
      <c r="N636" s="80" t="s">
        <v>610</v>
      </c>
      <c r="O636" s="85" t="n">
        <v>46125</v>
      </c>
      <c r="P636" s="101"/>
      <c r="Q636" s="84"/>
      <c r="R636" s="109"/>
      <c r="S636" s="109"/>
    </row>
    <row r="637" s="77" customFormat="true" ht="15" hidden="false" customHeight="false" outlineLevel="1" collapsed="false">
      <c r="B637" s="78"/>
      <c r="C637" s="79" t="n">
        <v>679</v>
      </c>
      <c r="D637" s="80" t="s">
        <v>375</v>
      </c>
      <c r="E637" s="82" t="s">
        <v>854</v>
      </c>
      <c r="F637" s="82" t="s">
        <v>376</v>
      </c>
      <c r="G637" s="88" t="n">
        <v>1</v>
      </c>
      <c r="H637" s="84" t="s">
        <v>111</v>
      </c>
      <c r="I637" s="80" t="s">
        <v>473</v>
      </c>
      <c r="J637" s="80" t="s">
        <v>878</v>
      </c>
      <c r="K637" s="80" t="s">
        <v>475</v>
      </c>
      <c r="L637" s="80" t="s">
        <v>380</v>
      </c>
      <c r="M637" s="79" t="s">
        <v>879</v>
      </c>
      <c r="N637" s="80" t="s">
        <v>382</v>
      </c>
      <c r="O637" s="85" t="n">
        <v>46125</v>
      </c>
      <c r="P637" s="101"/>
      <c r="Q637" s="84"/>
      <c r="R637" s="109"/>
      <c r="S637" s="109"/>
    </row>
    <row r="638" s="77" customFormat="true" ht="15" hidden="false" customHeight="false" outlineLevel="1" collapsed="false">
      <c r="B638" s="78"/>
      <c r="C638" s="79" t="n">
        <v>680</v>
      </c>
      <c r="D638" s="80" t="s">
        <v>383</v>
      </c>
      <c r="E638" s="82" t="s">
        <v>854</v>
      </c>
      <c r="F638" s="82" t="s">
        <v>384</v>
      </c>
      <c r="G638" s="88" t="n">
        <v>1</v>
      </c>
      <c r="H638" s="84" t="s">
        <v>61</v>
      </c>
      <c r="I638" s="80" t="s">
        <v>385</v>
      </c>
      <c r="J638" s="80" t="s">
        <v>386</v>
      </c>
      <c r="K638" s="80" t="s">
        <v>387</v>
      </c>
      <c r="L638" s="80" t="s">
        <v>388</v>
      </c>
      <c r="M638" s="79" t="s">
        <v>389</v>
      </c>
      <c r="N638" s="80" t="s">
        <v>390</v>
      </c>
      <c r="O638" s="85" t="n">
        <v>46125</v>
      </c>
      <c r="P638" s="101"/>
      <c r="Q638" s="84"/>
      <c r="R638" s="109"/>
      <c r="S638" s="109"/>
    </row>
    <row r="639" s="77" customFormat="true" ht="15" hidden="false" customHeight="false" outlineLevel="1" collapsed="false">
      <c r="B639" s="78"/>
      <c r="C639" s="79" t="n">
        <v>681</v>
      </c>
      <c r="D639" s="80" t="s">
        <v>399</v>
      </c>
      <c r="E639" s="82" t="s">
        <v>854</v>
      </c>
      <c r="F639" s="82" t="s">
        <v>400</v>
      </c>
      <c r="G639" s="88" t="n">
        <v>1</v>
      </c>
      <c r="H639" s="84" t="s">
        <v>152</v>
      </c>
      <c r="I639" s="80" t="s">
        <v>401</v>
      </c>
      <c r="J639" s="80" t="s">
        <v>402</v>
      </c>
      <c r="K639" s="80" t="s">
        <v>403</v>
      </c>
      <c r="L639" s="80" t="s">
        <v>404</v>
      </c>
      <c r="M639" s="79" t="s">
        <v>791</v>
      </c>
      <c r="N639" s="80" t="s">
        <v>406</v>
      </c>
      <c r="O639" s="85" t="n">
        <v>46125</v>
      </c>
      <c r="P639" s="101"/>
      <c r="Q639" s="84"/>
      <c r="R639" s="109"/>
      <c r="S639" s="109"/>
    </row>
    <row r="640" s="77" customFormat="true" ht="15" hidden="false" customHeight="false" outlineLevel="1" collapsed="false">
      <c r="B640" s="78"/>
      <c r="C640" s="79" t="n">
        <v>662</v>
      </c>
      <c r="D640" s="80" t="s">
        <v>892</v>
      </c>
      <c r="E640" s="82" t="s">
        <v>854</v>
      </c>
      <c r="F640" s="82" t="s">
        <v>893</v>
      </c>
      <c r="G640" s="88" t="n">
        <v>1</v>
      </c>
      <c r="H640" s="84" t="s">
        <v>61</v>
      </c>
      <c r="I640" s="80" t="s">
        <v>894</v>
      </c>
      <c r="J640" s="80" t="s">
        <v>895</v>
      </c>
      <c r="K640" s="97" t="s">
        <v>896</v>
      </c>
      <c r="L640" s="79" t="s">
        <v>897</v>
      </c>
      <c r="M640" s="79" t="s">
        <v>897</v>
      </c>
      <c r="N640" s="80" t="s">
        <v>898</v>
      </c>
      <c r="O640" s="85" t="n">
        <v>46125</v>
      </c>
      <c r="P640" s="101"/>
      <c r="Q640" s="84"/>
      <c r="R640" s="109"/>
      <c r="S640" s="109"/>
    </row>
    <row r="641" s="77" customFormat="true" ht="15" hidden="false" customHeight="false" outlineLevel="1" collapsed="false">
      <c r="B641" s="78"/>
      <c r="C641" s="79" t="n">
        <v>683</v>
      </c>
      <c r="D641" s="80" t="s">
        <v>424</v>
      </c>
      <c r="E641" s="82" t="s">
        <v>854</v>
      </c>
      <c r="F641" s="82" t="s">
        <v>425</v>
      </c>
      <c r="G641" s="88" t="n">
        <v>1</v>
      </c>
      <c r="H641" s="84" t="s">
        <v>111</v>
      </c>
      <c r="I641" s="80" t="s">
        <v>426</v>
      </c>
      <c r="J641" s="80" t="s">
        <v>427</v>
      </c>
      <c r="K641" s="80" t="s">
        <v>428</v>
      </c>
      <c r="L641" s="80" t="s">
        <v>429</v>
      </c>
      <c r="M641" s="79" t="s">
        <v>429</v>
      </c>
      <c r="N641" s="80" t="s">
        <v>430</v>
      </c>
      <c r="O641" s="85" t="n">
        <v>46125</v>
      </c>
      <c r="P641" s="101"/>
      <c r="Q641" s="84"/>
      <c r="R641" s="109"/>
      <c r="S641" s="109"/>
    </row>
    <row r="642" s="77" customFormat="true" ht="15" hidden="false" customHeight="false" outlineLevel="1" collapsed="false">
      <c r="B642" s="78"/>
      <c r="C642" s="79" t="n">
        <v>684</v>
      </c>
      <c r="D642" s="80" t="s">
        <v>431</v>
      </c>
      <c r="E642" s="80" t="s">
        <v>854</v>
      </c>
      <c r="F642" s="82" t="s">
        <v>432</v>
      </c>
      <c r="G642" s="88" t="n">
        <v>1</v>
      </c>
      <c r="H642" s="84" t="s">
        <v>152</v>
      </c>
      <c r="I642" s="80" t="s">
        <v>678</v>
      </c>
      <c r="J642" s="80" t="s">
        <v>679</v>
      </c>
      <c r="K642" s="80" t="s">
        <v>680</v>
      </c>
      <c r="L642" s="80" t="s">
        <v>436</v>
      </c>
      <c r="M642" s="79" t="s">
        <v>681</v>
      </c>
      <c r="N642" s="80" t="s">
        <v>438</v>
      </c>
      <c r="O642" s="85" t="n">
        <v>46125</v>
      </c>
      <c r="P642" s="101"/>
      <c r="Q642" s="84"/>
      <c r="R642" s="109"/>
      <c r="S642" s="109"/>
    </row>
    <row r="643" s="77" customFormat="true" ht="15" hidden="false" customHeight="false" outlineLevel="1" collapsed="false">
      <c r="B643" s="78"/>
      <c r="C643" s="79" t="n">
        <v>685</v>
      </c>
      <c r="D643" s="80" t="s">
        <v>447</v>
      </c>
      <c r="E643" s="82" t="s">
        <v>854</v>
      </c>
      <c r="F643" s="82" t="s">
        <v>448</v>
      </c>
      <c r="G643" s="88" t="n">
        <v>1</v>
      </c>
      <c r="H643" s="84" t="s">
        <v>24</v>
      </c>
      <c r="I643" s="80" t="s">
        <v>449</v>
      </c>
      <c r="J643" s="80" t="s">
        <v>450</v>
      </c>
      <c r="K643" s="80" t="s">
        <v>451</v>
      </c>
      <c r="L643" s="80" t="s">
        <v>452</v>
      </c>
      <c r="M643" s="79" t="s">
        <v>453</v>
      </c>
      <c r="N643" s="80" t="s">
        <v>454</v>
      </c>
      <c r="O643" s="85" t="n">
        <v>46125</v>
      </c>
      <c r="P643" s="101"/>
      <c r="Q643" s="84"/>
      <c r="R643" s="109"/>
      <c r="S643" s="109"/>
    </row>
    <row r="644" s="77" customFormat="true" ht="15" hidden="false" customHeight="false" outlineLevel="1" collapsed="false">
      <c r="B644" s="78"/>
      <c r="C644" s="79" t="n">
        <v>686</v>
      </c>
      <c r="D644" s="80" t="s">
        <v>571</v>
      </c>
      <c r="E644" s="82" t="s">
        <v>854</v>
      </c>
      <c r="F644" s="82" t="s">
        <v>572</v>
      </c>
      <c r="G644" s="88" t="n">
        <v>1</v>
      </c>
      <c r="H644" s="84" t="s">
        <v>573</v>
      </c>
      <c r="I644" s="80" t="s">
        <v>574</v>
      </c>
      <c r="J644" s="80" t="s">
        <v>575</v>
      </c>
      <c r="K644" s="80" t="s">
        <v>576</v>
      </c>
      <c r="L644" s="80" t="s">
        <v>577</v>
      </c>
      <c r="M644" s="79" t="s">
        <v>578</v>
      </c>
      <c r="N644" s="80" t="s">
        <v>579</v>
      </c>
      <c r="O644" s="85" t="n">
        <v>46125</v>
      </c>
      <c r="P644" s="101"/>
      <c r="Q644" s="84"/>
      <c r="R644" s="109"/>
      <c r="S644" s="109"/>
    </row>
    <row r="645" s="77" customFormat="true" ht="15" hidden="false" customHeight="false" outlineLevel="1" collapsed="false">
      <c r="B645" s="78"/>
      <c r="C645" s="79" t="n">
        <v>687</v>
      </c>
      <c r="D645" s="80" t="s">
        <v>463</v>
      </c>
      <c r="E645" s="82" t="s">
        <v>854</v>
      </c>
      <c r="F645" s="82" t="s">
        <v>464</v>
      </c>
      <c r="G645" s="88" t="n">
        <v>1</v>
      </c>
      <c r="H645" s="84" t="s">
        <v>152</v>
      </c>
      <c r="I645" s="80" t="s">
        <v>465</v>
      </c>
      <c r="J645" s="80" t="s">
        <v>466</v>
      </c>
      <c r="K645" s="80" t="s">
        <v>467</v>
      </c>
      <c r="L645" s="80" t="s">
        <v>468</v>
      </c>
      <c r="M645" s="79" t="s">
        <v>469</v>
      </c>
      <c r="N645" s="80" t="s">
        <v>470</v>
      </c>
      <c r="O645" s="85" t="n">
        <v>46125</v>
      </c>
      <c r="P645" s="101"/>
      <c r="Q645" s="84"/>
      <c r="R645" s="109"/>
      <c r="S645" s="109"/>
    </row>
    <row r="646" s="77" customFormat="true" ht="15" hidden="false" customHeight="false" outlineLevel="1" collapsed="false">
      <c r="B646" s="78"/>
      <c r="C646" s="79" t="n">
        <v>688</v>
      </c>
      <c r="D646" s="80" t="s">
        <v>760</v>
      </c>
      <c r="E646" s="82" t="s">
        <v>854</v>
      </c>
      <c r="F646" s="82" t="s">
        <v>761</v>
      </c>
      <c r="G646" s="88" t="n">
        <v>1</v>
      </c>
      <c r="H646" s="84" t="s">
        <v>61</v>
      </c>
      <c r="I646" s="80" t="s">
        <v>762</v>
      </c>
      <c r="J646" s="80" t="s">
        <v>763</v>
      </c>
      <c r="K646" s="80" t="s">
        <v>764</v>
      </c>
      <c r="L646" s="80" t="s">
        <v>765</v>
      </c>
      <c r="M646" s="79" t="s">
        <v>765</v>
      </c>
      <c r="N646" s="80" t="s">
        <v>766</v>
      </c>
      <c r="O646" s="85" t="n">
        <v>46125</v>
      </c>
      <c r="P646" s="101"/>
      <c r="Q646" s="84"/>
      <c r="R646" s="109"/>
      <c r="S646" s="109"/>
    </row>
    <row r="647" s="77" customFormat="true" ht="15" hidden="false" customHeight="false" outlineLevel="1" collapsed="false">
      <c r="B647" s="78"/>
      <c r="C647" s="79" t="n">
        <v>689</v>
      </c>
      <c r="D647" s="80" t="s">
        <v>471</v>
      </c>
      <c r="E647" s="82" t="s">
        <v>854</v>
      </c>
      <c r="F647" s="82" t="s">
        <v>472</v>
      </c>
      <c r="G647" s="88" t="n">
        <v>1</v>
      </c>
      <c r="H647" s="84" t="s">
        <v>111</v>
      </c>
      <c r="I647" s="80" t="s">
        <v>473</v>
      </c>
      <c r="J647" s="80" t="s">
        <v>474</v>
      </c>
      <c r="K647" s="80" t="s">
        <v>475</v>
      </c>
      <c r="L647" s="80" t="s">
        <v>476</v>
      </c>
      <c r="M647" s="79" t="s">
        <v>476</v>
      </c>
      <c r="N647" s="80" t="s">
        <v>477</v>
      </c>
      <c r="O647" s="85" t="n">
        <v>46125</v>
      </c>
      <c r="P647" s="101"/>
      <c r="Q647" s="84"/>
      <c r="R647" s="109"/>
      <c r="S647" s="109"/>
    </row>
    <row r="648" s="77" customFormat="true" ht="30" hidden="false" customHeight="true" outlineLevel="1" collapsed="false">
      <c r="B648" s="78"/>
      <c r="C648" s="79" t="n">
        <v>690</v>
      </c>
      <c r="D648" s="80" t="s">
        <v>478</v>
      </c>
      <c r="E648" s="82" t="s">
        <v>854</v>
      </c>
      <c r="F648" s="82" t="s">
        <v>479</v>
      </c>
      <c r="G648" s="88" t="n">
        <v>1</v>
      </c>
      <c r="H648" s="84" t="s">
        <v>111</v>
      </c>
      <c r="I648" s="80" t="s">
        <v>480</v>
      </c>
      <c r="J648" s="80" t="s">
        <v>481</v>
      </c>
      <c r="K648" s="80" t="s">
        <v>482</v>
      </c>
      <c r="L648" s="80" t="s">
        <v>483</v>
      </c>
      <c r="M648" s="79" t="s">
        <v>634</v>
      </c>
      <c r="N648" s="80" t="s">
        <v>485</v>
      </c>
      <c r="O648" s="85" t="n">
        <v>46125</v>
      </c>
      <c r="P648" s="101"/>
      <c r="Q648" s="84"/>
      <c r="R648" s="109"/>
      <c r="S648" s="109"/>
    </row>
    <row r="649" s="77" customFormat="true" ht="15" hidden="false" customHeight="false" outlineLevel="1" collapsed="false">
      <c r="B649" s="78"/>
      <c r="C649" s="79" t="n">
        <v>691</v>
      </c>
      <c r="D649" s="80" t="s">
        <v>611</v>
      </c>
      <c r="E649" s="82" t="s">
        <v>854</v>
      </c>
      <c r="F649" s="82" t="s">
        <v>612</v>
      </c>
      <c r="G649" s="88" t="n">
        <v>1</v>
      </c>
      <c r="H649" s="84" t="s">
        <v>24</v>
      </c>
      <c r="I649" s="80" t="s">
        <v>613</v>
      </c>
      <c r="J649" s="80" t="s">
        <v>614</v>
      </c>
      <c r="K649" s="80" t="s">
        <v>615</v>
      </c>
      <c r="L649" s="80" t="s">
        <v>616</v>
      </c>
      <c r="M649" s="79" t="s">
        <v>616</v>
      </c>
      <c r="N649" s="80" t="s">
        <v>617</v>
      </c>
      <c r="O649" s="85" t="n">
        <v>46125</v>
      </c>
      <c r="P649" s="101"/>
      <c r="Q649" s="84"/>
      <c r="R649" s="109"/>
      <c r="S649" s="109"/>
    </row>
    <row r="650" s="77" customFormat="true" ht="15" hidden="false" customHeight="false" outlineLevel="1" collapsed="false">
      <c r="B650" s="78"/>
      <c r="C650" s="79" t="n">
        <v>692</v>
      </c>
      <c r="D650" s="80" t="s">
        <v>494</v>
      </c>
      <c r="E650" s="82" t="s">
        <v>854</v>
      </c>
      <c r="F650" s="82" t="s">
        <v>495</v>
      </c>
      <c r="G650" s="88" t="n">
        <v>1</v>
      </c>
      <c r="H650" s="84" t="s">
        <v>61</v>
      </c>
      <c r="I650" s="80" t="s">
        <v>496</v>
      </c>
      <c r="J650" s="80" t="s">
        <v>497</v>
      </c>
      <c r="K650" s="80" t="s">
        <v>498</v>
      </c>
      <c r="L650" s="80" t="s">
        <v>499</v>
      </c>
      <c r="M650" s="79" t="s">
        <v>500</v>
      </c>
      <c r="N650" s="80" t="s">
        <v>501</v>
      </c>
      <c r="O650" s="85" t="n">
        <v>46125</v>
      </c>
      <c r="P650" s="101"/>
      <c r="Q650" s="84"/>
      <c r="R650" s="109"/>
      <c r="S650" s="109"/>
    </row>
    <row r="651" s="77" customFormat="true" ht="15" hidden="false" customHeight="false" outlineLevel="1" collapsed="false">
      <c r="B651" s="78"/>
      <c r="C651" s="79" t="n">
        <v>693</v>
      </c>
      <c r="D651" s="80" t="s">
        <v>502</v>
      </c>
      <c r="E651" s="82" t="s">
        <v>854</v>
      </c>
      <c r="F651" s="82" t="s">
        <v>503</v>
      </c>
      <c r="G651" s="88" t="n">
        <v>1</v>
      </c>
      <c r="H651" s="84" t="s">
        <v>61</v>
      </c>
      <c r="I651" s="80" t="s">
        <v>504</v>
      </c>
      <c r="J651" s="80" t="s">
        <v>505</v>
      </c>
      <c r="K651" s="80" t="s">
        <v>506</v>
      </c>
      <c r="L651" s="80" t="s">
        <v>283</v>
      </c>
      <c r="M651" s="79" t="s">
        <v>284</v>
      </c>
      <c r="N651" s="80" t="s">
        <v>507</v>
      </c>
      <c r="O651" s="85" t="n">
        <v>46125</v>
      </c>
      <c r="P651" s="101"/>
      <c r="Q651" s="84"/>
      <c r="R651" s="109"/>
      <c r="S651" s="109"/>
    </row>
    <row r="652" s="77" customFormat="true" ht="15" hidden="false" customHeight="false" outlineLevel="1" collapsed="false">
      <c r="B652" s="78"/>
      <c r="C652" s="79" t="n">
        <v>694</v>
      </c>
      <c r="D652" s="80" t="s">
        <v>508</v>
      </c>
      <c r="E652" s="82" t="s">
        <v>854</v>
      </c>
      <c r="F652" s="82" t="s">
        <v>509</v>
      </c>
      <c r="G652" s="88" t="n">
        <v>1</v>
      </c>
      <c r="H652" s="84" t="s">
        <v>61</v>
      </c>
      <c r="I652" s="80" t="s">
        <v>510</v>
      </c>
      <c r="J652" s="80" t="s">
        <v>511</v>
      </c>
      <c r="K652" s="80" t="s">
        <v>512</v>
      </c>
      <c r="L652" s="80" t="s">
        <v>513</v>
      </c>
      <c r="M652" s="79" t="s">
        <v>514</v>
      </c>
      <c r="N652" s="80" t="s">
        <v>515</v>
      </c>
      <c r="O652" s="85" t="n">
        <v>46125</v>
      </c>
      <c r="P652" s="101"/>
      <c r="Q652" s="84"/>
      <c r="R652" s="87"/>
      <c r="S652" s="87"/>
    </row>
    <row r="653" s="77" customFormat="true" ht="15" hidden="false" customHeight="false" outlineLevel="1" collapsed="false">
      <c r="B653" s="78"/>
      <c r="C653" s="79" t="n">
        <v>695</v>
      </c>
      <c r="D653" s="80" t="s">
        <v>516</v>
      </c>
      <c r="E653" s="82" t="s">
        <v>854</v>
      </c>
      <c r="F653" s="92" t="s">
        <v>517</v>
      </c>
      <c r="G653" s="88" t="n">
        <v>1</v>
      </c>
      <c r="H653" s="84" t="s">
        <v>61</v>
      </c>
      <c r="I653" s="80" t="s">
        <v>518</v>
      </c>
      <c r="J653" s="80" t="s">
        <v>519</v>
      </c>
      <c r="K653" s="80" t="s">
        <v>520</v>
      </c>
      <c r="L653" s="80" t="s">
        <v>521</v>
      </c>
      <c r="M653" s="79" t="s">
        <v>522</v>
      </c>
      <c r="N653" s="80" t="s">
        <v>523</v>
      </c>
      <c r="O653" s="85" t="n">
        <v>46125</v>
      </c>
      <c r="P653" s="101"/>
      <c r="Q653" s="84"/>
      <c r="R653" s="87"/>
      <c r="S653" s="87"/>
    </row>
    <row r="654" s="77" customFormat="true" ht="15" hidden="false" customHeight="false" outlineLevel="1" collapsed="false">
      <c r="B654" s="78"/>
      <c r="C654" s="79" t="n">
        <v>696</v>
      </c>
      <c r="D654" s="80" t="s">
        <v>644</v>
      </c>
      <c r="E654" s="82" t="s">
        <v>854</v>
      </c>
      <c r="F654" s="82" t="s">
        <v>645</v>
      </c>
      <c r="G654" s="88" t="n">
        <v>3</v>
      </c>
      <c r="H654" s="84" t="s">
        <v>61</v>
      </c>
      <c r="I654" s="80" t="s">
        <v>646</v>
      </c>
      <c r="J654" s="80" t="s">
        <v>647</v>
      </c>
      <c r="K654" s="80" t="s">
        <v>648</v>
      </c>
      <c r="L654" s="80" t="s">
        <v>649</v>
      </c>
      <c r="M654" s="79" t="s">
        <v>650</v>
      </c>
      <c r="N654" s="80"/>
      <c r="O654" s="85" t="n">
        <v>46125</v>
      </c>
      <c r="P654" s="101"/>
      <c r="Q654" s="84"/>
      <c r="R654" s="87"/>
      <c r="S654" s="87"/>
    </row>
    <row r="655" s="68" customFormat="true" ht="30" hidden="false" customHeight="true" outlineLevel="0" collapsed="false">
      <c r="B655" s="69"/>
      <c r="C655" s="102"/>
      <c r="D655" s="71"/>
      <c r="E655" s="72" t="s">
        <v>525</v>
      </c>
      <c r="F655" s="73"/>
      <c r="G655" s="74" t="n">
        <f aca="false">SUM(G656:G710)</f>
        <v>94</v>
      </c>
      <c r="H655" s="69"/>
      <c r="I655" s="69"/>
      <c r="J655" s="69"/>
      <c r="K655" s="69"/>
      <c r="L655" s="69"/>
      <c r="M655" s="102"/>
      <c r="N655" s="69"/>
      <c r="O655" s="69"/>
      <c r="P655" s="69"/>
      <c r="Q655" s="69"/>
      <c r="R655" s="69"/>
      <c r="S655" s="69"/>
    </row>
    <row r="656" s="77" customFormat="true" ht="15" hidden="false" customHeight="false" outlineLevel="1" collapsed="false">
      <c r="B656" s="78"/>
      <c r="C656" s="79" t="n">
        <v>697</v>
      </c>
      <c r="D656" s="80" t="s">
        <v>811</v>
      </c>
      <c r="E656" s="82" t="s">
        <v>525</v>
      </c>
      <c r="F656" s="82" t="s">
        <v>812</v>
      </c>
      <c r="G656" s="88" t="n">
        <v>4</v>
      </c>
      <c r="H656" s="84" t="s">
        <v>813</v>
      </c>
      <c r="I656" s="80" t="s">
        <v>814</v>
      </c>
      <c r="J656" s="80" t="s">
        <v>815</v>
      </c>
      <c r="K656" s="80" t="s">
        <v>816</v>
      </c>
      <c r="L656" s="80" t="s">
        <v>817</v>
      </c>
      <c r="M656" s="79" t="s">
        <v>1149</v>
      </c>
      <c r="N656" s="80" t="s">
        <v>819</v>
      </c>
      <c r="O656" s="85" t="n">
        <v>46153</v>
      </c>
      <c r="P656" s="101"/>
      <c r="Q656" s="84"/>
      <c r="R656" s="87"/>
      <c r="S656" s="109"/>
    </row>
    <row r="657" s="77" customFormat="true" ht="15" hidden="false" customHeight="false" outlineLevel="1" collapsed="false">
      <c r="B657" s="78"/>
      <c r="C657" s="79" t="n">
        <v>698</v>
      </c>
      <c r="D657" s="80" t="s">
        <v>34</v>
      </c>
      <c r="E657" s="82" t="s">
        <v>525</v>
      </c>
      <c r="F657" s="82" t="s">
        <v>35</v>
      </c>
      <c r="G657" s="88" t="n">
        <v>3</v>
      </c>
      <c r="H657" s="84" t="s">
        <v>36</v>
      </c>
      <c r="I657" s="80" t="s">
        <v>37</v>
      </c>
      <c r="J657" s="80" t="s">
        <v>38</v>
      </c>
      <c r="K657" s="80" t="s">
        <v>39</v>
      </c>
      <c r="L657" s="80" t="s">
        <v>40</v>
      </c>
      <c r="M657" s="79" t="s">
        <v>553</v>
      </c>
      <c r="N657" s="80" t="s">
        <v>42</v>
      </c>
      <c r="O657" s="85" t="n">
        <v>46111</v>
      </c>
      <c r="P657" s="101"/>
      <c r="Q657" s="84"/>
      <c r="R657" s="109" t="s">
        <v>84</v>
      </c>
      <c r="S657" s="109"/>
    </row>
    <row r="658" s="77" customFormat="true" ht="15" hidden="false" customHeight="false" outlineLevel="1" collapsed="false">
      <c r="B658" s="78"/>
      <c r="C658" s="79" t="n">
        <v>699</v>
      </c>
      <c r="D658" s="80" t="s">
        <v>43</v>
      </c>
      <c r="E658" s="82" t="s">
        <v>525</v>
      </c>
      <c r="F658" s="82" t="s">
        <v>44</v>
      </c>
      <c r="G658" s="88" t="n">
        <v>7</v>
      </c>
      <c r="H658" s="84" t="s">
        <v>24</v>
      </c>
      <c r="I658" s="80" t="s">
        <v>45</v>
      </c>
      <c r="J658" s="80" t="s">
        <v>46</v>
      </c>
      <c r="K658" s="80" t="s">
        <v>47</v>
      </c>
      <c r="L658" s="80" t="s">
        <v>48</v>
      </c>
      <c r="M658" s="79" t="s">
        <v>49</v>
      </c>
      <c r="N658" s="80" t="s">
        <v>50</v>
      </c>
      <c r="O658" s="85" t="n">
        <v>46111</v>
      </c>
      <c r="P658" s="101"/>
      <c r="Q658" s="84"/>
      <c r="R658" s="109" t="s">
        <v>84</v>
      </c>
      <c r="S658" s="109"/>
    </row>
    <row r="659" s="77" customFormat="true" ht="15" hidden="false" customHeight="false" outlineLevel="1" collapsed="false">
      <c r="B659" s="78"/>
      <c r="C659" s="79" t="n">
        <v>700</v>
      </c>
      <c r="D659" s="80" t="s">
        <v>59</v>
      </c>
      <c r="E659" s="82" t="s">
        <v>525</v>
      </c>
      <c r="F659" s="82" t="s">
        <v>60</v>
      </c>
      <c r="G659" s="88" t="n">
        <v>1</v>
      </c>
      <c r="H659" s="84" t="s">
        <v>61</v>
      </c>
      <c r="I659" s="80" t="s">
        <v>62</v>
      </c>
      <c r="J659" s="80" t="s">
        <v>63</v>
      </c>
      <c r="K659" s="80" t="s">
        <v>64</v>
      </c>
      <c r="L659" s="80" t="s">
        <v>65</v>
      </c>
      <c r="M659" s="79" t="s">
        <v>66</v>
      </c>
      <c r="N659" s="80" t="s">
        <v>67</v>
      </c>
      <c r="O659" s="85" t="n">
        <v>46111</v>
      </c>
      <c r="P659" s="101"/>
      <c r="Q659" s="84"/>
      <c r="R659" s="109" t="s">
        <v>84</v>
      </c>
      <c r="S659" s="109"/>
    </row>
    <row r="660" s="77" customFormat="true" ht="15" hidden="false" customHeight="false" outlineLevel="1" collapsed="false">
      <c r="B660" s="78"/>
      <c r="C660" s="79" t="n">
        <v>701</v>
      </c>
      <c r="D660" s="80" t="s">
        <v>75</v>
      </c>
      <c r="E660" s="82" t="s">
        <v>525</v>
      </c>
      <c r="F660" s="82" t="s">
        <v>76</v>
      </c>
      <c r="G660" s="88" t="n">
        <v>2</v>
      </c>
      <c r="H660" s="84" t="s">
        <v>77</v>
      </c>
      <c r="I660" s="80" t="s">
        <v>78</v>
      </c>
      <c r="J660" s="80" t="s">
        <v>79</v>
      </c>
      <c r="K660" s="80" t="s">
        <v>80</v>
      </c>
      <c r="L660" s="80" t="s">
        <v>81</v>
      </c>
      <c r="M660" s="79" t="s">
        <v>82</v>
      </c>
      <c r="N660" s="80" t="s">
        <v>83</v>
      </c>
      <c r="O660" s="85" t="n">
        <v>46111</v>
      </c>
      <c r="P660" s="101"/>
      <c r="Q660" s="84"/>
      <c r="R660" s="109" t="s">
        <v>84</v>
      </c>
      <c r="S660" s="109"/>
    </row>
    <row r="661" s="77" customFormat="true" ht="15" hidden="false" customHeight="false" outlineLevel="1" collapsed="false">
      <c r="B661" s="78"/>
      <c r="C661" s="79" t="n">
        <v>702</v>
      </c>
      <c r="D661" s="80" t="s">
        <v>580</v>
      </c>
      <c r="E661" s="82" t="s">
        <v>525</v>
      </c>
      <c r="F661" s="82" t="s">
        <v>581</v>
      </c>
      <c r="G661" s="88" t="n">
        <v>2</v>
      </c>
      <c r="H661" s="84" t="s">
        <v>61</v>
      </c>
      <c r="I661" s="80" t="s">
        <v>582</v>
      </c>
      <c r="J661" s="80" t="s">
        <v>583</v>
      </c>
      <c r="K661" s="80" t="s">
        <v>584</v>
      </c>
      <c r="L661" s="80" t="s">
        <v>585</v>
      </c>
      <c r="M661" s="79" t="s">
        <v>586</v>
      </c>
      <c r="N661" s="80" t="s">
        <v>587</v>
      </c>
      <c r="O661" s="85" t="n">
        <v>46111</v>
      </c>
      <c r="P661" s="101"/>
      <c r="Q661" s="84"/>
      <c r="R661" s="109" t="s">
        <v>84</v>
      </c>
      <c r="S661" s="109"/>
    </row>
    <row r="662" s="77" customFormat="true" ht="15" hidden="false" customHeight="false" outlineLevel="1" collapsed="false">
      <c r="B662" s="78"/>
      <c r="C662" s="79" t="n">
        <v>703</v>
      </c>
      <c r="D662" s="80" t="s">
        <v>94</v>
      </c>
      <c r="E662" s="82" t="s">
        <v>525</v>
      </c>
      <c r="F662" s="82" t="s">
        <v>95</v>
      </c>
      <c r="G662" s="88" t="n">
        <v>1</v>
      </c>
      <c r="H662" s="84" t="s">
        <v>36</v>
      </c>
      <c r="I662" s="80" t="s">
        <v>96</v>
      </c>
      <c r="J662" s="80" t="s">
        <v>97</v>
      </c>
      <c r="K662" s="80" t="s">
        <v>98</v>
      </c>
      <c r="L662" s="80" t="s">
        <v>99</v>
      </c>
      <c r="M662" s="79" t="s">
        <v>100</v>
      </c>
      <c r="N662" s="80" t="s">
        <v>101</v>
      </c>
      <c r="O662" s="85" t="n">
        <v>46111</v>
      </c>
      <c r="P662" s="101"/>
      <c r="Q662" s="84"/>
      <c r="R662" s="109" t="s">
        <v>84</v>
      </c>
      <c r="S662" s="109"/>
    </row>
    <row r="663" s="77" customFormat="true" ht="15" hidden="false" customHeight="false" outlineLevel="1" collapsed="false">
      <c r="B663" s="78"/>
      <c r="C663" s="79" t="n">
        <v>704</v>
      </c>
      <c r="D663" s="80" t="s">
        <v>626</v>
      </c>
      <c r="E663" s="82" t="s">
        <v>525</v>
      </c>
      <c r="F663" s="82" t="s">
        <v>627</v>
      </c>
      <c r="G663" s="88" t="n">
        <v>1</v>
      </c>
      <c r="H663" s="84" t="s">
        <v>152</v>
      </c>
      <c r="I663" s="80" t="s">
        <v>628</v>
      </c>
      <c r="J663" s="80" t="s">
        <v>629</v>
      </c>
      <c r="K663" s="80" t="s">
        <v>630</v>
      </c>
      <c r="L663" s="80" t="s">
        <v>631</v>
      </c>
      <c r="M663" s="79" t="s">
        <v>632</v>
      </c>
      <c r="N663" s="80" t="s">
        <v>633</v>
      </c>
      <c r="O663" s="85" t="n">
        <v>46111</v>
      </c>
      <c r="P663" s="101"/>
      <c r="Q663" s="84"/>
      <c r="R663" s="109"/>
      <c r="S663" s="109"/>
    </row>
    <row r="664" s="77" customFormat="true" ht="15" hidden="false" customHeight="false" outlineLevel="1" collapsed="false">
      <c r="B664" s="78"/>
      <c r="C664" s="79" t="n">
        <v>705</v>
      </c>
      <c r="D664" s="80" t="s">
        <v>102</v>
      </c>
      <c r="E664" s="82" t="s">
        <v>525</v>
      </c>
      <c r="F664" s="82" t="s">
        <v>103</v>
      </c>
      <c r="G664" s="88" t="n">
        <v>1</v>
      </c>
      <c r="H664" s="84" t="s">
        <v>61</v>
      </c>
      <c r="I664" s="80" t="s">
        <v>104</v>
      </c>
      <c r="J664" s="80" t="s">
        <v>105</v>
      </c>
      <c r="K664" s="80" t="s">
        <v>106</v>
      </c>
      <c r="L664" s="80" t="s">
        <v>107</v>
      </c>
      <c r="M664" s="79" t="s">
        <v>107</v>
      </c>
      <c r="N664" s="80" t="s">
        <v>108</v>
      </c>
      <c r="O664" s="85" t="n">
        <v>46111</v>
      </c>
      <c r="P664" s="101"/>
      <c r="Q664" s="84"/>
      <c r="R664" s="109" t="s">
        <v>84</v>
      </c>
      <c r="S664" s="109"/>
    </row>
    <row r="665" s="77" customFormat="true" ht="15" hidden="false" customHeight="false" outlineLevel="1" collapsed="false">
      <c r="B665" s="78"/>
      <c r="C665" s="79" t="n">
        <v>706</v>
      </c>
      <c r="D665" s="80" t="s">
        <v>109</v>
      </c>
      <c r="E665" s="82" t="s">
        <v>525</v>
      </c>
      <c r="F665" s="82" t="s">
        <v>110</v>
      </c>
      <c r="G665" s="88" t="n">
        <v>1</v>
      </c>
      <c r="H665" s="84" t="s">
        <v>111</v>
      </c>
      <c r="I665" s="80" t="s">
        <v>112</v>
      </c>
      <c r="J665" s="80" t="s">
        <v>113</v>
      </c>
      <c r="K665" s="80" t="s">
        <v>114</v>
      </c>
      <c r="L665" s="80" t="s">
        <v>115</v>
      </c>
      <c r="M665" s="79" t="s">
        <v>115</v>
      </c>
      <c r="N665" s="80" t="s">
        <v>116</v>
      </c>
      <c r="O665" s="85" t="n">
        <v>46111</v>
      </c>
      <c r="P665" s="101"/>
      <c r="Q665" s="84"/>
      <c r="R665" s="109" t="s">
        <v>84</v>
      </c>
      <c r="S665" s="109"/>
    </row>
    <row r="666" s="77" customFormat="true" ht="15" hidden="false" customHeight="false" outlineLevel="1" collapsed="false">
      <c r="B666" s="78"/>
      <c r="C666" s="79" t="n">
        <v>707</v>
      </c>
      <c r="D666" s="80" t="s">
        <v>117</v>
      </c>
      <c r="E666" s="82" t="s">
        <v>525</v>
      </c>
      <c r="F666" s="82" t="s">
        <v>118</v>
      </c>
      <c r="G666" s="88" t="n">
        <v>1</v>
      </c>
      <c r="H666" s="84" t="s">
        <v>24</v>
      </c>
      <c r="I666" s="80" t="s">
        <v>119</v>
      </c>
      <c r="J666" s="80" t="s">
        <v>120</v>
      </c>
      <c r="K666" s="80" t="s">
        <v>121</v>
      </c>
      <c r="L666" s="80" t="s">
        <v>122</v>
      </c>
      <c r="M666" s="79" t="s">
        <v>123</v>
      </c>
      <c r="N666" s="80" t="s">
        <v>124</v>
      </c>
      <c r="O666" s="85" t="n">
        <v>46111</v>
      </c>
      <c r="P666" s="101"/>
      <c r="Q666" s="84"/>
      <c r="R666" s="109" t="s">
        <v>84</v>
      </c>
      <c r="S666" s="109"/>
    </row>
    <row r="667" s="77" customFormat="true" ht="15" hidden="false" customHeight="false" outlineLevel="1" collapsed="false">
      <c r="B667" s="78"/>
      <c r="C667" s="79" t="n">
        <v>708</v>
      </c>
      <c r="D667" s="80" t="s">
        <v>125</v>
      </c>
      <c r="E667" s="82" t="s">
        <v>525</v>
      </c>
      <c r="F667" s="82" t="s">
        <v>126</v>
      </c>
      <c r="G667" s="88" t="n">
        <v>1</v>
      </c>
      <c r="H667" s="84" t="s">
        <v>127</v>
      </c>
      <c r="I667" s="80" t="s">
        <v>128</v>
      </c>
      <c r="J667" s="80" t="s">
        <v>129</v>
      </c>
      <c r="K667" s="80" t="s">
        <v>130</v>
      </c>
      <c r="L667" s="80" t="s">
        <v>131</v>
      </c>
      <c r="M667" s="79" t="s">
        <v>132</v>
      </c>
      <c r="N667" s="80" t="s">
        <v>133</v>
      </c>
      <c r="O667" s="85" t="n">
        <v>46111</v>
      </c>
      <c r="P667" s="101"/>
      <c r="Q667" s="84"/>
      <c r="R667" s="109" t="s">
        <v>84</v>
      </c>
      <c r="S667" s="109"/>
    </row>
    <row r="668" s="77" customFormat="true" ht="15" hidden="false" customHeight="false" outlineLevel="1" collapsed="false">
      <c r="B668" s="78"/>
      <c r="C668" s="79" t="n">
        <v>709</v>
      </c>
      <c r="D668" s="80" t="s">
        <v>618</v>
      </c>
      <c r="E668" s="82" t="s">
        <v>525</v>
      </c>
      <c r="F668" s="82" t="s">
        <v>619</v>
      </c>
      <c r="G668" s="88" t="n">
        <v>1</v>
      </c>
      <c r="H668" s="84" t="s">
        <v>61</v>
      </c>
      <c r="I668" s="80" t="s">
        <v>620</v>
      </c>
      <c r="J668" s="80" t="s">
        <v>621</v>
      </c>
      <c r="K668" s="80" t="s">
        <v>622</v>
      </c>
      <c r="L668" s="80" t="s">
        <v>623</v>
      </c>
      <c r="M668" s="79" t="s">
        <v>624</v>
      </c>
      <c r="N668" s="80" t="s">
        <v>625</v>
      </c>
      <c r="O668" s="85" t="n">
        <v>46111</v>
      </c>
      <c r="P668" s="101"/>
      <c r="Q668" s="84"/>
      <c r="R668" s="109" t="s">
        <v>84</v>
      </c>
      <c r="S668" s="109"/>
    </row>
    <row r="669" s="77" customFormat="true" ht="15" hidden="false" customHeight="false" outlineLevel="1" collapsed="false">
      <c r="B669" s="78"/>
      <c r="C669" s="79" t="n">
        <v>710</v>
      </c>
      <c r="D669" s="80" t="s">
        <v>554</v>
      </c>
      <c r="E669" s="82" t="s">
        <v>525</v>
      </c>
      <c r="F669" s="82" t="s">
        <v>555</v>
      </c>
      <c r="G669" s="88" t="n">
        <v>1</v>
      </c>
      <c r="H669" s="84" t="s">
        <v>61</v>
      </c>
      <c r="I669" s="80" t="s">
        <v>556</v>
      </c>
      <c r="J669" s="80" t="s">
        <v>557</v>
      </c>
      <c r="K669" s="80" t="s">
        <v>558</v>
      </c>
      <c r="L669" s="80" t="s">
        <v>559</v>
      </c>
      <c r="M669" s="79" t="s">
        <v>560</v>
      </c>
      <c r="N669" s="80" t="s">
        <v>561</v>
      </c>
      <c r="O669" s="85" t="n">
        <v>46111</v>
      </c>
      <c r="P669" s="101"/>
      <c r="Q669" s="84"/>
      <c r="R669" s="109" t="s">
        <v>84</v>
      </c>
      <c r="S669" s="109"/>
    </row>
    <row r="670" s="77" customFormat="true" ht="15" hidden="false" customHeight="false" outlineLevel="1" collapsed="false">
      <c r="B670" s="78"/>
      <c r="C670" s="79" t="n">
        <v>711</v>
      </c>
      <c r="D670" s="80" t="s">
        <v>536</v>
      </c>
      <c r="E670" s="82" t="s">
        <v>525</v>
      </c>
      <c r="F670" s="82" t="s">
        <v>537</v>
      </c>
      <c r="G670" s="88" t="n">
        <v>1</v>
      </c>
      <c r="H670" s="84" t="s">
        <v>111</v>
      </c>
      <c r="I670" s="80" t="s">
        <v>538</v>
      </c>
      <c r="J670" s="80" t="s">
        <v>539</v>
      </c>
      <c r="K670" s="80" t="s">
        <v>540</v>
      </c>
      <c r="L670" s="80" t="s">
        <v>541</v>
      </c>
      <c r="M670" s="79" t="s">
        <v>541</v>
      </c>
      <c r="N670" s="80" t="s">
        <v>542</v>
      </c>
      <c r="O670" s="85" t="n">
        <v>46111</v>
      </c>
      <c r="P670" s="101"/>
      <c r="Q670" s="84"/>
      <c r="R670" s="109" t="s">
        <v>84</v>
      </c>
      <c r="S670" s="109"/>
    </row>
    <row r="671" s="77" customFormat="true" ht="15" hidden="false" customHeight="false" outlineLevel="1" collapsed="false">
      <c r="B671" s="78"/>
      <c r="C671" s="79" t="n">
        <v>712</v>
      </c>
      <c r="D671" s="80" t="s">
        <v>166</v>
      </c>
      <c r="E671" s="82" t="s">
        <v>525</v>
      </c>
      <c r="F671" s="82" t="s">
        <v>167</v>
      </c>
      <c r="G671" s="88" t="n">
        <v>2</v>
      </c>
      <c r="H671" s="84" t="s">
        <v>61</v>
      </c>
      <c r="I671" s="80" t="s">
        <v>168</v>
      </c>
      <c r="J671" s="80" t="s">
        <v>169</v>
      </c>
      <c r="K671" s="80" t="s">
        <v>170</v>
      </c>
      <c r="L671" s="80" t="s">
        <v>171</v>
      </c>
      <c r="M671" s="79" t="s">
        <v>172</v>
      </c>
      <c r="N671" s="80" t="s">
        <v>173</v>
      </c>
      <c r="O671" s="85" t="n">
        <v>46111</v>
      </c>
      <c r="P671" s="101"/>
      <c r="Q671" s="84"/>
      <c r="R671" s="109" t="s">
        <v>84</v>
      </c>
      <c r="S671" s="109"/>
    </row>
    <row r="672" s="77" customFormat="true" ht="15" hidden="false" customHeight="false" outlineLevel="1" collapsed="false">
      <c r="B672" s="78"/>
      <c r="C672" s="79" t="n">
        <v>713</v>
      </c>
      <c r="D672" s="80" t="s">
        <v>174</v>
      </c>
      <c r="E672" s="82" t="s">
        <v>525</v>
      </c>
      <c r="F672" s="82" t="s">
        <v>175</v>
      </c>
      <c r="G672" s="88" t="n">
        <v>11</v>
      </c>
      <c r="H672" s="84" t="s">
        <v>152</v>
      </c>
      <c r="I672" s="80" t="s">
        <v>176</v>
      </c>
      <c r="J672" s="80" t="s">
        <v>177</v>
      </c>
      <c r="K672" s="80" t="s">
        <v>178</v>
      </c>
      <c r="L672" s="80" t="s">
        <v>179</v>
      </c>
      <c r="M672" s="79" t="s">
        <v>180</v>
      </c>
      <c r="N672" s="80" t="s">
        <v>181</v>
      </c>
      <c r="O672" s="85" t="n">
        <v>46111</v>
      </c>
      <c r="P672" s="101"/>
      <c r="Q672" s="84"/>
      <c r="R672" s="109" t="s">
        <v>84</v>
      </c>
      <c r="S672" s="109"/>
    </row>
    <row r="673" s="77" customFormat="true" ht="15" hidden="false" customHeight="false" outlineLevel="1" collapsed="false">
      <c r="B673" s="78"/>
      <c r="C673" s="79" t="n">
        <v>714</v>
      </c>
      <c r="D673" s="80" t="s">
        <v>667</v>
      </c>
      <c r="E673" s="82" t="s">
        <v>525</v>
      </c>
      <c r="F673" s="82" t="s">
        <v>668</v>
      </c>
      <c r="G673" s="88" t="n">
        <v>1</v>
      </c>
      <c r="H673" s="84" t="s">
        <v>61</v>
      </c>
      <c r="I673" s="80" t="s">
        <v>669</v>
      </c>
      <c r="J673" s="80" t="s">
        <v>670</v>
      </c>
      <c r="K673" s="78" t="s">
        <v>671</v>
      </c>
      <c r="L673" s="80" t="s">
        <v>672</v>
      </c>
      <c r="M673" s="79" t="s">
        <v>672</v>
      </c>
      <c r="N673" s="80" t="s">
        <v>673</v>
      </c>
      <c r="O673" s="85" t="n">
        <v>46111</v>
      </c>
      <c r="P673" s="101"/>
      <c r="Q673" s="84"/>
      <c r="R673" s="109" t="s">
        <v>84</v>
      </c>
      <c r="S673" s="109"/>
    </row>
    <row r="674" s="77" customFormat="true" ht="15" hidden="false" customHeight="false" outlineLevel="1" collapsed="false">
      <c r="B674" s="78"/>
      <c r="C674" s="79" t="n">
        <v>715</v>
      </c>
      <c r="D674" s="80" t="s">
        <v>182</v>
      </c>
      <c r="E674" s="82" t="s">
        <v>525</v>
      </c>
      <c r="F674" s="82" t="s">
        <v>183</v>
      </c>
      <c r="G674" s="88" t="n">
        <v>1</v>
      </c>
      <c r="H674" s="84" t="s">
        <v>111</v>
      </c>
      <c r="I674" s="80" t="s">
        <v>184</v>
      </c>
      <c r="J674" s="80" t="s">
        <v>185</v>
      </c>
      <c r="K674" s="80" t="s">
        <v>186</v>
      </c>
      <c r="L674" s="80" t="s">
        <v>187</v>
      </c>
      <c r="M674" s="79" t="s">
        <v>188</v>
      </c>
      <c r="N674" s="80" t="s">
        <v>189</v>
      </c>
      <c r="O674" s="85" t="n">
        <v>46111</v>
      </c>
      <c r="P674" s="101"/>
      <c r="Q674" s="84"/>
      <c r="R674" s="109" t="s">
        <v>84</v>
      </c>
      <c r="S674" s="109"/>
    </row>
    <row r="675" s="77" customFormat="true" ht="144" hidden="false" customHeight="true" outlineLevel="1" collapsed="false">
      <c r="B675" s="78"/>
      <c r="C675" s="100" t="s">
        <v>688</v>
      </c>
      <c r="D675" s="80" t="s">
        <v>190</v>
      </c>
      <c r="E675" s="82" t="s">
        <v>525</v>
      </c>
      <c r="F675" s="82" t="s">
        <v>191</v>
      </c>
      <c r="G675" s="88" t="n">
        <v>10</v>
      </c>
      <c r="H675" s="84" t="s">
        <v>24</v>
      </c>
      <c r="I675" s="96" t="s">
        <v>689</v>
      </c>
      <c r="J675" s="96" t="s">
        <v>690</v>
      </c>
      <c r="K675" s="96" t="s">
        <v>691</v>
      </c>
      <c r="L675" s="80" t="s">
        <v>195</v>
      </c>
      <c r="M675" s="100" t="s">
        <v>692</v>
      </c>
      <c r="N675" s="80" t="s">
        <v>197</v>
      </c>
      <c r="O675" s="85" t="n">
        <v>46111</v>
      </c>
      <c r="P675" s="101"/>
      <c r="Q675" s="84"/>
      <c r="R675" s="109" t="s">
        <v>84</v>
      </c>
      <c r="S675" s="109"/>
    </row>
    <row r="676" s="77" customFormat="true" ht="15" hidden="false" customHeight="false" outlineLevel="1" collapsed="false">
      <c r="B676" s="78"/>
      <c r="C676" s="79" t="n">
        <v>717</v>
      </c>
      <c r="D676" s="80" t="s">
        <v>198</v>
      </c>
      <c r="E676" s="82" t="s">
        <v>525</v>
      </c>
      <c r="F676" s="82" t="s">
        <v>199</v>
      </c>
      <c r="G676" s="88" t="n">
        <v>5</v>
      </c>
      <c r="H676" s="84" t="s">
        <v>200</v>
      </c>
      <c r="I676" s="80" t="s">
        <v>201</v>
      </c>
      <c r="J676" s="80" t="s">
        <v>202</v>
      </c>
      <c r="K676" s="80" t="s">
        <v>203</v>
      </c>
      <c r="L676" s="80" t="s">
        <v>204</v>
      </c>
      <c r="M676" s="79" t="s">
        <v>205</v>
      </c>
      <c r="N676" s="80" t="s">
        <v>206</v>
      </c>
      <c r="O676" s="85" t="n">
        <v>46111</v>
      </c>
      <c r="P676" s="101"/>
      <c r="Q676" s="84"/>
      <c r="R676" s="109" t="s">
        <v>84</v>
      </c>
      <c r="S676" s="109"/>
    </row>
    <row r="677" s="77" customFormat="true" ht="15" hidden="false" customHeight="false" outlineLevel="1" collapsed="false">
      <c r="B677" s="78"/>
      <c r="C677" s="79" t="n">
        <v>718</v>
      </c>
      <c r="D677" s="80" t="s">
        <v>215</v>
      </c>
      <c r="E677" s="82" t="s">
        <v>525</v>
      </c>
      <c r="F677" s="82" t="s">
        <v>216</v>
      </c>
      <c r="G677" s="88" t="n">
        <v>1</v>
      </c>
      <c r="H677" s="84" t="s">
        <v>24</v>
      </c>
      <c r="I677" s="80" t="s">
        <v>217</v>
      </c>
      <c r="J677" s="80" t="s">
        <v>218</v>
      </c>
      <c r="K677" s="80" t="s">
        <v>219</v>
      </c>
      <c r="L677" s="80" t="s">
        <v>220</v>
      </c>
      <c r="M677" s="79" t="s">
        <v>221</v>
      </c>
      <c r="N677" s="80" t="s">
        <v>222</v>
      </c>
      <c r="O677" s="85" t="n">
        <v>46111</v>
      </c>
      <c r="P677" s="101"/>
      <c r="Q677" s="84"/>
      <c r="R677" s="109" t="s">
        <v>84</v>
      </c>
      <c r="S677" s="109"/>
    </row>
    <row r="678" s="77" customFormat="true" ht="15" hidden="false" customHeight="false" outlineLevel="1" collapsed="false">
      <c r="B678" s="78"/>
      <c r="C678" s="79" t="n">
        <v>719</v>
      </c>
      <c r="D678" s="80" t="s">
        <v>223</v>
      </c>
      <c r="E678" s="82" t="s">
        <v>525</v>
      </c>
      <c r="F678" s="82" t="s">
        <v>224</v>
      </c>
      <c r="G678" s="88" t="n">
        <v>1</v>
      </c>
      <c r="H678" s="84" t="s">
        <v>61</v>
      </c>
      <c r="I678" s="80" t="s">
        <v>225</v>
      </c>
      <c r="J678" s="80" t="s">
        <v>226</v>
      </c>
      <c r="K678" s="80" t="s">
        <v>227</v>
      </c>
      <c r="L678" s="80" t="s">
        <v>228</v>
      </c>
      <c r="M678" s="79" t="s">
        <v>229</v>
      </c>
      <c r="N678" s="80" t="s">
        <v>230</v>
      </c>
      <c r="O678" s="85" t="n">
        <v>46111</v>
      </c>
      <c r="P678" s="101"/>
      <c r="Q678" s="84"/>
      <c r="R678" s="109" t="s">
        <v>84</v>
      </c>
      <c r="S678" s="109"/>
    </row>
    <row r="679" s="77" customFormat="true" ht="15" hidden="false" customHeight="false" outlineLevel="1" collapsed="false">
      <c r="B679" s="78"/>
      <c r="C679" s="79" t="n">
        <v>720</v>
      </c>
      <c r="D679" s="80" t="s">
        <v>231</v>
      </c>
      <c r="E679" s="82" t="s">
        <v>525</v>
      </c>
      <c r="F679" s="82" t="s">
        <v>232</v>
      </c>
      <c r="G679" s="88" t="n">
        <v>1</v>
      </c>
      <c r="H679" s="84" t="s">
        <v>61</v>
      </c>
      <c r="I679" s="80" t="s">
        <v>697</v>
      </c>
      <c r="J679" s="80" t="s">
        <v>698</v>
      </c>
      <c r="K679" s="80" t="s">
        <v>699</v>
      </c>
      <c r="L679" s="80" t="s">
        <v>236</v>
      </c>
      <c r="M679" s="79" t="s">
        <v>700</v>
      </c>
      <c r="N679" s="80" t="s">
        <v>238</v>
      </c>
      <c r="O679" s="85" t="n">
        <v>46111</v>
      </c>
      <c r="P679" s="101"/>
      <c r="Q679" s="84"/>
      <c r="R679" s="109" t="s">
        <v>84</v>
      </c>
      <c r="S679" s="109"/>
    </row>
    <row r="680" s="77" customFormat="true" ht="15" hidden="false" customHeight="false" outlineLevel="1" collapsed="false">
      <c r="B680" s="78"/>
      <c r="C680" s="79" t="n">
        <v>721</v>
      </c>
      <c r="D680" s="80" t="s">
        <v>239</v>
      </c>
      <c r="E680" s="82" t="s">
        <v>525</v>
      </c>
      <c r="F680" s="82" t="s">
        <v>240</v>
      </c>
      <c r="G680" s="88" t="n">
        <v>1</v>
      </c>
      <c r="H680" s="84" t="s">
        <v>24</v>
      </c>
      <c r="I680" s="80" t="s">
        <v>241</v>
      </c>
      <c r="J680" s="80" t="s">
        <v>242</v>
      </c>
      <c r="K680" s="80" t="s">
        <v>243</v>
      </c>
      <c r="L680" s="80" t="s">
        <v>244</v>
      </c>
      <c r="M680" s="79" t="s">
        <v>714</v>
      </c>
      <c r="N680" s="80" t="s">
        <v>246</v>
      </c>
      <c r="O680" s="85" t="n">
        <v>46111</v>
      </c>
      <c r="P680" s="101"/>
      <c r="Q680" s="84"/>
      <c r="R680" s="109" t="s">
        <v>84</v>
      </c>
      <c r="S680" s="109"/>
    </row>
    <row r="681" s="77" customFormat="true" ht="30" hidden="false" customHeight="true" outlineLevel="1" collapsed="false">
      <c r="B681" s="78"/>
      <c r="C681" s="79" t="n">
        <v>722</v>
      </c>
      <c r="D681" s="80" t="s">
        <v>247</v>
      </c>
      <c r="E681" s="82" t="s">
        <v>525</v>
      </c>
      <c r="F681" s="82" t="s">
        <v>248</v>
      </c>
      <c r="G681" s="88" t="n">
        <v>1</v>
      </c>
      <c r="H681" s="84" t="s">
        <v>61</v>
      </c>
      <c r="I681" s="80" t="s">
        <v>528</v>
      </c>
      <c r="J681" s="80" t="s">
        <v>529</v>
      </c>
      <c r="K681" s="80" t="s">
        <v>530</v>
      </c>
      <c r="L681" s="80" t="s">
        <v>252</v>
      </c>
      <c r="M681" s="79" t="s">
        <v>531</v>
      </c>
      <c r="N681" s="80" t="s">
        <v>254</v>
      </c>
      <c r="O681" s="85" t="n">
        <v>46111</v>
      </c>
      <c r="P681" s="101"/>
      <c r="Q681" s="84"/>
      <c r="R681" s="109" t="s">
        <v>84</v>
      </c>
      <c r="S681" s="109"/>
    </row>
    <row r="682" s="77" customFormat="true" ht="15" hidden="false" customHeight="false" outlineLevel="1" collapsed="false">
      <c r="B682" s="78"/>
      <c r="C682" s="79" t="n">
        <v>723</v>
      </c>
      <c r="D682" s="80" t="s">
        <v>651</v>
      </c>
      <c r="E682" s="82" t="s">
        <v>525</v>
      </c>
      <c r="F682" s="82" t="s">
        <v>652</v>
      </c>
      <c r="G682" s="88" t="n">
        <v>1</v>
      </c>
      <c r="H682" s="84" t="s">
        <v>111</v>
      </c>
      <c r="I682" s="80" t="s">
        <v>653</v>
      </c>
      <c r="J682" s="80" t="s">
        <v>654</v>
      </c>
      <c r="K682" s="80" t="s">
        <v>655</v>
      </c>
      <c r="L682" s="80" t="s">
        <v>656</v>
      </c>
      <c r="M682" s="79" t="s">
        <v>657</v>
      </c>
      <c r="N682" s="80" t="s">
        <v>658</v>
      </c>
      <c r="O682" s="85" t="n">
        <v>46111</v>
      </c>
      <c r="P682" s="101"/>
      <c r="Q682" s="84"/>
      <c r="R682" s="109" t="s">
        <v>84</v>
      </c>
      <c r="S682" s="109"/>
    </row>
    <row r="683" s="77" customFormat="true" ht="15" hidden="false" customHeight="false" outlineLevel="1" collapsed="false">
      <c r="B683" s="78"/>
      <c r="C683" s="79" t="n">
        <v>724</v>
      </c>
      <c r="D683" s="80" t="s">
        <v>706</v>
      </c>
      <c r="E683" s="82" t="s">
        <v>525</v>
      </c>
      <c r="F683" s="82" t="s">
        <v>707</v>
      </c>
      <c r="G683" s="88" t="n">
        <v>1</v>
      </c>
      <c r="H683" s="84" t="s">
        <v>111</v>
      </c>
      <c r="I683" s="80" t="s">
        <v>708</v>
      </c>
      <c r="J683" s="80" t="s">
        <v>709</v>
      </c>
      <c r="K683" s="80" t="s">
        <v>710</v>
      </c>
      <c r="L683" s="80" t="s">
        <v>711</v>
      </c>
      <c r="M683" s="79" t="s">
        <v>712</v>
      </c>
      <c r="N683" s="80" t="s">
        <v>713</v>
      </c>
      <c r="O683" s="85" t="n">
        <v>46111</v>
      </c>
      <c r="P683" s="101"/>
      <c r="Q683" s="84"/>
      <c r="R683" s="109" t="s">
        <v>84</v>
      </c>
      <c r="S683" s="109"/>
    </row>
    <row r="684" s="77" customFormat="true" ht="15" hidden="false" customHeight="false" outlineLevel="1" collapsed="false">
      <c r="B684" s="78"/>
      <c r="C684" s="79" t="n">
        <v>725</v>
      </c>
      <c r="D684" s="80" t="s">
        <v>278</v>
      </c>
      <c r="E684" s="82" t="s">
        <v>525</v>
      </c>
      <c r="F684" s="82" t="s">
        <v>279</v>
      </c>
      <c r="G684" s="88" t="n">
        <v>1</v>
      </c>
      <c r="H684" s="84" t="s">
        <v>61</v>
      </c>
      <c r="I684" s="80" t="s">
        <v>280</v>
      </c>
      <c r="J684" s="80" t="s">
        <v>281</v>
      </c>
      <c r="K684" s="80" t="s">
        <v>282</v>
      </c>
      <c r="L684" s="80" t="s">
        <v>283</v>
      </c>
      <c r="M684" s="79" t="s">
        <v>284</v>
      </c>
      <c r="N684" s="80" t="s">
        <v>285</v>
      </c>
      <c r="O684" s="85" t="n">
        <v>46111</v>
      </c>
      <c r="P684" s="101"/>
      <c r="Q684" s="84"/>
      <c r="R684" s="109" t="s">
        <v>84</v>
      </c>
      <c r="S684" s="109"/>
    </row>
    <row r="685" s="77" customFormat="true" ht="15" hidden="false" customHeight="false" outlineLevel="1" collapsed="false">
      <c r="B685" s="78"/>
      <c r="C685" s="79" t="n">
        <v>726</v>
      </c>
      <c r="D685" s="80" t="s">
        <v>286</v>
      </c>
      <c r="E685" s="82" t="s">
        <v>525</v>
      </c>
      <c r="F685" s="82" t="s">
        <v>287</v>
      </c>
      <c r="G685" s="88" t="n">
        <v>1</v>
      </c>
      <c r="H685" s="84" t="s">
        <v>61</v>
      </c>
      <c r="I685" s="80" t="s">
        <v>288</v>
      </c>
      <c r="J685" s="80" t="s">
        <v>289</v>
      </c>
      <c r="K685" s="80" t="s">
        <v>290</v>
      </c>
      <c r="L685" s="80" t="s">
        <v>291</v>
      </c>
      <c r="M685" s="79" t="s">
        <v>292</v>
      </c>
      <c r="N685" s="80" t="s">
        <v>293</v>
      </c>
      <c r="O685" s="85" t="n">
        <v>46111</v>
      </c>
      <c r="P685" s="101"/>
      <c r="Q685" s="84"/>
      <c r="R685" s="109" t="s">
        <v>84</v>
      </c>
      <c r="S685" s="109"/>
    </row>
    <row r="686" s="77" customFormat="true" ht="15" hidden="false" customHeight="false" outlineLevel="1" collapsed="false">
      <c r="B686" s="78"/>
      <c r="C686" s="79" t="n">
        <v>727</v>
      </c>
      <c r="D686" s="80" t="s">
        <v>302</v>
      </c>
      <c r="E686" s="82" t="s">
        <v>525</v>
      </c>
      <c r="F686" s="82" t="s">
        <v>303</v>
      </c>
      <c r="G686" s="88" t="n">
        <v>1</v>
      </c>
      <c r="H686" s="84" t="s">
        <v>61</v>
      </c>
      <c r="I686" s="80" t="s">
        <v>304</v>
      </c>
      <c r="J686" s="80" t="s">
        <v>305</v>
      </c>
      <c r="K686" s="80" t="s">
        <v>306</v>
      </c>
      <c r="L686" s="80" t="s">
        <v>307</v>
      </c>
      <c r="M686" s="79" t="s">
        <v>526</v>
      </c>
      <c r="N686" s="80" t="s">
        <v>309</v>
      </c>
      <c r="O686" s="85" t="n">
        <v>46111</v>
      </c>
      <c r="P686" s="101"/>
      <c r="Q686" s="84"/>
      <c r="R686" s="109" t="s">
        <v>84</v>
      </c>
      <c r="S686" s="109"/>
    </row>
    <row r="687" s="77" customFormat="true" ht="15" hidden="false" customHeight="false" outlineLevel="1" collapsed="false">
      <c r="B687" s="78"/>
      <c r="C687" s="79" t="n">
        <v>728</v>
      </c>
      <c r="D687" s="80" t="s">
        <v>310</v>
      </c>
      <c r="E687" s="82" t="s">
        <v>525</v>
      </c>
      <c r="F687" s="82" t="s">
        <v>311</v>
      </c>
      <c r="G687" s="88" t="n">
        <v>1</v>
      </c>
      <c r="H687" s="84" t="s">
        <v>152</v>
      </c>
      <c r="I687" s="80" t="s">
        <v>312</v>
      </c>
      <c r="J687" s="80" t="s">
        <v>313</v>
      </c>
      <c r="K687" s="80" t="s">
        <v>314</v>
      </c>
      <c r="L687" s="80" t="s">
        <v>315</v>
      </c>
      <c r="M687" s="79" t="s">
        <v>316</v>
      </c>
      <c r="N687" s="80" t="s">
        <v>317</v>
      </c>
      <c r="O687" s="85" t="n">
        <v>46111</v>
      </c>
      <c r="P687" s="101"/>
      <c r="Q687" s="84"/>
      <c r="R687" s="109" t="s">
        <v>84</v>
      </c>
      <c r="S687" s="109"/>
    </row>
    <row r="688" s="77" customFormat="true" ht="15" hidden="false" customHeight="false" outlineLevel="1" collapsed="false">
      <c r="B688" s="78"/>
      <c r="C688" s="79" t="n">
        <v>729</v>
      </c>
      <c r="D688" s="80" t="s">
        <v>334</v>
      </c>
      <c r="E688" s="82" t="s">
        <v>525</v>
      </c>
      <c r="F688" s="82" t="s">
        <v>335</v>
      </c>
      <c r="G688" s="88" t="n">
        <v>1</v>
      </c>
      <c r="H688" s="84" t="s">
        <v>61</v>
      </c>
      <c r="I688" s="80" t="s">
        <v>336</v>
      </c>
      <c r="J688" s="80" t="s">
        <v>337</v>
      </c>
      <c r="K688" s="80" t="s">
        <v>338</v>
      </c>
      <c r="L688" s="80" t="s">
        <v>339</v>
      </c>
      <c r="M688" s="79" t="s">
        <v>543</v>
      </c>
      <c r="N688" s="80" t="s">
        <v>341</v>
      </c>
      <c r="O688" s="85" t="n">
        <v>46111</v>
      </c>
      <c r="P688" s="101"/>
      <c r="Q688" s="84"/>
      <c r="R688" s="109" t="s">
        <v>84</v>
      </c>
      <c r="S688" s="109"/>
    </row>
    <row r="689" s="77" customFormat="true" ht="15" hidden="false" customHeight="false" outlineLevel="1" collapsed="false">
      <c r="B689" s="78"/>
      <c r="C689" s="79" t="n">
        <v>730</v>
      </c>
      <c r="D689" s="80" t="s">
        <v>342</v>
      </c>
      <c r="E689" s="82" t="s">
        <v>525</v>
      </c>
      <c r="F689" s="82" t="s">
        <v>343</v>
      </c>
      <c r="G689" s="88" t="n">
        <v>1</v>
      </c>
      <c r="H689" s="84" t="s">
        <v>24</v>
      </c>
      <c r="I689" s="80" t="s">
        <v>344</v>
      </c>
      <c r="J689" s="80" t="s">
        <v>345</v>
      </c>
      <c r="K689" s="80" t="s">
        <v>346</v>
      </c>
      <c r="L689" s="80" t="s">
        <v>347</v>
      </c>
      <c r="M689" s="79" t="s">
        <v>348</v>
      </c>
      <c r="N689" s="80" t="s">
        <v>349</v>
      </c>
      <c r="O689" s="85" t="n">
        <v>46111</v>
      </c>
      <c r="P689" s="101"/>
      <c r="Q689" s="84"/>
      <c r="R689" s="109" t="s">
        <v>84</v>
      </c>
      <c r="S689" s="109"/>
    </row>
    <row r="690" s="77" customFormat="true" ht="15" hidden="false" customHeight="false" outlineLevel="1" collapsed="false">
      <c r="B690" s="78"/>
      <c r="C690" s="79" t="n">
        <v>731</v>
      </c>
      <c r="D690" s="80" t="s">
        <v>350</v>
      </c>
      <c r="E690" s="82" t="s">
        <v>525</v>
      </c>
      <c r="F690" s="82" t="s">
        <v>351</v>
      </c>
      <c r="G690" s="88" t="n">
        <v>1</v>
      </c>
      <c r="H690" s="84" t="s">
        <v>152</v>
      </c>
      <c r="I690" s="80" t="s">
        <v>352</v>
      </c>
      <c r="J690" s="80" t="s">
        <v>353</v>
      </c>
      <c r="K690" s="80" t="s">
        <v>354</v>
      </c>
      <c r="L690" s="80" t="s">
        <v>355</v>
      </c>
      <c r="M690" s="79" t="s">
        <v>355</v>
      </c>
      <c r="N690" s="80" t="s">
        <v>356</v>
      </c>
      <c r="O690" s="85" t="n">
        <v>46111</v>
      </c>
      <c r="P690" s="101"/>
      <c r="Q690" s="84"/>
      <c r="R690" s="109" t="s">
        <v>84</v>
      </c>
      <c r="S690" s="109"/>
    </row>
    <row r="691" s="77" customFormat="true" ht="15" hidden="false" customHeight="false" outlineLevel="1" collapsed="false">
      <c r="B691" s="78"/>
      <c r="C691" s="79" t="n">
        <v>732</v>
      </c>
      <c r="D691" s="80" t="s">
        <v>604</v>
      </c>
      <c r="E691" s="82" t="s">
        <v>525</v>
      </c>
      <c r="F691" s="82" t="s">
        <v>605</v>
      </c>
      <c r="G691" s="88" t="n">
        <v>1</v>
      </c>
      <c r="H691" s="84" t="s">
        <v>61</v>
      </c>
      <c r="I691" s="80" t="s">
        <v>606</v>
      </c>
      <c r="J691" s="80" t="s">
        <v>607</v>
      </c>
      <c r="K691" s="80" t="s">
        <v>608</v>
      </c>
      <c r="L691" s="80" t="s">
        <v>252</v>
      </c>
      <c r="M691" s="79" t="s">
        <v>609</v>
      </c>
      <c r="N691" s="80" t="s">
        <v>610</v>
      </c>
      <c r="O691" s="85" t="n">
        <v>46111</v>
      </c>
      <c r="P691" s="101"/>
      <c r="Q691" s="84"/>
      <c r="R691" s="109" t="s">
        <v>84</v>
      </c>
      <c r="S691" s="109"/>
    </row>
    <row r="692" s="77" customFormat="true" ht="15" hidden="false" customHeight="false" outlineLevel="1" collapsed="false">
      <c r="B692" s="78"/>
      <c r="C692" s="79" t="n">
        <v>733</v>
      </c>
      <c r="D692" s="80" t="s">
        <v>375</v>
      </c>
      <c r="E692" s="82" t="s">
        <v>525</v>
      </c>
      <c r="F692" s="82" t="s">
        <v>376</v>
      </c>
      <c r="G692" s="88" t="n">
        <v>2</v>
      </c>
      <c r="H692" s="84" t="s">
        <v>111</v>
      </c>
      <c r="I692" s="80" t="s">
        <v>377</v>
      </c>
      <c r="J692" s="80" t="s">
        <v>378</v>
      </c>
      <c r="K692" s="80" t="s">
        <v>379</v>
      </c>
      <c r="L692" s="80" t="s">
        <v>380</v>
      </c>
      <c r="M692" s="79" t="s">
        <v>381</v>
      </c>
      <c r="N692" s="80" t="s">
        <v>382</v>
      </c>
      <c r="O692" s="85" t="n">
        <v>46111</v>
      </c>
      <c r="P692" s="101"/>
      <c r="Q692" s="84"/>
      <c r="R692" s="109" t="s">
        <v>84</v>
      </c>
      <c r="S692" s="109"/>
    </row>
    <row r="693" s="77" customFormat="true" ht="15" hidden="false" customHeight="false" outlineLevel="1" collapsed="false">
      <c r="B693" s="78"/>
      <c r="C693" s="79" t="n">
        <v>734</v>
      </c>
      <c r="D693" s="80" t="s">
        <v>391</v>
      </c>
      <c r="E693" s="82" t="s">
        <v>525</v>
      </c>
      <c r="F693" s="82" t="s">
        <v>392</v>
      </c>
      <c r="G693" s="88" t="n">
        <v>1</v>
      </c>
      <c r="H693" s="84" t="s">
        <v>111</v>
      </c>
      <c r="I693" s="80" t="s">
        <v>393</v>
      </c>
      <c r="J693" s="80" t="s">
        <v>394</v>
      </c>
      <c r="K693" s="78" t="s">
        <v>395</v>
      </c>
      <c r="L693" s="80" t="s">
        <v>396</v>
      </c>
      <c r="M693" s="79" t="s">
        <v>397</v>
      </c>
      <c r="N693" s="80" t="s">
        <v>398</v>
      </c>
      <c r="O693" s="85" t="n">
        <v>46111</v>
      </c>
      <c r="P693" s="101"/>
      <c r="Q693" s="84"/>
      <c r="R693" s="109" t="s">
        <v>84</v>
      </c>
      <c r="S693" s="109"/>
    </row>
    <row r="694" s="77" customFormat="true" ht="15" hidden="false" customHeight="false" outlineLevel="1" collapsed="false">
      <c r="B694" s="78"/>
      <c r="C694" s="79" t="n">
        <v>735</v>
      </c>
      <c r="D694" s="80" t="s">
        <v>415</v>
      </c>
      <c r="E694" s="82" t="s">
        <v>525</v>
      </c>
      <c r="F694" s="82" t="s">
        <v>416</v>
      </c>
      <c r="G694" s="88" t="n">
        <v>1</v>
      </c>
      <c r="H694" s="84" t="s">
        <v>417</v>
      </c>
      <c r="I694" s="80" t="s">
        <v>418</v>
      </c>
      <c r="J694" s="80" t="s">
        <v>419</v>
      </c>
      <c r="K694" s="80" t="s">
        <v>420</v>
      </c>
      <c r="L694" s="80" t="s">
        <v>421</v>
      </c>
      <c r="M694" s="79" t="s">
        <v>422</v>
      </c>
      <c r="N694" s="80" t="s">
        <v>423</v>
      </c>
      <c r="O694" s="85" t="n">
        <v>46111</v>
      </c>
      <c r="P694" s="101"/>
      <c r="Q694" s="84"/>
      <c r="R694" s="109" t="s">
        <v>84</v>
      </c>
      <c r="S694" s="109"/>
    </row>
    <row r="695" s="77" customFormat="true" ht="15" hidden="false" customHeight="false" outlineLevel="1" collapsed="false">
      <c r="B695" s="78"/>
      <c r="C695" s="79" t="n">
        <v>736</v>
      </c>
      <c r="D695" s="80" t="s">
        <v>424</v>
      </c>
      <c r="E695" s="82" t="s">
        <v>525</v>
      </c>
      <c r="F695" s="82" t="s">
        <v>425</v>
      </c>
      <c r="G695" s="88" t="n">
        <v>1</v>
      </c>
      <c r="H695" s="84" t="s">
        <v>111</v>
      </c>
      <c r="I695" s="80" t="s">
        <v>426</v>
      </c>
      <c r="J695" s="80" t="s">
        <v>427</v>
      </c>
      <c r="K695" s="80" t="s">
        <v>428</v>
      </c>
      <c r="L695" s="80" t="s">
        <v>429</v>
      </c>
      <c r="M695" s="79" t="s">
        <v>429</v>
      </c>
      <c r="N695" s="80" t="s">
        <v>430</v>
      </c>
      <c r="O695" s="85" t="n">
        <v>46111</v>
      </c>
      <c r="P695" s="101"/>
      <c r="Q695" s="84"/>
      <c r="R695" s="109" t="s">
        <v>84</v>
      </c>
      <c r="S695" s="109"/>
    </row>
    <row r="696" s="77" customFormat="true" ht="30" hidden="false" customHeight="true" outlineLevel="1" collapsed="false">
      <c r="B696" s="78"/>
      <c r="C696" s="79" t="n">
        <v>737</v>
      </c>
      <c r="D696" s="80" t="s">
        <v>431</v>
      </c>
      <c r="E696" s="80" t="s">
        <v>525</v>
      </c>
      <c r="F696" s="82" t="s">
        <v>432</v>
      </c>
      <c r="G696" s="88" t="n">
        <v>1</v>
      </c>
      <c r="H696" s="84" t="s">
        <v>152</v>
      </c>
      <c r="I696" s="80" t="s">
        <v>433</v>
      </c>
      <c r="J696" s="80" t="s">
        <v>434</v>
      </c>
      <c r="K696" s="80" t="s">
        <v>435</v>
      </c>
      <c r="L696" s="80" t="s">
        <v>436</v>
      </c>
      <c r="M696" s="79" t="s">
        <v>437</v>
      </c>
      <c r="N696" s="80" t="s">
        <v>438</v>
      </c>
      <c r="O696" s="85" t="n">
        <v>46111</v>
      </c>
      <c r="P696" s="101"/>
      <c r="Q696" s="84"/>
      <c r="R696" s="109" t="s">
        <v>84</v>
      </c>
      <c r="S696" s="109"/>
    </row>
    <row r="697" s="77" customFormat="true" ht="15" hidden="false" customHeight="false" outlineLevel="1" collapsed="false">
      <c r="B697" s="78"/>
      <c r="C697" s="79" t="n">
        <v>738</v>
      </c>
      <c r="D697" s="80" t="s">
        <v>544</v>
      </c>
      <c r="E697" s="82" t="s">
        <v>525</v>
      </c>
      <c r="F697" s="82" t="s">
        <v>545</v>
      </c>
      <c r="G697" s="88" t="n">
        <v>2</v>
      </c>
      <c r="H697" s="84" t="s">
        <v>24</v>
      </c>
      <c r="I697" s="80" t="s">
        <v>546</v>
      </c>
      <c r="J697" s="80" t="s">
        <v>547</v>
      </c>
      <c r="K697" s="80" t="s">
        <v>548</v>
      </c>
      <c r="L697" s="80" t="s">
        <v>549</v>
      </c>
      <c r="M697" s="79" t="s">
        <v>550</v>
      </c>
      <c r="N697" s="80" t="s">
        <v>551</v>
      </c>
      <c r="O697" s="85" t="n">
        <v>46111</v>
      </c>
      <c r="P697" s="101"/>
      <c r="Q697" s="84"/>
      <c r="R697" s="109" t="s">
        <v>84</v>
      </c>
      <c r="S697" s="109"/>
    </row>
    <row r="698" s="77" customFormat="true" ht="15" hidden="false" customHeight="false" outlineLevel="1" collapsed="false">
      <c r="B698" s="78"/>
      <c r="C698" s="79" t="n">
        <v>739</v>
      </c>
      <c r="D698" s="80" t="s">
        <v>447</v>
      </c>
      <c r="E698" s="82" t="s">
        <v>525</v>
      </c>
      <c r="F698" s="82" t="s">
        <v>448</v>
      </c>
      <c r="G698" s="88" t="n">
        <v>1</v>
      </c>
      <c r="H698" s="84" t="s">
        <v>24</v>
      </c>
      <c r="I698" s="80" t="s">
        <v>449</v>
      </c>
      <c r="J698" s="80" t="s">
        <v>450</v>
      </c>
      <c r="K698" s="80" t="s">
        <v>451</v>
      </c>
      <c r="L698" s="80" t="s">
        <v>452</v>
      </c>
      <c r="M698" s="79" t="s">
        <v>453</v>
      </c>
      <c r="N698" s="80" t="s">
        <v>454</v>
      </c>
      <c r="O698" s="85" t="n">
        <v>46111</v>
      </c>
      <c r="P698" s="101"/>
      <c r="Q698" s="84"/>
      <c r="R698" s="109" t="s">
        <v>84</v>
      </c>
      <c r="S698" s="109"/>
    </row>
    <row r="699" s="77" customFormat="true" ht="15" hidden="false" customHeight="false" outlineLevel="1" collapsed="false">
      <c r="B699" s="78"/>
      <c r="C699" s="79" t="n">
        <v>740</v>
      </c>
      <c r="D699" s="80" t="s">
        <v>571</v>
      </c>
      <c r="E699" s="82" t="s">
        <v>525</v>
      </c>
      <c r="F699" s="82" t="s">
        <v>572</v>
      </c>
      <c r="G699" s="88" t="n">
        <v>1</v>
      </c>
      <c r="H699" s="84" t="s">
        <v>573</v>
      </c>
      <c r="I699" s="80" t="s">
        <v>574</v>
      </c>
      <c r="J699" s="80" t="s">
        <v>575</v>
      </c>
      <c r="K699" s="80" t="s">
        <v>576</v>
      </c>
      <c r="L699" s="80" t="s">
        <v>577</v>
      </c>
      <c r="M699" s="79" t="s">
        <v>578</v>
      </c>
      <c r="N699" s="80" t="s">
        <v>579</v>
      </c>
      <c r="O699" s="85" t="n">
        <v>46111</v>
      </c>
      <c r="P699" s="101"/>
      <c r="Q699" s="84"/>
      <c r="R699" s="109" t="s">
        <v>84</v>
      </c>
      <c r="S699" s="109"/>
    </row>
    <row r="700" s="77" customFormat="true" ht="15" hidden="false" customHeight="false" outlineLevel="1" collapsed="false">
      <c r="B700" s="78"/>
      <c r="C700" s="79" t="n">
        <v>741</v>
      </c>
      <c r="D700" s="80" t="s">
        <v>455</v>
      </c>
      <c r="E700" s="82" t="s">
        <v>525</v>
      </c>
      <c r="F700" s="82" t="s">
        <v>456</v>
      </c>
      <c r="G700" s="88" t="n">
        <v>1</v>
      </c>
      <c r="H700" s="84" t="s">
        <v>111</v>
      </c>
      <c r="I700" s="80" t="s">
        <v>457</v>
      </c>
      <c r="J700" s="80" t="s">
        <v>458</v>
      </c>
      <c r="K700" s="80" t="s">
        <v>459</v>
      </c>
      <c r="L700" s="80" t="s">
        <v>460</v>
      </c>
      <c r="M700" s="79" t="s">
        <v>461</v>
      </c>
      <c r="N700" s="80" t="s">
        <v>462</v>
      </c>
      <c r="O700" s="85" t="n">
        <v>46111</v>
      </c>
      <c r="P700" s="101"/>
      <c r="Q700" s="84"/>
      <c r="R700" s="109" t="s">
        <v>84</v>
      </c>
      <c r="S700" s="109"/>
    </row>
    <row r="701" s="77" customFormat="true" ht="15" hidden="false" customHeight="false" outlineLevel="1" collapsed="false">
      <c r="B701" s="78"/>
      <c r="C701" s="79" t="n">
        <v>742</v>
      </c>
      <c r="D701" s="80" t="s">
        <v>659</v>
      </c>
      <c r="E701" s="82" t="s">
        <v>525</v>
      </c>
      <c r="F701" s="82" t="s">
        <v>660</v>
      </c>
      <c r="G701" s="88" t="n">
        <v>1</v>
      </c>
      <c r="H701" s="84" t="s">
        <v>152</v>
      </c>
      <c r="I701" s="80" t="s">
        <v>661</v>
      </c>
      <c r="J701" s="80" t="s">
        <v>662</v>
      </c>
      <c r="K701" s="80" t="s">
        <v>663</v>
      </c>
      <c r="L701" s="80" t="s">
        <v>664</v>
      </c>
      <c r="M701" s="79" t="s">
        <v>665</v>
      </c>
      <c r="N701" s="80" t="s">
        <v>666</v>
      </c>
      <c r="O701" s="85" t="n">
        <v>46111</v>
      </c>
      <c r="P701" s="101"/>
      <c r="Q701" s="84"/>
      <c r="R701" s="109" t="s">
        <v>84</v>
      </c>
      <c r="S701" s="109"/>
    </row>
    <row r="702" s="77" customFormat="true" ht="15" hidden="false" customHeight="false" outlineLevel="1" collapsed="false">
      <c r="B702" s="78"/>
      <c r="C702" s="79" t="n">
        <v>743</v>
      </c>
      <c r="D702" s="80" t="s">
        <v>471</v>
      </c>
      <c r="E702" s="82" t="s">
        <v>525</v>
      </c>
      <c r="F702" s="82" t="s">
        <v>472</v>
      </c>
      <c r="G702" s="88" t="n">
        <v>1</v>
      </c>
      <c r="H702" s="84" t="s">
        <v>111</v>
      </c>
      <c r="I702" s="80" t="s">
        <v>473</v>
      </c>
      <c r="J702" s="80" t="s">
        <v>474</v>
      </c>
      <c r="K702" s="80" t="s">
        <v>475</v>
      </c>
      <c r="L702" s="80" t="s">
        <v>476</v>
      </c>
      <c r="M702" s="79" t="s">
        <v>476</v>
      </c>
      <c r="N702" s="80" t="s">
        <v>477</v>
      </c>
      <c r="O702" s="85" t="n">
        <v>46111</v>
      </c>
      <c r="P702" s="101"/>
      <c r="Q702" s="84"/>
      <c r="R702" s="109" t="s">
        <v>84</v>
      </c>
      <c r="S702" s="109"/>
    </row>
    <row r="703" s="77" customFormat="true" ht="15" hidden="false" customHeight="false" outlineLevel="1" collapsed="false">
      <c r="B703" s="78"/>
      <c r="C703" s="79" t="n">
        <v>744</v>
      </c>
      <c r="D703" s="80" t="s">
        <v>588</v>
      </c>
      <c r="E703" s="82" t="s">
        <v>525</v>
      </c>
      <c r="F703" s="82" t="s">
        <v>589</v>
      </c>
      <c r="G703" s="88" t="n">
        <v>1</v>
      </c>
      <c r="H703" s="84" t="s">
        <v>24</v>
      </c>
      <c r="I703" s="80" t="s">
        <v>590</v>
      </c>
      <c r="J703" s="80" t="s">
        <v>591</v>
      </c>
      <c r="K703" s="80" t="s">
        <v>592</v>
      </c>
      <c r="L703" s="80" t="s">
        <v>593</v>
      </c>
      <c r="M703" s="79" t="s">
        <v>594</v>
      </c>
      <c r="N703" s="80" t="s">
        <v>595</v>
      </c>
      <c r="O703" s="85" t="n">
        <v>46111</v>
      </c>
      <c r="P703" s="101"/>
      <c r="Q703" s="84"/>
      <c r="R703" s="109" t="s">
        <v>84</v>
      </c>
      <c r="S703" s="109"/>
    </row>
    <row r="704" s="77" customFormat="true" ht="30" hidden="false" customHeight="true" outlineLevel="1" collapsed="false">
      <c r="B704" s="78"/>
      <c r="C704" s="79" t="n">
        <v>745</v>
      </c>
      <c r="D704" s="80" t="s">
        <v>478</v>
      </c>
      <c r="E704" s="82" t="s">
        <v>525</v>
      </c>
      <c r="F704" s="82" t="s">
        <v>479</v>
      </c>
      <c r="G704" s="88" t="n">
        <v>1</v>
      </c>
      <c r="H704" s="84" t="s">
        <v>111</v>
      </c>
      <c r="I704" s="80" t="s">
        <v>480</v>
      </c>
      <c r="J704" s="80" t="s">
        <v>481</v>
      </c>
      <c r="K704" s="80" t="s">
        <v>482</v>
      </c>
      <c r="L704" s="80" t="s">
        <v>483</v>
      </c>
      <c r="M704" s="79" t="s">
        <v>634</v>
      </c>
      <c r="N704" s="80" t="s">
        <v>485</v>
      </c>
      <c r="O704" s="85" t="n">
        <v>46111</v>
      </c>
      <c r="P704" s="101"/>
      <c r="Q704" s="84"/>
      <c r="R704" s="109" t="s">
        <v>84</v>
      </c>
      <c r="S704" s="109"/>
    </row>
    <row r="705" s="77" customFormat="true" ht="15" hidden="false" customHeight="false" outlineLevel="1" collapsed="false">
      <c r="B705" s="78"/>
      <c r="C705" s="79" t="n">
        <v>746</v>
      </c>
      <c r="D705" s="80" t="s">
        <v>486</v>
      </c>
      <c r="E705" s="82" t="s">
        <v>525</v>
      </c>
      <c r="F705" s="82" t="s">
        <v>487</v>
      </c>
      <c r="G705" s="88" t="n">
        <v>1</v>
      </c>
      <c r="H705" s="84" t="s">
        <v>152</v>
      </c>
      <c r="I705" s="80" t="s">
        <v>488</v>
      </c>
      <c r="J705" s="80" t="s">
        <v>489</v>
      </c>
      <c r="K705" s="80" t="s">
        <v>490</v>
      </c>
      <c r="L705" s="80" t="s">
        <v>491</v>
      </c>
      <c r="M705" s="79" t="s">
        <v>492</v>
      </c>
      <c r="N705" s="80" t="s">
        <v>493</v>
      </c>
      <c r="O705" s="85" t="n">
        <v>46111</v>
      </c>
      <c r="P705" s="101"/>
      <c r="Q705" s="84"/>
      <c r="R705" s="109" t="s">
        <v>84</v>
      </c>
      <c r="S705" s="109"/>
    </row>
    <row r="706" s="77" customFormat="true" ht="15" hidden="false" customHeight="false" outlineLevel="1" collapsed="false">
      <c r="B706" s="78"/>
      <c r="C706" s="79" t="n">
        <v>747</v>
      </c>
      <c r="D706" s="80" t="s">
        <v>611</v>
      </c>
      <c r="E706" s="82" t="s">
        <v>525</v>
      </c>
      <c r="F706" s="82" t="s">
        <v>612</v>
      </c>
      <c r="G706" s="88" t="n">
        <v>1</v>
      </c>
      <c r="H706" s="84" t="s">
        <v>24</v>
      </c>
      <c r="I706" s="80" t="s">
        <v>613</v>
      </c>
      <c r="J706" s="80" t="s">
        <v>614</v>
      </c>
      <c r="K706" s="80" t="s">
        <v>615</v>
      </c>
      <c r="L706" s="80" t="s">
        <v>616</v>
      </c>
      <c r="M706" s="79" t="s">
        <v>616</v>
      </c>
      <c r="N706" s="80" t="s">
        <v>617</v>
      </c>
      <c r="O706" s="85" t="n">
        <v>46111</v>
      </c>
      <c r="P706" s="101"/>
      <c r="Q706" s="84"/>
      <c r="R706" s="109" t="s">
        <v>84</v>
      </c>
      <c r="S706" s="109"/>
    </row>
    <row r="707" s="77" customFormat="true" ht="15" hidden="false" customHeight="false" outlineLevel="1" collapsed="false">
      <c r="B707" s="78"/>
      <c r="C707" s="79" t="n">
        <v>748</v>
      </c>
      <c r="D707" s="80" t="s">
        <v>494</v>
      </c>
      <c r="E707" s="82" t="s">
        <v>525</v>
      </c>
      <c r="F707" s="82" t="s">
        <v>495</v>
      </c>
      <c r="G707" s="88" t="n">
        <v>1</v>
      </c>
      <c r="H707" s="84" t="s">
        <v>61</v>
      </c>
      <c r="I707" s="80" t="s">
        <v>496</v>
      </c>
      <c r="J707" s="80" t="s">
        <v>497</v>
      </c>
      <c r="K707" s="80" t="s">
        <v>498</v>
      </c>
      <c r="L707" s="80" t="s">
        <v>499</v>
      </c>
      <c r="M707" s="79" t="s">
        <v>500</v>
      </c>
      <c r="N707" s="80" t="s">
        <v>501</v>
      </c>
      <c r="O707" s="85" t="n">
        <v>46111</v>
      </c>
      <c r="P707" s="101"/>
      <c r="Q707" s="84"/>
      <c r="R707" s="109" t="s">
        <v>84</v>
      </c>
      <c r="S707" s="109"/>
    </row>
    <row r="708" s="77" customFormat="true" ht="15" hidden="false" customHeight="false" outlineLevel="1" collapsed="false">
      <c r="B708" s="78"/>
      <c r="C708" s="79" t="n">
        <v>749</v>
      </c>
      <c r="D708" s="80" t="s">
        <v>502</v>
      </c>
      <c r="E708" s="82" t="s">
        <v>525</v>
      </c>
      <c r="F708" s="82" t="s">
        <v>503</v>
      </c>
      <c r="G708" s="88" t="n">
        <v>1</v>
      </c>
      <c r="H708" s="84" t="s">
        <v>61</v>
      </c>
      <c r="I708" s="80" t="s">
        <v>504</v>
      </c>
      <c r="J708" s="80" t="s">
        <v>505</v>
      </c>
      <c r="K708" s="80" t="s">
        <v>506</v>
      </c>
      <c r="L708" s="80" t="s">
        <v>283</v>
      </c>
      <c r="M708" s="79" t="s">
        <v>284</v>
      </c>
      <c r="N708" s="80" t="s">
        <v>507</v>
      </c>
      <c r="O708" s="85" t="n">
        <v>46111</v>
      </c>
      <c r="P708" s="101"/>
      <c r="Q708" s="84"/>
      <c r="R708" s="109" t="s">
        <v>84</v>
      </c>
      <c r="S708" s="109"/>
    </row>
    <row r="709" s="77" customFormat="true" ht="15" hidden="false" customHeight="false" outlineLevel="1" collapsed="false">
      <c r="B709" s="78"/>
      <c r="C709" s="79" t="n">
        <v>750</v>
      </c>
      <c r="D709" s="80" t="s">
        <v>508</v>
      </c>
      <c r="E709" s="82" t="s">
        <v>525</v>
      </c>
      <c r="F709" s="82" t="s">
        <v>509</v>
      </c>
      <c r="G709" s="88" t="n">
        <v>1</v>
      </c>
      <c r="H709" s="84" t="s">
        <v>61</v>
      </c>
      <c r="I709" s="80" t="s">
        <v>510</v>
      </c>
      <c r="J709" s="80" t="s">
        <v>511</v>
      </c>
      <c r="K709" s="80" t="s">
        <v>512</v>
      </c>
      <c r="L709" s="80" t="s">
        <v>513</v>
      </c>
      <c r="M709" s="79" t="s">
        <v>514</v>
      </c>
      <c r="N709" s="80" t="s">
        <v>515</v>
      </c>
      <c r="O709" s="85" t="n">
        <v>46111</v>
      </c>
      <c r="P709" s="101"/>
      <c r="Q709" s="84"/>
      <c r="R709" s="109" t="s">
        <v>84</v>
      </c>
      <c r="S709" s="109"/>
    </row>
    <row r="710" s="77" customFormat="true" ht="15" hidden="false" customHeight="false" outlineLevel="1" collapsed="false">
      <c r="B710" s="78"/>
      <c r="C710" s="79" t="n">
        <v>751</v>
      </c>
      <c r="D710" s="80" t="s">
        <v>644</v>
      </c>
      <c r="E710" s="82" t="s">
        <v>525</v>
      </c>
      <c r="F710" s="82" t="s">
        <v>645</v>
      </c>
      <c r="G710" s="88" t="n">
        <v>1</v>
      </c>
      <c r="H710" s="84" t="s">
        <v>61</v>
      </c>
      <c r="I710" s="80" t="s">
        <v>646</v>
      </c>
      <c r="J710" s="80" t="s">
        <v>647</v>
      </c>
      <c r="K710" s="110" t="s">
        <v>648</v>
      </c>
      <c r="L710" s="80" t="s">
        <v>649</v>
      </c>
      <c r="M710" s="79" t="s">
        <v>650</v>
      </c>
      <c r="N710" s="80"/>
      <c r="O710" s="85" t="n">
        <v>46111</v>
      </c>
      <c r="P710" s="101"/>
      <c r="Q710" s="84"/>
      <c r="R710" s="109" t="s">
        <v>84</v>
      </c>
      <c r="S710" s="109"/>
    </row>
    <row r="711" s="68" customFormat="true" ht="15" hidden="false" customHeight="false" outlineLevel="0" collapsed="false">
      <c r="B711" s="69"/>
      <c r="C711" s="102"/>
      <c r="D711" s="71"/>
      <c r="E711" s="72" t="s">
        <v>767</v>
      </c>
      <c r="F711" s="73"/>
      <c r="G711" s="74" t="n">
        <f aca="false">SUM(G712:G750)</f>
        <v>47</v>
      </c>
      <c r="H711" s="69"/>
      <c r="I711" s="69"/>
      <c r="J711" s="69"/>
      <c r="K711" s="69"/>
      <c r="L711" s="69"/>
      <c r="M711" s="102"/>
      <c r="N711" s="69"/>
      <c r="O711" s="69"/>
      <c r="P711" s="69"/>
      <c r="Q711" s="69"/>
      <c r="R711" s="69"/>
      <c r="S711" s="69"/>
    </row>
    <row r="712" s="77" customFormat="true" ht="15" hidden="false" customHeight="false" outlineLevel="1" collapsed="false">
      <c r="B712" s="78"/>
      <c r="C712" s="79" t="n">
        <v>752</v>
      </c>
      <c r="D712" s="80" t="s">
        <v>21</v>
      </c>
      <c r="E712" s="82" t="s">
        <v>767</v>
      </c>
      <c r="F712" s="82" t="s">
        <v>22</v>
      </c>
      <c r="G712" s="88" t="n">
        <v>1</v>
      </c>
      <c r="H712" s="84" t="s">
        <v>24</v>
      </c>
      <c r="I712" s="80" t="s">
        <v>25</v>
      </c>
      <c r="J712" s="80" t="s">
        <v>26</v>
      </c>
      <c r="K712" s="80" t="s">
        <v>27</v>
      </c>
      <c r="L712" s="80" t="s">
        <v>28</v>
      </c>
      <c r="M712" s="79" t="s">
        <v>29</v>
      </c>
      <c r="N712" s="80" t="s">
        <v>30</v>
      </c>
      <c r="O712" s="85" t="n">
        <v>46119</v>
      </c>
      <c r="P712" s="101"/>
      <c r="Q712" s="84"/>
      <c r="R712" s="87"/>
      <c r="S712" s="87"/>
    </row>
    <row r="713" s="77" customFormat="true" ht="15" hidden="false" customHeight="false" outlineLevel="1" collapsed="false">
      <c r="B713" s="78"/>
      <c r="C713" s="79" t="n">
        <v>753</v>
      </c>
      <c r="D713" s="80" t="s">
        <v>811</v>
      </c>
      <c r="E713" s="82" t="s">
        <v>767</v>
      </c>
      <c r="F713" s="82" t="s">
        <v>812</v>
      </c>
      <c r="G713" s="88" t="n">
        <v>3</v>
      </c>
      <c r="H713" s="84" t="s">
        <v>813</v>
      </c>
      <c r="I713" s="80" t="s">
        <v>814</v>
      </c>
      <c r="J713" s="80" t="s">
        <v>815</v>
      </c>
      <c r="K713" s="80" t="s">
        <v>816</v>
      </c>
      <c r="L713" s="80" t="s">
        <v>817</v>
      </c>
      <c r="M713" s="79" t="s">
        <v>818</v>
      </c>
      <c r="N713" s="80" t="s">
        <v>819</v>
      </c>
      <c r="O713" s="85" t="n">
        <v>46119</v>
      </c>
      <c r="P713" s="101"/>
      <c r="Q713" s="84"/>
      <c r="R713" s="87"/>
      <c r="S713" s="87"/>
    </row>
    <row r="714" s="77" customFormat="true" ht="15" hidden="false" customHeight="false" outlineLevel="1" collapsed="false">
      <c r="B714" s="78"/>
      <c r="C714" s="79" t="n">
        <v>754</v>
      </c>
      <c r="D714" s="80" t="s">
        <v>59</v>
      </c>
      <c r="E714" s="82" t="s">
        <v>767</v>
      </c>
      <c r="F714" s="82" t="s">
        <v>60</v>
      </c>
      <c r="G714" s="88" t="n">
        <v>1</v>
      </c>
      <c r="H714" s="84" t="s">
        <v>61</v>
      </c>
      <c r="I714" s="80" t="s">
        <v>62</v>
      </c>
      <c r="J714" s="80" t="s">
        <v>63</v>
      </c>
      <c r="K714" s="80" t="s">
        <v>64</v>
      </c>
      <c r="L714" s="80" t="s">
        <v>65</v>
      </c>
      <c r="M714" s="79" t="s">
        <v>66</v>
      </c>
      <c r="N714" s="80" t="s">
        <v>67</v>
      </c>
      <c r="O714" s="85" t="n">
        <v>46119</v>
      </c>
      <c r="P714" s="101"/>
      <c r="Q714" s="84"/>
      <c r="R714" s="87"/>
      <c r="S714" s="87"/>
    </row>
    <row r="715" s="77" customFormat="true" ht="15" hidden="false" customHeight="false" outlineLevel="1" collapsed="false">
      <c r="B715" s="78"/>
      <c r="C715" s="79" t="n">
        <v>755</v>
      </c>
      <c r="D715" s="80" t="s">
        <v>68</v>
      </c>
      <c r="E715" s="82" t="s">
        <v>767</v>
      </c>
      <c r="F715" s="82" t="s">
        <v>69</v>
      </c>
      <c r="G715" s="88" t="n">
        <v>1</v>
      </c>
      <c r="H715" s="84" t="s">
        <v>61</v>
      </c>
      <c r="I715" s="80" t="s">
        <v>70</v>
      </c>
      <c r="J715" s="80" t="s">
        <v>71</v>
      </c>
      <c r="K715" s="78" t="s">
        <v>72</v>
      </c>
      <c r="L715" s="80" t="s">
        <v>73</v>
      </c>
      <c r="M715" s="79" t="s">
        <v>73</v>
      </c>
      <c r="N715" s="80" t="s">
        <v>74</v>
      </c>
      <c r="O715" s="85" t="n">
        <v>46119</v>
      </c>
      <c r="P715" s="101"/>
      <c r="Q715" s="84"/>
      <c r="R715" s="87"/>
      <c r="S715" s="87"/>
    </row>
    <row r="716" s="77" customFormat="true" ht="15" hidden="false" customHeight="false" outlineLevel="1" collapsed="false">
      <c r="B716" s="78"/>
      <c r="C716" s="79" t="n">
        <v>756</v>
      </c>
      <c r="D716" s="80" t="s">
        <v>85</v>
      </c>
      <c r="E716" s="82" t="s">
        <v>767</v>
      </c>
      <c r="F716" s="82" t="s">
        <v>86</v>
      </c>
      <c r="G716" s="88" t="n">
        <v>1</v>
      </c>
      <c r="H716" s="84" t="s">
        <v>87</v>
      </c>
      <c r="I716" s="80" t="s">
        <v>88</v>
      </c>
      <c r="J716" s="80" t="s">
        <v>89</v>
      </c>
      <c r="K716" s="80" t="s">
        <v>90</v>
      </c>
      <c r="L716" s="80" t="s">
        <v>91</v>
      </c>
      <c r="M716" s="79" t="s">
        <v>92</v>
      </c>
      <c r="N716" s="80" t="s">
        <v>93</v>
      </c>
      <c r="O716" s="85" t="n">
        <v>46119</v>
      </c>
      <c r="P716" s="101"/>
      <c r="Q716" s="84"/>
      <c r="R716" s="87"/>
      <c r="S716" s="87"/>
    </row>
    <row r="717" s="77" customFormat="true" ht="15" hidden="false" customHeight="false" outlineLevel="1" collapsed="false">
      <c r="B717" s="78"/>
      <c r="C717" s="79" t="n">
        <v>757</v>
      </c>
      <c r="D717" s="80" t="s">
        <v>725</v>
      </c>
      <c r="E717" s="82" t="s">
        <v>767</v>
      </c>
      <c r="F717" s="82" t="s">
        <v>726</v>
      </c>
      <c r="G717" s="88" t="n">
        <v>1</v>
      </c>
      <c r="H717" s="84" t="s">
        <v>727</v>
      </c>
      <c r="I717" s="80" t="s">
        <v>728</v>
      </c>
      <c r="J717" s="80" t="s">
        <v>729</v>
      </c>
      <c r="K717" s="80" t="s">
        <v>730</v>
      </c>
      <c r="L717" s="80" t="s">
        <v>731</v>
      </c>
      <c r="M717" s="79" t="s">
        <v>732</v>
      </c>
      <c r="N717" s="80" t="s">
        <v>733</v>
      </c>
      <c r="O717" s="85" t="n">
        <v>46119</v>
      </c>
      <c r="P717" s="101"/>
      <c r="Q717" s="84"/>
      <c r="R717" s="87"/>
      <c r="S717" s="87"/>
    </row>
    <row r="718" s="77" customFormat="true" ht="15" hidden="false" customHeight="false" outlineLevel="1" collapsed="false">
      <c r="B718" s="78"/>
      <c r="C718" s="79" t="n">
        <v>758</v>
      </c>
      <c r="D718" s="80" t="s">
        <v>125</v>
      </c>
      <c r="E718" s="82" t="s">
        <v>767</v>
      </c>
      <c r="F718" s="82" t="s">
        <v>126</v>
      </c>
      <c r="G718" s="88" t="n">
        <v>1</v>
      </c>
      <c r="H718" s="84" t="s">
        <v>127</v>
      </c>
      <c r="I718" s="80" t="s">
        <v>128</v>
      </c>
      <c r="J718" s="80" t="s">
        <v>129</v>
      </c>
      <c r="K718" s="80" t="s">
        <v>130</v>
      </c>
      <c r="L718" s="80" t="s">
        <v>131</v>
      </c>
      <c r="M718" s="79" t="s">
        <v>132</v>
      </c>
      <c r="N718" s="80" t="s">
        <v>133</v>
      </c>
      <c r="O718" s="85" t="n">
        <v>46119</v>
      </c>
      <c r="P718" s="101"/>
      <c r="Q718" s="84"/>
      <c r="R718" s="87"/>
      <c r="S718" s="87"/>
    </row>
    <row r="719" s="77" customFormat="true" ht="15" hidden="false" customHeight="false" outlineLevel="1" collapsed="false">
      <c r="B719" s="78"/>
      <c r="C719" s="79" t="n">
        <v>759</v>
      </c>
      <c r="D719" s="80" t="s">
        <v>166</v>
      </c>
      <c r="E719" s="82" t="s">
        <v>767</v>
      </c>
      <c r="F719" s="82" t="s">
        <v>167</v>
      </c>
      <c r="G719" s="88" t="n">
        <v>2</v>
      </c>
      <c r="H719" s="84" t="s">
        <v>61</v>
      </c>
      <c r="I719" s="80" t="s">
        <v>168</v>
      </c>
      <c r="J719" s="80" t="s">
        <v>169</v>
      </c>
      <c r="K719" s="80" t="s">
        <v>170</v>
      </c>
      <c r="L719" s="80" t="s">
        <v>171</v>
      </c>
      <c r="M719" s="79" t="s">
        <v>172</v>
      </c>
      <c r="N719" s="80" t="s">
        <v>173</v>
      </c>
      <c r="O719" s="85" t="n">
        <v>46119</v>
      </c>
      <c r="P719" s="101"/>
      <c r="Q719" s="84"/>
      <c r="R719" s="87"/>
      <c r="S719" s="87"/>
    </row>
    <row r="720" s="77" customFormat="true" ht="15" hidden="false" customHeight="false" outlineLevel="1" collapsed="false">
      <c r="B720" s="78"/>
      <c r="C720" s="79" t="n">
        <v>760</v>
      </c>
      <c r="D720" s="80" t="s">
        <v>174</v>
      </c>
      <c r="E720" s="82" t="s">
        <v>767</v>
      </c>
      <c r="F720" s="82" t="s">
        <v>175</v>
      </c>
      <c r="G720" s="88" t="n">
        <v>1</v>
      </c>
      <c r="H720" s="84" t="s">
        <v>152</v>
      </c>
      <c r="I720" s="80" t="s">
        <v>176</v>
      </c>
      <c r="J720" s="80" t="s">
        <v>177</v>
      </c>
      <c r="K720" s="80" t="s">
        <v>178</v>
      </c>
      <c r="L720" s="80" t="s">
        <v>179</v>
      </c>
      <c r="M720" s="79" t="s">
        <v>180</v>
      </c>
      <c r="N720" s="80" t="s">
        <v>181</v>
      </c>
      <c r="O720" s="85" t="n">
        <v>46119</v>
      </c>
      <c r="P720" s="101"/>
      <c r="Q720" s="84"/>
      <c r="R720" s="87"/>
      <c r="S720" s="87"/>
    </row>
    <row r="721" s="77" customFormat="true" ht="36" hidden="false" customHeight="true" outlineLevel="1" collapsed="false">
      <c r="B721" s="78"/>
      <c r="C721" s="79" t="s">
        <v>827</v>
      </c>
      <c r="D721" s="80" t="s">
        <v>190</v>
      </c>
      <c r="E721" s="82" t="s">
        <v>767</v>
      </c>
      <c r="F721" s="82" t="s">
        <v>191</v>
      </c>
      <c r="G721" s="88" t="n">
        <v>2</v>
      </c>
      <c r="H721" s="84" t="s">
        <v>24</v>
      </c>
      <c r="I721" s="80" t="s">
        <v>828</v>
      </c>
      <c r="J721" s="80" t="s">
        <v>829</v>
      </c>
      <c r="K721" s="80" t="s">
        <v>830</v>
      </c>
      <c r="L721" s="80" t="s">
        <v>831</v>
      </c>
      <c r="M721" s="79" t="s">
        <v>832</v>
      </c>
      <c r="N721" s="80" t="s">
        <v>197</v>
      </c>
      <c r="O721" s="85" t="n">
        <v>46119</v>
      </c>
      <c r="P721" s="101"/>
      <c r="Q721" s="84"/>
      <c r="R721" s="87"/>
      <c r="S721" s="87"/>
    </row>
    <row r="722" s="77" customFormat="true" ht="15" hidden="false" customHeight="false" outlineLevel="1" collapsed="false">
      <c r="B722" s="78"/>
      <c r="C722" s="79" t="n">
        <v>762</v>
      </c>
      <c r="D722" s="80" t="s">
        <v>198</v>
      </c>
      <c r="E722" s="82" t="s">
        <v>767</v>
      </c>
      <c r="F722" s="82" t="s">
        <v>199</v>
      </c>
      <c r="G722" s="88" t="n">
        <v>2</v>
      </c>
      <c r="H722" s="84" t="s">
        <v>200</v>
      </c>
      <c r="I722" s="80" t="s">
        <v>201</v>
      </c>
      <c r="J722" s="80" t="s">
        <v>202</v>
      </c>
      <c r="K722" s="80" t="s">
        <v>203</v>
      </c>
      <c r="L722" s="80" t="s">
        <v>204</v>
      </c>
      <c r="M722" s="79" t="s">
        <v>205</v>
      </c>
      <c r="N722" s="80" t="s">
        <v>206</v>
      </c>
      <c r="O722" s="85" t="n">
        <v>46119</v>
      </c>
      <c r="P722" s="101"/>
      <c r="Q722" s="84"/>
      <c r="R722" s="87"/>
      <c r="S722" s="87"/>
    </row>
    <row r="723" s="77" customFormat="true" ht="15" hidden="false" customHeight="false" outlineLevel="1" collapsed="false">
      <c r="B723" s="78"/>
      <c r="C723" s="79" t="n">
        <v>763</v>
      </c>
      <c r="D723" s="80" t="s">
        <v>215</v>
      </c>
      <c r="E723" s="82" t="s">
        <v>767</v>
      </c>
      <c r="F723" s="82" t="s">
        <v>216</v>
      </c>
      <c r="G723" s="88" t="n">
        <v>1</v>
      </c>
      <c r="H723" s="84" t="s">
        <v>24</v>
      </c>
      <c r="I723" s="80" t="s">
        <v>217</v>
      </c>
      <c r="J723" s="80" t="s">
        <v>218</v>
      </c>
      <c r="K723" s="80" t="s">
        <v>219</v>
      </c>
      <c r="L723" s="80" t="s">
        <v>220</v>
      </c>
      <c r="M723" s="79" t="s">
        <v>221</v>
      </c>
      <c r="N723" s="80" t="s">
        <v>222</v>
      </c>
      <c r="O723" s="85" t="n">
        <v>46119</v>
      </c>
      <c r="P723" s="101"/>
      <c r="Q723" s="84"/>
      <c r="R723" s="87"/>
      <c r="S723" s="87"/>
    </row>
    <row r="724" s="77" customFormat="true" ht="15" hidden="false" customHeight="false" outlineLevel="1" collapsed="false">
      <c r="B724" s="78"/>
      <c r="C724" s="79" t="n">
        <v>764</v>
      </c>
      <c r="D724" s="80" t="s">
        <v>223</v>
      </c>
      <c r="E724" s="82" t="s">
        <v>767</v>
      </c>
      <c r="F724" s="82" t="s">
        <v>224</v>
      </c>
      <c r="G724" s="88" t="n">
        <v>1</v>
      </c>
      <c r="H724" s="84" t="s">
        <v>61</v>
      </c>
      <c r="I724" s="80" t="s">
        <v>225</v>
      </c>
      <c r="J724" s="80" t="s">
        <v>226</v>
      </c>
      <c r="K724" s="80" t="s">
        <v>227</v>
      </c>
      <c r="L724" s="80" t="s">
        <v>228</v>
      </c>
      <c r="M724" s="79" t="s">
        <v>229</v>
      </c>
      <c r="N724" s="80" t="s">
        <v>230</v>
      </c>
      <c r="O724" s="85" t="n">
        <v>46119</v>
      </c>
      <c r="P724" s="101"/>
      <c r="Q724" s="84"/>
      <c r="R724" s="87"/>
      <c r="S724" s="87"/>
    </row>
    <row r="725" s="77" customFormat="true" ht="30" hidden="false" customHeight="true" outlineLevel="1" collapsed="false">
      <c r="B725" s="78"/>
      <c r="C725" s="79" t="s">
        <v>837</v>
      </c>
      <c r="D725" s="80" t="s">
        <v>231</v>
      </c>
      <c r="E725" s="82" t="s">
        <v>767</v>
      </c>
      <c r="F725" s="82" t="s">
        <v>232</v>
      </c>
      <c r="G725" s="88" t="n">
        <v>2</v>
      </c>
      <c r="H725" s="84" t="s">
        <v>61</v>
      </c>
      <c r="I725" s="80" t="s">
        <v>702</v>
      </c>
      <c r="J725" s="80" t="s">
        <v>703</v>
      </c>
      <c r="K725" s="80" t="s">
        <v>704</v>
      </c>
      <c r="L725" s="80" t="s">
        <v>236</v>
      </c>
      <c r="M725" s="79" t="s">
        <v>838</v>
      </c>
      <c r="N725" s="80" t="s">
        <v>238</v>
      </c>
      <c r="O725" s="85" t="n">
        <v>46119</v>
      </c>
      <c r="P725" s="101"/>
      <c r="Q725" s="84"/>
      <c r="R725" s="87"/>
      <c r="S725" s="87"/>
    </row>
    <row r="726" s="77" customFormat="true" ht="15" hidden="false" customHeight="false" outlineLevel="1" collapsed="false">
      <c r="B726" s="78"/>
      <c r="C726" s="79" t="n">
        <v>766</v>
      </c>
      <c r="D726" s="80" t="s">
        <v>239</v>
      </c>
      <c r="E726" s="82" t="s">
        <v>767</v>
      </c>
      <c r="F726" s="82" t="s">
        <v>240</v>
      </c>
      <c r="G726" s="88" t="n">
        <v>1</v>
      </c>
      <c r="H726" s="84" t="s">
        <v>24</v>
      </c>
      <c r="I726" s="80" t="s">
        <v>241</v>
      </c>
      <c r="J726" s="80" t="s">
        <v>242</v>
      </c>
      <c r="K726" s="80" t="s">
        <v>243</v>
      </c>
      <c r="L726" s="80" t="s">
        <v>244</v>
      </c>
      <c r="M726" s="79" t="s">
        <v>714</v>
      </c>
      <c r="N726" s="80" t="s">
        <v>246</v>
      </c>
      <c r="O726" s="85" t="n">
        <v>46119</v>
      </c>
      <c r="P726" s="101"/>
      <c r="Q726" s="84"/>
      <c r="R726" s="87"/>
      <c r="S726" s="87"/>
    </row>
    <row r="727" s="77" customFormat="true" ht="15" hidden="false" customHeight="false" outlineLevel="1" collapsed="false">
      <c r="B727" s="78"/>
      <c r="C727" s="79" t="n">
        <v>767</v>
      </c>
      <c r="D727" s="80" t="s">
        <v>247</v>
      </c>
      <c r="E727" s="82" t="s">
        <v>767</v>
      </c>
      <c r="F727" s="82" t="s">
        <v>248</v>
      </c>
      <c r="G727" s="88" t="n">
        <v>1</v>
      </c>
      <c r="H727" s="84" t="s">
        <v>61</v>
      </c>
      <c r="I727" s="80" t="s">
        <v>532</v>
      </c>
      <c r="J727" s="80" t="s">
        <v>533</v>
      </c>
      <c r="K727" s="78" t="s">
        <v>534</v>
      </c>
      <c r="L727" s="80" t="s">
        <v>252</v>
      </c>
      <c r="M727" s="79" t="s">
        <v>535</v>
      </c>
      <c r="N727" s="80" t="s">
        <v>254</v>
      </c>
      <c r="O727" s="85" t="n">
        <v>46119</v>
      </c>
      <c r="P727" s="101"/>
      <c r="Q727" s="84"/>
      <c r="R727" s="87"/>
      <c r="S727" s="87"/>
    </row>
    <row r="728" s="77" customFormat="true" ht="15" hidden="false" customHeight="false" outlineLevel="1" collapsed="false">
      <c r="B728" s="78"/>
      <c r="C728" s="79" t="n">
        <v>768</v>
      </c>
      <c r="D728" s="80" t="s">
        <v>263</v>
      </c>
      <c r="E728" s="82" t="s">
        <v>767</v>
      </c>
      <c r="F728" s="82" t="s">
        <v>264</v>
      </c>
      <c r="G728" s="88" t="n">
        <v>1</v>
      </c>
      <c r="H728" s="84" t="s">
        <v>61</v>
      </c>
      <c r="I728" s="80" t="s">
        <v>265</v>
      </c>
      <c r="J728" s="80" t="s">
        <v>266</v>
      </c>
      <c r="K728" s="80" t="s">
        <v>267</v>
      </c>
      <c r="L728" s="80" t="s">
        <v>252</v>
      </c>
      <c r="M728" s="79" t="s">
        <v>268</v>
      </c>
      <c r="N728" s="80" t="s">
        <v>269</v>
      </c>
      <c r="O728" s="85" t="n">
        <v>46119</v>
      </c>
      <c r="P728" s="101"/>
      <c r="Q728" s="84"/>
      <c r="R728" s="87"/>
      <c r="S728" s="87"/>
    </row>
    <row r="729" s="77" customFormat="true" ht="15" hidden="false" customHeight="false" outlineLevel="1" collapsed="false">
      <c r="B729" s="78"/>
      <c r="C729" s="79" t="n">
        <v>769</v>
      </c>
      <c r="D729" s="80" t="s">
        <v>651</v>
      </c>
      <c r="E729" s="82" t="s">
        <v>767</v>
      </c>
      <c r="F729" s="82" t="s">
        <v>652</v>
      </c>
      <c r="G729" s="88" t="n">
        <v>1</v>
      </c>
      <c r="H729" s="84" t="s">
        <v>111</v>
      </c>
      <c r="I729" s="80" t="s">
        <v>653</v>
      </c>
      <c r="J729" s="80" t="s">
        <v>654</v>
      </c>
      <c r="K729" s="80" t="s">
        <v>655</v>
      </c>
      <c r="L729" s="80" t="s">
        <v>656</v>
      </c>
      <c r="M729" s="79" t="s">
        <v>657</v>
      </c>
      <c r="N729" s="80" t="s">
        <v>658</v>
      </c>
      <c r="O729" s="85" t="n">
        <v>46119</v>
      </c>
      <c r="P729" s="101"/>
      <c r="Q729" s="84"/>
      <c r="R729" s="87"/>
      <c r="S729" s="87"/>
    </row>
    <row r="730" s="77" customFormat="true" ht="15" hidden="false" customHeight="false" outlineLevel="1" collapsed="false">
      <c r="B730" s="78"/>
      <c r="C730" s="79" t="n">
        <v>770</v>
      </c>
      <c r="D730" s="80" t="s">
        <v>270</v>
      </c>
      <c r="E730" s="82" t="s">
        <v>767</v>
      </c>
      <c r="F730" s="82" t="s">
        <v>271</v>
      </c>
      <c r="G730" s="88" t="n">
        <v>1</v>
      </c>
      <c r="H730" s="84" t="s">
        <v>61</v>
      </c>
      <c r="I730" s="80" t="s">
        <v>272</v>
      </c>
      <c r="J730" s="80" t="s">
        <v>273</v>
      </c>
      <c r="K730" s="80" t="s">
        <v>274</v>
      </c>
      <c r="L730" s="80" t="s">
        <v>275</v>
      </c>
      <c r="M730" s="79" t="s">
        <v>792</v>
      </c>
      <c r="N730" s="80" t="s">
        <v>277</v>
      </c>
      <c r="O730" s="85" t="n">
        <v>46119</v>
      </c>
      <c r="P730" s="101"/>
      <c r="Q730" s="84"/>
      <c r="R730" s="87"/>
      <c r="S730" s="87"/>
    </row>
    <row r="731" s="77" customFormat="true" ht="15" hidden="false" customHeight="false" outlineLevel="1" collapsed="false">
      <c r="B731" s="78"/>
      <c r="C731" s="79" t="n">
        <v>771</v>
      </c>
      <c r="D731" s="80" t="s">
        <v>278</v>
      </c>
      <c r="E731" s="82" t="s">
        <v>767</v>
      </c>
      <c r="F731" s="82" t="s">
        <v>279</v>
      </c>
      <c r="G731" s="88" t="n">
        <v>1</v>
      </c>
      <c r="H731" s="84" t="s">
        <v>61</v>
      </c>
      <c r="I731" s="80" t="s">
        <v>280</v>
      </c>
      <c r="J731" s="80" t="s">
        <v>281</v>
      </c>
      <c r="K731" s="80" t="s">
        <v>282</v>
      </c>
      <c r="L731" s="80" t="s">
        <v>283</v>
      </c>
      <c r="M731" s="79" t="s">
        <v>284</v>
      </c>
      <c r="N731" s="80" t="s">
        <v>285</v>
      </c>
      <c r="O731" s="85" t="n">
        <v>46119</v>
      </c>
      <c r="P731" s="101"/>
      <c r="Q731" s="84"/>
      <c r="R731" s="87"/>
      <c r="S731" s="87"/>
    </row>
    <row r="732" s="77" customFormat="true" ht="15" hidden="false" customHeight="false" outlineLevel="1" collapsed="false">
      <c r="B732" s="78"/>
      <c r="C732" s="79" t="n">
        <v>772</v>
      </c>
      <c r="D732" s="80" t="s">
        <v>286</v>
      </c>
      <c r="E732" s="82" t="s">
        <v>767</v>
      </c>
      <c r="F732" s="82" t="s">
        <v>287</v>
      </c>
      <c r="G732" s="88" t="n">
        <v>1</v>
      </c>
      <c r="H732" s="84" t="s">
        <v>61</v>
      </c>
      <c r="I732" s="80" t="s">
        <v>288</v>
      </c>
      <c r="J732" s="80" t="s">
        <v>289</v>
      </c>
      <c r="K732" s="80" t="s">
        <v>290</v>
      </c>
      <c r="L732" s="80" t="s">
        <v>291</v>
      </c>
      <c r="M732" s="79" t="s">
        <v>292</v>
      </c>
      <c r="N732" s="80" t="s">
        <v>293</v>
      </c>
      <c r="O732" s="85" t="n">
        <v>46119</v>
      </c>
      <c r="P732" s="101"/>
      <c r="Q732" s="84"/>
      <c r="R732" s="87"/>
      <c r="S732" s="87"/>
    </row>
    <row r="733" s="77" customFormat="true" ht="15" hidden="false" customHeight="false" outlineLevel="1" collapsed="false">
      <c r="B733" s="78"/>
      <c r="C733" s="79" t="n">
        <v>773</v>
      </c>
      <c r="D733" s="80" t="s">
        <v>326</v>
      </c>
      <c r="E733" s="82" t="s">
        <v>767</v>
      </c>
      <c r="F733" s="82" t="s">
        <v>327</v>
      </c>
      <c r="G733" s="88" t="n">
        <v>1</v>
      </c>
      <c r="H733" s="84" t="s">
        <v>152</v>
      </c>
      <c r="I733" s="80" t="s">
        <v>328</v>
      </c>
      <c r="J733" s="80" t="s">
        <v>329</v>
      </c>
      <c r="K733" s="80" t="s">
        <v>330</v>
      </c>
      <c r="L733" s="80" t="s">
        <v>331</v>
      </c>
      <c r="M733" s="79" t="s">
        <v>332</v>
      </c>
      <c r="N733" s="80" t="s">
        <v>333</v>
      </c>
      <c r="O733" s="85" t="n">
        <v>46119</v>
      </c>
      <c r="P733" s="101"/>
      <c r="Q733" s="84"/>
      <c r="R733" s="87"/>
      <c r="S733" s="87"/>
    </row>
    <row r="734" s="77" customFormat="true" ht="15" hidden="false" customHeight="false" outlineLevel="1" collapsed="false">
      <c r="B734" s="78"/>
      <c r="C734" s="79" t="n">
        <v>774</v>
      </c>
      <c r="D734" s="80" t="s">
        <v>342</v>
      </c>
      <c r="E734" s="82" t="s">
        <v>767</v>
      </c>
      <c r="F734" s="82" t="s">
        <v>343</v>
      </c>
      <c r="G734" s="88" t="n">
        <v>1</v>
      </c>
      <c r="H734" s="84" t="s">
        <v>24</v>
      </c>
      <c r="I734" s="80" t="s">
        <v>344</v>
      </c>
      <c r="J734" s="80" t="s">
        <v>345</v>
      </c>
      <c r="K734" s="80" t="s">
        <v>346</v>
      </c>
      <c r="L734" s="80" t="s">
        <v>347</v>
      </c>
      <c r="M734" s="79" t="s">
        <v>348</v>
      </c>
      <c r="N734" s="80" t="s">
        <v>349</v>
      </c>
      <c r="O734" s="85" t="n">
        <v>46119</v>
      </c>
      <c r="P734" s="101"/>
      <c r="Q734" s="84"/>
      <c r="R734" s="87"/>
      <c r="S734" s="87"/>
    </row>
    <row r="735" s="77" customFormat="true" ht="15" hidden="false" customHeight="false" outlineLevel="1" collapsed="false">
      <c r="B735" s="78"/>
      <c r="C735" s="79" t="n">
        <v>775</v>
      </c>
      <c r="D735" s="80" t="s">
        <v>350</v>
      </c>
      <c r="E735" s="82" t="s">
        <v>767</v>
      </c>
      <c r="F735" s="82" t="s">
        <v>351</v>
      </c>
      <c r="G735" s="88" t="n">
        <v>1</v>
      </c>
      <c r="H735" s="84" t="s">
        <v>152</v>
      </c>
      <c r="I735" s="80" t="s">
        <v>352</v>
      </c>
      <c r="J735" s="80" t="s">
        <v>353</v>
      </c>
      <c r="K735" s="80" t="s">
        <v>354</v>
      </c>
      <c r="L735" s="80" t="s">
        <v>355</v>
      </c>
      <c r="M735" s="79" t="s">
        <v>355</v>
      </c>
      <c r="N735" s="80" t="s">
        <v>356</v>
      </c>
      <c r="O735" s="85" t="n">
        <v>46119</v>
      </c>
      <c r="P735" s="101"/>
      <c r="Q735" s="84"/>
      <c r="R735" s="87"/>
      <c r="S735" s="87"/>
    </row>
    <row r="736" s="77" customFormat="true" ht="15" hidden="false" customHeight="false" outlineLevel="1" collapsed="false">
      <c r="B736" s="78"/>
      <c r="C736" s="79" t="n">
        <v>776</v>
      </c>
      <c r="D736" s="80" t="s">
        <v>802</v>
      </c>
      <c r="E736" s="82" t="s">
        <v>767</v>
      </c>
      <c r="F736" s="82" t="s">
        <v>803</v>
      </c>
      <c r="G736" s="88" t="n">
        <v>2</v>
      </c>
      <c r="H736" s="84" t="s">
        <v>804</v>
      </c>
      <c r="I736" s="80" t="s">
        <v>805</v>
      </c>
      <c r="J736" s="80" t="s">
        <v>806</v>
      </c>
      <c r="K736" s="78" t="s">
        <v>807</v>
      </c>
      <c r="L736" s="80" t="s">
        <v>808</v>
      </c>
      <c r="M736" s="79" t="s">
        <v>809</v>
      </c>
      <c r="N736" s="80" t="s">
        <v>810</v>
      </c>
      <c r="O736" s="85" t="n">
        <v>46119</v>
      </c>
      <c r="P736" s="101"/>
      <c r="Q736" s="84"/>
      <c r="R736" s="87"/>
      <c r="S736" s="87"/>
    </row>
    <row r="737" s="77" customFormat="true" ht="15" hidden="false" customHeight="false" outlineLevel="1" collapsed="false">
      <c r="B737" s="78"/>
      <c r="C737" s="79" t="n">
        <v>777</v>
      </c>
      <c r="D737" s="80" t="s">
        <v>366</v>
      </c>
      <c r="E737" s="82" t="s">
        <v>767</v>
      </c>
      <c r="F737" s="82" t="s">
        <v>367</v>
      </c>
      <c r="G737" s="88" t="n">
        <v>1</v>
      </c>
      <c r="H737" s="84" t="s">
        <v>368</v>
      </c>
      <c r="I737" s="80" t="s">
        <v>369</v>
      </c>
      <c r="J737" s="80" t="s">
        <v>370</v>
      </c>
      <c r="K737" s="80" t="s">
        <v>371</v>
      </c>
      <c r="L737" s="80" t="s">
        <v>372</v>
      </c>
      <c r="M737" s="79" t="s">
        <v>682</v>
      </c>
      <c r="N737" s="80" t="s">
        <v>374</v>
      </c>
      <c r="O737" s="85" t="n">
        <v>46119</v>
      </c>
      <c r="P737" s="101"/>
      <c r="Q737" s="84"/>
      <c r="R737" s="87"/>
      <c r="S737" s="87"/>
    </row>
    <row r="738" s="77" customFormat="true" ht="36" hidden="false" customHeight="true" outlineLevel="1" collapsed="false">
      <c r="B738" s="78"/>
      <c r="C738" s="79" t="s">
        <v>822</v>
      </c>
      <c r="D738" s="80" t="s">
        <v>375</v>
      </c>
      <c r="E738" s="82" t="s">
        <v>767</v>
      </c>
      <c r="F738" s="82" t="s">
        <v>376</v>
      </c>
      <c r="G738" s="88" t="n">
        <v>2</v>
      </c>
      <c r="H738" s="84" t="s">
        <v>111</v>
      </c>
      <c r="I738" s="80" t="s">
        <v>823</v>
      </c>
      <c r="J738" s="80" t="s">
        <v>824</v>
      </c>
      <c r="K738" s="80" t="s">
        <v>825</v>
      </c>
      <c r="L738" s="80" t="s">
        <v>380</v>
      </c>
      <c r="M738" s="79" t="s">
        <v>826</v>
      </c>
      <c r="N738" s="80" t="s">
        <v>382</v>
      </c>
      <c r="O738" s="85" t="n">
        <v>46119</v>
      </c>
      <c r="P738" s="101"/>
      <c r="Q738" s="84"/>
      <c r="R738" s="87"/>
      <c r="S738" s="87"/>
    </row>
    <row r="739" s="77" customFormat="true" ht="15" hidden="false" customHeight="false" outlineLevel="1" collapsed="false">
      <c r="B739" s="78"/>
      <c r="C739" s="79" t="n">
        <v>779</v>
      </c>
      <c r="D739" s="80" t="s">
        <v>383</v>
      </c>
      <c r="E739" s="82" t="s">
        <v>767</v>
      </c>
      <c r="F739" s="82" t="s">
        <v>384</v>
      </c>
      <c r="G739" s="88" t="n">
        <v>1</v>
      </c>
      <c r="H739" s="84" t="s">
        <v>61</v>
      </c>
      <c r="I739" s="80" t="s">
        <v>385</v>
      </c>
      <c r="J739" s="80" t="s">
        <v>386</v>
      </c>
      <c r="K739" s="80" t="s">
        <v>387</v>
      </c>
      <c r="L739" s="80" t="s">
        <v>388</v>
      </c>
      <c r="M739" s="79" t="s">
        <v>389</v>
      </c>
      <c r="N739" s="80" t="s">
        <v>390</v>
      </c>
      <c r="O739" s="85" t="n">
        <v>46119</v>
      </c>
      <c r="P739" s="101"/>
      <c r="Q739" s="84"/>
      <c r="R739" s="87"/>
      <c r="S739" s="87"/>
    </row>
    <row r="740" s="77" customFormat="true" ht="15" hidden="false" customHeight="false" outlineLevel="1" collapsed="false">
      <c r="B740" s="78"/>
      <c r="C740" s="79" t="n">
        <v>780</v>
      </c>
      <c r="D740" s="80" t="s">
        <v>399</v>
      </c>
      <c r="E740" s="82" t="s">
        <v>767</v>
      </c>
      <c r="F740" s="82" t="s">
        <v>400</v>
      </c>
      <c r="G740" s="88" t="n">
        <v>1</v>
      </c>
      <c r="H740" s="84" t="s">
        <v>152</v>
      </c>
      <c r="I740" s="80" t="s">
        <v>401</v>
      </c>
      <c r="J740" s="80" t="s">
        <v>402</v>
      </c>
      <c r="K740" s="80" t="s">
        <v>403</v>
      </c>
      <c r="L740" s="80" t="s">
        <v>404</v>
      </c>
      <c r="M740" s="79" t="s">
        <v>791</v>
      </c>
      <c r="N740" s="80" t="s">
        <v>406</v>
      </c>
      <c r="O740" s="85" t="n">
        <v>46119</v>
      </c>
      <c r="P740" s="101"/>
      <c r="Q740" s="84"/>
      <c r="R740" s="87"/>
      <c r="S740" s="87"/>
    </row>
    <row r="741" s="77" customFormat="true" ht="15" hidden="false" customHeight="false" outlineLevel="1" collapsed="false">
      <c r="B741" s="78"/>
      <c r="C741" s="79" t="n">
        <v>781</v>
      </c>
      <c r="D741" s="80" t="s">
        <v>424</v>
      </c>
      <c r="E741" s="82" t="s">
        <v>767</v>
      </c>
      <c r="F741" s="82" t="s">
        <v>425</v>
      </c>
      <c r="G741" s="88" t="n">
        <v>1</v>
      </c>
      <c r="H741" s="84" t="s">
        <v>111</v>
      </c>
      <c r="I741" s="80" t="s">
        <v>426</v>
      </c>
      <c r="J741" s="80" t="s">
        <v>427</v>
      </c>
      <c r="K741" s="80" t="s">
        <v>428</v>
      </c>
      <c r="L741" s="80" t="s">
        <v>429</v>
      </c>
      <c r="M741" s="79" t="s">
        <v>429</v>
      </c>
      <c r="N741" s="80" t="s">
        <v>430</v>
      </c>
      <c r="O741" s="85" t="n">
        <v>46119</v>
      </c>
      <c r="P741" s="101"/>
      <c r="Q741" s="84"/>
      <c r="R741" s="87"/>
      <c r="S741" s="87"/>
    </row>
    <row r="742" s="77" customFormat="true" ht="15" hidden="false" customHeight="false" outlineLevel="1" collapsed="false">
      <c r="B742" s="78"/>
      <c r="C742" s="79" t="n">
        <v>782</v>
      </c>
      <c r="D742" s="80" t="s">
        <v>431</v>
      </c>
      <c r="E742" s="80" t="s">
        <v>767</v>
      </c>
      <c r="F742" s="82" t="s">
        <v>432</v>
      </c>
      <c r="G742" s="88" t="n">
        <v>1</v>
      </c>
      <c r="H742" s="84" t="s">
        <v>152</v>
      </c>
      <c r="I742" s="80" t="s">
        <v>433</v>
      </c>
      <c r="J742" s="80" t="s">
        <v>434</v>
      </c>
      <c r="K742" s="80" t="s">
        <v>435</v>
      </c>
      <c r="L742" s="80" t="s">
        <v>436</v>
      </c>
      <c r="M742" s="79" t="s">
        <v>437</v>
      </c>
      <c r="N742" s="80" t="s">
        <v>438</v>
      </c>
      <c r="O742" s="85" t="n">
        <v>46119</v>
      </c>
      <c r="P742" s="101"/>
      <c r="Q742" s="84"/>
      <c r="R742" s="87"/>
      <c r="S742" s="87"/>
    </row>
    <row r="743" s="77" customFormat="true" ht="30" hidden="false" customHeight="true" outlineLevel="1" collapsed="false">
      <c r="B743" s="78"/>
      <c r="C743" s="79" t="n">
        <v>783</v>
      </c>
      <c r="D743" s="80" t="s">
        <v>439</v>
      </c>
      <c r="E743" s="82" t="s">
        <v>767</v>
      </c>
      <c r="F743" s="82" t="s">
        <v>440</v>
      </c>
      <c r="G743" s="88" t="n">
        <v>1</v>
      </c>
      <c r="H743" s="84" t="s">
        <v>152</v>
      </c>
      <c r="I743" s="80" t="s">
        <v>441</v>
      </c>
      <c r="J743" s="80" t="s">
        <v>442</v>
      </c>
      <c r="K743" s="80" t="s">
        <v>443</v>
      </c>
      <c r="L743" s="80" t="s">
        <v>444</v>
      </c>
      <c r="M743" s="79" t="s">
        <v>570</v>
      </c>
      <c r="N743" s="80" t="s">
        <v>446</v>
      </c>
      <c r="O743" s="85" t="n">
        <v>46119</v>
      </c>
      <c r="P743" s="101"/>
      <c r="Q743" s="84"/>
      <c r="R743" s="87"/>
      <c r="S743" s="87"/>
    </row>
    <row r="744" s="77" customFormat="true" ht="15" hidden="false" customHeight="false" outlineLevel="1" collapsed="false">
      <c r="B744" s="78"/>
      <c r="C744" s="79" t="n">
        <v>784</v>
      </c>
      <c r="D744" s="80" t="s">
        <v>447</v>
      </c>
      <c r="E744" s="82" t="s">
        <v>767</v>
      </c>
      <c r="F744" s="82" t="s">
        <v>448</v>
      </c>
      <c r="G744" s="88" t="n">
        <v>1</v>
      </c>
      <c r="H744" s="84" t="s">
        <v>24</v>
      </c>
      <c r="I744" s="80" t="s">
        <v>449</v>
      </c>
      <c r="J744" s="80" t="s">
        <v>450</v>
      </c>
      <c r="K744" s="80" t="s">
        <v>451</v>
      </c>
      <c r="L744" s="80" t="s">
        <v>452</v>
      </c>
      <c r="M744" s="79" t="s">
        <v>453</v>
      </c>
      <c r="N744" s="80" t="s">
        <v>454</v>
      </c>
      <c r="O744" s="85" t="n">
        <v>46119</v>
      </c>
      <c r="P744" s="101"/>
      <c r="Q744" s="84"/>
      <c r="R744" s="87"/>
      <c r="S744" s="87"/>
    </row>
    <row r="745" s="77" customFormat="true" ht="15" hidden="false" customHeight="false" outlineLevel="1" collapsed="false">
      <c r="B745" s="78"/>
      <c r="C745" s="79" t="n">
        <v>785</v>
      </c>
      <c r="D745" s="80" t="s">
        <v>571</v>
      </c>
      <c r="E745" s="82" t="s">
        <v>767</v>
      </c>
      <c r="F745" s="82" t="s">
        <v>572</v>
      </c>
      <c r="G745" s="88" t="n">
        <v>1</v>
      </c>
      <c r="H745" s="84" t="s">
        <v>573</v>
      </c>
      <c r="I745" s="80" t="s">
        <v>574</v>
      </c>
      <c r="J745" s="80" t="s">
        <v>575</v>
      </c>
      <c r="K745" s="80" t="s">
        <v>576</v>
      </c>
      <c r="L745" s="80" t="s">
        <v>577</v>
      </c>
      <c r="M745" s="79" t="s">
        <v>578</v>
      </c>
      <c r="N745" s="80" t="s">
        <v>579</v>
      </c>
      <c r="O745" s="85" t="n">
        <v>46119</v>
      </c>
      <c r="P745" s="101"/>
      <c r="Q745" s="84"/>
      <c r="R745" s="87"/>
      <c r="S745" s="87"/>
    </row>
    <row r="746" s="77" customFormat="true" ht="15" hidden="false" customHeight="false" outlineLevel="1" collapsed="false">
      <c r="B746" s="78"/>
      <c r="C746" s="79" t="n">
        <v>786</v>
      </c>
      <c r="D746" s="80" t="s">
        <v>463</v>
      </c>
      <c r="E746" s="82" t="s">
        <v>767</v>
      </c>
      <c r="F746" s="82" t="s">
        <v>464</v>
      </c>
      <c r="G746" s="88" t="n">
        <v>1</v>
      </c>
      <c r="H746" s="84" t="s">
        <v>152</v>
      </c>
      <c r="I746" s="80" t="s">
        <v>465</v>
      </c>
      <c r="J746" s="80" t="s">
        <v>466</v>
      </c>
      <c r="K746" s="80" t="s">
        <v>467</v>
      </c>
      <c r="L746" s="80" t="s">
        <v>468</v>
      </c>
      <c r="M746" s="79" t="s">
        <v>469</v>
      </c>
      <c r="N746" s="80" t="s">
        <v>470</v>
      </c>
      <c r="O746" s="85" t="n">
        <v>46119</v>
      </c>
      <c r="P746" s="101"/>
      <c r="Q746" s="84"/>
      <c r="R746" s="87"/>
      <c r="S746" s="87"/>
    </row>
    <row r="747" s="77" customFormat="true" ht="15" hidden="false" customHeight="false" outlineLevel="1" collapsed="false">
      <c r="B747" s="78"/>
      <c r="C747" s="79" t="n">
        <v>787</v>
      </c>
      <c r="D747" s="80" t="s">
        <v>471</v>
      </c>
      <c r="E747" s="82" t="s">
        <v>767</v>
      </c>
      <c r="F747" s="82" t="s">
        <v>472</v>
      </c>
      <c r="G747" s="88" t="n">
        <v>1</v>
      </c>
      <c r="H747" s="84" t="s">
        <v>111</v>
      </c>
      <c r="I747" s="80" t="s">
        <v>473</v>
      </c>
      <c r="J747" s="80" t="s">
        <v>474</v>
      </c>
      <c r="K747" s="80" t="s">
        <v>475</v>
      </c>
      <c r="L747" s="80" t="s">
        <v>476</v>
      </c>
      <c r="M747" s="79" t="s">
        <v>476</v>
      </c>
      <c r="N747" s="80" t="s">
        <v>477</v>
      </c>
      <c r="O747" s="85" t="n">
        <v>46119</v>
      </c>
      <c r="P747" s="101"/>
      <c r="Q747" s="84"/>
      <c r="R747" s="87"/>
      <c r="S747" s="87"/>
    </row>
    <row r="748" s="77" customFormat="true" ht="15" hidden="false" customHeight="false" outlineLevel="1" collapsed="false">
      <c r="B748" s="78"/>
      <c r="C748" s="79" t="n">
        <v>788</v>
      </c>
      <c r="D748" s="80" t="s">
        <v>588</v>
      </c>
      <c r="E748" s="82" t="s">
        <v>767</v>
      </c>
      <c r="F748" s="82" t="s">
        <v>589</v>
      </c>
      <c r="G748" s="88" t="n">
        <v>1</v>
      </c>
      <c r="H748" s="84" t="s">
        <v>24</v>
      </c>
      <c r="I748" s="80" t="s">
        <v>590</v>
      </c>
      <c r="J748" s="80" t="s">
        <v>591</v>
      </c>
      <c r="K748" s="80" t="s">
        <v>592</v>
      </c>
      <c r="L748" s="80" t="s">
        <v>593</v>
      </c>
      <c r="M748" s="79" t="s">
        <v>594</v>
      </c>
      <c r="N748" s="80" t="s">
        <v>595</v>
      </c>
      <c r="O748" s="85" t="n">
        <v>46119</v>
      </c>
      <c r="P748" s="101"/>
      <c r="Q748" s="84"/>
      <c r="R748" s="87"/>
      <c r="S748" s="87"/>
    </row>
    <row r="749" s="77" customFormat="true" ht="15" hidden="false" customHeight="false" outlineLevel="1" collapsed="false">
      <c r="B749" s="78"/>
      <c r="C749" s="79" t="n">
        <v>789</v>
      </c>
      <c r="D749" s="80" t="s">
        <v>611</v>
      </c>
      <c r="E749" s="82" t="s">
        <v>767</v>
      </c>
      <c r="F749" s="82" t="s">
        <v>612</v>
      </c>
      <c r="G749" s="88" t="n">
        <v>1</v>
      </c>
      <c r="H749" s="84" t="s">
        <v>24</v>
      </c>
      <c r="I749" s="80" t="s">
        <v>613</v>
      </c>
      <c r="J749" s="80" t="s">
        <v>614</v>
      </c>
      <c r="K749" s="80" t="s">
        <v>615</v>
      </c>
      <c r="L749" s="80" t="s">
        <v>616</v>
      </c>
      <c r="M749" s="79" t="s">
        <v>616</v>
      </c>
      <c r="N749" s="80" t="s">
        <v>617</v>
      </c>
      <c r="O749" s="85" t="n">
        <v>46119</v>
      </c>
      <c r="P749" s="101"/>
      <c r="Q749" s="84"/>
      <c r="R749" s="87"/>
      <c r="S749" s="87"/>
    </row>
    <row r="750" s="77" customFormat="true" ht="15" hidden="false" customHeight="false" outlineLevel="1" collapsed="false">
      <c r="B750" s="78"/>
      <c r="C750" s="79" t="n">
        <v>790</v>
      </c>
      <c r="D750" s="80" t="s">
        <v>508</v>
      </c>
      <c r="E750" s="82" t="s">
        <v>767</v>
      </c>
      <c r="F750" s="82" t="s">
        <v>509</v>
      </c>
      <c r="G750" s="88" t="n">
        <v>1</v>
      </c>
      <c r="H750" s="84" t="s">
        <v>61</v>
      </c>
      <c r="I750" s="80" t="s">
        <v>510</v>
      </c>
      <c r="J750" s="80" t="s">
        <v>511</v>
      </c>
      <c r="K750" s="80" t="s">
        <v>512</v>
      </c>
      <c r="L750" s="80" t="s">
        <v>513</v>
      </c>
      <c r="M750" s="79" t="s">
        <v>514</v>
      </c>
      <c r="N750" s="80" t="s">
        <v>515</v>
      </c>
      <c r="O750" s="85" t="n">
        <v>46119</v>
      </c>
      <c r="P750" s="101"/>
      <c r="Q750" s="84"/>
      <c r="R750" s="87"/>
      <c r="S750" s="87"/>
    </row>
    <row r="751" s="68" customFormat="true" ht="30" hidden="false" customHeight="true" outlineLevel="0" collapsed="false">
      <c r="B751" s="69"/>
      <c r="C751" s="102"/>
      <c r="D751" s="71"/>
      <c r="E751" s="72" t="s">
        <v>23</v>
      </c>
      <c r="F751" s="73"/>
      <c r="G751" s="74" t="n">
        <f aca="false">SUM(G752:G817)</f>
        <v>70</v>
      </c>
      <c r="H751" s="69"/>
      <c r="I751" s="69"/>
      <c r="J751" s="69"/>
      <c r="K751" s="69"/>
      <c r="L751" s="69"/>
      <c r="M751" s="102"/>
      <c r="N751" s="69"/>
      <c r="O751" s="69"/>
      <c r="P751" s="69"/>
      <c r="Q751" s="69"/>
      <c r="R751" s="74" t="s">
        <v>31</v>
      </c>
      <c r="S751" s="69"/>
    </row>
    <row r="752" s="77" customFormat="true" ht="15" hidden="false" customHeight="false" outlineLevel="1" collapsed="false">
      <c r="B752" s="78" t="s">
        <v>1112</v>
      </c>
      <c r="C752" s="79" t="n">
        <v>1</v>
      </c>
      <c r="D752" s="80" t="s">
        <v>21</v>
      </c>
      <c r="E752" s="82" t="s">
        <v>23</v>
      </c>
      <c r="F752" s="82" t="s">
        <v>22</v>
      </c>
      <c r="G752" s="88" t="n">
        <v>1</v>
      </c>
      <c r="H752" s="84" t="s">
        <v>24</v>
      </c>
      <c r="I752" s="80" t="s">
        <v>25</v>
      </c>
      <c r="J752" s="80" t="s">
        <v>26</v>
      </c>
      <c r="K752" s="80" t="s">
        <v>27</v>
      </c>
      <c r="L752" s="80" t="s">
        <v>28</v>
      </c>
      <c r="M752" s="79" t="s">
        <v>29</v>
      </c>
      <c r="N752" s="80" t="s">
        <v>30</v>
      </c>
      <c r="O752" s="85" t="n">
        <v>46104</v>
      </c>
      <c r="P752" s="101"/>
      <c r="Q752" s="84"/>
      <c r="R752" s="87" t="s">
        <v>31</v>
      </c>
      <c r="S752" s="87" t="s">
        <v>31</v>
      </c>
    </row>
    <row r="753" s="77" customFormat="true" ht="15" hidden="false" customHeight="false" outlineLevel="1" collapsed="false">
      <c r="B753" s="78"/>
      <c r="C753" s="79" t="n">
        <v>66</v>
      </c>
      <c r="D753" s="80" t="s">
        <v>811</v>
      </c>
      <c r="E753" s="82" t="s">
        <v>23</v>
      </c>
      <c r="F753" s="82" t="s">
        <v>812</v>
      </c>
      <c r="G753" s="88" t="n">
        <v>2</v>
      </c>
      <c r="H753" s="84" t="s">
        <v>813</v>
      </c>
      <c r="I753" s="80" t="s">
        <v>814</v>
      </c>
      <c r="J753" s="80" t="s">
        <v>815</v>
      </c>
      <c r="K753" s="80" t="s">
        <v>816</v>
      </c>
      <c r="L753" s="80" t="s">
        <v>817</v>
      </c>
      <c r="M753" s="79" t="s">
        <v>1149</v>
      </c>
      <c r="N753" s="80" t="s">
        <v>819</v>
      </c>
      <c r="O753" s="85" t="n">
        <v>46153</v>
      </c>
      <c r="P753" s="101"/>
      <c r="Q753" s="84"/>
      <c r="R753" s="87" t="s">
        <v>31</v>
      </c>
      <c r="S753" s="87" t="s">
        <v>84</v>
      </c>
    </row>
    <row r="754" s="77" customFormat="true" ht="30" hidden="false" customHeight="true" outlineLevel="1" collapsed="false">
      <c r="B754" s="78" t="s">
        <v>1112</v>
      </c>
      <c r="C754" s="79" t="s">
        <v>32</v>
      </c>
      <c r="D754" s="80" t="s">
        <v>34</v>
      </c>
      <c r="E754" s="82" t="s">
        <v>23</v>
      </c>
      <c r="F754" s="82" t="s">
        <v>35</v>
      </c>
      <c r="G754" s="88" t="n">
        <v>2</v>
      </c>
      <c r="H754" s="84" t="s">
        <v>36</v>
      </c>
      <c r="I754" s="80" t="s">
        <v>37</v>
      </c>
      <c r="J754" s="80" t="s">
        <v>38</v>
      </c>
      <c r="K754" s="80" t="s">
        <v>39</v>
      </c>
      <c r="L754" s="80" t="s">
        <v>40</v>
      </c>
      <c r="M754" s="79" t="s">
        <v>553</v>
      </c>
      <c r="N754" s="80" t="s">
        <v>42</v>
      </c>
      <c r="O754" s="85" t="n">
        <v>46104</v>
      </c>
      <c r="P754" s="101"/>
      <c r="Q754" s="84"/>
      <c r="R754" s="87" t="s">
        <v>31</v>
      </c>
      <c r="S754" s="87" t="s">
        <v>31</v>
      </c>
      <c r="T754" s="77" t="s">
        <v>1155</v>
      </c>
    </row>
    <row r="755" s="77" customFormat="true" ht="15" hidden="false" customHeight="false" outlineLevel="1" collapsed="false">
      <c r="B755" s="78" t="s">
        <v>1112</v>
      </c>
      <c r="C755" s="79" t="n">
        <v>3</v>
      </c>
      <c r="D755" s="80" t="s">
        <v>43</v>
      </c>
      <c r="E755" s="82" t="s">
        <v>23</v>
      </c>
      <c r="F755" s="82" t="s">
        <v>44</v>
      </c>
      <c r="G755" s="88" t="n">
        <v>1</v>
      </c>
      <c r="H755" s="84" t="s">
        <v>24</v>
      </c>
      <c r="I755" s="80" t="s">
        <v>45</v>
      </c>
      <c r="J755" s="80" t="s">
        <v>46</v>
      </c>
      <c r="K755" s="80" t="s">
        <v>47</v>
      </c>
      <c r="L755" s="80" t="s">
        <v>48</v>
      </c>
      <c r="M755" s="79" t="s">
        <v>49</v>
      </c>
      <c r="N755" s="80" t="s">
        <v>50</v>
      </c>
      <c r="O755" s="85" t="n">
        <v>46104</v>
      </c>
      <c r="P755" s="101"/>
      <c r="Q755" s="84"/>
      <c r="R755" s="87" t="s">
        <v>31</v>
      </c>
      <c r="S755" s="87" t="s">
        <v>31</v>
      </c>
    </row>
    <row r="756" s="77" customFormat="true" ht="15" hidden="false" customHeight="false" outlineLevel="1" collapsed="false">
      <c r="B756" s="78" t="s">
        <v>1112</v>
      </c>
      <c r="C756" s="79" t="n">
        <v>4</v>
      </c>
      <c r="D756" s="80" t="s">
        <v>51</v>
      </c>
      <c r="E756" s="82" t="s">
        <v>23</v>
      </c>
      <c r="F756" s="82" t="s">
        <v>52</v>
      </c>
      <c r="G756" s="88" t="n">
        <v>1</v>
      </c>
      <c r="H756" s="84" t="s">
        <v>24</v>
      </c>
      <c r="I756" s="80" t="s">
        <v>53</v>
      </c>
      <c r="J756" s="80" t="s">
        <v>54</v>
      </c>
      <c r="K756" s="80" t="s">
        <v>55</v>
      </c>
      <c r="L756" s="80" t="s">
        <v>56</v>
      </c>
      <c r="M756" s="79" t="s">
        <v>57</v>
      </c>
      <c r="N756" s="80" t="s">
        <v>58</v>
      </c>
      <c r="O756" s="85" t="n">
        <v>46104</v>
      </c>
      <c r="P756" s="101"/>
      <c r="Q756" s="84"/>
      <c r="R756" s="87" t="s">
        <v>31</v>
      </c>
      <c r="S756" s="87" t="s">
        <v>31</v>
      </c>
    </row>
    <row r="757" s="77" customFormat="true" ht="15" hidden="false" customHeight="false" outlineLevel="1" collapsed="false">
      <c r="B757" s="78" t="s">
        <v>1112</v>
      </c>
      <c r="C757" s="79" t="n">
        <v>5</v>
      </c>
      <c r="D757" s="80" t="s">
        <v>59</v>
      </c>
      <c r="E757" s="82" t="s">
        <v>23</v>
      </c>
      <c r="F757" s="82" t="s">
        <v>60</v>
      </c>
      <c r="G757" s="88" t="n">
        <v>1</v>
      </c>
      <c r="H757" s="84" t="s">
        <v>61</v>
      </c>
      <c r="I757" s="80" t="s">
        <v>62</v>
      </c>
      <c r="J757" s="80" t="s">
        <v>63</v>
      </c>
      <c r="K757" s="80" t="s">
        <v>64</v>
      </c>
      <c r="L757" s="80" t="s">
        <v>65</v>
      </c>
      <c r="M757" s="79" t="s">
        <v>66</v>
      </c>
      <c r="N757" s="80" t="s">
        <v>67</v>
      </c>
      <c r="O757" s="85" t="n">
        <v>46104</v>
      </c>
      <c r="P757" s="101"/>
      <c r="Q757" s="84"/>
      <c r="R757" s="87" t="s">
        <v>31</v>
      </c>
      <c r="S757" s="87" t="s">
        <v>31</v>
      </c>
    </row>
    <row r="758" s="77" customFormat="true" ht="15" hidden="false" customHeight="false" outlineLevel="1" collapsed="false">
      <c r="B758" s="78" t="s">
        <v>1112</v>
      </c>
      <c r="C758" s="79" t="n">
        <v>6</v>
      </c>
      <c r="D758" s="80" t="s">
        <v>68</v>
      </c>
      <c r="E758" s="82" t="s">
        <v>23</v>
      </c>
      <c r="F758" s="82" t="s">
        <v>69</v>
      </c>
      <c r="G758" s="88" t="n">
        <v>1</v>
      </c>
      <c r="H758" s="84" t="s">
        <v>61</v>
      </c>
      <c r="I758" s="80" t="s">
        <v>70</v>
      </c>
      <c r="J758" s="80" t="s">
        <v>71</v>
      </c>
      <c r="K758" s="78" t="s">
        <v>72</v>
      </c>
      <c r="L758" s="80" t="s">
        <v>73</v>
      </c>
      <c r="M758" s="79" t="s">
        <v>73</v>
      </c>
      <c r="N758" s="80" t="s">
        <v>74</v>
      </c>
      <c r="O758" s="85" t="n">
        <v>46104</v>
      </c>
      <c r="P758" s="101"/>
      <c r="Q758" s="84"/>
      <c r="R758" s="87" t="s">
        <v>31</v>
      </c>
      <c r="S758" s="87" t="s">
        <v>31</v>
      </c>
    </row>
    <row r="759" s="77" customFormat="true" ht="15" hidden="false" customHeight="false" outlineLevel="1" collapsed="false">
      <c r="B759" s="78" t="s">
        <v>1112</v>
      </c>
      <c r="C759" s="79" t="n">
        <v>7</v>
      </c>
      <c r="D759" s="80" t="s">
        <v>75</v>
      </c>
      <c r="E759" s="82" t="s">
        <v>23</v>
      </c>
      <c r="F759" s="82" t="s">
        <v>76</v>
      </c>
      <c r="G759" s="88" t="n">
        <v>1</v>
      </c>
      <c r="H759" s="84" t="s">
        <v>77</v>
      </c>
      <c r="I759" s="80" t="s">
        <v>78</v>
      </c>
      <c r="J759" s="80" t="s">
        <v>79</v>
      </c>
      <c r="K759" s="80" t="s">
        <v>80</v>
      </c>
      <c r="L759" s="80" t="s">
        <v>81</v>
      </c>
      <c r="M759" s="79" t="s">
        <v>82</v>
      </c>
      <c r="N759" s="80" t="s">
        <v>83</v>
      </c>
      <c r="O759" s="85" t="n">
        <v>46104</v>
      </c>
      <c r="P759" s="101"/>
      <c r="Q759" s="84"/>
      <c r="R759" s="87" t="s">
        <v>31</v>
      </c>
      <c r="S759" s="87" t="s">
        <v>84</v>
      </c>
    </row>
    <row r="760" s="77" customFormat="true" ht="15" hidden="false" customHeight="false" outlineLevel="1" collapsed="false">
      <c r="B760" s="78" t="s">
        <v>1112</v>
      </c>
      <c r="C760" s="79" t="n">
        <v>8</v>
      </c>
      <c r="D760" s="80" t="s">
        <v>85</v>
      </c>
      <c r="E760" s="82" t="s">
        <v>23</v>
      </c>
      <c r="F760" s="82" t="s">
        <v>86</v>
      </c>
      <c r="G760" s="88" t="n">
        <v>1</v>
      </c>
      <c r="H760" s="84" t="s">
        <v>87</v>
      </c>
      <c r="I760" s="80" t="s">
        <v>88</v>
      </c>
      <c r="J760" s="80" t="s">
        <v>89</v>
      </c>
      <c r="K760" s="80" t="s">
        <v>90</v>
      </c>
      <c r="L760" s="80" t="s">
        <v>91</v>
      </c>
      <c r="M760" s="79" t="s">
        <v>92</v>
      </c>
      <c r="N760" s="80" t="s">
        <v>93</v>
      </c>
      <c r="O760" s="85" t="n">
        <v>46104</v>
      </c>
      <c r="P760" s="101"/>
      <c r="Q760" s="84"/>
      <c r="R760" s="87" t="s">
        <v>31</v>
      </c>
      <c r="S760" s="87" t="s">
        <v>84</v>
      </c>
    </row>
    <row r="761" s="77" customFormat="true" ht="15" hidden="false" customHeight="false" outlineLevel="1" collapsed="false">
      <c r="B761" s="78" t="s">
        <v>1112</v>
      </c>
      <c r="C761" s="79" t="n">
        <v>9</v>
      </c>
      <c r="D761" s="80" t="s">
        <v>94</v>
      </c>
      <c r="E761" s="82" t="s">
        <v>23</v>
      </c>
      <c r="F761" s="82" t="s">
        <v>95</v>
      </c>
      <c r="G761" s="88" t="n">
        <v>1</v>
      </c>
      <c r="H761" s="84" t="s">
        <v>36</v>
      </c>
      <c r="I761" s="80" t="s">
        <v>96</v>
      </c>
      <c r="J761" s="80" t="s">
        <v>97</v>
      </c>
      <c r="K761" s="80" t="s">
        <v>98</v>
      </c>
      <c r="L761" s="80" t="s">
        <v>99</v>
      </c>
      <c r="M761" s="79" t="s">
        <v>100</v>
      </c>
      <c r="N761" s="80" t="s">
        <v>101</v>
      </c>
      <c r="O761" s="85" t="n">
        <v>46104</v>
      </c>
      <c r="P761" s="101"/>
      <c r="Q761" s="84"/>
      <c r="R761" s="87" t="s">
        <v>31</v>
      </c>
      <c r="S761" s="87" t="s">
        <v>31</v>
      </c>
    </row>
    <row r="762" s="77" customFormat="true" ht="30" hidden="false" customHeight="true" outlineLevel="1" collapsed="false">
      <c r="B762" s="78"/>
      <c r="C762" s="79" t="s">
        <v>1156</v>
      </c>
      <c r="D762" s="80" t="s">
        <v>725</v>
      </c>
      <c r="E762" s="82" t="s">
        <v>23</v>
      </c>
      <c r="F762" s="82" t="s">
        <v>726</v>
      </c>
      <c r="G762" s="88" t="n">
        <v>2</v>
      </c>
      <c r="H762" s="84" t="s">
        <v>727</v>
      </c>
      <c r="I762" s="80" t="s">
        <v>1157</v>
      </c>
      <c r="J762" s="80" t="s">
        <v>1158</v>
      </c>
      <c r="K762" s="80" t="s">
        <v>1159</v>
      </c>
      <c r="L762" s="80" t="s">
        <v>731</v>
      </c>
      <c r="M762" s="79" t="s">
        <v>1160</v>
      </c>
      <c r="N762" s="80" t="s">
        <v>733</v>
      </c>
      <c r="O762" s="85" t="n">
        <v>46132</v>
      </c>
      <c r="P762" s="101"/>
      <c r="Q762" s="84"/>
      <c r="R762" s="87" t="s">
        <v>31</v>
      </c>
      <c r="S762" s="87" t="s">
        <v>31</v>
      </c>
    </row>
    <row r="763" s="77" customFormat="true" ht="15" hidden="false" customHeight="false" outlineLevel="1" collapsed="false">
      <c r="B763" s="78" t="s">
        <v>1112</v>
      </c>
      <c r="C763" s="79" t="n">
        <v>10</v>
      </c>
      <c r="D763" s="80" t="s">
        <v>102</v>
      </c>
      <c r="E763" s="82" t="s">
        <v>23</v>
      </c>
      <c r="F763" s="82" t="s">
        <v>103</v>
      </c>
      <c r="G763" s="88" t="n">
        <v>1</v>
      </c>
      <c r="H763" s="84" t="s">
        <v>61</v>
      </c>
      <c r="I763" s="80" t="s">
        <v>104</v>
      </c>
      <c r="J763" s="80" t="s">
        <v>105</v>
      </c>
      <c r="K763" s="80" t="s">
        <v>106</v>
      </c>
      <c r="L763" s="80" t="s">
        <v>107</v>
      </c>
      <c r="M763" s="79" t="s">
        <v>107</v>
      </c>
      <c r="N763" s="80" t="s">
        <v>108</v>
      </c>
      <c r="O763" s="85" t="n">
        <v>46104</v>
      </c>
      <c r="P763" s="101"/>
      <c r="Q763" s="84"/>
      <c r="R763" s="87" t="s">
        <v>31</v>
      </c>
      <c r="S763" s="87" t="s">
        <v>84</v>
      </c>
    </row>
    <row r="764" s="77" customFormat="true" ht="15" hidden="false" customHeight="false" outlineLevel="1" collapsed="false">
      <c r="B764" s="78" t="s">
        <v>1112</v>
      </c>
      <c r="C764" s="79" t="n">
        <v>11</v>
      </c>
      <c r="D764" s="80" t="s">
        <v>109</v>
      </c>
      <c r="E764" s="82" t="s">
        <v>23</v>
      </c>
      <c r="F764" s="82" t="s">
        <v>110</v>
      </c>
      <c r="G764" s="88" t="n">
        <v>1</v>
      </c>
      <c r="H764" s="84" t="s">
        <v>111</v>
      </c>
      <c r="I764" s="80" t="s">
        <v>112</v>
      </c>
      <c r="J764" s="80" t="s">
        <v>113</v>
      </c>
      <c r="K764" s="80" t="s">
        <v>114</v>
      </c>
      <c r="L764" s="80" t="s">
        <v>115</v>
      </c>
      <c r="M764" s="79" t="s">
        <v>115</v>
      </c>
      <c r="N764" s="80" t="s">
        <v>116</v>
      </c>
      <c r="O764" s="85" t="n">
        <v>46104</v>
      </c>
      <c r="P764" s="101"/>
      <c r="Q764" s="84"/>
      <c r="R764" s="87" t="s">
        <v>31</v>
      </c>
      <c r="S764" s="87" t="s">
        <v>84</v>
      </c>
    </row>
    <row r="765" s="77" customFormat="true" ht="15" hidden="false" customHeight="false" outlineLevel="1" collapsed="false">
      <c r="B765" s="78" t="s">
        <v>1112</v>
      </c>
      <c r="C765" s="79" t="n">
        <v>12</v>
      </c>
      <c r="D765" s="80" t="s">
        <v>117</v>
      </c>
      <c r="E765" s="82" t="s">
        <v>23</v>
      </c>
      <c r="F765" s="82" t="s">
        <v>118</v>
      </c>
      <c r="G765" s="88" t="n">
        <v>1</v>
      </c>
      <c r="H765" s="84" t="s">
        <v>24</v>
      </c>
      <c r="I765" s="80" t="s">
        <v>119</v>
      </c>
      <c r="J765" s="80" t="s">
        <v>120</v>
      </c>
      <c r="K765" s="80" t="s">
        <v>121</v>
      </c>
      <c r="L765" s="80" t="s">
        <v>122</v>
      </c>
      <c r="M765" s="79" t="s">
        <v>123</v>
      </c>
      <c r="N765" s="80" t="s">
        <v>124</v>
      </c>
      <c r="O765" s="85" t="n">
        <v>46104</v>
      </c>
      <c r="P765" s="101"/>
      <c r="Q765" s="84"/>
      <c r="R765" s="87" t="s">
        <v>31</v>
      </c>
      <c r="S765" s="87" t="s">
        <v>31</v>
      </c>
    </row>
    <row r="766" s="77" customFormat="true" ht="15" hidden="false" customHeight="false" outlineLevel="1" collapsed="false">
      <c r="B766" s="78" t="s">
        <v>1112</v>
      </c>
      <c r="C766" s="79" t="n">
        <v>13</v>
      </c>
      <c r="D766" s="80" t="s">
        <v>125</v>
      </c>
      <c r="E766" s="82" t="s">
        <v>23</v>
      </c>
      <c r="F766" s="82" t="s">
        <v>126</v>
      </c>
      <c r="G766" s="88" t="n">
        <v>1</v>
      </c>
      <c r="H766" s="84" t="s">
        <v>127</v>
      </c>
      <c r="I766" s="80" t="s">
        <v>128</v>
      </c>
      <c r="J766" s="80" t="s">
        <v>129</v>
      </c>
      <c r="K766" s="80" t="s">
        <v>130</v>
      </c>
      <c r="L766" s="80" t="s">
        <v>131</v>
      </c>
      <c r="M766" s="79" t="s">
        <v>132</v>
      </c>
      <c r="N766" s="80" t="s">
        <v>133</v>
      </c>
      <c r="O766" s="85" t="n">
        <v>46104</v>
      </c>
      <c r="P766" s="101"/>
      <c r="Q766" s="84"/>
      <c r="R766" s="87" t="s">
        <v>31</v>
      </c>
      <c r="S766" s="87" t="s">
        <v>84</v>
      </c>
    </row>
    <row r="767" s="77" customFormat="true" ht="15" hidden="false" customHeight="false" outlineLevel="1" collapsed="false">
      <c r="B767" s="78" t="s">
        <v>1112</v>
      </c>
      <c r="C767" s="79" t="n">
        <v>14</v>
      </c>
      <c r="D767" s="80" t="s">
        <v>134</v>
      </c>
      <c r="E767" s="82" t="s">
        <v>23</v>
      </c>
      <c r="F767" s="82" t="s">
        <v>135</v>
      </c>
      <c r="G767" s="88" t="n">
        <v>1</v>
      </c>
      <c r="H767" s="84" t="s">
        <v>24</v>
      </c>
      <c r="I767" s="80" t="s">
        <v>136</v>
      </c>
      <c r="J767" s="80" t="s">
        <v>137</v>
      </c>
      <c r="K767" s="80" t="s">
        <v>138</v>
      </c>
      <c r="L767" s="80" t="s">
        <v>139</v>
      </c>
      <c r="M767" s="79" t="s">
        <v>140</v>
      </c>
      <c r="N767" s="80" t="s">
        <v>141</v>
      </c>
      <c r="O767" s="85" t="n">
        <v>46104</v>
      </c>
      <c r="P767" s="101"/>
      <c r="Q767" s="84"/>
      <c r="R767" s="87" t="s">
        <v>31</v>
      </c>
      <c r="S767" s="87" t="s">
        <v>31</v>
      </c>
    </row>
    <row r="768" s="77" customFormat="true" ht="15" hidden="false" customHeight="false" outlineLevel="1" collapsed="false">
      <c r="B768" s="78" t="s">
        <v>1112</v>
      </c>
      <c r="C768" s="79" t="n">
        <v>15</v>
      </c>
      <c r="D768" s="80" t="s">
        <v>142</v>
      </c>
      <c r="E768" s="82" t="s">
        <v>23</v>
      </c>
      <c r="F768" s="82" t="s">
        <v>143</v>
      </c>
      <c r="G768" s="88" t="n">
        <v>1</v>
      </c>
      <c r="H768" s="84" t="s">
        <v>61</v>
      </c>
      <c r="I768" s="80" t="s">
        <v>144</v>
      </c>
      <c r="J768" s="80" t="s">
        <v>145</v>
      </c>
      <c r="K768" s="80" t="s">
        <v>146</v>
      </c>
      <c r="L768" s="80" t="s">
        <v>147</v>
      </c>
      <c r="M768" s="79" t="s">
        <v>148</v>
      </c>
      <c r="N768" s="80" t="s">
        <v>149</v>
      </c>
      <c r="O768" s="85" t="n">
        <v>46104</v>
      </c>
      <c r="P768" s="101"/>
      <c r="Q768" s="84"/>
      <c r="R768" s="87" t="s">
        <v>31</v>
      </c>
      <c r="S768" s="87" t="s">
        <v>84</v>
      </c>
    </row>
    <row r="769" s="77" customFormat="true" ht="15" hidden="false" customHeight="false" outlineLevel="1" collapsed="false">
      <c r="B769" s="78" t="s">
        <v>1112</v>
      </c>
      <c r="C769" s="79" t="n">
        <v>16</v>
      </c>
      <c r="D769" s="80" t="s">
        <v>150</v>
      </c>
      <c r="E769" s="82" t="s">
        <v>23</v>
      </c>
      <c r="F769" s="82" t="s">
        <v>151</v>
      </c>
      <c r="G769" s="88" t="n">
        <v>1</v>
      </c>
      <c r="H769" s="84" t="s">
        <v>152</v>
      </c>
      <c r="I769" s="80" t="s">
        <v>153</v>
      </c>
      <c r="J769" s="80" t="s">
        <v>154</v>
      </c>
      <c r="K769" s="80" t="s">
        <v>155</v>
      </c>
      <c r="L769" s="80" t="s">
        <v>156</v>
      </c>
      <c r="M769" s="79" t="s">
        <v>157</v>
      </c>
      <c r="N769" s="80" t="s">
        <v>158</v>
      </c>
      <c r="O769" s="85" t="n">
        <v>46104</v>
      </c>
      <c r="P769" s="101"/>
      <c r="Q769" s="84"/>
      <c r="R769" s="87" t="s">
        <v>31</v>
      </c>
      <c r="S769" s="87" t="s">
        <v>84</v>
      </c>
    </row>
    <row r="770" s="77" customFormat="true" ht="15" hidden="false" customHeight="false" outlineLevel="1" collapsed="false">
      <c r="B770" s="78" t="s">
        <v>1112</v>
      </c>
      <c r="C770" s="79" t="n">
        <v>17</v>
      </c>
      <c r="D770" s="80" t="s">
        <v>159</v>
      </c>
      <c r="E770" s="82" t="s">
        <v>23</v>
      </c>
      <c r="F770" s="82" t="s">
        <v>160</v>
      </c>
      <c r="G770" s="88" t="n">
        <v>1</v>
      </c>
      <c r="H770" s="84" t="s">
        <v>61</v>
      </c>
      <c r="I770" s="80" t="s">
        <v>161</v>
      </c>
      <c r="J770" s="80" t="s">
        <v>162</v>
      </c>
      <c r="K770" s="80" t="s">
        <v>163</v>
      </c>
      <c r="L770" s="80" t="s">
        <v>164</v>
      </c>
      <c r="M770" s="79" t="s">
        <v>164</v>
      </c>
      <c r="N770" s="80" t="s">
        <v>165</v>
      </c>
      <c r="O770" s="85" t="n">
        <v>46104</v>
      </c>
      <c r="P770" s="101"/>
      <c r="Q770" s="84"/>
      <c r="R770" s="87" t="s">
        <v>31</v>
      </c>
      <c r="S770" s="87" t="s">
        <v>31</v>
      </c>
    </row>
    <row r="771" s="77" customFormat="true" ht="15" hidden="false" customHeight="false" outlineLevel="1" collapsed="false">
      <c r="B771" s="78" t="s">
        <v>1112</v>
      </c>
      <c r="C771" s="79" t="n">
        <v>18</v>
      </c>
      <c r="D771" s="80" t="s">
        <v>166</v>
      </c>
      <c r="E771" s="82" t="s">
        <v>23</v>
      </c>
      <c r="F771" s="82" t="s">
        <v>167</v>
      </c>
      <c r="G771" s="88" t="n">
        <v>1</v>
      </c>
      <c r="H771" s="84" t="s">
        <v>61</v>
      </c>
      <c r="I771" s="80" t="s">
        <v>168</v>
      </c>
      <c r="J771" s="80" t="s">
        <v>169</v>
      </c>
      <c r="K771" s="80" t="s">
        <v>170</v>
      </c>
      <c r="L771" s="80" t="s">
        <v>171</v>
      </c>
      <c r="M771" s="79" t="s">
        <v>172</v>
      </c>
      <c r="N771" s="80" t="s">
        <v>173</v>
      </c>
      <c r="O771" s="85" t="n">
        <v>46104</v>
      </c>
      <c r="P771" s="101"/>
      <c r="Q771" s="84"/>
      <c r="R771" s="87" t="s">
        <v>31</v>
      </c>
      <c r="S771" s="87" t="s">
        <v>84</v>
      </c>
    </row>
    <row r="772" s="77" customFormat="true" ht="15" hidden="false" customHeight="false" outlineLevel="1" collapsed="false">
      <c r="B772" s="78" t="s">
        <v>1112</v>
      </c>
      <c r="C772" s="79" t="n">
        <v>19</v>
      </c>
      <c r="D772" s="80" t="s">
        <v>174</v>
      </c>
      <c r="E772" s="82" t="s">
        <v>23</v>
      </c>
      <c r="F772" s="82" t="s">
        <v>175</v>
      </c>
      <c r="G772" s="88" t="n">
        <v>1</v>
      </c>
      <c r="H772" s="84" t="s">
        <v>152</v>
      </c>
      <c r="I772" s="80" t="s">
        <v>176</v>
      </c>
      <c r="J772" s="80" t="s">
        <v>177</v>
      </c>
      <c r="K772" s="80" t="s">
        <v>178</v>
      </c>
      <c r="L772" s="80" t="s">
        <v>179</v>
      </c>
      <c r="M772" s="79" t="s">
        <v>180</v>
      </c>
      <c r="N772" s="80" t="s">
        <v>181</v>
      </c>
      <c r="O772" s="85" t="n">
        <v>46104</v>
      </c>
      <c r="P772" s="101"/>
      <c r="Q772" s="84"/>
      <c r="R772" s="87" t="s">
        <v>31</v>
      </c>
      <c r="S772" s="87" t="s">
        <v>84</v>
      </c>
    </row>
    <row r="773" s="77" customFormat="true" ht="15" hidden="false" customHeight="false" outlineLevel="1" collapsed="false">
      <c r="B773" s="78" t="s">
        <v>1112</v>
      </c>
      <c r="C773" s="79" t="n">
        <v>20</v>
      </c>
      <c r="D773" s="80" t="s">
        <v>182</v>
      </c>
      <c r="E773" s="82" t="s">
        <v>23</v>
      </c>
      <c r="F773" s="82" t="s">
        <v>183</v>
      </c>
      <c r="G773" s="88" t="n">
        <v>1</v>
      </c>
      <c r="H773" s="84" t="s">
        <v>111</v>
      </c>
      <c r="I773" s="80" t="s">
        <v>184</v>
      </c>
      <c r="J773" s="80" t="s">
        <v>185</v>
      </c>
      <c r="K773" s="80" t="s">
        <v>186</v>
      </c>
      <c r="L773" s="80" t="s">
        <v>187</v>
      </c>
      <c r="M773" s="79" t="s">
        <v>188</v>
      </c>
      <c r="N773" s="80" t="s">
        <v>189</v>
      </c>
      <c r="O773" s="85" t="n">
        <v>46104</v>
      </c>
      <c r="P773" s="101"/>
      <c r="Q773" s="84"/>
      <c r="R773" s="87" t="s">
        <v>31</v>
      </c>
      <c r="S773" s="87" t="s">
        <v>84</v>
      </c>
    </row>
    <row r="774" s="77" customFormat="true" ht="15" hidden="false" customHeight="false" outlineLevel="1" collapsed="false">
      <c r="B774" s="78" t="s">
        <v>1112</v>
      </c>
      <c r="C774" s="79" t="n">
        <v>21</v>
      </c>
      <c r="D774" s="80" t="s">
        <v>190</v>
      </c>
      <c r="E774" s="82" t="s">
        <v>23</v>
      </c>
      <c r="F774" s="82" t="s">
        <v>191</v>
      </c>
      <c r="G774" s="88" t="n">
        <v>1</v>
      </c>
      <c r="H774" s="84" t="s">
        <v>24</v>
      </c>
      <c r="I774" s="80" t="s">
        <v>192</v>
      </c>
      <c r="J774" s="78" t="s">
        <v>193</v>
      </c>
      <c r="K774" s="80" t="s">
        <v>194</v>
      </c>
      <c r="L774" s="80" t="s">
        <v>1161</v>
      </c>
      <c r="M774" s="79" t="s">
        <v>196</v>
      </c>
      <c r="N774" s="80" t="s">
        <v>197</v>
      </c>
      <c r="O774" s="85" t="n">
        <v>46104</v>
      </c>
      <c r="P774" s="101"/>
      <c r="Q774" s="84"/>
      <c r="R774" s="87" t="s">
        <v>31</v>
      </c>
      <c r="S774" s="87" t="s">
        <v>31</v>
      </c>
    </row>
    <row r="775" s="77" customFormat="true" ht="15" hidden="false" customHeight="false" outlineLevel="1" collapsed="false">
      <c r="B775" s="78" t="s">
        <v>1112</v>
      </c>
      <c r="C775" s="79" t="n">
        <v>22</v>
      </c>
      <c r="D775" s="80" t="s">
        <v>198</v>
      </c>
      <c r="E775" s="82" t="s">
        <v>23</v>
      </c>
      <c r="F775" s="82" t="s">
        <v>199</v>
      </c>
      <c r="G775" s="88" t="n">
        <v>1</v>
      </c>
      <c r="H775" s="84" t="s">
        <v>200</v>
      </c>
      <c r="I775" s="80" t="s">
        <v>201</v>
      </c>
      <c r="J775" s="80" t="s">
        <v>202</v>
      </c>
      <c r="K775" s="80" t="s">
        <v>203</v>
      </c>
      <c r="L775" s="80" t="s">
        <v>204</v>
      </c>
      <c r="M775" s="79" t="s">
        <v>205</v>
      </c>
      <c r="N775" s="80" t="s">
        <v>206</v>
      </c>
      <c r="O775" s="85" t="n">
        <v>46104</v>
      </c>
      <c r="P775" s="101"/>
      <c r="Q775" s="84"/>
      <c r="R775" s="87" t="s">
        <v>31</v>
      </c>
      <c r="S775" s="87" t="s">
        <v>84</v>
      </c>
    </row>
    <row r="776" s="77" customFormat="true" ht="15" hidden="false" customHeight="false" outlineLevel="1" collapsed="false">
      <c r="B776" s="78" t="s">
        <v>1112</v>
      </c>
      <c r="C776" s="79" t="n">
        <v>23</v>
      </c>
      <c r="D776" s="80" t="s">
        <v>207</v>
      </c>
      <c r="E776" s="82" t="s">
        <v>23</v>
      </c>
      <c r="F776" s="82" t="s">
        <v>208</v>
      </c>
      <c r="G776" s="88" t="n">
        <v>1</v>
      </c>
      <c r="H776" s="84" t="s">
        <v>61</v>
      </c>
      <c r="I776" s="80" t="s">
        <v>209</v>
      </c>
      <c r="J776" s="80" t="s">
        <v>210</v>
      </c>
      <c r="K776" s="80" t="s">
        <v>211</v>
      </c>
      <c r="L776" s="80" t="s">
        <v>212</v>
      </c>
      <c r="M776" s="79" t="s">
        <v>213</v>
      </c>
      <c r="N776" s="80" t="s">
        <v>214</v>
      </c>
      <c r="O776" s="85" t="n">
        <v>46104</v>
      </c>
      <c r="P776" s="101"/>
      <c r="Q776" s="84"/>
      <c r="R776" s="87" t="s">
        <v>31</v>
      </c>
      <c r="S776" s="87" t="s">
        <v>31</v>
      </c>
    </row>
    <row r="777" s="77" customFormat="true" ht="15" hidden="false" customHeight="false" outlineLevel="1" collapsed="false">
      <c r="B777" s="78" t="s">
        <v>1112</v>
      </c>
      <c r="C777" s="79" t="n">
        <v>24</v>
      </c>
      <c r="D777" s="80" t="s">
        <v>215</v>
      </c>
      <c r="E777" s="82" t="s">
        <v>23</v>
      </c>
      <c r="F777" s="82" t="s">
        <v>216</v>
      </c>
      <c r="G777" s="88" t="n">
        <v>1</v>
      </c>
      <c r="H777" s="84" t="s">
        <v>24</v>
      </c>
      <c r="I777" s="80" t="s">
        <v>217</v>
      </c>
      <c r="J777" s="80" t="s">
        <v>218</v>
      </c>
      <c r="K777" s="80" t="s">
        <v>219</v>
      </c>
      <c r="L777" s="80" t="s">
        <v>1162</v>
      </c>
      <c r="M777" s="79" t="s">
        <v>1163</v>
      </c>
      <c r="N777" s="80" t="s">
        <v>222</v>
      </c>
      <c r="O777" s="85" t="n">
        <v>46104</v>
      </c>
      <c r="P777" s="101"/>
      <c r="Q777" s="84"/>
      <c r="R777" s="87" t="s">
        <v>31</v>
      </c>
      <c r="S777" s="87" t="s">
        <v>31</v>
      </c>
    </row>
    <row r="778" s="77" customFormat="true" ht="15" hidden="false" customHeight="false" outlineLevel="1" collapsed="false">
      <c r="B778" s="78" t="s">
        <v>1112</v>
      </c>
      <c r="C778" s="79" t="n">
        <v>25</v>
      </c>
      <c r="D778" s="80" t="s">
        <v>223</v>
      </c>
      <c r="E778" s="82" t="s">
        <v>23</v>
      </c>
      <c r="F778" s="82" t="s">
        <v>224</v>
      </c>
      <c r="G778" s="88" t="n">
        <v>1</v>
      </c>
      <c r="H778" s="84" t="s">
        <v>61</v>
      </c>
      <c r="I778" s="80" t="s">
        <v>225</v>
      </c>
      <c r="J778" s="80" t="s">
        <v>226</v>
      </c>
      <c r="K778" s="80" t="s">
        <v>227</v>
      </c>
      <c r="L778" s="80" t="s">
        <v>228</v>
      </c>
      <c r="M778" s="79" t="s">
        <v>229</v>
      </c>
      <c r="N778" s="80" t="s">
        <v>230</v>
      </c>
      <c r="O778" s="85" t="n">
        <v>46104</v>
      </c>
      <c r="P778" s="101"/>
      <c r="Q778" s="84"/>
      <c r="R778" s="87" t="s">
        <v>31</v>
      </c>
      <c r="S778" s="87" t="s">
        <v>31</v>
      </c>
    </row>
    <row r="779" s="77" customFormat="true" ht="30" hidden="false" customHeight="true" outlineLevel="1" collapsed="false">
      <c r="B779" s="78" t="s">
        <v>1112</v>
      </c>
      <c r="C779" s="79" t="n">
        <v>26</v>
      </c>
      <c r="D779" s="80" t="s">
        <v>231</v>
      </c>
      <c r="E779" s="82" t="s">
        <v>23</v>
      </c>
      <c r="F779" s="82" t="s">
        <v>232</v>
      </c>
      <c r="G779" s="88" t="n">
        <v>1</v>
      </c>
      <c r="H779" s="84" t="s">
        <v>61</v>
      </c>
      <c r="I779" s="80" t="s">
        <v>233</v>
      </c>
      <c r="J779" s="80" t="s">
        <v>234</v>
      </c>
      <c r="K779" s="80" t="s">
        <v>235</v>
      </c>
      <c r="L779" s="80" t="s">
        <v>236</v>
      </c>
      <c r="M779" s="79" t="s">
        <v>891</v>
      </c>
      <c r="N779" s="80" t="s">
        <v>238</v>
      </c>
      <c r="O779" s="85" t="n">
        <v>46104</v>
      </c>
      <c r="P779" s="101"/>
      <c r="Q779" s="84"/>
      <c r="R779" s="87" t="s">
        <v>31</v>
      </c>
      <c r="S779" s="87" t="s">
        <v>84</v>
      </c>
    </row>
    <row r="780" s="77" customFormat="true" ht="15" hidden="false" customHeight="false" outlineLevel="1" collapsed="false">
      <c r="B780" s="78" t="s">
        <v>1112</v>
      </c>
      <c r="C780" s="79" t="n">
        <v>27</v>
      </c>
      <c r="D780" s="80" t="s">
        <v>239</v>
      </c>
      <c r="E780" s="82" t="s">
        <v>23</v>
      </c>
      <c r="F780" s="82" t="s">
        <v>240</v>
      </c>
      <c r="G780" s="88" t="n">
        <v>1</v>
      </c>
      <c r="H780" s="84" t="s">
        <v>24</v>
      </c>
      <c r="I780" s="80" t="s">
        <v>241</v>
      </c>
      <c r="J780" s="80" t="s">
        <v>242</v>
      </c>
      <c r="K780" s="80" t="s">
        <v>243</v>
      </c>
      <c r="L780" s="80" t="s">
        <v>244</v>
      </c>
      <c r="M780" s="79" t="s">
        <v>245</v>
      </c>
      <c r="N780" s="80" t="s">
        <v>246</v>
      </c>
      <c r="O780" s="85" t="n">
        <v>46104</v>
      </c>
      <c r="P780" s="101"/>
      <c r="Q780" s="84"/>
      <c r="R780" s="87" t="s">
        <v>31</v>
      </c>
      <c r="S780" s="87" t="s">
        <v>31</v>
      </c>
    </row>
    <row r="781" s="77" customFormat="true" ht="15" hidden="false" customHeight="false" outlineLevel="1" collapsed="false">
      <c r="B781" s="78" t="s">
        <v>1112</v>
      </c>
      <c r="C781" s="79" t="n">
        <v>28</v>
      </c>
      <c r="D781" s="80" t="s">
        <v>247</v>
      </c>
      <c r="E781" s="82" t="s">
        <v>23</v>
      </c>
      <c r="F781" s="82" t="s">
        <v>248</v>
      </c>
      <c r="G781" s="88" t="n">
        <v>1</v>
      </c>
      <c r="H781" s="84" t="s">
        <v>61</v>
      </c>
      <c r="I781" s="80" t="s">
        <v>532</v>
      </c>
      <c r="J781" s="80" t="s">
        <v>533</v>
      </c>
      <c r="K781" s="78" t="s">
        <v>534</v>
      </c>
      <c r="L781" s="80" t="s">
        <v>252</v>
      </c>
      <c r="M781" s="79" t="s">
        <v>535</v>
      </c>
      <c r="N781" s="80" t="s">
        <v>254</v>
      </c>
      <c r="O781" s="85" t="n">
        <v>46104</v>
      </c>
      <c r="P781" s="101"/>
      <c r="Q781" s="84"/>
      <c r="R781" s="87" t="s">
        <v>31</v>
      </c>
      <c r="S781" s="87" t="s">
        <v>84</v>
      </c>
    </row>
    <row r="782" s="77" customFormat="true" ht="30" hidden="false" customHeight="true" outlineLevel="1" collapsed="false">
      <c r="B782" s="78" t="s">
        <v>1112</v>
      </c>
      <c r="C782" s="79" t="n">
        <v>29</v>
      </c>
      <c r="D782" s="80" t="s">
        <v>255</v>
      </c>
      <c r="E782" s="82" t="s">
        <v>23</v>
      </c>
      <c r="F782" s="82" t="s">
        <v>256</v>
      </c>
      <c r="G782" s="88" t="n">
        <v>1</v>
      </c>
      <c r="H782" s="84" t="s">
        <v>61</v>
      </c>
      <c r="I782" s="80" t="s">
        <v>257</v>
      </c>
      <c r="J782" s="80" t="s">
        <v>258</v>
      </c>
      <c r="K782" s="80" t="s">
        <v>259</v>
      </c>
      <c r="L782" s="80" t="s">
        <v>260</v>
      </c>
      <c r="M782" s="79" t="s">
        <v>847</v>
      </c>
      <c r="N782" s="80" t="s">
        <v>262</v>
      </c>
      <c r="O782" s="85" t="n">
        <v>46104</v>
      </c>
      <c r="P782" s="101"/>
      <c r="Q782" s="84"/>
      <c r="R782" s="87" t="s">
        <v>31</v>
      </c>
      <c r="S782" s="87" t="s">
        <v>84</v>
      </c>
    </row>
    <row r="783" s="77" customFormat="true" ht="15" hidden="false" customHeight="false" outlineLevel="1" collapsed="false">
      <c r="B783" s="78" t="s">
        <v>1112</v>
      </c>
      <c r="C783" s="79" t="n">
        <v>30</v>
      </c>
      <c r="D783" s="80" t="s">
        <v>263</v>
      </c>
      <c r="E783" s="82" t="s">
        <v>23</v>
      </c>
      <c r="F783" s="82" t="s">
        <v>264</v>
      </c>
      <c r="G783" s="88" t="n">
        <v>1</v>
      </c>
      <c r="H783" s="84" t="s">
        <v>61</v>
      </c>
      <c r="I783" s="80" t="s">
        <v>265</v>
      </c>
      <c r="J783" s="80" t="s">
        <v>266</v>
      </c>
      <c r="K783" s="80" t="s">
        <v>267</v>
      </c>
      <c r="L783" s="80" t="s">
        <v>252</v>
      </c>
      <c r="M783" s="79" t="s">
        <v>268</v>
      </c>
      <c r="N783" s="80" t="s">
        <v>269</v>
      </c>
      <c r="O783" s="85" t="n">
        <v>46104</v>
      </c>
      <c r="P783" s="101"/>
      <c r="Q783" s="84"/>
      <c r="R783" s="87" t="s">
        <v>31</v>
      </c>
      <c r="S783" s="87" t="s">
        <v>31</v>
      </c>
    </row>
    <row r="784" s="77" customFormat="true" ht="15" hidden="false" customHeight="false" outlineLevel="1" collapsed="false">
      <c r="B784" s="78" t="s">
        <v>1112</v>
      </c>
      <c r="C784" s="79" t="n">
        <v>31</v>
      </c>
      <c r="D784" s="80" t="s">
        <v>270</v>
      </c>
      <c r="E784" s="82" t="s">
        <v>23</v>
      </c>
      <c r="F784" s="82" t="s">
        <v>271</v>
      </c>
      <c r="G784" s="88" t="n">
        <v>1</v>
      </c>
      <c r="H784" s="84" t="s">
        <v>61</v>
      </c>
      <c r="I784" s="80" t="s">
        <v>272</v>
      </c>
      <c r="J784" s="80" t="s">
        <v>273</v>
      </c>
      <c r="K784" s="80" t="s">
        <v>274</v>
      </c>
      <c r="L784" s="80" t="s">
        <v>275</v>
      </c>
      <c r="M784" s="79" t="s">
        <v>792</v>
      </c>
      <c r="N784" s="80" t="s">
        <v>277</v>
      </c>
      <c r="O784" s="85" t="n">
        <v>46104</v>
      </c>
      <c r="P784" s="101"/>
      <c r="Q784" s="84"/>
      <c r="R784" s="87" t="s">
        <v>31</v>
      </c>
      <c r="S784" s="87" t="s">
        <v>31</v>
      </c>
    </row>
    <row r="785" s="77" customFormat="true" ht="15" hidden="false" customHeight="false" outlineLevel="1" collapsed="false">
      <c r="B785" s="78" t="s">
        <v>1112</v>
      </c>
      <c r="C785" s="79" t="n">
        <v>32</v>
      </c>
      <c r="D785" s="80" t="s">
        <v>278</v>
      </c>
      <c r="E785" s="82" t="s">
        <v>23</v>
      </c>
      <c r="F785" s="82" t="s">
        <v>279</v>
      </c>
      <c r="G785" s="88" t="n">
        <v>1</v>
      </c>
      <c r="H785" s="84" t="s">
        <v>61</v>
      </c>
      <c r="I785" s="80" t="s">
        <v>280</v>
      </c>
      <c r="J785" s="80" t="s">
        <v>281</v>
      </c>
      <c r="K785" s="80" t="s">
        <v>282</v>
      </c>
      <c r="L785" s="80" t="s">
        <v>283</v>
      </c>
      <c r="M785" s="79" t="s">
        <v>284</v>
      </c>
      <c r="N785" s="80" t="s">
        <v>285</v>
      </c>
      <c r="O785" s="85" t="n">
        <v>46104</v>
      </c>
      <c r="P785" s="101"/>
      <c r="Q785" s="84"/>
      <c r="R785" s="87" t="s">
        <v>31</v>
      </c>
      <c r="S785" s="87" t="s">
        <v>31</v>
      </c>
    </row>
    <row r="786" s="77" customFormat="true" ht="15" hidden="false" customHeight="false" outlineLevel="1" collapsed="false">
      <c r="B786" s="78" t="s">
        <v>1112</v>
      </c>
      <c r="C786" s="79" t="n">
        <v>33</v>
      </c>
      <c r="D786" s="80" t="s">
        <v>286</v>
      </c>
      <c r="E786" s="82" t="s">
        <v>23</v>
      </c>
      <c r="F786" s="82" t="s">
        <v>287</v>
      </c>
      <c r="G786" s="88" t="n">
        <v>1</v>
      </c>
      <c r="H786" s="84" t="s">
        <v>61</v>
      </c>
      <c r="I786" s="80" t="s">
        <v>288</v>
      </c>
      <c r="J786" s="80" t="s">
        <v>289</v>
      </c>
      <c r="K786" s="80" t="s">
        <v>290</v>
      </c>
      <c r="L786" s="80" t="s">
        <v>291</v>
      </c>
      <c r="M786" s="79" t="s">
        <v>292</v>
      </c>
      <c r="N786" s="80" t="s">
        <v>293</v>
      </c>
      <c r="O786" s="85" t="n">
        <v>46104</v>
      </c>
      <c r="P786" s="101"/>
      <c r="Q786" s="84"/>
      <c r="R786" s="87" t="s">
        <v>31</v>
      </c>
      <c r="S786" s="87" t="s">
        <v>84</v>
      </c>
    </row>
    <row r="787" s="77" customFormat="true" ht="15" hidden="false" customHeight="false" outlineLevel="1" collapsed="false">
      <c r="B787" s="78" t="s">
        <v>1112</v>
      </c>
      <c r="C787" s="79" t="n">
        <v>34</v>
      </c>
      <c r="D787" s="80" t="s">
        <v>294</v>
      </c>
      <c r="E787" s="82" t="s">
        <v>23</v>
      </c>
      <c r="F787" s="82" t="s">
        <v>295</v>
      </c>
      <c r="G787" s="88" t="n">
        <v>1</v>
      </c>
      <c r="H787" s="84" t="s">
        <v>61</v>
      </c>
      <c r="I787" s="80" t="s">
        <v>908</v>
      </c>
      <c r="J787" s="80" t="s">
        <v>909</v>
      </c>
      <c r="K787" s="80" t="s">
        <v>910</v>
      </c>
      <c r="L787" s="80" t="s">
        <v>299</v>
      </c>
      <c r="M787" s="79" t="s">
        <v>300</v>
      </c>
      <c r="N787" s="80" t="s">
        <v>301</v>
      </c>
      <c r="O787" s="85" t="n">
        <v>46104</v>
      </c>
      <c r="P787" s="101"/>
      <c r="Q787" s="84"/>
      <c r="R787" s="87" t="s">
        <v>31</v>
      </c>
      <c r="S787" s="87" t="s">
        <v>31</v>
      </c>
    </row>
    <row r="788" s="77" customFormat="true" ht="15" hidden="false" customHeight="false" outlineLevel="1" collapsed="false">
      <c r="B788" s="78" t="s">
        <v>1112</v>
      </c>
      <c r="C788" s="79" t="n">
        <v>35</v>
      </c>
      <c r="D788" s="80" t="s">
        <v>302</v>
      </c>
      <c r="E788" s="82" t="s">
        <v>23</v>
      </c>
      <c r="F788" s="82" t="s">
        <v>303</v>
      </c>
      <c r="G788" s="88" t="n">
        <v>1</v>
      </c>
      <c r="H788" s="84" t="s">
        <v>61</v>
      </c>
      <c r="I788" s="80" t="s">
        <v>304</v>
      </c>
      <c r="J788" s="80" t="s">
        <v>305</v>
      </c>
      <c r="K788" s="80" t="s">
        <v>306</v>
      </c>
      <c r="L788" s="80" t="s">
        <v>307</v>
      </c>
      <c r="M788" s="79" t="s">
        <v>526</v>
      </c>
      <c r="N788" s="80" t="s">
        <v>309</v>
      </c>
      <c r="O788" s="85" t="n">
        <v>46104</v>
      </c>
      <c r="P788" s="101"/>
      <c r="Q788" s="84"/>
      <c r="R788" s="87" t="s">
        <v>31</v>
      </c>
      <c r="S788" s="87" t="s">
        <v>84</v>
      </c>
    </row>
    <row r="789" s="77" customFormat="true" ht="15" hidden="false" customHeight="false" outlineLevel="1" collapsed="false">
      <c r="B789" s="78" t="s">
        <v>1112</v>
      </c>
      <c r="C789" s="79" t="n">
        <v>36</v>
      </c>
      <c r="D789" s="80" t="s">
        <v>310</v>
      </c>
      <c r="E789" s="82" t="s">
        <v>23</v>
      </c>
      <c r="F789" s="82" t="s">
        <v>311</v>
      </c>
      <c r="G789" s="88" t="n">
        <v>1</v>
      </c>
      <c r="H789" s="84" t="s">
        <v>152</v>
      </c>
      <c r="I789" s="80" t="s">
        <v>312</v>
      </c>
      <c r="J789" s="80" t="s">
        <v>313</v>
      </c>
      <c r="K789" s="80" t="s">
        <v>314</v>
      </c>
      <c r="L789" s="80" t="s">
        <v>315</v>
      </c>
      <c r="M789" s="79" t="s">
        <v>316</v>
      </c>
      <c r="N789" s="80" t="s">
        <v>317</v>
      </c>
      <c r="O789" s="85" t="n">
        <v>46104</v>
      </c>
      <c r="P789" s="101"/>
      <c r="Q789" s="84"/>
      <c r="R789" s="87" t="s">
        <v>31</v>
      </c>
      <c r="S789" s="87" t="s">
        <v>31</v>
      </c>
    </row>
    <row r="790" s="77" customFormat="true" ht="15" hidden="false" customHeight="false" outlineLevel="1" collapsed="false">
      <c r="B790" s="78"/>
      <c r="C790" s="79" t="n">
        <v>37</v>
      </c>
      <c r="D790" s="80" t="s">
        <v>318</v>
      </c>
      <c r="E790" s="82" t="s">
        <v>23</v>
      </c>
      <c r="F790" s="82" t="s">
        <v>319</v>
      </c>
      <c r="G790" s="88" t="n">
        <v>1</v>
      </c>
      <c r="H790" s="84" t="s">
        <v>111</v>
      </c>
      <c r="I790" s="80" t="s">
        <v>320</v>
      </c>
      <c r="J790" s="80" t="s">
        <v>321</v>
      </c>
      <c r="K790" s="80" t="s">
        <v>322</v>
      </c>
      <c r="L790" s="80" t="s">
        <v>323</v>
      </c>
      <c r="M790" s="79" t="s">
        <v>324</v>
      </c>
      <c r="N790" s="80" t="s">
        <v>325</v>
      </c>
      <c r="O790" s="85" t="n">
        <v>46104</v>
      </c>
      <c r="P790" s="101"/>
      <c r="Q790" s="84"/>
      <c r="R790" s="87" t="s">
        <v>31</v>
      </c>
      <c r="S790" s="87" t="s">
        <v>84</v>
      </c>
    </row>
    <row r="791" s="77" customFormat="true" ht="15" hidden="false" customHeight="false" outlineLevel="1" collapsed="false">
      <c r="B791" s="78" t="s">
        <v>1112</v>
      </c>
      <c r="C791" s="79" t="n">
        <v>38</v>
      </c>
      <c r="D791" s="80" t="s">
        <v>326</v>
      </c>
      <c r="E791" s="82" t="s">
        <v>23</v>
      </c>
      <c r="F791" s="82" t="s">
        <v>327</v>
      </c>
      <c r="G791" s="88" t="n">
        <v>2</v>
      </c>
      <c r="H791" s="84" t="s">
        <v>152</v>
      </c>
      <c r="I791" s="80" t="s">
        <v>328</v>
      </c>
      <c r="J791" s="80" t="s">
        <v>329</v>
      </c>
      <c r="K791" s="80" t="s">
        <v>330</v>
      </c>
      <c r="L791" s="80" t="s">
        <v>331</v>
      </c>
      <c r="M791" s="79" t="s">
        <v>332</v>
      </c>
      <c r="N791" s="80" t="s">
        <v>333</v>
      </c>
      <c r="O791" s="85" t="n">
        <v>46104</v>
      </c>
      <c r="P791" s="101"/>
      <c r="Q791" s="84"/>
      <c r="R791" s="87" t="s">
        <v>31</v>
      </c>
      <c r="S791" s="87" t="s">
        <v>31</v>
      </c>
    </row>
    <row r="792" s="77" customFormat="true" ht="15" hidden="false" customHeight="false" outlineLevel="1" collapsed="false">
      <c r="B792" s="78" t="s">
        <v>1112</v>
      </c>
      <c r="C792" s="79" t="n">
        <v>39</v>
      </c>
      <c r="D792" s="80" t="s">
        <v>334</v>
      </c>
      <c r="E792" s="82" t="s">
        <v>23</v>
      </c>
      <c r="F792" s="82" t="s">
        <v>335</v>
      </c>
      <c r="G792" s="88" t="n">
        <v>1</v>
      </c>
      <c r="H792" s="84" t="s">
        <v>61</v>
      </c>
      <c r="I792" s="80" t="s">
        <v>336</v>
      </c>
      <c r="J792" s="80" t="s">
        <v>337</v>
      </c>
      <c r="K792" s="80" t="s">
        <v>338</v>
      </c>
      <c r="L792" s="80" t="s">
        <v>339</v>
      </c>
      <c r="M792" s="79" t="s">
        <v>543</v>
      </c>
      <c r="N792" s="80" t="s">
        <v>341</v>
      </c>
      <c r="O792" s="85" t="n">
        <v>46104</v>
      </c>
      <c r="P792" s="101"/>
      <c r="Q792" s="84"/>
      <c r="R792" s="87" t="s">
        <v>31</v>
      </c>
      <c r="S792" s="87" t="s">
        <v>84</v>
      </c>
    </row>
    <row r="793" s="77" customFormat="true" ht="15" hidden="false" customHeight="false" outlineLevel="1" collapsed="false">
      <c r="B793" s="78" t="s">
        <v>1112</v>
      </c>
      <c r="C793" s="79" t="n">
        <v>40</v>
      </c>
      <c r="D793" s="80" t="s">
        <v>342</v>
      </c>
      <c r="E793" s="82" t="s">
        <v>23</v>
      </c>
      <c r="F793" s="82" t="s">
        <v>343</v>
      </c>
      <c r="G793" s="88" t="n">
        <v>1</v>
      </c>
      <c r="H793" s="84" t="s">
        <v>24</v>
      </c>
      <c r="I793" s="80" t="s">
        <v>344</v>
      </c>
      <c r="J793" s="80" t="s">
        <v>345</v>
      </c>
      <c r="K793" s="80" t="s">
        <v>346</v>
      </c>
      <c r="L793" s="80" t="s">
        <v>347</v>
      </c>
      <c r="M793" s="79" t="s">
        <v>348</v>
      </c>
      <c r="N793" s="80" t="s">
        <v>349</v>
      </c>
      <c r="O793" s="85" t="n">
        <v>46104</v>
      </c>
      <c r="P793" s="101"/>
      <c r="Q793" s="84"/>
      <c r="R793" s="87" t="s">
        <v>31</v>
      </c>
      <c r="S793" s="87" t="s">
        <v>31</v>
      </c>
    </row>
    <row r="794" s="77" customFormat="true" ht="15" hidden="false" customHeight="false" outlineLevel="1" collapsed="false">
      <c r="B794" s="78" t="s">
        <v>1112</v>
      </c>
      <c r="C794" s="79" t="n">
        <v>41</v>
      </c>
      <c r="D794" s="80" t="s">
        <v>350</v>
      </c>
      <c r="E794" s="82" t="s">
        <v>23</v>
      </c>
      <c r="F794" s="82" t="s">
        <v>351</v>
      </c>
      <c r="G794" s="88" t="n">
        <v>1</v>
      </c>
      <c r="H794" s="84" t="s">
        <v>152</v>
      </c>
      <c r="I794" s="80" t="s">
        <v>352</v>
      </c>
      <c r="J794" s="80" t="s">
        <v>353</v>
      </c>
      <c r="K794" s="80" t="s">
        <v>354</v>
      </c>
      <c r="L794" s="80" t="s">
        <v>355</v>
      </c>
      <c r="M794" s="79" t="s">
        <v>355</v>
      </c>
      <c r="N794" s="80" t="s">
        <v>356</v>
      </c>
      <c r="O794" s="85" t="n">
        <v>46104</v>
      </c>
      <c r="P794" s="101"/>
      <c r="Q794" s="84"/>
      <c r="R794" s="87" t="s">
        <v>31</v>
      </c>
      <c r="S794" s="87" t="s">
        <v>84</v>
      </c>
    </row>
    <row r="795" s="77" customFormat="true" ht="15" hidden="false" customHeight="false" outlineLevel="1" collapsed="false">
      <c r="B795" s="78"/>
      <c r="C795" s="79" t="s">
        <v>1164</v>
      </c>
      <c r="D795" s="80" t="s">
        <v>802</v>
      </c>
      <c r="E795" s="82" t="s">
        <v>23</v>
      </c>
      <c r="F795" s="82" t="s">
        <v>803</v>
      </c>
      <c r="G795" s="88" t="n">
        <v>1</v>
      </c>
      <c r="H795" s="84" t="s">
        <v>804</v>
      </c>
      <c r="I795" s="80" t="s">
        <v>805</v>
      </c>
      <c r="J795" s="80" t="s">
        <v>806</v>
      </c>
      <c r="K795" s="78" t="s">
        <v>807</v>
      </c>
      <c r="L795" s="80" t="s">
        <v>808</v>
      </c>
      <c r="M795" s="79" t="s">
        <v>809</v>
      </c>
      <c r="N795" s="80" t="s">
        <v>810</v>
      </c>
      <c r="O795" s="85" t="n">
        <v>46132</v>
      </c>
      <c r="P795" s="101"/>
      <c r="Q795" s="84"/>
      <c r="R795" s="87" t="s">
        <v>31</v>
      </c>
      <c r="S795" s="87" t="s">
        <v>84</v>
      </c>
    </row>
    <row r="796" s="77" customFormat="true" ht="15" hidden="false" customHeight="false" outlineLevel="1" collapsed="false">
      <c r="B796" s="78" t="s">
        <v>1112</v>
      </c>
      <c r="C796" s="79" t="n">
        <v>42</v>
      </c>
      <c r="D796" s="80" t="s">
        <v>357</v>
      </c>
      <c r="E796" s="82" t="s">
        <v>23</v>
      </c>
      <c r="F796" s="82" t="s">
        <v>358</v>
      </c>
      <c r="G796" s="88" t="n">
        <v>1</v>
      </c>
      <c r="H796" s="84" t="s">
        <v>359</v>
      </c>
      <c r="I796" s="80" t="s">
        <v>360</v>
      </c>
      <c r="J796" s="80" t="s">
        <v>361</v>
      </c>
      <c r="K796" s="80" t="s">
        <v>362</v>
      </c>
      <c r="L796" s="80" t="s">
        <v>363</v>
      </c>
      <c r="M796" s="79" t="s">
        <v>364</v>
      </c>
      <c r="N796" s="80" t="s">
        <v>365</v>
      </c>
      <c r="O796" s="85" t="n">
        <v>46104</v>
      </c>
      <c r="P796" s="101"/>
      <c r="Q796" s="84"/>
      <c r="R796" s="87" t="s">
        <v>31</v>
      </c>
      <c r="S796" s="87" t="s">
        <v>84</v>
      </c>
    </row>
    <row r="797" s="77" customFormat="true" ht="15" hidden="false" customHeight="false" outlineLevel="1" collapsed="false">
      <c r="B797" s="78" t="s">
        <v>1112</v>
      </c>
      <c r="C797" s="79" t="n">
        <v>43</v>
      </c>
      <c r="D797" s="80" t="s">
        <v>366</v>
      </c>
      <c r="E797" s="82" t="s">
        <v>23</v>
      </c>
      <c r="F797" s="82" t="s">
        <v>367</v>
      </c>
      <c r="G797" s="88" t="n">
        <v>1</v>
      </c>
      <c r="H797" s="84" t="s">
        <v>368</v>
      </c>
      <c r="I797" s="80" t="s">
        <v>369</v>
      </c>
      <c r="J797" s="80" t="s">
        <v>370</v>
      </c>
      <c r="K797" s="80" t="s">
        <v>371</v>
      </c>
      <c r="L797" s="80" t="s">
        <v>372</v>
      </c>
      <c r="M797" s="79" t="s">
        <v>682</v>
      </c>
      <c r="N797" s="80" t="s">
        <v>374</v>
      </c>
      <c r="O797" s="85" t="n">
        <v>46104</v>
      </c>
      <c r="P797" s="101"/>
      <c r="Q797" s="84"/>
      <c r="R797" s="87" t="s">
        <v>31</v>
      </c>
      <c r="S797" s="87" t="s">
        <v>84</v>
      </c>
    </row>
    <row r="798" s="77" customFormat="true" ht="15" hidden="false" customHeight="false" outlineLevel="1" collapsed="false">
      <c r="B798" s="78"/>
      <c r="C798" s="79" t="n">
        <v>44</v>
      </c>
      <c r="D798" s="80" t="s">
        <v>375</v>
      </c>
      <c r="E798" s="82" t="s">
        <v>23</v>
      </c>
      <c r="F798" s="82" t="s">
        <v>376</v>
      </c>
      <c r="G798" s="88" t="n">
        <v>1</v>
      </c>
      <c r="H798" s="84" t="s">
        <v>111</v>
      </c>
      <c r="I798" s="80" t="s">
        <v>377</v>
      </c>
      <c r="J798" s="80" t="s">
        <v>378</v>
      </c>
      <c r="K798" s="80" t="s">
        <v>379</v>
      </c>
      <c r="L798" s="80" t="s">
        <v>380</v>
      </c>
      <c r="M798" s="79" t="s">
        <v>381</v>
      </c>
      <c r="N798" s="80" t="s">
        <v>382</v>
      </c>
      <c r="O798" s="85" t="n">
        <v>46104</v>
      </c>
      <c r="P798" s="101"/>
      <c r="Q798" s="84"/>
      <c r="R798" s="87" t="s">
        <v>31</v>
      </c>
      <c r="S798" s="87" t="s">
        <v>31</v>
      </c>
    </row>
    <row r="799" s="77" customFormat="true" ht="15" hidden="false" customHeight="false" outlineLevel="1" collapsed="false">
      <c r="B799" s="78" t="s">
        <v>1112</v>
      </c>
      <c r="C799" s="79" t="n">
        <v>45</v>
      </c>
      <c r="D799" s="80" t="s">
        <v>383</v>
      </c>
      <c r="E799" s="82" t="s">
        <v>23</v>
      </c>
      <c r="F799" s="82" t="s">
        <v>384</v>
      </c>
      <c r="G799" s="88" t="n">
        <v>1</v>
      </c>
      <c r="H799" s="84" t="s">
        <v>61</v>
      </c>
      <c r="I799" s="80" t="s">
        <v>385</v>
      </c>
      <c r="J799" s="80" t="s">
        <v>386</v>
      </c>
      <c r="K799" s="80" t="s">
        <v>387</v>
      </c>
      <c r="L799" s="80" t="s">
        <v>388</v>
      </c>
      <c r="M799" s="79" t="s">
        <v>389</v>
      </c>
      <c r="N799" s="80" t="s">
        <v>390</v>
      </c>
      <c r="O799" s="85" t="n">
        <v>46104</v>
      </c>
      <c r="P799" s="101"/>
      <c r="Q799" s="84"/>
      <c r="R799" s="87" t="s">
        <v>31</v>
      </c>
      <c r="S799" s="87" t="s">
        <v>84</v>
      </c>
    </row>
    <row r="800" s="77" customFormat="true" ht="15" hidden="false" customHeight="false" outlineLevel="1" collapsed="false">
      <c r="B800" s="78"/>
      <c r="C800" s="79" t="n">
        <v>46</v>
      </c>
      <c r="D800" s="80" t="s">
        <v>391</v>
      </c>
      <c r="E800" s="82" t="s">
        <v>23</v>
      </c>
      <c r="F800" s="82" t="s">
        <v>392</v>
      </c>
      <c r="G800" s="88" t="n">
        <v>1</v>
      </c>
      <c r="H800" s="84" t="s">
        <v>111</v>
      </c>
      <c r="I800" s="80" t="s">
        <v>393</v>
      </c>
      <c r="J800" s="80" t="s">
        <v>394</v>
      </c>
      <c r="K800" s="80" t="s">
        <v>395</v>
      </c>
      <c r="L800" s="80" t="s">
        <v>396</v>
      </c>
      <c r="M800" s="79" t="s">
        <v>397</v>
      </c>
      <c r="N800" s="80" t="s">
        <v>398</v>
      </c>
      <c r="O800" s="85" t="n">
        <v>46104</v>
      </c>
      <c r="P800" s="101"/>
      <c r="Q800" s="84"/>
      <c r="R800" s="87" t="s">
        <v>31</v>
      </c>
      <c r="S800" s="87" t="s">
        <v>84</v>
      </c>
    </row>
    <row r="801" s="77" customFormat="true" ht="15" hidden="false" customHeight="false" outlineLevel="1" collapsed="false">
      <c r="B801" s="78" t="s">
        <v>1112</v>
      </c>
      <c r="C801" s="79" t="n">
        <v>47</v>
      </c>
      <c r="D801" s="80" t="s">
        <v>399</v>
      </c>
      <c r="E801" s="82" t="s">
        <v>23</v>
      </c>
      <c r="F801" s="82" t="s">
        <v>400</v>
      </c>
      <c r="G801" s="88" t="n">
        <v>1</v>
      </c>
      <c r="H801" s="84" t="s">
        <v>152</v>
      </c>
      <c r="I801" s="80" t="s">
        <v>401</v>
      </c>
      <c r="J801" s="80" t="s">
        <v>402</v>
      </c>
      <c r="K801" s="99" t="s">
        <v>403</v>
      </c>
      <c r="L801" s="80" t="s">
        <v>404</v>
      </c>
      <c r="M801" s="79" t="s">
        <v>791</v>
      </c>
      <c r="N801" s="80" t="s">
        <v>406</v>
      </c>
      <c r="O801" s="85" t="n">
        <v>46104</v>
      </c>
      <c r="P801" s="101"/>
      <c r="Q801" s="84"/>
      <c r="R801" s="87" t="s">
        <v>31</v>
      </c>
      <c r="S801" s="87" t="s">
        <v>84</v>
      </c>
    </row>
    <row r="802" s="77" customFormat="true" ht="15" hidden="false" customHeight="false" outlineLevel="1" collapsed="false">
      <c r="B802" s="78" t="s">
        <v>1112</v>
      </c>
      <c r="C802" s="79" t="n">
        <v>48</v>
      </c>
      <c r="D802" s="80" t="s">
        <v>407</v>
      </c>
      <c r="E802" s="82" t="s">
        <v>23</v>
      </c>
      <c r="F802" s="82" t="s">
        <v>408</v>
      </c>
      <c r="G802" s="88" t="n">
        <v>1</v>
      </c>
      <c r="H802" s="84" t="s">
        <v>61</v>
      </c>
      <c r="I802" s="80" t="s">
        <v>409</v>
      </c>
      <c r="J802" s="80" t="s">
        <v>410</v>
      </c>
      <c r="K802" s="80" t="s">
        <v>411</v>
      </c>
      <c r="L802" s="80" t="s">
        <v>412</v>
      </c>
      <c r="M802" s="79" t="s">
        <v>921</v>
      </c>
      <c r="N802" s="80" t="s">
        <v>414</v>
      </c>
      <c r="O802" s="85" t="n">
        <v>46104</v>
      </c>
      <c r="P802" s="101"/>
      <c r="Q802" s="84"/>
      <c r="R802" s="87" t="s">
        <v>31</v>
      </c>
      <c r="S802" s="87" t="s">
        <v>84</v>
      </c>
    </row>
    <row r="803" s="77" customFormat="true" ht="15" hidden="false" customHeight="false" outlineLevel="1" collapsed="false">
      <c r="B803" s="78" t="s">
        <v>1112</v>
      </c>
      <c r="C803" s="79" t="n">
        <v>49</v>
      </c>
      <c r="D803" s="80" t="s">
        <v>415</v>
      </c>
      <c r="E803" s="82" t="s">
        <v>23</v>
      </c>
      <c r="F803" s="82" t="s">
        <v>416</v>
      </c>
      <c r="G803" s="88" t="n">
        <v>1</v>
      </c>
      <c r="H803" s="84" t="s">
        <v>417</v>
      </c>
      <c r="I803" s="80" t="s">
        <v>418</v>
      </c>
      <c r="J803" s="80" t="s">
        <v>419</v>
      </c>
      <c r="K803" s="80" t="s">
        <v>420</v>
      </c>
      <c r="L803" s="80" t="s">
        <v>421</v>
      </c>
      <c r="M803" s="79" t="s">
        <v>422</v>
      </c>
      <c r="N803" s="80" t="s">
        <v>423</v>
      </c>
      <c r="O803" s="85" t="n">
        <v>46104</v>
      </c>
      <c r="P803" s="101"/>
      <c r="Q803" s="84"/>
      <c r="R803" s="87" t="s">
        <v>31</v>
      </c>
      <c r="S803" s="87" t="s">
        <v>31</v>
      </c>
    </row>
    <row r="804" s="77" customFormat="true" ht="15" hidden="false" customHeight="false" outlineLevel="1" collapsed="false">
      <c r="B804" s="78" t="s">
        <v>1112</v>
      </c>
      <c r="C804" s="79" t="n">
        <v>50</v>
      </c>
      <c r="D804" s="80" t="s">
        <v>424</v>
      </c>
      <c r="E804" s="82" t="s">
        <v>23</v>
      </c>
      <c r="F804" s="82" t="s">
        <v>425</v>
      </c>
      <c r="G804" s="88" t="n">
        <v>1</v>
      </c>
      <c r="H804" s="84" t="s">
        <v>111</v>
      </c>
      <c r="I804" s="80" t="s">
        <v>426</v>
      </c>
      <c r="J804" s="80" t="s">
        <v>427</v>
      </c>
      <c r="K804" s="80" t="s">
        <v>428</v>
      </c>
      <c r="L804" s="80" t="s">
        <v>429</v>
      </c>
      <c r="M804" s="79" t="s">
        <v>429</v>
      </c>
      <c r="N804" s="80" t="s">
        <v>430</v>
      </c>
      <c r="O804" s="85" t="n">
        <v>46104</v>
      </c>
      <c r="P804" s="101"/>
      <c r="Q804" s="84"/>
      <c r="R804" s="87" t="s">
        <v>31</v>
      </c>
      <c r="S804" s="87" t="s">
        <v>84</v>
      </c>
    </row>
    <row r="805" s="77" customFormat="true" ht="15" hidden="false" customHeight="false" outlineLevel="1" collapsed="false">
      <c r="B805" s="78" t="s">
        <v>1112</v>
      </c>
      <c r="C805" s="79" t="n">
        <v>51</v>
      </c>
      <c r="D805" s="80" t="s">
        <v>431</v>
      </c>
      <c r="E805" s="82" t="s">
        <v>23</v>
      </c>
      <c r="F805" s="82" t="s">
        <v>432</v>
      </c>
      <c r="G805" s="88" t="n">
        <v>1</v>
      </c>
      <c r="H805" s="84" t="s">
        <v>152</v>
      </c>
      <c r="I805" s="80" t="s">
        <v>433</v>
      </c>
      <c r="J805" s="80" t="s">
        <v>434</v>
      </c>
      <c r="K805" s="80" t="s">
        <v>435</v>
      </c>
      <c r="L805" s="80" t="s">
        <v>436</v>
      </c>
      <c r="M805" s="79" t="s">
        <v>437</v>
      </c>
      <c r="N805" s="80" t="s">
        <v>438</v>
      </c>
      <c r="O805" s="85" t="n">
        <v>46104</v>
      </c>
      <c r="P805" s="101"/>
      <c r="Q805" s="84"/>
      <c r="R805" s="87" t="s">
        <v>31</v>
      </c>
      <c r="S805" s="87" t="s">
        <v>31</v>
      </c>
    </row>
    <row r="806" s="77" customFormat="true" ht="30" hidden="false" customHeight="true" outlineLevel="1" collapsed="false">
      <c r="B806" s="78" t="s">
        <v>1112</v>
      </c>
      <c r="C806" s="79" t="n">
        <v>52</v>
      </c>
      <c r="D806" s="80" t="s">
        <v>439</v>
      </c>
      <c r="E806" s="82" t="s">
        <v>23</v>
      </c>
      <c r="F806" s="82" t="s">
        <v>440</v>
      </c>
      <c r="G806" s="88" t="n">
        <v>1</v>
      </c>
      <c r="H806" s="84" t="s">
        <v>152</v>
      </c>
      <c r="I806" s="80" t="s">
        <v>441</v>
      </c>
      <c r="J806" s="80" t="s">
        <v>442</v>
      </c>
      <c r="K806" s="80" t="s">
        <v>443</v>
      </c>
      <c r="L806" s="80" t="s">
        <v>444</v>
      </c>
      <c r="M806" s="79" t="s">
        <v>570</v>
      </c>
      <c r="N806" s="80" t="s">
        <v>446</v>
      </c>
      <c r="O806" s="85" t="n">
        <v>46104</v>
      </c>
      <c r="P806" s="101"/>
      <c r="Q806" s="84"/>
      <c r="R806" s="87" t="s">
        <v>31</v>
      </c>
      <c r="S806" s="87" t="s">
        <v>31</v>
      </c>
    </row>
    <row r="807" s="77" customFormat="true" ht="15" hidden="false" customHeight="false" outlineLevel="1" collapsed="false">
      <c r="B807" s="78" t="s">
        <v>1112</v>
      </c>
      <c r="C807" s="79" t="n">
        <v>53</v>
      </c>
      <c r="D807" s="80" t="s">
        <v>447</v>
      </c>
      <c r="E807" s="82" t="s">
        <v>23</v>
      </c>
      <c r="F807" s="82" t="s">
        <v>448</v>
      </c>
      <c r="G807" s="88" t="n">
        <v>1</v>
      </c>
      <c r="H807" s="84" t="s">
        <v>24</v>
      </c>
      <c r="I807" s="80" t="s">
        <v>449</v>
      </c>
      <c r="J807" s="80" t="s">
        <v>450</v>
      </c>
      <c r="K807" s="80" t="s">
        <v>451</v>
      </c>
      <c r="L807" s="80" t="s">
        <v>452</v>
      </c>
      <c r="M807" s="79" t="s">
        <v>453</v>
      </c>
      <c r="N807" s="80" t="s">
        <v>454</v>
      </c>
      <c r="O807" s="85" t="n">
        <v>46104</v>
      </c>
      <c r="P807" s="101"/>
      <c r="Q807" s="84"/>
      <c r="R807" s="87" t="s">
        <v>31</v>
      </c>
      <c r="S807" s="87" t="s">
        <v>31</v>
      </c>
    </row>
    <row r="808" s="77" customFormat="true" ht="15" hidden="false" customHeight="false" outlineLevel="1" collapsed="false">
      <c r="B808" s="78"/>
      <c r="C808" s="79" t="n">
        <v>65</v>
      </c>
      <c r="D808" s="80" t="s">
        <v>571</v>
      </c>
      <c r="E808" s="82" t="s">
        <v>23</v>
      </c>
      <c r="F808" s="82" t="s">
        <v>572</v>
      </c>
      <c r="G808" s="88" t="n">
        <v>1</v>
      </c>
      <c r="H808" s="84" t="s">
        <v>573</v>
      </c>
      <c r="I808" s="80" t="s">
        <v>574</v>
      </c>
      <c r="J808" s="80" t="s">
        <v>575</v>
      </c>
      <c r="K808" s="80" t="s">
        <v>576</v>
      </c>
      <c r="L808" s="80" t="s">
        <v>577</v>
      </c>
      <c r="M808" s="79" t="s">
        <v>578</v>
      </c>
      <c r="N808" s="80" t="s">
        <v>579</v>
      </c>
      <c r="O808" s="85" t="n">
        <v>46132</v>
      </c>
      <c r="P808" s="101"/>
      <c r="Q808" s="84"/>
      <c r="R808" s="87" t="s">
        <v>31</v>
      </c>
      <c r="S808" s="87" t="s">
        <v>84</v>
      </c>
    </row>
    <row r="809" s="77" customFormat="true" ht="15" hidden="false" customHeight="false" outlineLevel="1" collapsed="false">
      <c r="B809" s="78"/>
      <c r="C809" s="79" t="n">
        <v>54</v>
      </c>
      <c r="D809" s="80" t="s">
        <v>455</v>
      </c>
      <c r="E809" s="82" t="s">
        <v>23</v>
      </c>
      <c r="F809" s="82" t="s">
        <v>456</v>
      </c>
      <c r="G809" s="88" t="n">
        <v>1</v>
      </c>
      <c r="H809" s="84" t="s">
        <v>111</v>
      </c>
      <c r="I809" s="80" t="s">
        <v>457</v>
      </c>
      <c r="J809" s="80" t="s">
        <v>458</v>
      </c>
      <c r="K809" s="80" t="s">
        <v>459</v>
      </c>
      <c r="L809" s="80" t="s">
        <v>460</v>
      </c>
      <c r="M809" s="79" t="s">
        <v>461</v>
      </c>
      <c r="N809" s="80" t="s">
        <v>462</v>
      </c>
      <c r="O809" s="85" t="n">
        <v>46104</v>
      </c>
      <c r="P809" s="101"/>
      <c r="Q809" s="84"/>
      <c r="R809" s="87" t="s">
        <v>31</v>
      </c>
      <c r="S809" s="87" t="s">
        <v>84</v>
      </c>
    </row>
    <row r="810" s="77" customFormat="true" ht="15" hidden="false" customHeight="false" outlineLevel="1" collapsed="false">
      <c r="B810" s="78" t="s">
        <v>1112</v>
      </c>
      <c r="C810" s="79" t="n">
        <v>55</v>
      </c>
      <c r="D810" s="80" t="s">
        <v>463</v>
      </c>
      <c r="E810" s="82" t="s">
        <v>23</v>
      </c>
      <c r="F810" s="82" t="s">
        <v>464</v>
      </c>
      <c r="G810" s="88" t="n">
        <v>1</v>
      </c>
      <c r="H810" s="84" t="s">
        <v>152</v>
      </c>
      <c r="I810" s="80" t="s">
        <v>465</v>
      </c>
      <c r="J810" s="80" t="s">
        <v>466</v>
      </c>
      <c r="K810" s="80" t="s">
        <v>467</v>
      </c>
      <c r="L810" s="80" t="s">
        <v>468</v>
      </c>
      <c r="M810" s="79" t="s">
        <v>469</v>
      </c>
      <c r="N810" s="80" t="s">
        <v>470</v>
      </c>
      <c r="O810" s="85" t="n">
        <v>46104</v>
      </c>
      <c r="P810" s="101"/>
      <c r="Q810" s="84"/>
      <c r="R810" s="87" t="s">
        <v>31</v>
      </c>
      <c r="S810" s="87" t="s">
        <v>31</v>
      </c>
    </row>
    <row r="811" s="77" customFormat="true" ht="15" hidden="false" customHeight="false" outlineLevel="1" collapsed="false">
      <c r="B811" s="78"/>
      <c r="C811" s="79" t="n">
        <v>56</v>
      </c>
      <c r="D811" s="80" t="s">
        <v>471</v>
      </c>
      <c r="E811" s="82" t="s">
        <v>23</v>
      </c>
      <c r="F811" s="82" t="s">
        <v>472</v>
      </c>
      <c r="G811" s="88" t="n">
        <v>1</v>
      </c>
      <c r="H811" s="84" t="s">
        <v>111</v>
      </c>
      <c r="I811" s="80" t="s">
        <v>473</v>
      </c>
      <c r="J811" s="80" t="s">
        <v>474</v>
      </c>
      <c r="K811" s="80" t="s">
        <v>475</v>
      </c>
      <c r="L811" s="80" t="s">
        <v>476</v>
      </c>
      <c r="M811" s="79" t="s">
        <v>476</v>
      </c>
      <c r="N811" s="80" t="s">
        <v>477</v>
      </c>
      <c r="O811" s="85" t="n">
        <v>46104</v>
      </c>
      <c r="P811" s="101"/>
      <c r="Q811" s="84"/>
      <c r="R811" s="87" t="s">
        <v>31</v>
      </c>
      <c r="S811" s="87" t="s">
        <v>84</v>
      </c>
    </row>
    <row r="812" s="77" customFormat="true" ht="30" hidden="false" customHeight="true" outlineLevel="1" collapsed="false">
      <c r="B812" s="78" t="s">
        <v>1112</v>
      </c>
      <c r="C812" s="79" t="n">
        <v>57</v>
      </c>
      <c r="D812" s="80" t="s">
        <v>478</v>
      </c>
      <c r="E812" s="82" t="s">
        <v>23</v>
      </c>
      <c r="F812" s="82" t="s">
        <v>479</v>
      </c>
      <c r="G812" s="88" t="n">
        <v>1</v>
      </c>
      <c r="H812" s="84" t="s">
        <v>111</v>
      </c>
      <c r="I812" s="80" t="s">
        <v>480</v>
      </c>
      <c r="J812" s="80" t="s">
        <v>481</v>
      </c>
      <c r="K812" s="80" t="s">
        <v>482</v>
      </c>
      <c r="L812" s="80" t="s">
        <v>483</v>
      </c>
      <c r="M812" s="79" t="s">
        <v>634</v>
      </c>
      <c r="N812" s="80" t="s">
        <v>485</v>
      </c>
      <c r="O812" s="85" t="n">
        <v>46104</v>
      </c>
      <c r="P812" s="101"/>
      <c r="Q812" s="84"/>
      <c r="R812" s="87" t="s">
        <v>31</v>
      </c>
      <c r="S812" s="87" t="s">
        <v>84</v>
      </c>
    </row>
    <row r="813" s="77" customFormat="true" ht="15" hidden="false" customHeight="false" outlineLevel="1" collapsed="false">
      <c r="B813" s="78" t="s">
        <v>1112</v>
      </c>
      <c r="C813" s="79" t="n">
        <v>58</v>
      </c>
      <c r="D813" s="80" t="s">
        <v>486</v>
      </c>
      <c r="E813" s="82" t="s">
        <v>23</v>
      </c>
      <c r="F813" s="82" t="s">
        <v>487</v>
      </c>
      <c r="G813" s="88" t="n">
        <v>1</v>
      </c>
      <c r="H813" s="84" t="s">
        <v>152</v>
      </c>
      <c r="I813" s="80" t="s">
        <v>488</v>
      </c>
      <c r="J813" s="80" t="s">
        <v>489</v>
      </c>
      <c r="K813" s="80" t="s">
        <v>490</v>
      </c>
      <c r="L813" s="80" t="s">
        <v>491</v>
      </c>
      <c r="M813" s="79" t="s">
        <v>492</v>
      </c>
      <c r="N813" s="80" t="s">
        <v>493</v>
      </c>
      <c r="O813" s="85" t="n">
        <v>46104</v>
      </c>
      <c r="P813" s="101"/>
      <c r="Q813" s="84"/>
      <c r="R813" s="87" t="s">
        <v>31</v>
      </c>
      <c r="S813" s="87" t="s">
        <v>84</v>
      </c>
    </row>
    <row r="814" s="77" customFormat="true" ht="15" hidden="false" customHeight="false" outlineLevel="1" collapsed="false">
      <c r="B814" s="78" t="s">
        <v>1112</v>
      </c>
      <c r="C814" s="79" t="n">
        <v>59</v>
      </c>
      <c r="D814" s="80" t="s">
        <v>494</v>
      </c>
      <c r="E814" s="82" t="s">
        <v>23</v>
      </c>
      <c r="F814" s="82" t="s">
        <v>495</v>
      </c>
      <c r="G814" s="88" t="n">
        <v>1</v>
      </c>
      <c r="H814" s="84" t="s">
        <v>61</v>
      </c>
      <c r="I814" s="80" t="s">
        <v>496</v>
      </c>
      <c r="J814" s="80" t="s">
        <v>497</v>
      </c>
      <c r="K814" s="80" t="s">
        <v>498</v>
      </c>
      <c r="L814" s="80" t="s">
        <v>499</v>
      </c>
      <c r="M814" s="79" t="s">
        <v>500</v>
      </c>
      <c r="N814" s="80" t="s">
        <v>501</v>
      </c>
      <c r="O814" s="85" t="n">
        <v>46104</v>
      </c>
      <c r="P814" s="101"/>
      <c r="Q814" s="84"/>
      <c r="R814" s="87" t="s">
        <v>31</v>
      </c>
      <c r="S814" s="87" t="s">
        <v>84</v>
      </c>
    </row>
    <row r="815" s="77" customFormat="true" ht="15" hidden="false" customHeight="false" outlineLevel="1" collapsed="false">
      <c r="B815" s="78" t="s">
        <v>1112</v>
      </c>
      <c r="C815" s="79" t="n">
        <v>60</v>
      </c>
      <c r="D815" s="80" t="s">
        <v>502</v>
      </c>
      <c r="E815" s="82" t="s">
        <v>23</v>
      </c>
      <c r="F815" s="82" t="s">
        <v>503</v>
      </c>
      <c r="G815" s="88" t="n">
        <v>1</v>
      </c>
      <c r="H815" s="84" t="s">
        <v>61</v>
      </c>
      <c r="I815" s="80" t="s">
        <v>504</v>
      </c>
      <c r="J815" s="80" t="s">
        <v>505</v>
      </c>
      <c r="K815" s="80" t="s">
        <v>506</v>
      </c>
      <c r="L815" s="80" t="s">
        <v>283</v>
      </c>
      <c r="M815" s="79" t="s">
        <v>284</v>
      </c>
      <c r="N815" s="80" t="s">
        <v>507</v>
      </c>
      <c r="O815" s="85" t="n">
        <v>46104</v>
      </c>
      <c r="P815" s="101"/>
      <c r="Q815" s="84"/>
      <c r="R815" s="87" t="s">
        <v>31</v>
      </c>
      <c r="S815" s="87" t="s">
        <v>84</v>
      </c>
    </row>
    <row r="816" s="77" customFormat="true" ht="15" hidden="false" customHeight="false" outlineLevel="1" collapsed="false">
      <c r="B816" s="78" t="s">
        <v>1112</v>
      </c>
      <c r="C816" s="79" t="n">
        <v>61</v>
      </c>
      <c r="D816" s="80" t="s">
        <v>508</v>
      </c>
      <c r="E816" s="82" t="s">
        <v>23</v>
      </c>
      <c r="F816" s="82" t="s">
        <v>509</v>
      </c>
      <c r="G816" s="88" t="n">
        <v>1</v>
      </c>
      <c r="H816" s="84" t="s">
        <v>61</v>
      </c>
      <c r="I816" s="80" t="s">
        <v>510</v>
      </c>
      <c r="J816" s="80" t="s">
        <v>511</v>
      </c>
      <c r="K816" s="80" t="s">
        <v>512</v>
      </c>
      <c r="L816" s="80" t="s">
        <v>513</v>
      </c>
      <c r="M816" s="79" t="s">
        <v>514</v>
      </c>
      <c r="N816" s="80" t="s">
        <v>515</v>
      </c>
      <c r="O816" s="85" t="n">
        <v>46104</v>
      </c>
      <c r="P816" s="101"/>
      <c r="Q816" s="84"/>
      <c r="R816" s="87" t="s">
        <v>31</v>
      </c>
      <c r="S816" s="87" t="s">
        <v>31</v>
      </c>
    </row>
    <row r="817" s="77" customFormat="true" ht="15" hidden="false" customHeight="false" outlineLevel="1" collapsed="false">
      <c r="B817" s="78" t="s">
        <v>1112</v>
      </c>
      <c r="C817" s="79" t="n">
        <v>62</v>
      </c>
      <c r="D817" s="80" t="s">
        <v>516</v>
      </c>
      <c r="E817" s="82" t="s">
        <v>23</v>
      </c>
      <c r="F817" s="92" t="s">
        <v>517</v>
      </c>
      <c r="G817" s="88" t="n">
        <v>1</v>
      </c>
      <c r="H817" s="84" t="s">
        <v>61</v>
      </c>
      <c r="I817" s="82" t="s">
        <v>518</v>
      </c>
      <c r="J817" s="82" t="s">
        <v>519</v>
      </c>
      <c r="K817" s="78" t="s">
        <v>520</v>
      </c>
      <c r="L817" s="94" t="s">
        <v>521</v>
      </c>
      <c r="M817" s="79" t="s">
        <v>522</v>
      </c>
      <c r="N817" s="80" t="s">
        <v>523</v>
      </c>
      <c r="O817" s="85" t="n">
        <v>46104</v>
      </c>
      <c r="P817" s="101"/>
      <c r="Q817" s="84"/>
      <c r="R817" s="87" t="s">
        <v>31</v>
      </c>
      <c r="S817" s="87" t="s">
        <v>31</v>
      </c>
    </row>
    <row r="818" customFormat="false" ht="15" hidden="false" customHeight="false" outlineLevel="0" collapsed="false">
      <c r="G818" s="59" t="n">
        <f aca="false">SUBTOTAL(9,G752:G817)</f>
        <v>70</v>
      </c>
    </row>
  </sheetData>
  <conditionalFormatting sqref="C1:C232 C234:C305 C307:C1048576">
    <cfRule type="expression" priority="2" aboveAverage="0" equalAverage="0" bottom="0" percent="0" rank="0" text="" dxfId="0">
      <formula>ISNUMBER(SEARCH(CHAR(10),C1))</formula>
    </cfRule>
  </conditionalFormatting>
  <conditionalFormatting sqref="L233">
    <cfRule type="expression" priority="3" aboveAverage="0" equalAverage="0" bottom="0" percent="0" rank="0" text="" dxfId="0">
      <formula>ISNUMBER(SEARCH(CHAR(10),L233))</formula>
    </cfRule>
  </conditionalFormatting>
  <conditionalFormatting sqref="L306">
    <cfRule type="expression" priority="4" aboveAverage="0" equalAverage="0" bottom="0" percent="0" rank="0" text="" dxfId="0">
      <formula>ISNUMBER(SEARCH(CHAR(10),L306))</formula>
    </cfRule>
  </conditionalFormatting>
  <conditionalFormatting sqref="L640">
    <cfRule type="expression" priority="5" aboveAverage="0" equalAverage="0" bottom="0" percent="0" rank="0" text="" dxfId="0">
      <formula>ISNUMBER(SEARCH(CHAR(10),L640))</formula>
    </cfRule>
  </conditionalFormatting>
  <conditionalFormatting sqref="M1:M232 M234:M305 M307:M1048576">
    <cfRule type="expression" priority="6" aboveAverage="0" equalAverage="0" bottom="0" percent="0" rank="0" text="" dxfId="0">
      <formula>ISNUMBER(SEARCH(CHAR(10),M1))</formula>
    </cfRule>
  </conditionalFormatting>
  <hyperlinks>
    <hyperlink ref="K40" r:id="rId1" display="nmarijanovic@unin.hr"/>
    <hyperlink ref="K81" r:id="rId2" display="marko.roza@uniri.hr"/>
    <hyperlink ref="K118" r:id="rId3" display="danka.jurjevic@uniri.hr"/>
    <hyperlink ref="K156" r:id="rId4" display="djani@ttf.hr&#10;"/>
    <hyperlink ref="K233" r:id="rId5" display="informatika.zagreb@ufzg.hr"/>
    <hyperlink ref="K299" r:id="rId6" display="luka.cvenic@aukos.hr"/>
    <hyperlink ref="K302" r:id="rId7" display="barbara.sestan@uniri.hr&#10;"/>
    <hyperlink ref="K306" r:id="rId8" display="informatika.zagreb@ufzg.hr"/>
    <hyperlink ref="K346" r:id="rId9" display="denis.hernaut@fer.hr"/>
    <hyperlink ref="K350" r:id="rId10" display="informatika.zagreb@ufzg.hr"/>
    <hyperlink ref="K397" r:id="rId11" display="stjepan.salkovic@vhzk.hr"/>
    <hyperlink ref="K405" r:id="rId12" display="krunoslav.fuckor@pravo.hr&#10;lada.uzorinac@pravo.hr"/>
    <hyperlink ref="K421" r:id="rId13" display="kreso@gfos.hr"/>
    <hyperlink ref="K428" r:id="rId14" display="stjepan.salkovic@vhzk.hr"/>
    <hyperlink ref="K640" r:id="rId15" display="informatika.zagreb@ufzg.hr"/>
    <hyperlink ref="K710" r:id="rId16" display="broncevic@nsk.hr"/>
  </hyperlinks>
  <printOptions headings="false" gridLines="false" gridLinesSet="true" horizontalCentered="false" verticalCentered="false"/>
  <pageMargins left="0.196527777777778" right="0.196527777777778" top="0.39375" bottom="0.39375" header="0.511805555555555" footer="0.511805555555555"/>
  <pageSetup paperSize="9" scale="85"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colBreaks count="2" manualBreakCount="2">
    <brk id="13" man="true" max="65535" min="0"/>
    <brk id="14" man="true" max="65535" min="0"/>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89"/>
  <sheetViews>
    <sheetView showFormulas="false" showGridLines="true" showRowColHeaders="true" showZeros="true" rightToLeft="false" tabSelected="false" showOutlineSymbols="true" defaultGridColor="true" view="normal" topLeftCell="A20" colorId="64" zoomScale="100" zoomScaleNormal="100" zoomScalePageLayoutView="100" workbookViewId="0">
      <selection pane="topLeft" activeCell="D18" activeCellId="0" sqref="D18"/>
    </sheetView>
  </sheetViews>
  <sheetFormatPr defaultColWidth="8.859375" defaultRowHeight="15" zeroHeight="false" outlineLevelRow="0" outlineLevelCol="0"/>
  <cols>
    <col collapsed="false" customWidth="true" hidden="false" outlineLevel="0" max="1" min="1" style="0" width="9.28"/>
    <col collapsed="false" customWidth="true" hidden="false" outlineLevel="0" max="2" min="2" style="0" width="20.28"/>
    <col collapsed="false" customWidth="true" hidden="false" outlineLevel="0" max="3" min="3" style="0" width="9.28"/>
    <col collapsed="false" customWidth="true" hidden="false" outlineLevel="0" max="4" min="4" style="0" width="75.14"/>
    <col collapsed="false" customWidth="true" hidden="false" outlineLevel="0" max="5" min="5" style="0" width="63.14"/>
    <col collapsed="false" customWidth="true" hidden="false" outlineLevel="0" max="7" min="7" style="0" width="9.28"/>
    <col collapsed="false" customWidth="true" hidden="false" outlineLevel="0" max="8" min="8" style="0" width="14.14"/>
    <col collapsed="false" customWidth="true" hidden="false" outlineLevel="0" max="9" min="9" style="0" width="63.71"/>
    <col collapsed="false" customWidth="true" hidden="false" outlineLevel="0" max="10" min="10" style="0" width="56"/>
    <col collapsed="false" customWidth="true" hidden="false" outlineLevel="0" max="11" min="11" style="0" width="83.28"/>
    <col collapsed="false" customWidth="true" hidden="false" outlineLevel="0" max="12" min="12" style="0" width="39"/>
    <col collapsed="false" customWidth="true" hidden="false" outlineLevel="0" max="13" min="13" style="0" width="156.86"/>
    <col collapsed="false" customWidth="true" hidden="false" outlineLevel="0" max="14" min="14" style="0" width="12"/>
    <col collapsed="false" customWidth="true" hidden="false" outlineLevel="0" max="15" min="15" style="0" width="21.71"/>
    <col collapsed="false" customWidth="true" hidden="false" outlineLevel="0" max="16" min="16" style="0" width="14.85"/>
    <col collapsed="false" customWidth="true" hidden="false" outlineLevel="0" max="17" min="17" style="0" width="15.85"/>
    <col collapsed="false" customWidth="true" hidden="false" outlineLevel="0" max="18" min="18" style="0" width="12.85"/>
    <col collapsed="false" customWidth="true" hidden="false" outlineLevel="0" max="19" min="19" style="0" width="13.71"/>
  </cols>
  <sheetData>
    <row r="1" customFormat="false" ht="15" hidden="false" customHeight="false" outlineLevel="0" collapsed="false">
      <c r="A1" s="1" t="s">
        <v>1165</v>
      </c>
    </row>
    <row r="3" customFormat="false" ht="15" hidden="false" customHeight="false" outlineLevel="0" collapsed="false">
      <c r="A3" s="3" t="s">
        <v>1</v>
      </c>
      <c r="B3" s="3" t="s">
        <v>2</v>
      </c>
      <c r="C3" s="3" t="s">
        <v>4</v>
      </c>
      <c r="D3" s="3" t="s">
        <v>5</v>
      </c>
      <c r="E3" s="3" t="s">
        <v>6</v>
      </c>
      <c r="F3" s="3" t="s">
        <v>7</v>
      </c>
      <c r="G3" s="3" t="s">
        <v>8</v>
      </c>
      <c r="H3" s="3" t="s">
        <v>9</v>
      </c>
      <c r="I3" s="3" t="s">
        <v>10</v>
      </c>
      <c r="J3" s="3" t="s">
        <v>11</v>
      </c>
      <c r="K3" s="3" t="s">
        <v>12</v>
      </c>
      <c r="L3" s="3" t="s">
        <v>13</v>
      </c>
      <c r="M3" s="3" t="s">
        <v>14</v>
      </c>
      <c r="N3" s="3" t="s">
        <v>16</v>
      </c>
      <c r="O3" s="4" t="s">
        <v>17</v>
      </c>
      <c r="P3" s="4" t="s">
        <v>18</v>
      </c>
      <c r="Q3" s="3" t="s">
        <v>19</v>
      </c>
      <c r="R3" s="3" t="s">
        <v>20</v>
      </c>
    </row>
    <row r="4" customFormat="false" ht="45" hidden="false" customHeight="true" outlineLevel="0" collapsed="false">
      <c r="B4" s="2" t="s">
        <v>1166</v>
      </c>
      <c r="C4" s="0" t="s">
        <v>760</v>
      </c>
      <c r="D4" s="0" t="s">
        <v>761</v>
      </c>
      <c r="E4" s="0" t="s">
        <v>1167</v>
      </c>
      <c r="F4" s="0" t="n">
        <v>7</v>
      </c>
      <c r="G4" s="0" t="s">
        <v>61</v>
      </c>
      <c r="H4" s="0" t="s">
        <v>762</v>
      </c>
      <c r="I4" s="0" t="s">
        <v>763</v>
      </c>
      <c r="J4" s="0" t="s">
        <v>764</v>
      </c>
      <c r="K4" s="0" t="s">
        <v>765</v>
      </c>
      <c r="L4" s="2" t="s">
        <v>1168</v>
      </c>
      <c r="M4" s="0" t="s">
        <v>766</v>
      </c>
      <c r="N4" s="6" t="n">
        <v>46104</v>
      </c>
      <c r="Q4" s="0" t="s">
        <v>31</v>
      </c>
      <c r="R4" s="0" t="s">
        <v>84</v>
      </c>
    </row>
    <row r="5" customFormat="false" ht="15" hidden="true" customHeight="false" outlineLevel="0" collapsed="false">
      <c r="B5" s="0" t="n">
        <v>342</v>
      </c>
      <c r="C5" s="0" t="s">
        <v>760</v>
      </c>
      <c r="D5" s="0" t="s">
        <v>761</v>
      </c>
      <c r="E5" s="0" t="s">
        <v>1169</v>
      </c>
      <c r="F5" s="0" t="n">
        <v>2</v>
      </c>
      <c r="G5" s="0" t="s">
        <v>61</v>
      </c>
      <c r="H5" s="0" t="s">
        <v>762</v>
      </c>
      <c r="I5" s="0" t="s">
        <v>763</v>
      </c>
      <c r="J5" s="0" t="s">
        <v>764</v>
      </c>
      <c r="K5" s="0" t="s">
        <v>765</v>
      </c>
      <c r="L5" s="0" t="s">
        <v>765</v>
      </c>
      <c r="M5" s="0" t="s">
        <v>766</v>
      </c>
      <c r="N5" s="6" t="n">
        <v>46104</v>
      </c>
      <c r="Q5" s="0" t="s">
        <v>31</v>
      </c>
      <c r="R5" s="0" t="s">
        <v>84</v>
      </c>
    </row>
    <row r="6" customFormat="false" ht="15" hidden="false" customHeight="false" outlineLevel="0" collapsed="false">
      <c r="B6" s="0" t="n">
        <v>372</v>
      </c>
      <c r="C6" s="0" t="s">
        <v>318</v>
      </c>
      <c r="D6" s="0" t="s">
        <v>319</v>
      </c>
      <c r="E6" s="0" t="s">
        <v>1167</v>
      </c>
      <c r="F6" s="0" t="n">
        <v>1</v>
      </c>
      <c r="G6" s="0" t="s">
        <v>111</v>
      </c>
      <c r="H6" s="0" t="s">
        <v>320</v>
      </c>
      <c r="I6" s="0" t="s">
        <v>321</v>
      </c>
      <c r="J6" s="0" t="s">
        <v>322</v>
      </c>
      <c r="K6" s="0" t="s">
        <v>323</v>
      </c>
      <c r="L6" s="0" t="s">
        <v>324</v>
      </c>
      <c r="M6" s="0" t="s">
        <v>325</v>
      </c>
      <c r="N6" s="6" t="n">
        <v>46104</v>
      </c>
      <c r="Q6" s="0" t="s">
        <v>31</v>
      </c>
      <c r="R6" s="0" t="s">
        <v>84</v>
      </c>
    </row>
    <row r="7" customFormat="false" ht="15" hidden="true" customHeight="false" outlineLevel="0" collapsed="false">
      <c r="B7" s="0" t="n">
        <v>327</v>
      </c>
      <c r="C7" s="0" t="s">
        <v>318</v>
      </c>
      <c r="D7" s="0" t="s">
        <v>319</v>
      </c>
      <c r="E7" s="0" t="s">
        <v>1169</v>
      </c>
      <c r="F7" s="0" t="n">
        <v>2</v>
      </c>
      <c r="G7" s="0" t="s">
        <v>111</v>
      </c>
      <c r="H7" s="0" t="s">
        <v>320</v>
      </c>
      <c r="I7" s="0" t="s">
        <v>321</v>
      </c>
      <c r="J7" s="0" t="s">
        <v>322</v>
      </c>
      <c r="K7" s="0" t="s">
        <v>323</v>
      </c>
      <c r="L7" s="0" t="s">
        <v>324</v>
      </c>
      <c r="M7" s="0" t="s">
        <v>325</v>
      </c>
      <c r="N7" s="6" t="n">
        <v>46104</v>
      </c>
      <c r="Q7" s="0" t="s">
        <v>31</v>
      </c>
      <c r="R7" s="0" t="s">
        <v>84</v>
      </c>
    </row>
    <row r="8" customFormat="false" ht="30" hidden="false" customHeight="true" outlineLevel="0" collapsed="false">
      <c r="B8" s="0" t="n">
        <v>367</v>
      </c>
      <c r="C8" s="0" t="s">
        <v>247</v>
      </c>
      <c r="D8" s="0" t="s">
        <v>248</v>
      </c>
      <c r="E8" s="0" t="s">
        <v>1167</v>
      </c>
      <c r="F8" s="0" t="n">
        <v>2</v>
      </c>
      <c r="G8" s="0" t="s">
        <v>61</v>
      </c>
      <c r="H8" s="2" t="s">
        <v>528</v>
      </c>
      <c r="I8" s="0" t="s">
        <v>1066</v>
      </c>
      <c r="J8" s="2" t="s">
        <v>530</v>
      </c>
      <c r="K8" s="0" t="s">
        <v>252</v>
      </c>
      <c r="L8" s="0" t="s">
        <v>531</v>
      </c>
      <c r="M8" s="0" t="s">
        <v>254</v>
      </c>
      <c r="N8" s="6" t="n">
        <v>46104</v>
      </c>
      <c r="Q8" s="0" t="s">
        <v>31</v>
      </c>
      <c r="R8" s="0" t="s">
        <v>84</v>
      </c>
    </row>
    <row r="9" customFormat="false" ht="30" hidden="true" customHeight="true" outlineLevel="0" collapsed="false">
      <c r="B9" s="0" t="n">
        <v>321</v>
      </c>
      <c r="C9" s="0" t="s">
        <v>247</v>
      </c>
      <c r="D9" s="0" t="s">
        <v>248</v>
      </c>
      <c r="E9" s="0" t="s">
        <v>1169</v>
      </c>
      <c r="F9" s="0" t="n">
        <v>1</v>
      </c>
      <c r="G9" s="0" t="s">
        <v>61</v>
      </c>
      <c r="H9" s="2" t="s">
        <v>528</v>
      </c>
      <c r="I9" s="0" t="s">
        <v>1066</v>
      </c>
      <c r="J9" s="2" t="s">
        <v>530</v>
      </c>
      <c r="K9" s="0" t="s">
        <v>252</v>
      </c>
      <c r="L9" s="0" t="s">
        <v>531</v>
      </c>
      <c r="M9" s="0" t="s">
        <v>254</v>
      </c>
      <c r="N9" s="6" t="n">
        <v>46104</v>
      </c>
      <c r="Q9" s="0" t="s">
        <v>31</v>
      </c>
      <c r="R9" s="0" t="s">
        <v>84</v>
      </c>
    </row>
    <row r="10" customFormat="false" ht="15" hidden="false" customHeight="false" outlineLevel="0" collapsed="false">
      <c r="B10" s="0" t="n">
        <v>364</v>
      </c>
      <c r="C10" s="0" t="s">
        <v>207</v>
      </c>
      <c r="D10" s="0" t="s">
        <v>208</v>
      </c>
      <c r="E10" s="0" t="s">
        <v>1167</v>
      </c>
      <c r="F10" s="0" t="n">
        <v>2</v>
      </c>
      <c r="G10" s="0" t="s">
        <v>61</v>
      </c>
      <c r="H10" s="0" t="s">
        <v>209</v>
      </c>
      <c r="I10" s="0" t="s">
        <v>210</v>
      </c>
      <c r="J10" s="0" t="s">
        <v>211</v>
      </c>
      <c r="K10" s="0" t="s">
        <v>212</v>
      </c>
      <c r="L10" s="0" t="s">
        <v>213</v>
      </c>
      <c r="M10" s="0" t="s">
        <v>214</v>
      </c>
      <c r="N10" s="6" t="n">
        <v>46104</v>
      </c>
      <c r="Q10" s="0" t="s">
        <v>31</v>
      </c>
      <c r="R10" s="0" t="s">
        <v>31</v>
      </c>
    </row>
    <row r="11" customFormat="false" ht="15" hidden="false" customHeight="false" outlineLevel="0" collapsed="false">
      <c r="B11" s="0" t="n">
        <v>371</v>
      </c>
      <c r="C11" s="0" t="s">
        <v>310</v>
      </c>
      <c r="D11" s="0" t="s">
        <v>311</v>
      </c>
      <c r="E11" s="0" t="s">
        <v>1167</v>
      </c>
      <c r="F11" s="0" t="n">
        <v>1</v>
      </c>
      <c r="G11" s="0" t="s">
        <v>152</v>
      </c>
      <c r="H11" s="0" t="s">
        <v>312</v>
      </c>
      <c r="I11" s="0" t="s">
        <v>313</v>
      </c>
      <c r="J11" s="0" t="s">
        <v>314</v>
      </c>
      <c r="K11" s="0" t="s">
        <v>315</v>
      </c>
      <c r="L11" s="0" t="s">
        <v>316</v>
      </c>
      <c r="M11" s="0" t="s">
        <v>317</v>
      </c>
      <c r="N11" s="6" t="n">
        <v>46104</v>
      </c>
      <c r="Q11" s="0" t="s">
        <v>31</v>
      </c>
      <c r="R11" s="0" t="s">
        <v>31</v>
      </c>
    </row>
    <row r="12" customFormat="false" ht="15" hidden="false" customHeight="false" outlineLevel="0" collapsed="false">
      <c r="B12" s="0" t="n">
        <v>382</v>
      </c>
      <c r="C12" s="0" t="s">
        <v>447</v>
      </c>
      <c r="D12" s="0" t="s">
        <v>448</v>
      </c>
      <c r="E12" s="0" t="s">
        <v>1167</v>
      </c>
      <c r="F12" s="0" t="n">
        <v>1</v>
      </c>
      <c r="G12" s="0" t="s">
        <v>24</v>
      </c>
      <c r="H12" s="0" t="s">
        <v>449</v>
      </c>
      <c r="I12" s="0" t="s">
        <v>450</v>
      </c>
      <c r="J12" s="0" t="s">
        <v>451</v>
      </c>
      <c r="K12" s="0" t="s">
        <v>452</v>
      </c>
      <c r="L12" s="0" t="s">
        <v>453</v>
      </c>
      <c r="M12" s="0" t="s">
        <v>454</v>
      </c>
      <c r="N12" s="6" t="n">
        <v>46104</v>
      </c>
      <c r="Q12" s="0" t="s">
        <v>31</v>
      </c>
      <c r="R12" s="0" t="s">
        <v>31</v>
      </c>
    </row>
    <row r="13" customFormat="false" ht="15" hidden="true" customHeight="false" outlineLevel="0" collapsed="false">
      <c r="B13" s="0" t="n">
        <v>339</v>
      </c>
      <c r="C13" s="0" t="s">
        <v>447</v>
      </c>
      <c r="D13" s="0" t="s">
        <v>448</v>
      </c>
      <c r="E13" s="0" t="s">
        <v>1169</v>
      </c>
      <c r="F13" s="0" t="n">
        <v>2</v>
      </c>
      <c r="G13" s="0" t="s">
        <v>24</v>
      </c>
      <c r="H13" s="0" t="s">
        <v>449</v>
      </c>
      <c r="I13" s="0" t="s">
        <v>450</v>
      </c>
      <c r="J13" s="0" t="s">
        <v>451</v>
      </c>
      <c r="K13" s="0" t="s">
        <v>452</v>
      </c>
      <c r="L13" s="0" t="s">
        <v>453</v>
      </c>
      <c r="M13" s="0" t="s">
        <v>454</v>
      </c>
      <c r="N13" s="6" t="n">
        <v>46104</v>
      </c>
      <c r="Q13" s="0" t="s">
        <v>31</v>
      </c>
      <c r="R13" s="0" t="s">
        <v>31</v>
      </c>
    </row>
    <row r="14" customFormat="false" ht="15" hidden="true" customHeight="false" outlineLevel="0" collapsed="false">
      <c r="B14" s="0" t="n">
        <v>311</v>
      </c>
      <c r="C14" s="0" t="s">
        <v>536</v>
      </c>
      <c r="D14" s="0" t="s">
        <v>537</v>
      </c>
      <c r="E14" s="0" t="s">
        <v>1169</v>
      </c>
      <c r="F14" s="0" t="n">
        <v>1</v>
      </c>
      <c r="G14" s="0" t="s">
        <v>111</v>
      </c>
      <c r="H14" s="0" t="s">
        <v>538</v>
      </c>
      <c r="I14" s="0" t="s">
        <v>539</v>
      </c>
      <c r="J14" s="0" t="s">
        <v>540</v>
      </c>
      <c r="K14" s="0" t="s">
        <v>541</v>
      </c>
      <c r="L14" s="0" t="s">
        <v>541</v>
      </c>
      <c r="M14" s="0" t="s">
        <v>542</v>
      </c>
      <c r="N14" s="6" t="n">
        <v>46104</v>
      </c>
      <c r="Q14" s="0" t="s">
        <v>31</v>
      </c>
      <c r="R14" s="0" t="s">
        <v>84</v>
      </c>
    </row>
    <row r="15" customFormat="false" ht="15" hidden="false" customHeight="false" outlineLevel="0" collapsed="false">
      <c r="B15" s="0" t="n">
        <v>386</v>
      </c>
      <c r="C15" s="0" t="s">
        <v>486</v>
      </c>
      <c r="D15" s="0" t="s">
        <v>487</v>
      </c>
      <c r="E15" s="0" t="s">
        <v>1167</v>
      </c>
      <c r="F15" s="0" t="n">
        <v>1</v>
      </c>
      <c r="G15" s="0" t="s">
        <v>152</v>
      </c>
      <c r="H15" s="0" t="s">
        <v>488</v>
      </c>
      <c r="I15" s="0" t="s">
        <v>489</v>
      </c>
      <c r="J15" s="0" t="s">
        <v>490</v>
      </c>
      <c r="K15" s="0" t="s">
        <v>491</v>
      </c>
      <c r="L15" s="0" t="s">
        <v>492</v>
      </c>
      <c r="M15" s="0" t="s">
        <v>493</v>
      </c>
      <c r="N15" s="6" t="n">
        <v>46104</v>
      </c>
      <c r="Q15" s="0" t="s">
        <v>31</v>
      </c>
      <c r="R15" s="0" t="s">
        <v>84</v>
      </c>
    </row>
    <row r="16" customFormat="false" ht="15" hidden="true" customHeight="false" outlineLevel="0" collapsed="false">
      <c r="B16" s="0" t="n">
        <v>345</v>
      </c>
      <c r="C16" s="0" t="s">
        <v>486</v>
      </c>
      <c r="D16" s="0" t="s">
        <v>487</v>
      </c>
      <c r="E16" s="0" t="s">
        <v>1169</v>
      </c>
      <c r="F16" s="0" t="n">
        <v>1</v>
      </c>
      <c r="G16" s="0" t="s">
        <v>152</v>
      </c>
      <c r="H16" s="0" t="s">
        <v>488</v>
      </c>
      <c r="I16" s="0" t="s">
        <v>489</v>
      </c>
      <c r="J16" s="0" t="s">
        <v>490</v>
      </c>
      <c r="K16" s="0" t="s">
        <v>491</v>
      </c>
      <c r="L16" s="0" t="s">
        <v>492</v>
      </c>
      <c r="M16" s="0" t="s">
        <v>493</v>
      </c>
      <c r="N16" s="6" t="n">
        <v>46104</v>
      </c>
      <c r="Q16" s="0" t="s">
        <v>31</v>
      </c>
      <c r="R16" s="0" t="s">
        <v>84</v>
      </c>
    </row>
    <row r="17" customFormat="false" ht="15" hidden="true" customHeight="false" outlineLevel="0" collapsed="false">
      <c r="B17" s="0" t="n">
        <v>329</v>
      </c>
      <c r="C17" s="0" t="s">
        <v>334</v>
      </c>
      <c r="D17" s="0" t="s">
        <v>335</v>
      </c>
      <c r="E17" s="0" t="s">
        <v>1169</v>
      </c>
      <c r="F17" s="0" t="n">
        <v>1</v>
      </c>
      <c r="G17" s="0" t="s">
        <v>61</v>
      </c>
      <c r="H17" s="0" t="s">
        <v>336</v>
      </c>
      <c r="I17" s="0" t="s">
        <v>337</v>
      </c>
      <c r="J17" s="0" t="s">
        <v>338</v>
      </c>
      <c r="K17" s="0" t="s">
        <v>339</v>
      </c>
      <c r="L17" s="0" t="s">
        <v>543</v>
      </c>
      <c r="M17" s="0" t="s">
        <v>341</v>
      </c>
      <c r="N17" s="6" t="n">
        <v>46104</v>
      </c>
      <c r="Q17" s="0" t="s">
        <v>31</v>
      </c>
      <c r="R17" s="0" t="s">
        <v>84</v>
      </c>
    </row>
    <row r="18" customFormat="false" ht="15" hidden="false" customHeight="false" outlineLevel="0" collapsed="false">
      <c r="B18" s="0" t="n">
        <v>349</v>
      </c>
      <c r="C18" s="0" t="s">
        <v>21</v>
      </c>
      <c r="D18" s="0" t="s">
        <v>22</v>
      </c>
      <c r="E18" s="0" t="s">
        <v>1167</v>
      </c>
      <c r="F18" s="0" t="n">
        <v>1</v>
      </c>
      <c r="G18" s="0" t="s">
        <v>24</v>
      </c>
      <c r="H18" s="0" t="s">
        <v>25</v>
      </c>
      <c r="I18" s="0" t="s">
        <v>26</v>
      </c>
      <c r="J18" s="0" t="s">
        <v>27</v>
      </c>
      <c r="K18" s="0" t="s">
        <v>28</v>
      </c>
      <c r="L18" s="0" t="s">
        <v>29</v>
      </c>
      <c r="M18" s="0" t="s">
        <v>30</v>
      </c>
      <c r="N18" s="6" t="n">
        <v>46104</v>
      </c>
      <c r="Q18" s="0" t="s">
        <v>31</v>
      </c>
      <c r="R18" s="0" t="s">
        <v>31</v>
      </c>
    </row>
    <row r="19" customFormat="false" ht="15" hidden="true" customHeight="false" outlineLevel="0" collapsed="false">
      <c r="B19" s="0" t="n">
        <v>302</v>
      </c>
      <c r="C19" s="0" t="s">
        <v>21</v>
      </c>
      <c r="D19" s="0" t="s">
        <v>22</v>
      </c>
      <c r="E19" s="0" t="s">
        <v>1169</v>
      </c>
      <c r="F19" s="0" t="n">
        <v>5</v>
      </c>
      <c r="G19" s="0" t="s">
        <v>24</v>
      </c>
      <c r="H19" s="0" t="s">
        <v>25</v>
      </c>
      <c r="I19" s="0" t="s">
        <v>26</v>
      </c>
      <c r="J19" s="0" t="s">
        <v>27</v>
      </c>
      <c r="K19" s="0" t="s">
        <v>28</v>
      </c>
      <c r="L19" s="0" t="s">
        <v>29</v>
      </c>
      <c r="M19" s="0" t="s">
        <v>30</v>
      </c>
      <c r="N19" s="6" t="n">
        <v>46104</v>
      </c>
      <c r="Q19" s="0" t="s">
        <v>31</v>
      </c>
      <c r="R19" s="0" t="s">
        <v>31</v>
      </c>
    </row>
    <row r="20" customFormat="false" ht="15" hidden="false" customHeight="false" outlineLevel="0" collapsed="false">
      <c r="B20" s="0" t="n">
        <v>361</v>
      </c>
      <c r="C20" s="0" t="s">
        <v>159</v>
      </c>
      <c r="D20" s="0" t="s">
        <v>160</v>
      </c>
      <c r="E20" s="0" t="s">
        <v>1167</v>
      </c>
      <c r="F20" s="0" t="n">
        <v>1</v>
      </c>
      <c r="G20" s="0" t="s">
        <v>61</v>
      </c>
      <c r="H20" s="0" t="s">
        <v>161</v>
      </c>
      <c r="I20" s="0" t="s">
        <v>162</v>
      </c>
      <c r="J20" s="0" t="s">
        <v>163</v>
      </c>
      <c r="K20" s="0" t="s">
        <v>164</v>
      </c>
      <c r="L20" s="0" t="s">
        <v>164</v>
      </c>
      <c r="M20" s="0" t="s">
        <v>165</v>
      </c>
      <c r="N20" s="6" t="n">
        <v>46104</v>
      </c>
      <c r="Q20" s="0" t="s">
        <v>31</v>
      </c>
      <c r="R20" s="0" t="s">
        <v>31</v>
      </c>
    </row>
    <row r="21" customFormat="false" ht="15" hidden="true" customHeight="false" outlineLevel="0" collapsed="false">
      <c r="B21" s="0" t="n">
        <v>337</v>
      </c>
      <c r="C21" s="0" t="s">
        <v>544</v>
      </c>
      <c r="D21" s="0" t="s">
        <v>545</v>
      </c>
      <c r="E21" s="0" t="s">
        <v>1169</v>
      </c>
      <c r="F21" s="0" t="n">
        <v>1</v>
      </c>
      <c r="G21" s="0" t="s">
        <v>24</v>
      </c>
      <c r="H21" s="0" t="s">
        <v>546</v>
      </c>
      <c r="I21" s="0" t="s">
        <v>547</v>
      </c>
      <c r="J21" s="0" t="s">
        <v>548</v>
      </c>
      <c r="K21" s="0" t="s">
        <v>549</v>
      </c>
      <c r="L21" s="0" t="s">
        <v>550</v>
      </c>
      <c r="M21" s="0" t="s">
        <v>551</v>
      </c>
      <c r="N21" s="6" t="n">
        <v>46104</v>
      </c>
      <c r="Q21" s="0" t="s">
        <v>31</v>
      </c>
      <c r="R21" s="0" t="s">
        <v>31</v>
      </c>
    </row>
    <row r="22" customFormat="false" ht="30" hidden="false" customHeight="true" outlineLevel="0" collapsed="false">
      <c r="B22" s="2" t="s">
        <v>1170</v>
      </c>
      <c r="C22" s="0" t="s">
        <v>34</v>
      </c>
      <c r="D22" s="0" t="s">
        <v>35</v>
      </c>
      <c r="E22" s="0" t="s">
        <v>1167</v>
      </c>
      <c r="F22" s="0" t="n">
        <v>2</v>
      </c>
      <c r="G22" s="0" t="s">
        <v>36</v>
      </c>
      <c r="H22" s="0" t="s">
        <v>37</v>
      </c>
      <c r="I22" s="0" t="s">
        <v>38</v>
      </c>
      <c r="J22" s="0" t="s">
        <v>39</v>
      </c>
      <c r="K22" s="0" t="s">
        <v>40</v>
      </c>
      <c r="L22" s="0" t="s">
        <v>553</v>
      </c>
      <c r="M22" s="0" t="s">
        <v>42</v>
      </c>
      <c r="N22" s="6" t="n">
        <v>46104</v>
      </c>
      <c r="Q22" s="0" t="s">
        <v>31</v>
      </c>
      <c r="R22" s="0" t="s">
        <v>31</v>
      </c>
    </row>
    <row r="23" customFormat="false" ht="15" hidden="true" customHeight="false" outlineLevel="0" collapsed="false">
      <c r="B23" s="0" t="n">
        <v>313</v>
      </c>
      <c r="C23" s="0" t="s">
        <v>166</v>
      </c>
      <c r="D23" s="0" t="s">
        <v>167</v>
      </c>
      <c r="E23" s="0" t="s">
        <v>1169</v>
      </c>
      <c r="F23" s="0" t="n">
        <v>1</v>
      </c>
      <c r="G23" s="0" t="s">
        <v>61</v>
      </c>
      <c r="H23" s="0" t="s">
        <v>168</v>
      </c>
      <c r="I23" s="0" t="s">
        <v>169</v>
      </c>
      <c r="J23" s="0" t="s">
        <v>170</v>
      </c>
      <c r="K23" s="0" t="s">
        <v>171</v>
      </c>
      <c r="L23" s="0" t="s">
        <v>172</v>
      </c>
      <c r="M23" s="0" t="s">
        <v>173</v>
      </c>
      <c r="N23" s="6" t="n">
        <v>46104</v>
      </c>
      <c r="Q23" s="0" t="s">
        <v>31</v>
      </c>
      <c r="R23" s="0" t="s">
        <v>84</v>
      </c>
    </row>
    <row r="24" customFormat="false" ht="15" hidden="true" customHeight="false" outlineLevel="0" collapsed="false">
      <c r="B24" s="0" t="n">
        <v>328</v>
      </c>
      <c r="C24" s="0" t="s">
        <v>326</v>
      </c>
      <c r="D24" s="0" t="s">
        <v>327</v>
      </c>
      <c r="E24" s="0" t="s">
        <v>1169</v>
      </c>
      <c r="F24" s="0" t="n">
        <v>1</v>
      </c>
      <c r="G24" s="0" t="s">
        <v>152</v>
      </c>
      <c r="H24" s="0" t="s">
        <v>328</v>
      </c>
      <c r="I24" s="0" t="s">
        <v>329</v>
      </c>
      <c r="J24" s="0" t="s">
        <v>330</v>
      </c>
      <c r="K24" s="0" t="s">
        <v>331</v>
      </c>
      <c r="L24" s="0" t="s">
        <v>332</v>
      </c>
      <c r="M24" s="0" t="s">
        <v>333</v>
      </c>
      <c r="N24" s="6" t="n">
        <v>46104</v>
      </c>
      <c r="Q24" s="0" t="s">
        <v>31</v>
      </c>
      <c r="R24" s="0" t="s">
        <v>31</v>
      </c>
    </row>
    <row r="25" customFormat="false" ht="15" hidden="false" customHeight="false" outlineLevel="0" collapsed="false">
      <c r="B25" s="0" t="n">
        <v>360</v>
      </c>
      <c r="C25" s="0" t="s">
        <v>554</v>
      </c>
      <c r="D25" s="0" t="s">
        <v>555</v>
      </c>
      <c r="E25" s="0" t="s">
        <v>1167</v>
      </c>
      <c r="F25" s="0" t="n">
        <v>1</v>
      </c>
      <c r="G25" s="0" t="s">
        <v>61</v>
      </c>
      <c r="H25" s="0" t="s">
        <v>556</v>
      </c>
      <c r="I25" s="0" t="s">
        <v>557</v>
      </c>
      <c r="J25" s="0" t="s">
        <v>558</v>
      </c>
      <c r="K25" s="0" t="s">
        <v>559</v>
      </c>
      <c r="L25" s="0" t="s">
        <v>560</v>
      </c>
      <c r="M25" s="0" t="s">
        <v>561</v>
      </c>
      <c r="N25" s="6" t="n">
        <v>46104</v>
      </c>
      <c r="Q25" s="0" t="s">
        <v>31</v>
      </c>
      <c r="R25" s="0" t="s">
        <v>31</v>
      </c>
    </row>
    <row r="26" customFormat="false" ht="15" hidden="false" customHeight="false" outlineLevel="0" collapsed="false">
      <c r="B26" s="0" t="n">
        <v>354</v>
      </c>
      <c r="C26" s="0" t="s">
        <v>562</v>
      </c>
      <c r="D26" s="0" t="s">
        <v>563</v>
      </c>
      <c r="E26" s="0" t="s">
        <v>1167</v>
      </c>
      <c r="F26" s="0" t="n">
        <v>1</v>
      </c>
      <c r="G26" s="0" t="s">
        <v>61</v>
      </c>
      <c r="H26" s="0" t="s">
        <v>564</v>
      </c>
      <c r="I26" s="0" t="s">
        <v>565</v>
      </c>
      <c r="J26" s="0" t="s">
        <v>566</v>
      </c>
      <c r="K26" s="0" t="s">
        <v>567</v>
      </c>
      <c r="L26" s="0" t="s">
        <v>568</v>
      </c>
      <c r="M26" s="0" t="s">
        <v>569</v>
      </c>
      <c r="N26" s="6" t="n">
        <v>46104</v>
      </c>
      <c r="Q26" s="0" t="s">
        <v>31</v>
      </c>
      <c r="R26" s="0" t="s">
        <v>31</v>
      </c>
    </row>
    <row r="27" customFormat="false" ht="15" hidden="false" customHeight="false" outlineLevel="0" collapsed="false">
      <c r="B27" s="0" t="n">
        <v>355</v>
      </c>
      <c r="C27" s="0" t="s">
        <v>85</v>
      </c>
      <c r="D27" s="0" t="s">
        <v>86</v>
      </c>
      <c r="E27" s="0" t="s">
        <v>1167</v>
      </c>
      <c r="F27" s="0" t="n">
        <v>2</v>
      </c>
      <c r="G27" s="0" t="s">
        <v>87</v>
      </c>
      <c r="H27" s="0" t="s">
        <v>88</v>
      </c>
      <c r="I27" s="0" t="s">
        <v>89</v>
      </c>
      <c r="J27" s="0" t="s">
        <v>90</v>
      </c>
      <c r="K27" s="0" t="s">
        <v>91</v>
      </c>
      <c r="L27" s="0" t="s">
        <v>92</v>
      </c>
      <c r="M27" s="0" t="s">
        <v>93</v>
      </c>
      <c r="N27" s="6" t="n">
        <v>46104</v>
      </c>
      <c r="Q27" s="0" t="s">
        <v>31</v>
      </c>
      <c r="R27" s="0" t="s">
        <v>84</v>
      </c>
    </row>
    <row r="28" customFormat="false" ht="45" hidden="false" customHeight="true" outlineLevel="0" collapsed="false">
      <c r="B28" s="0" t="n">
        <v>381</v>
      </c>
      <c r="C28" s="0" t="s">
        <v>439</v>
      </c>
      <c r="D28" s="0" t="s">
        <v>440</v>
      </c>
      <c r="E28" s="0" t="s">
        <v>1167</v>
      </c>
      <c r="F28" s="0" t="n">
        <v>1</v>
      </c>
      <c r="G28" s="0" t="s">
        <v>152</v>
      </c>
      <c r="H28" s="2" t="s">
        <v>441</v>
      </c>
      <c r="I28" s="2" t="s">
        <v>442</v>
      </c>
      <c r="J28" s="2" t="s">
        <v>443</v>
      </c>
      <c r="K28" s="0" t="s">
        <v>444</v>
      </c>
      <c r="L28" s="0" t="s">
        <v>1171</v>
      </c>
      <c r="M28" s="0" t="s">
        <v>446</v>
      </c>
      <c r="N28" s="6" t="n">
        <v>46104</v>
      </c>
      <c r="Q28" s="0" t="s">
        <v>31</v>
      </c>
      <c r="R28" s="0" t="s">
        <v>31</v>
      </c>
    </row>
    <row r="29" customFormat="false" ht="45" hidden="true" customHeight="true" outlineLevel="0" collapsed="false">
      <c r="B29" s="0" t="n">
        <v>338</v>
      </c>
      <c r="C29" s="0" t="s">
        <v>439</v>
      </c>
      <c r="D29" s="0" t="s">
        <v>440</v>
      </c>
      <c r="E29" s="0" t="s">
        <v>1169</v>
      </c>
      <c r="F29" s="0" t="n">
        <v>1</v>
      </c>
      <c r="G29" s="0" t="s">
        <v>152</v>
      </c>
      <c r="H29" s="2" t="s">
        <v>441</v>
      </c>
      <c r="I29" s="2" t="s">
        <v>442</v>
      </c>
      <c r="J29" s="2" t="s">
        <v>443</v>
      </c>
      <c r="K29" s="0" t="s">
        <v>444</v>
      </c>
      <c r="L29" s="0" t="s">
        <v>570</v>
      </c>
      <c r="M29" s="0" t="s">
        <v>446</v>
      </c>
      <c r="N29" s="6" t="n">
        <v>46104</v>
      </c>
      <c r="Q29" s="0" t="s">
        <v>31</v>
      </c>
      <c r="R29" s="0" t="s">
        <v>31</v>
      </c>
    </row>
    <row r="30" customFormat="false" ht="15" hidden="true" customHeight="false" outlineLevel="0" collapsed="false">
      <c r="B30" s="0" t="n">
        <v>340</v>
      </c>
      <c r="C30" s="0" t="s">
        <v>571</v>
      </c>
      <c r="D30" s="0" t="s">
        <v>572</v>
      </c>
      <c r="E30" s="0" t="s">
        <v>1169</v>
      </c>
      <c r="F30" s="0" t="n">
        <v>3</v>
      </c>
      <c r="G30" s="0" t="s">
        <v>573</v>
      </c>
      <c r="H30" s="0" t="s">
        <v>574</v>
      </c>
      <c r="I30" s="0" t="s">
        <v>575</v>
      </c>
      <c r="J30" s="0" t="s">
        <v>576</v>
      </c>
      <c r="K30" s="0" t="s">
        <v>577</v>
      </c>
      <c r="L30" s="0" t="s">
        <v>578</v>
      </c>
      <c r="M30" s="0" t="s">
        <v>579</v>
      </c>
      <c r="N30" s="6" t="n">
        <v>46104</v>
      </c>
      <c r="Q30" s="0" t="s">
        <v>31</v>
      </c>
      <c r="R30" s="0" t="s">
        <v>84</v>
      </c>
    </row>
    <row r="31" customFormat="false" ht="15" hidden="false" customHeight="false" outlineLevel="0" collapsed="false">
      <c r="B31" s="0" t="n">
        <v>356</v>
      </c>
      <c r="C31" s="0" t="s">
        <v>580</v>
      </c>
      <c r="D31" s="0" t="s">
        <v>581</v>
      </c>
      <c r="E31" s="0" t="s">
        <v>1167</v>
      </c>
      <c r="F31" s="0" t="n">
        <v>2</v>
      </c>
      <c r="G31" s="0" t="s">
        <v>61</v>
      </c>
      <c r="H31" s="0" t="s">
        <v>582</v>
      </c>
      <c r="I31" s="0" t="s">
        <v>583</v>
      </c>
      <c r="J31" s="0" t="s">
        <v>584</v>
      </c>
      <c r="K31" s="0" t="s">
        <v>585</v>
      </c>
      <c r="L31" s="0" t="s">
        <v>1172</v>
      </c>
      <c r="M31" s="0" t="s">
        <v>587</v>
      </c>
      <c r="N31" s="6" t="n">
        <v>46104</v>
      </c>
      <c r="Q31" s="0" t="s">
        <v>31</v>
      </c>
      <c r="R31" s="0" t="s">
        <v>84</v>
      </c>
    </row>
    <row r="32" customFormat="false" ht="15" hidden="false" customHeight="false" outlineLevel="0" collapsed="false">
      <c r="B32" s="0" t="n">
        <v>378</v>
      </c>
      <c r="C32" s="0" t="s">
        <v>391</v>
      </c>
      <c r="D32" s="0" t="s">
        <v>392</v>
      </c>
      <c r="E32" s="0" t="s">
        <v>1167</v>
      </c>
      <c r="F32" s="0" t="n">
        <v>4</v>
      </c>
      <c r="G32" s="0" t="s">
        <v>111</v>
      </c>
      <c r="H32" s="0" t="s">
        <v>393</v>
      </c>
      <c r="I32" s="0" t="s">
        <v>394</v>
      </c>
      <c r="J32" s="0" t="s">
        <v>395</v>
      </c>
      <c r="K32" s="0" t="s">
        <v>396</v>
      </c>
      <c r="L32" s="0" t="s">
        <v>397</v>
      </c>
      <c r="M32" s="0" t="s">
        <v>398</v>
      </c>
      <c r="N32" s="6" t="n">
        <v>46104</v>
      </c>
      <c r="Q32" s="0" t="s">
        <v>31</v>
      </c>
      <c r="R32" s="0" t="s">
        <v>84</v>
      </c>
    </row>
    <row r="33" customFormat="false" ht="15" hidden="false" customHeight="false" outlineLevel="0" collapsed="false">
      <c r="B33" s="0" t="n">
        <v>385</v>
      </c>
      <c r="C33" s="0" t="s">
        <v>588</v>
      </c>
      <c r="D33" s="0" t="s">
        <v>589</v>
      </c>
      <c r="E33" s="0" t="s">
        <v>1167</v>
      </c>
      <c r="F33" s="0" t="n">
        <v>13</v>
      </c>
      <c r="G33" s="0" t="s">
        <v>24</v>
      </c>
      <c r="H33" s="0" t="s">
        <v>590</v>
      </c>
      <c r="I33" s="0" t="s">
        <v>591</v>
      </c>
      <c r="J33" s="0" t="s">
        <v>592</v>
      </c>
      <c r="K33" s="0" t="s">
        <v>593</v>
      </c>
      <c r="L33" s="0" t="s">
        <v>594</v>
      </c>
      <c r="M33" s="0" t="s">
        <v>595</v>
      </c>
      <c r="N33" s="6" t="n">
        <v>46104</v>
      </c>
      <c r="Q33" s="0" t="s">
        <v>31</v>
      </c>
      <c r="R33" s="0" t="s">
        <v>31</v>
      </c>
    </row>
    <row r="34" customFormat="false" ht="15" hidden="true" customHeight="false" outlineLevel="0" collapsed="false">
      <c r="B34" s="0" t="n">
        <v>344</v>
      </c>
      <c r="C34" s="0" t="s">
        <v>588</v>
      </c>
      <c r="D34" s="0" t="s">
        <v>589</v>
      </c>
      <c r="E34" s="0" t="s">
        <v>1169</v>
      </c>
      <c r="F34" s="0" t="n">
        <v>10</v>
      </c>
      <c r="G34" s="0" t="s">
        <v>24</v>
      </c>
      <c r="H34" s="0" t="s">
        <v>590</v>
      </c>
      <c r="I34" s="0" t="s">
        <v>591</v>
      </c>
      <c r="J34" s="0" t="s">
        <v>592</v>
      </c>
      <c r="K34" s="0" t="s">
        <v>593</v>
      </c>
      <c r="L34" s="0" t="s">
        <v>594</v>
      </c>
      <c r="M34" s="0" t="s">
        <v>595</v>
      </c>
      <c r="N34" s="6" t="n">
        <v>46104</v>
      </c>
      <c r="Q34" s="0" t="s">
        <v>31</v>
      </c>
      <c r="R34" s="0" t="s">
        <v>31</v>
      </c>
    </row>
    <row r="35" customFormat="false" ht="15" hidden="false" customHeight="false" outlineLevel="0" collapsed="false">
      <c r="B35" s="0" t="n">
        <v>383</v>
      </c>
      <c r="C35" s="0" t="s">
        <v>596</v>
      </c>
      <c r="D35" s="0" t="s">
        <v>597</v>
      </c>
      <c r="E35" s="0" t="s">
        <v>1167</v>
      </c>
      <c r="F35" s="0" t="n">
        <v>1</v>
      </c>
      <c r="G35" s="0" t="s">
        <v>61</v>
      </c>
      <c r="H35" s="0" t="s">
        <v>598</v>
      </c>
      <c r="I35" s="0" t="s">
        <v>599</v>
      </c>
      <c r="J35" s="0" t="s">
        <v>600</v>
      </c>
      <c r="K35" s="0" t="s">
        <v>601</v>
      </c>
      <c r="L35" s="0" t="s">
        <v>602</v>
      </c>
      <c r="M35" s="0" t="s">
        <v>603</v>
      </c>
      <c r="N35" s="6" t="n">
        <v>46104</v>
      </c>
      <c r="Q35" s="0" t="s">
        <v>31</v>
      </c>
      <c r="R35" s="0" t="s">
        <v>84</v>
      </c>
    </row>
    <row r="36" customFormat="false" ht="15" hidden="true" customHeight="false" outlineLevel="0" collapsed="false">
      <c r="B36" s="0" t="n">
        <v>322</v>
      </c>
      <c r="C36" s="0" t="s">
        <v>263</v>
      </c>
      <c r="D36" s="0" t="s">
        <v>264</v>
      </c>
      <c r="E36" s="0" t="s">
        <v>1169</v>
      </c>
      <c r="F36" s="0" t="n">
        <v>3</v>
      </c>
      <c r="G36" s="0" t="s">
        <v>61</v>
      </c>
      <c r="H36" s="0" t="s">
        <v>265</v>
      </c>
      <c r="I36" s="0" t="s">
        <v>266</v>
      </c>
      <c r="J36" s="0" t="s">
        <v>267</v>
      </c>
      <c r="K36" s="0" t="s">
        <v>252</v>
      </c>
      <c r="L36" s="0" t="s">
        <v>268</v>
      </c>
      <c r="M36" s="0" t="s">
        <v>269</v>
      </c>
      <c r="N36" s="6" t="n">
        <v>46104</v>
      </c>
      <c r="Q36" s="0" t="s">
        <v>31</v>
      </c>
      <c r="R36" s="0" t="s">
        <v>31</v>
      </c>
    </row>
    <row r="37" customFormat="false" ht="15" hidden="true" customHeight="false" outlineLevel="0" collapsed="false">
      <c r="B37" s="0" t="n">
        <v>341</v>
      </c>
      <c r="C37" s="0" t="s">
        <v>455</v>
      </c>
      <c r="D37" s="0" t="s">
        <v>456</v>
      </c>
      <c r="E37" s="0" t="s">
        <v>1169</v>
      </c>
      <c r="F37" s="0" t="n">
        <v>2</v>
      </c>
      <c r="G37" s="0" t="s">
        <v>111</v>
      </c>
      <c r="H37" s="0" t="s">
        <v>457</v>
      </c>
      <c r="I37" s="0" t="s">
        <v>458</v>
      </c>
      <c r="J37" s="0" t="s">
        <v>459</v>
      </c>
      <c r="K37" s="0" t="s">
        <v>460</v>
      </c>
      <c r="L37" s="0" t="s">
        <v>461</v>
      </c>
      <c r="M37" s="0" t="s">
        <v>462</v>
      </c>
      <c r="N37" s="6" t="n">
        <v>46104</v>
      </c>
      <c r="Q37" s="0" t="s">
        <v>31</v>
      </c>
      <c r="R37" s="0" t="s">
        <v>84</v>
      </c>
    </row>
    <row r="38" customFormat="false" ht="15" hidden="true" customHeight="false" outlineLevel="0" collapsed="false">
      <c r="B38" s="0" t="n">
        <v>332</v>
      </c>
      <c r="C38" s="0" t="s">
        <v>604</v>
      </c>
      <c r="D38" s="0" t="s">
        <v>605</v>
      </c>
      <c r="E38" s="0" t="s">
        <v>1169</v>
      </c>
      <c r="F38" s="0" t="n">
        <v>15</v>
      </c>
      <c r="G38" s="0" t="s">
        <v>61</v>
      </c>
      <c r="H38" s="0" t="s">
        <v>606</v>
      </c>
      <c r="I38" s="0" t="s">
        <v>607</v>
      </c>
      <c r="J38" s="0" t="s">
        <v>608</v>
      </c>
      <c r="K38" s="0" t="s">
        <v>252</v>
      </c>
      <c r="L38" s="0" t="s">
        <v>609</v>
      </c>
      <c r="M38" s="0" t="s">
        <v>610</v>
      </c>
      <c r="N38" s="6" t="n">
        <v>46104</v>
      </c>
      <c r="Q38" s="0" t="s">
        <v>31</v>
      </c>
      <c r="R38" s="0" t="s">
        <v>31</v>
      </c>
    </row>
    <row r="39" customFormat="false" ht="15" hidden="false" customHeight="false" outlineLevel="0" collapsed="false">
      <c r="B39" s="0" t="n">
        <v>353</v>
      </c>
      <c r="C39" s="0" t="s">
        <v>1077</v>
      </c>
      <c r="D39" s="0" t="s">
        <v>916</v>
      </c>
      <c r="E39" s="0" t="s">
        <v>1167</v>
      </c>
      <c r="F39" s="0" t="n">
        <v>1</v>
      </c>
      <c r="G39" s="0" t="s">
        <v>152</v>
      </c>
      <c r="H39" s="0" t="s">
        <v>1078</v>
      </c>
      <c r="I39" s="0" t="s">
        <v>1079</v>
      </c>
      <c r="J39" s="0" t="s">
        <v>1080</v>
      </c>
      <c r="K39" s="0" t="s">
        <v>1081</v>
      </c>
      <c r="L39" s="0" t="s">
        <v>1082</v>
      </c>
      <c r="M39" s="0" t="s">
        <v>1083</v>
      </c>
      <c r="N39" s="6" t="n">
        <v>46104</v>
      </c>
      <c r="Q39" s="0" t="s">
        <v>31</v>
      </c>
      <c r="R39" s="0" t="s">
        <v>84</v>
      </c>
    </row>
    <row r="40" customFormat="false" ht="15" hidden="true" customHeight="false" outlineLevel="0" collapsed="false">
      <c r="B40" s="0" t="n">
        <v>306</v>
      </c>
      <c r="C40" s="0" t="s">
        <v>1077</v>
      </c>
      <c r="D40" s="0" t="s">
        <v>916</v>
      </c>
      <c r="E40" s="0" t="s">
        <v>1169</v>
      </c>
      <c r="F40" s="0" t="n">
        <v>3</v>
      </c>
      <c r="G40" s="0" t="s">
        <v>152</v>
      </c>
      <c r="H40" s="0" t="s">
        <v>1078</v>
      </c>
      <c r="I40" s="0" t="s">
        <v>1079</v>
      </c>
      <c r="J40" s="0" t="s">
        <v>1080</v>
      </c>
      <c r="K40" s="0" t="s">
        <v>1081</v>
      </c>
      <c r="L40" s="0" t="s">
        <v>1082</v>
      </c>
      <c r="M40" s="0" t="s">
        <v>1083</v>
      </c>
      <c r="N40" s="6" t="n">
        <v>46104</v>
      </c>
      <c r="Q40" s="0" t="s">
        <v>31</v>
      </c>
      <c r="R40" s="0" t="s">
        <v>84</v>
      </c>
    </row>
    <row r="41" customFormat="false" ht="15" hidden="true" customHeight="false" outlineLevel="0" collapsed="false">
      <c r="B41" s="0" t="n">
        <v>307</v>
      </c>
      <c r="C41" s="0" t="s">
        <v>59</v>
      </c>
      <c r="D41" s="0" t="s">
        <v>60</v>
      </c>
      <c r="E41" s="0" t="s">
        <v>1169</v>
      </c>
      <c r="F41" s="0" t="n">
        <v>16</v>
      </c>
      <c r="G41" s="0" t="s">
        <v>61</v>
      </c>
      <c r="H41" s="0" t="s">
        <v>62</v>
      </c>
      <c r="I41" s="0" t="s">
        <v>63</v>
      </c>
      <c r="J41" s="0" t="s">
        <v>64</v>
      </c>
      <c r="K41" s="0" t="s">
        <v>65</v>
      </c>
      <c r="L41" s="0" t="s">
        <v>66</v>
      </c>
      <c r="M41" s="0" t="s">
        <v>67</v>
      </c>
      <c r="N41" s="6" t="n">
        <v>46104</v>
      </c>
      <c r="Q41" s="0" t="s">
        <v>31</v>
      </c>
      <c r="R41" s="0" t="s">
        <v>31</v>
      </c>
    </row>
    <row r="42" customFormat="false" ht="15" hidden="false" customHeight="false" outlineLevel="0" collapsed="false">
      <c r="B42" s="0" t="n">
        <v>370</v>
      </c>
      <c r="C42" s="0" t="s">
        <v>286</v>
      </c>
      <c r="D42" s="0" t="s">
        <v>287</v>
      </c>
      <c r="E42" s="0" t="s">
        <v>1167</v>
      </c>
      <c r="F42" s="0" t="n">
        <v>1</v>
      </c>
      <c r="G42" s="0" t="s">
        <v>61</v>
      </c>
      <c r="H42" s="0" t="s">
        <v>288</v>
      </c>
      <c r="I42" s="0" t="s">
        <v>289</v>
      </c>
      <c r="J42" s="0" t="s">
        <v>290</v>
      </c>
      <c r="K42" s="0" t="s">
        <v>291</v>
      </c>
      <c r="L42" s="0" t="s">
        <v>292</v>
      </c>
      <c r="M42" s="0" t="s">
        <v>293</v>
      </c>
      <c r="N42" s="6" t="n">
        <v>46104</v>
      </c>
      <c r="Q42" s="0" t="s">
        <v>31</v>
      </c>
      <c r="R42" s="0" t="s">
        <v>84</v>
      </c>
    </row>
    <row r="43" customFormat="false" ht="15" hidden="false" customHeight="false" outlineLevel="0" collapsed="false">
      <c r="B43" s="0" t="n">
        <v>387</v>
      </c>
      <c r="C43" s="0" t="s">
        <v>611</v>
      </c>
      <c r="D43" s="0" t="s">
        <v>612</v>
      </c>
      <c r="E43" s="0" t="s">
        <v>1167</v>
      </c>
      <c r="F43" s="0" t="n">
        <v>5</v>
      </c>
      <c r="G43" s="0" t="s">
        <v>24</v>
      </c>
      <c r="H43" s="0" t="s">
        <v>613</v>
      </c>
      <c r="I43" s="0" t="s">
        <v>614</v>
      </c>
      <c r="J43" s="0" t="s">
        <v>615</v>
      </c>
      <c r="K43" s="0" t="s">
        <v>616</v>
      </c>
      <c r="L43" s="0" t="s">
        <v>616</v>
      </c>
      <c r="M43" s="0" t="s">
        <v>617</v>
      </c>
      <c r="N43" s="6" t="n">
        <v>46104</v>
      </c>
      <c r="Q43" s="0" t="s">
        <v>31</v>
      </c>
      <c r="R43" s="0" t="s">
        <v>31</v>
      </c>
    </row>
    <row r="44" customFormat="false" ht="15" hidden="true" customHeight="false" outlineLevel="0" collapsed="false">
      <c r="B44" s="0" t="n">
        <v>335</v>
      </c>
      <c r="C44" s="0" t="s">
        <v>399</v>
      </c>
      <c r="D44" s="0" t="s">
        <v>400</v>
      </c>
      <c r="E44" s="0" t="s">
        <v>1169</v>
      </c>
      <c r="F44" s="0" t="n">
        <v>2</v>
      </c>
      <c r="G44" s="0" t="s">
        <v>152</v>
      </c>
      <c r="H44" s="0" t="s">
        <v>401</v>
      </c>
      <c r="I44" s="0" t="s">
        <v>402</v>
      </c>
      <c r="J44" s="0" t="s">
        <v>403</v>
      </c>
      <c r="K44" s="0" t="s">
        <v>404</v>
      </c>
      <c r="L44" s="0" t="s">
        <v>791</v>
      </c>
      <c r="M44" s="0" t="s">
        <v>406</v>
      </c>
      <c r="N44" s="6" t="n">
        <v>46104</v>
      </c>
      <c r="Q44" s="0" t="s">
        <v>31</v>
      </c>
      <c r="R44" s="0" t="s">
        <v>84</v>
      </c>
    </row>
    <row r="45" customFormat="false" ht="15" hidden="false" customHeight="false" outlineLevel="0" collapsed="false">
      <c r="B45" s="0" t="n">
        <v>373</v>
      </c>
      <c r="C45" s="0" t="s">
        <v>342</v>
      </c>
      <c r="D45" s="0" t="s">
        <v>343</v>
      </c>
      <c r="E45" s="0" t="s">
        <v>1167</v>
      </c>
      <c r="F45" s="0" t="n">
        <v>1</v>
      </c>
      <c r="G45" s="0" t="s">
        <v>24</v>
      </c>
      <c r="H45" s="0" t="s">
        <v>344</v>
      </c>
      <c r="I45" s="0" t="s">
        <v>345</v>
      </c>
      <c r="J45" s="0" t="s">
        <v>346</v>
      </c>
      <c r="K45" s="0" t="s">
        <v>348</v>
      </c>
      <c r="L45" s="0" t="s">
        <v>348</v>
      </c>
      <c r="M45" s="0" t="s">
        <v>349</v>
      </c>
      <c r="N45" s="6" t="n">
        <v>46104</v>
      </c>
      <c r="Q45" s="0" t="s">
        <v>31</v>
      </c>
      <c r="R45" s="0" t="s">
        <v>31</v>
      </c>
    </row>
    <row r="46" customFormat="false" ht="15" hidden="false" customHeight="false" outlineLevel="0" collapsed="false">
      <c r="B46" s="0" t="n">
        <v>352</v>
      </c>
      <c r="C46" s="0" t="s">
        <v>43</v>
      </c>
      <c r="D46" s="0" t="s">
        <v>44</v>
      </c>
      <c r="E46" s="0" t="s">
        <v>1167</v>
      </c>
      <c r="F46" s="0" t="n">
        <v>4</v>
      </c>
      <c r="G46" s="0" t="s">
        <v>24</v>
      </c>
      <c r="H46" s="0" t="s">
        <v>45</v>
      </c>
      <c r="I46" s="0" t="s">
        <v>46</v>
      </c>
      <c r="J46" s="0" t="s">
        <v>47</v>
      </c>
      <c r="K46" s="0" t="s">
        <v>48</v>
      </c>
      <c r="L46" s="0" t="s">
        <v>49</v>
      </c>
      <c r="M46" s="0" t="s">
        <v>50</v>
      </c>
      <c r="N46" s="6" t="n">
        <v>46104</v>
      </c>
      <c r="Q46" s="0" t="s">
        <v>31</v>
      </c>
      <c r="R46" s="0" t="s">
        <v>31</v>
      </c>
    </row>
    <row r="47" customFormat="false" ht="15" hidden="true" customHeight="false" outlineLevel="0" collapsed="false">
      <c r="B47" s="0" t="n">
        <v>305</v>
      </c>
      <c r="C47" s="0" t="s">
        <v>43</v>
      </c>
      <c r="D47" s="0" t="s">
        <v>44</v>
      </c>
      <c r="E47" s="0" t="s">
        <v>1169</v>
      </c>
      <c r="F47" s="0" t="n">
        <v>2</v>
      </c>
      <c r="G47" s="0" t="s">
        <v>24</v>
      </c>
      <c r="H47" s="0" t="s">
        <v>45</v>
      </c>
      <c r="I47" s="0" t="s">
        <v>46</v>
      </c>
      <c r="J47" s="0" t="s">
        <v>47</v>
      </c>
      <c r="K47" s="0" t="s">
        <v>48</v>
      </c>
      <c r="L47" s="0" t="s">
        <v>49</v>
      </c>
      <c r="M47" s="0" t="s">
        <v>50</v>
      </c>
      <c r="N47" s="6" t="n">
        <v>46104</v>
      </c>
      <c r="Q47" s="0" t="s">
        <v>31</v>
      </c>
      <c r="R47" s="0" t="s">
        <v>31</v>
      </c>
    </row>
    <row r="48" customFormat="false" ht="15" hidden="true" customHeight="false" outlineLevel="0" collapsed="false">
      <c r="B48" s="0" t="n">
        <v>324</v>
      </c>
      <c r="C48" s="0" t="s">
        <v>270</v>
      </c>
      <c r="D48" s="0" t="s">
        <v>271</v>
      </c>
      <c r="E48" s="0" t="s">
        <v>1169</v>
      </c>
      <c r="F48" s="0" t="n">
        <v>4</v>
      </c>
      <c r="G48" s="0" t="s">
        <v>61</v>
      </c>
      <c r="H48" s="0" t="s">
        <v>272</v>
      </c>
      <c r="I48" s="0" t="s">
        <v>273</v>
      </c>
      <c r="J48" s="0" t="s">
        <v>274</v>
      </c>
      <c r="K48" s="0" t="s">
        <v>792</v>
      </c>
      <c r="L48" s="0" t="s">
        <v>792</v>
      </c>
      <c r="M48" s="0" t="s">
        <v>277</v>
      </c>
      <c r="N48" s="6" t="n">
        <v>46104</v>
      </c>
      <c r="Q48" s="0" t="s">
        <v>31</v>
      </c>
      <c r="R48" s="0" t="s">
        <v>31</v>
      </c>
    </row>
    <row r="49" customFormat="false" ht="15" hidden="false" customHeight="false" outlineLevel="0" collapsed="false">
      <c r="B49" s="0" t="n">
        <v>369</v>
      </c>
      <c r="C49" s="0" t="s">
        <v>859</v>
      </c>
      <c r="D49" s="0" t="s">
        <v>860</v>
      </c>
      <c r="E49" s="0" t="s">
        <v>1167</v>
      </c>
      <c r="F49" s="0" t="n">
        <v>1</v>
      </c>
      <c r="G49" s="0" t="s">
        <v>861</v>
      </c>
      <c r="H49" s="0" t="s">
        <v>862</v>
      </c>
      <c r="I49" s="0" t="s">
        <v>863</v>
      </c>
      <c r="J49" s="0" t="s">
        <v>864</v>
      </c>
      <c r="K49" s="0" t="s">
        <v>865</v>
      </c>
      <c r="L49" s="0" t="s">
        <v>866</v>
      </c>
      <c r="M49" s="0" t="s">
        <v>867</v>
      </c>
      <c r="N49" s="6" t="n">
        <v>46104</v>
      </c>
      <c r="Q49" s="0" t="s">
        <v>31</v>
      </c>
      <c r="R49" s="0" t="s">
        <v>31</v>
      </c>
    </row>
    <row r="50" customFormat="false" ht="15" hidden="true" customHeight="false" outlineLevel="0" collapsed="false">
      <c r="B50" s="0" t="n">
        <v>326</v>
      </c>
      <c r="C50" s="0" t="s">
        <v>859</v>
      </c>
      <c r="D50" s="0" t="s">
        <v>860</v>
      </c>
      <c r="E50" s="0" t="s">
        <v>1169</v>
      </c>
      <c r="F50" s="0" t="n">
        <v>1</v>
      </c>
      <c r="G50" s="0" t="s">
        <v>861</v>
      </c>
      <c r="H50" s="0" t="s">
        <v>862</v>
      </c>
      <c r="I50" s="0" t="s">
        <v>863</v>
      </c>
      <c r="J50" s="0" t="s">
        <v>864</v>
      </c>
      <c r="K50" s="0" t="s">
        <v>865</v>
      </c>
      <c r="L50" s="0" t="s">
        <v>866</v>
      </c>
      <c r="M50" s="0" t="s">
        <v>867</v>
      </c>
      <c r="N50" s="6" t="n">
        <v>46104</v>
      </c>
      <c r="Q50" s="0" t="s">
        <v>31</v>
      </c>
      <c r="R50" s="0" t="s">
        <v>31</v>
      </c>
    </row>
    <row r="51" customFormat="false" ht="15" hidden="false" customHeight="false" outlineLevel="0" collapsed="false">
      <c r="B51" s="0" t="n">
        <v>388</v>
      </c>
      <c r="C51" s="0" t="s">
        <v>508</v>
      </c>
      <c r="D51" s="0" t="s">
        <v>509</v>
      </c>
      <c r="E51" s="0" t="s">
        <v>1167</v>
      </c>
      <c r="F51" s="0" t="n">
        <v>15</v>
      </c>
      <c r="G51" s="0" t="s">
        <v>61</v>
      </c>
      <c r="H51" s="0" t="s">
        <v>510</v>
      </c>
      <c r="I51" s="0" t="s">
        <v>511</v>
      </c>
      <c r="J51" s="0" t="s">
        <v>512</v>
      </c>
      <c r="K51" s="0" t="s">
        <v>513</v>
      </c>
      <c r="L51" s="0" t="s">
        <v>514</v>
      </c>
      <c r="M51" s="0" t="s">
        <v>515</v>
      </c>
      <c r="N51" s="6" t="n">
        <v>46104</v>
      </c>
      <c r="Q51" s="0" t="s">
        <v>31</v>
      </c>
      <c r="R51" s="0" t="s">
        <v>31</v>
      </c>
    </row>
    <row r="52" customFormat="false" ht="15" hidden="true" customHeight="false" outlineLevel="0" collapsed="false">
      <c r="B52" s="0" t="n">
        <v>346</v>
      </c>
      <c r="C52" s="0" t="s">
        <v>508</v>
      </c>
      <c r="D52" s="0" t="s">
        <v>509</v>
      </c>
      <c r="E52" s="0" t="s">
        <v>1169</v>
      </c>
      <c r="F52" s="0" t="n">
        <v>20</v>
      </c>
      <c r="G52" s="0" t="s">
        <v>61</v>
      </c>
      <c r="H52" s="0" t="s">
        <v>510</v>
      </c>
      <c r="I52" s="0" t="s">
        <v>511</v>
      </c>
      <c r="J52" s="0" t="s">
        <v>512</v>
      </c>
      <c r="K52" s="0" t="s">
        <v>513</v>
      </c>
      <c r="L52" s="0" t="s">
        <v>514</v>
      </c>
      <c r="M52" s="0" t="s">
        <v>515</v>
      </c>
      <c r="N52" s="6" t="n">
        <v>46104</v>
      </c>
      <c r="Q52" s="0" t="s">
        <v>31</v>
      </c>
      <c r="R52" s="0" t="s">
        <v>31</v>
      </c>
    </row>
    <row r="53" customFormat="false" ht="15" hidden="false" customHeight="false" outlineLevel="0" collapsed="false">
      <c r="B53" s="0" t="n">
        <v>357</v>
      </c>
      <c r="C53" s="0" t="s">
        <v>102</v>
      </c>
      <c r="D53" s="0" t="s">
        <v>103</v>
      </c>
      <c r="E53" s="0" t="s">
        <v>1167</v>
      </c>
      <c r="F53" s="0" t="n">
        <v>2</v>
      </c>
      <c r="G53" s="0" t="s">
        <v>61</v>
      </c>
      <c r="H53" s="0" t="s">
        <v>104</v>
      </c>
      <c r="I53" s="0" t="s">
        <v>105</v>
      </c>
      <c r="J53" s="0" t="s">
        <v>106</v>
      </c>
      <c r="K53" s="0" t="s">
        <v>107</v>
      </c>
      <c r="L53" s="0" t="s">
        <v>107</v>
      </c>
      <c r="M53" s="0" t="s">
        <v>108</v>
      </c>
      <c r="N53" s="6" t="n">
        <v>46104</v>
      </c>
      <c r="Q53" s="0" t="s">
        <v>31</v>
      </c>
      <c r="R53" s="0" t="s">
        <v>84</v>
      </c>
    </row>
    <row r="54" customFormat="false" ht="15" hidden="true" customHeight="false" outlineLevel="0" collapsed="false">
      <c r="B54" s="0" t="n">
        <v>310</v>
      </c>
      <c r="C54" s="0" t="s">
        <v>102</v>
      </c>
      <c r="D54" s="0" t="s">
        <v>103</v>
      </c>
      <c r="E54" s="0" t="s">
        <v>1169</v>
      </c>
      <c r="F54" s="0" t="n">
        <v>3</v>
      </c>
      <c r="G54" s="0" t="s">
        <v>61</v>
      </c>
      <c r="H54" s="0" t="s">
        <v>104</v>
      </c>
      <c r="I54" s="0" t="s">
        <v>105</v>
      </c>
      <c r="J54" s="0" t="s">
        <v>106</v>
      </c>
      <c r="K54" s="0" t="s">
        <v>107</v>
      </c>
      <c r="L54" s="0" t="s">
        <v>107</v>
      </c>
      <c r="M54" s="0" t="s">
        <v>108</v>
      </c>
      <c r="N54" s="6" t="n">
        <v>46104</v>
      </c>
      <c r="Q54" s="0" t="s">
        <v>31</v>
      </c>
      <c r="R54" s="0" t="s">
        <v>84</v>
      </c>
    </row>
    <row r="55" customFormat="false" ht="15" hidden="true" customHeight="false" outlineLevel="0" collapsed="false">
      <c r="B55" s="0" t="n">
        <v>348</v>
      </c>
      <c r="C55" s="0" t="s">
        <v>644</v>
      </c>
      <c r="D55" s="0" t="s">
        <v>645</v>
      </c>
      <c r="E55" s="0" t="s">
        <v>1169</v>
      </c>
      <c r="F55" s="0" t="n">
        <v>4</v>
      </c>
      <c r="G55" s="0" t="s">
        <v>61</v>
      </c>
      <c r="H55" s="0" t="s">
        <v>646</v>
      </c>
      <c r="I55" s="0" t="s">
        <v>647</v>
      </c>
      <c r="J55" s="0" t="s">
        <v>648</v>
      </c>
      <c r="K55" s="0" t="s">
        <v>649</v>
      </c>
      <c r="L55" s="0" t="s">
        <v>650</v>
      </c>
      <c r="N55" s="6" t="n">
        <v>46104</v>
      </c>
      <c r="Q55" s="0" t="s">
        <v>31</v>
      </c>
      <c r="R55" s="0" t="s">
        <v>793</v>
      </c>
    </row>
    <row r="56" customFormat="false" ht="15" hidden="true" customHeight="false" outlineLevel="0" collapsed="false">
      <c r="B56" s="0" t="n">
        <v>312</v>
      </c>
      <c r="C56" s="0" t="s">
        <v>150</v>
      </c>
      <c r="D56" s="0" t="s">
        <v>151</v>
      </c>
      <c r="E56" s="0" t="s">
        <v>1169</v>
      </c>
      <c r="F56" s="0" t="n">
        <v>2</v>
      </c>
      <c r="G56" s="0" t="s">
        <v>152</v>
      </c>
      <c r="H56" s="0" t="s">
        <v>153</v>
      </c>
      <c r="I56" s="0" t="s">
        <v>154</v>
      </c>
      <c r="J56" s="0" t="s">
        <v>155</v>
      </c>
      <c r="K56" s="0" t="s">
        <v>156</v>
      </c>
      <c r="L56" s="0" t="s">
        <v>1173</v>
      </c>
      <c r="M56" s="0" t="s">
        <v>158</v>
      </c>
      <c r="N56" s="6" t="n">
        <v>46104</v>
      </c>
      <c r="Q56" s="0" t="s">
        <v>31</v>
      </c>
      <c r="R56" s="0" t="s">
        <v>84</v>
      </c>
    </row>
    <row r="57" customFormat="false" ht="15" hidden="true" customHeight="false" outlineLevel="0" collapsed="false">
      <c r="B57" s="0" t="n">
        <v>323</v>
      </c>
      <c r="C57" s="0" t="s">
        <v>651</v>
      </c>
      <c r="D57" s="0" t="s">
        <v>652</v>
      </c>
      <c r="E57" s="0" t="s">
        <v>1169</v>
      </c>
      <c r="F57" s="0" t="n">
        <v>5</v>
      </c>
      <c r="G57" s="0" t="s">
        <v>111</v>
      </c>
      <c r="H57" s="0" t="s">
        <v>653</v>
      </c>
      <c r="I57" s="0" t="s">
        <v>654</v>
      </c>
      <c r="J57" s="0" t="s">
        <v>655</v>
      </c>
      <c r="K57" s="0" t="s">
        <v>656</v>
      </c>
      <c r="L57" s="0" t="s">
        <v>657</v>
      </c>
      <c r="M57" s="0" t="s">
        <v>658</v>
      </c>
      <c r="N57" s="6" t="n">
        <v>46104</v>
      </c>
      <c r="Q57" s="0" t="s">
        <v>31</v>
      </c>
      <c r="R57" s="0" t="s">
        <v>31</v>
      </c>
    </row>
    <row r="58" customFormat="false" ht="15" hidden="true" customHeight="false" outlineLevel="0" collapsed="false">
      <c r="B58" s="0" t="n">
        <v>319</v>
      </c>
      <c r="C58" s="0" t="s">
        <v>795</v>
      </c>
      <c r="D58" s="0" t="s">
        <v>796</v>
      </c>
      <c r="E58" s="0" t="s">
        <v>1169</v>
      </c>
      <c r="F58" s="0" t="n">
        <v>16</v>
      </c>
      <c r="G58" s="0" t="s">
        <v>61</v>
      </c>
      <c r="H58" s="0" t="s">
        <v>1174</v>
      </c>
      <c r="I58" s="0" t="s">
        <v>1175</v>
      </c>
      <c r="J58" s="0" t="s">
        <v>1176</v>
      </c>
      <c r="K58" s="0" t="s">
        <v>236</v>
      </c>
      <c r="L58" s="0" t="s">
        <v>1177</v>
      </c>
      <c r="M58" s="0" t="s">
        <v>801</v>
      </c>
      <c r="N58" s="6" t="n">
        <v>46104</v>
      </c>
      <c r="Q58" s="0" t="s">
        <v>31</v>
      </c>
      <c r="R58" s="0" t="s">
        <v>84</v>
      </c>
    </row>
    <row r="59" customFormat="false" ht="15" hidden="false" customHeight="false" outlineLevel="0" collapsed="false">
      <c r="B59" s="0" t="n">
        <v>368</v>
      </c>
      <c r="C59" s="0" t="s">
        <v>278</v>
      </c>
      <c r="D59" s="0" t="s">
        <v>279</v>
      </c>
      <c r="E59" s="0" t="s">
        <v>1167</v>
      </c>
      <c r="F59" s="0" t="n">
        <v>7</v>
      </c>
      <c r="G59" s="0" t="s">
        <v>61</v>
      </c>
      <c r="H59" s="0" t="s">
        <v>280</v>
      </c>
      <c r="I59" s="0" t="s">
        <v>281</v>
      </c>
      <c r="J59" s="0" t="s">
        <v>282</v>
      </c>
      <c r="K59" s="0" t="s">
        <v>283</v>
      </c>
      <c r="L59" s="0" t="s">
        <v>284</v>
      </c>
      <c r="M59" s="0" t="s">
        <v>285</v>
      </c>
      <c r="N59" s="6" t="n">
        <v>46104</v>
      </c>
      <c r="Q59" s="0" t="s">
        <v>31</v>
      </c>
      <c r="R59" s="0" t="s">
        <v>31</v>
      </c>
    </row>
    <row r="60" customFormat="false" ht="15" hidden="false" customHeight="false" outlineLevel="0" collapsed="false">
      <c r="B60" s="0" t="n">
        <v>358</v>
      </c>
      <c r="C60" s="0" t="s">
        <v>117</v>
      </c>
      <c r="D60" s="0" t="s">
        <v>118</v>
      </c>
      <c r="E60" s="0" t="s">
        <v>1167</v>
      </c>
      <c r="F60" s="0" t="n">
        <v>6</v>
      </c>
      <c r="G60" s="0" t="s">
        <v>24</v>
      </c>
      <c r="H60" s="0" t="s">
        <v>119</v>
      </c>
      <c r="I60" s="0" t="s">
        <v>120</v>
      </c>
      <c r="J60" s="0" t="s">
        <v>121</v>
      </c>
      <c r="K60" s="0" t="s">
        <v>122</v>
      </c>
      <c r="L60" s="0" t="s">
        <v>123</v>
      </c>
      <c r="M60" s="0" t="s">
        <v>124</v>
      </c>
      <c r="N60" s="6" t="n">
        <v>46104</v>
      </c>
      <c r="Q60" s="0" t="s">
        <v>31</v>
      </c>
      <c r="R60" s="0" t="s">
        <v>31</v>
      </c>
    </row>
    <row r="61" customFormat="false" ht="15" hidden="true" customHeight="false" outlineLevel="0" collapsed="false">
      <c r="B61" s="0" t="n">
        <v>314</v>
      </c>
      <c r="C61" s="0" t="s">
        <v>667</v>
      </c>
      <c r="D61" s="0" t="s">
        <v>668</v>
      </c>
      <c r="E61" s="0" t="s">
        <v>1169</v>
      </c>
      <c r="F61" s="0" t="n">
        <v>1</v>
      </c>
      <c r="G61" s="0" t="s">
        <v>61</v>
      </c>
      <c r="H61" s="0" t="s">
        <v>669</v>
      </c>
      <c r="I61" s="0" t="s">
        <v>670</v>
      </c>
      <c r="J61" s="0" t="s">
        <v>671</v>
      </c>
      <c r="K61" s="0" t="s">
        <v>672</v>
      </c>
      <c r="L61" s="0" t="s">
        <v>672</v>
      </c>
      <c r="M61" s="0" t="s">
        <v>673</v>
      </c>
      <c r="N61" s="6" t="n">
        <v>46104</v>
      </c>
      <c r="Q61" s="0" t="s">
        <v>31</v>
      </c>
      <c r="R61" s="0" t="s">
        <v>84</v>
      </c>
    </row>
    <row r="62" customFormat="false" ht="15" hidden="true" customHeight="false" outlineLevel="0" collapsed="false">
      <c r="B62" s="0" t="n">
        <v>334</v>
      </c>
      <c r="C62" s="0" t="s">
        <v>383</v>
      </c>
      <c r="D62" s="0" t="s">
        <v>384</v>
      </c>
      <c r="E62" s="0" t="s">
        <v>1169</v>
      </c>
      <c r="F62" s="0" t="n">
        <v>1</v>
      </c>
      <c r="G62" s="0" t="s">
        <v>61</v>
      </c>
      <c r="H62" s="0" t="s">
        <v>385</v>
      </c>
      <c r="I62" s="0" t="s">
        <v>386</v>
      </c>
      <c r="J62" s="0" t="s">
        <v>387</v>
      </c>
      <c r="K62" s="0" t="s">
        <v>388</v>
      </c>
      <c r="L62" s="0" t="s">
        <v>389</v>
      </c>
      <c r="M62" s="0" t="s">
        <v>390</v>
      </c>
      <c r="N62" s="6" t="n">
        <v>46104</v>
      </c>
      <c r="Q62" s="0" t="s">
        <v>31</v>
      </c>
      <c r="R62" s="0" t="s">
        <v>84</v>
      </c>
    </row>
    <row r="63" customFormat="false" ht="60" hidden="false" customHeight="true" outlineLevel="0" collapsed="false">
      <c r="B63" s="2" t="s">
        <v>1178</v>
      </c>
      <c r="C63" s="0" t="s">
        <v>431</v>
      </c>
      <c r="D63" s="0" t="s">
        <v>432</v>
      </c>
      <c r="E63" s="0" t="s">
        <v>1167</v>
      </c>
      <c r="F63" s="0" t="n">
        <v>3</v>
      </c>
      <c r="G63" s="0" t="s">
        <v>152</v>
      </c>
      <c r="H63" s="2" t="s">
        <v>1179</v>
      </c>
      <c r="I63" s="2" t="s">
        <v>1180</v>
      </c>
      <c r="J63" s="2" t="s">
        <v>1181</v>
      </c>
      <c r="K63" s="0" t="s">
        <v>436</v>
      </c>
      <c r="L63" s="2" t="s">
        <v>1182</v>
      </c>
      <c r="M63" s="0" t="s">
        <v>438</v>
      </c>
      <c r="N63" s="6" t="n">
        <v>46104</v>
      </c>
      <c r="Q63" s="0" t="s">
        <v>31</v>
      </c>
      <c r="R63" s="0" t="s">
        <v>31</v>
      </c>
    </row>
    <row r="64" customFormat="false" ht="75" hidden="true" customHeight="true" outlineLevel="0" collapsed="false">
      <c r="B64" s="2" t="s">
        <v>1183</v>
      </c>
      <c r="C64" s="0" t="s">
        <v>431</v>
      </c>
      <c r="D64" s="0" t="s">
        <v>432</v>
      </c>
      <c r="E64" s="0" t="s">
        <v>1169</v>
      </c>
      <c r="F64" s="0" t="n">
        <v>9</v>
      </c>
      <c r="G64" s="0" t="s">
        <v>152</v>
      </c>
      <c r="H64" s="2" t="s">
        <v>1184</v>
      </c>
      <c r="I64" s="2" t="s">
        <v>1185</v>
      </c>
      <c r="J64" s="2" t="s">
        <v>1186</v>
      </c>
      <c r="K64" s="0" t="s">
        <v>436</v>
      </c>
      <c r="L64" s="2" t="s">
        <v>1187</v>
      </c>
      <c r="M64" s="0" t="s">
        <v>438</v>
      </c>
      <c r="N64" s="6" t="n">
        <v>46104</v>
      </c>
      <c r="Q64" s="0" t="s">
        <v>31</v>
      </c>
      <c r="R64" s="0" t="s">
        <v>31</v>
      </c>
    </row>
    <row r="65" customFormat="false" ht="45" hidden="false" customHeight="true" outlineLevel="0" collapsed="false">
      <c r="B65" s="2" t="s">
        <v>1188</v>
      </c>
      <c r="C65" s="0" t="s">
        <v>366</v>
      </c>
      <c r="D65" s="0" t="s">
        <v>367</v>
      </c>
      <c r="E65" s="0" t="s">
        <v>1167</v>
      </c>
      <c r="F65" s="0" t="n">
        <v>6</v>
      </c>
      <c r="G65" s="0" t="s">
        <v>368</v>
      </c>
      <c r="H65" s="0" t="s">
        <v>369</v>
      </c>
      <c r="I65" s="0" t="s">
        <v>370</v>
      </c>
      <c r="J65" s="0" t="s">
        <v>371</v>
      </c>
      <c r="K65" s="0" t="s">
        <v>372</v>
      </c>
      <c r="L65" s="2" t="s">
        <v>1189</v>
      </c>
      <c r="M65" s="0" t="s">
        <v>374</v>
      </c>
      <c r="N65" s="6" t="n">
        <v>46104</v>
      </c>
      <c r="Q65" s="0" t="s">
        <v>31</v>
      </c>
      <c r="R65" s="0" t="s">
        <v>84</v>
      </c>
    </row>
    <row r="66" customFormat="false" ht="60" hidden="true" customHeight="true" outlineLevel="0" collapsed="false">
      <c r="B66" s="2" t="s">
        <v>1190</v>
      </c>
      <c r="C66" s="0" t="s">
        <v>366</v>
      </c>
      <c r="D66" s="0" t="s">
        <v>367</v>
      </c>
      <c r="E66" s="0" t="s">
        <v>1169</v>
      </c>
      <c r="F66" s="0" t="n">
        <v>15</v>
      </c>
      <c r="G66" s="0" t="s">
        <v>368</v>
      </c>
      <c r="H66" s="0" t="s">
        <v>369</v>
      </c>
      <c r="I66" s="0" t="s">
        <v>370</v>
      </c>
      <c r="J66" s="0" t="s">
        <v>371</v>
      </c>
      <c r="K66" s="0" t="s">
        <v>372</v>
      </c>
      <c r="L66" s="2" t="s">
        <v>1191</v>
      </c>
      <c r="M66" s="0" t="s">
        <v>374</v>
      </c>
      <c r="N66" s="6" t="n">
        <v>46104</v>
      </c>
      <c r="Q66" s="0" t="s">
        <v>31</v>
      </c>
      <c r="R66" s="0" t="s">
        <v>84</v>
      </c>
    </row>
    <row r="67" customFormat="false" ht="15" hidden="false" customHeight="false" outlineLevel="0" collapsed="false">
      <c r="B67" s="0" t="n">
        <v>389</v>
      </c>
      <c r="C67" s="0" t="s">
        <v>516</v>
      </c>
      <c r="D67" s="0" t="s">
        <v>517</v>
      </c>
      <c r="E67" s="0" t="s">
        <v>1167</v>
      </c>
      <c r="F67" s="0" t="n">
        <v>1</v>
      </c>
      <c r="G67" s="0" t="s">
        <v>61</v>
      </c>
      <c r="H67" s="0" t="s">
        <v>518</v>
      </c>
      <c r="I67" s="0" t="s">
        <v>519</v>
      </c>
      <c r="J67" s="0" t="s">
        <v>520</v>
      </c>
      <c r="K67" s="0" t="s">
        <v>521</v>
      </c>
      <c r="L67" s="0" t="s">
        <v>522</v>
      </c>
      <c r="M67" s="0" t="s">
        <v>523</v>
      </c>
      <c r="N67" s="6" t="n">
        <v>46104</v>
      </c>
      <c r="Q67" s="0" t="s">
        <v>31</v>
      </c>
      <c r="R67" s="0" t="s">
        <v>31</v>
      </c>
    </row>
    <row r="68" customFormat="false" ht="15" hidden="true" customHeight="false" outlineLevel="0" collapsed="false">
      <c r="B68" s="0" t="n">
        <v>347</v>
      </c>
      <c r="C68" s="0" t="s">
        <v>516</v>
      </c>
      <c r="D68" s="0" t="s">
        <v>517</v>
      </c>
      <c r="E68" s="0" t="s">
        <v>1169</v>
      </c>
      <c r="F68" s="0" t="n">
        <v>1</v>
      </c>
      <c r="G68" s="0" t="s">
        <v>61</v>
      </c>
      <c r="H68" s="0" t="s">
        <v>518</v>
      </c>
      <c r="I68" s="0" t="s">
        <v>519</v>
      </c>
      <c r="J68" s="0" t="s">
        <v>520</v>
      </c>
      <c r="K68" s="0" t="s">
        <v>521</v>
      </c>
      <c r="L68" s="0" t="s">
        <v>522</v>
      </c>
      <c r="M68" s="0" t="s">
        <v>523</v>
      </c>
      <c r="N68" s="6" t="n">
        <v>46104</v>
      </c>
      <c r="Q68" s="0" t="s">
        <v>31</v>
      </c>
      <c r="R68" s="0" t="s">
        <v>31</v>
      </c>
    </row>
    <row r="69" customFormat="false" ht="15" hidden="false" customHeight="false" outlineLevel="0" collapsed="false">
      <c r="B69" s="0" t="n">
        <v>374</v>
      </c>
      <c r="C69" s="0" t="s">
        <v>802</v>
      </c>
      <c r="D69" s="0" t="s">
        <v>803</v>
      </c>
      <c r="E69" s="0" t="s">
        <v>1167</v>
      </c>
      <c r="F69" s="0" t="n">
        <v>10</v>
      </c>
      <c r="G69" s="0" t="s">
        <v>804</v>
      </c>
      <c r="H69" s="0" t="s">
        <v>805</v>
      </c>
      <c r="I69" s="0" t="s">
        <v>806</v>
      </c>
      <c r="J69" s="0" t="s">
        <v>807</v>
      </c>
      <c r="K69" s="0" t="s">
        <v>808</v>
      </c>
      <c r="L69" s="0" t="s">
        <v>809</v>
      </c>
      <c r="M69" s="0" t="s">
        <v>810</v>
      </c>
      <c r="N69" s="6" t="n">
        <v>46104</v>
      </c>
      <c r="Q69" s="0" t="s">
        <v>31</v>
      </c>
      <c r="R69" s="0" t="s">
        <v>84</v>
      </c>
    </row>
    <row r="70" customFormat="false" ht="15" hidden="true" customHeight="false" outlineLevel="0" collapsed="false">
      <c r="B70" s="0" t="n">
        <v>330</v>
      </c>
      <c r="C70" s="0" t="s">
        <v>802</v>
      </c>
      <c r="D70" s="0" t="s">
        <v>803</v>
      </c>
      <c r="E70" s="0" t="s">
        <v>1169</v>
      </c>
      <c r="F70" s="0" t="n">
        <v>10</v>
      </c>
      <c r="G70" s="0" t="s">
        <v>804</v>
      </c>
      <c r="H70" s="0" t="s">
        <v>805</v>
      </c>
      <c r="I70" s="0" t="s">
        <v>806</v>
      </c>
      <c r="J70" s="0" t="s">
        <v>807</v>
      </c>
      <c r="K70" s="0" t="s">
        <v>808</v>
      </c>
      <c r="L70" s="0" t="s">
        <v>809</v>
      </c>
      <c r="M70" s="0" t="s">
        <v>810</v>
      </c>
      <c r="N70" s="6" t="n">
        <v>46104</v>
      </c>
      <c r="Q70" s="0" t="s">
        <v>31</v>
      </c>
      <c r="R70" s="0" t="s">
        <v>84</v>
      </c>
    </row>
    <row r="71" customFormat="false" ht="15" hidden="false" customHeight="false" outlineLevel="0" collapsed="false">
      <c r="B71" s="0" t="n">
        <v>377</v>
      </c>
      <c r="C71" s="0" t="s">
        <v>375</v>
      </c>
      <c r="D71" s="0" t="s">
        <v>376</v>
      </c>
      <c r="E71" s="0" t="s">
        <v>1167</v>
      </c>
      <c r="F71" s="0" t="n">
        <v>10</v>
      </c>
      <c r="G71" s="0" t="s">
        <v>111</v>
      </c>
      <c r="H71" s="0" t="s">
        <v>377</v>
      </c>
      <c r="I71" s="0" t="s">
        <v>378</v>
      </c>
      <c r="J71" s="0" t="s">
        <v>379</v>
      </c>
      <c r="K71" s="0" t="s">
        <v>380</v>
      </c>
      <c r="L71" s="0" t="s">
        <v>1192</v>
      </c>
      <c r="M71" s="0" t="s">
        <v>382</v>
      </c>
      <c r="N71" s="6" t="n">
        <v>46104</v>
      </c>
      <c r="Q71" s="0" t="s">
        <v>31</v>
      </c>
      <c r="R71" s="0" t="s">
        <v>31</v>
      </c>
    </row>
    <row r="72" customFormat="false" ht="75" hidden="true" customHeight="true" outlineLevel="0" collapsed="false">
      <c r="B72" s="2" t="s">
        <v>1193</v>
      </c>
      <c r="C72" s="0" t="s">
        <v>375</v>
      </c>
      <c r="D72" s="0" t="s">
        <v>376</v>
      </c>
      <c r="E72" s="0" t="s">
        <v>1169</v>
      </c>
      <c r="F72" s="0" t="n">
        <v>15</v>
      </c>
      <c r="G72" s="0" t="s">
        <v>111</v>
      </c>
      <c r="H72" s="2" t="s">
        <v>1194</v>
      </c>
      <c r="I72" s="2" t="s">
        <v>1195</v>
      </c>
      <c r="J72" s="2" t="s">
        <v>1196</v>
      </c>
      <c r="K72" s="0" t="s">
        <v>380</v>
      </c>
      <c r="L72" s="2" t="s">
        <v>1197</v>
      </c>
      <c r="M72" s="0" t="s">
        <v>382</v>
      </c>
      <c r="N72" s="6" t="n">
        <v>46104</v>
      </c>
      <c r="Q72" s="0" t="s">
        <v>31</v>
      </c>
      <c r="R72" s="0" t="s">
        <v>31</v>
      </c>
    </row>
    <row r="73" customFormat="false" ht="15" hidden="false" customHeight="false" outlineLevel="0" collapsed="false">
      <c r="B73" s="0" t="n">
        <v>363</v>
      </c>
      <c r="C73" s="0" t="s">
        <v>198</v>
      </c>
      <c r="D73" s="0" t="s">
        <v>199</v>
      </c>
      <c r="E73" s="0" t="s">
        <v>1167</v>
      </c>
      <c r="F73" s="0" t="n">
        <v>18</v>
      </c>
      <c r="G73" s="0" t="s">
        <v>200</v>
      </c>
      <c r="H73" s="0" t="s">
        <v>201</v>
      </c>
      <c r="I73" s="0" t="s">
        <v>202</v>
      </c>
      <c r="J73" s="0" t="s">
        <v>203</v>
      </c>
      <c r="K73" s="0" t="s">
        <v>204</v>
      </c>
      <c r="L73" s="0" t="s">
        <v>1013</v>
      </c>
      <c r="M73" s="0" t="s">
        <v>206</v>
      </c>
      <c r="N73" s="6" t="n">
        <v>46104</v>
      </c>
      <c r="Q73" s="0" t="s">
        <v>31</v>
      </c>
      <c r="R73" s="0" t="s">
        <v>84</v>
      </c>
    </row>
    <row r="74" customFormat="false" ht="15" hidden="true" customHeight="false" outlineLevel="0" collapsed="false">
      <c r="B74" s="0" t="n">
        <v>316</v>
      </c>
      <c r="C74" s="0" t="s">
        <v>198</v>
      </c>
      <c r="D74" s="0" t="s">
        <v>199</v>
      </c>
      <c r="E74" s="0" t="s">
        <v>1169</v>
      </c>
      <c r="F74" s="0" t="n">
        <v>1</v>
      </c>
      <c r="G74" s="0" t="s">
        <v>200</v>
      </c>
      <c r="H74" s="0" t="s">
        <v>201</v>
      </c>
      <c r="I74" s="0" t="s">
        <v>202</v>
      </c>
      <c r="J74" s="0" t="s">
        <v>203</v>
      </c>
      <c r="K74" s="0" t="s">
        <v>204</v>
      </c>
      <c r="L74" s="0" t="s">
        <v>1198</v>
      </c>
      <c r="M74" s="0" t="s">
        <v>206</v>
      </c>
      <c r="N74" s="6" t="n">
        <v>46104</v>
      </c>
      <c r="Q74" s="0" t="s">
        <v>31</v>
      </c>
      <c r="R74" s="0" t="s">
        <v>84</v>
      </c>
    </row>
    <row r="75" customFormat="false" ht="60" hidden="false" customHeight="true" outlineLevel="0" collapsed="false">
      <c r="B75" s="2" t="s">
        <v>1199</v>
      </c>
      <c r="C75" s="0" t="s">
        <v>190</v>
      </c>
      <c r="D75" s="0" t="s">
        <v>191</v>
      </c>
      <c r="E75" s="0" t="s">
        <v>1167</v>
      </c>
      <c r="F75" s="0" t="n">
        <v>9</v>
      </c>
      <c r="G75" s="0" t="s">
        <v>24</v>
      </c>
      <c r="H75" s="2" t="s">
        <v>1200</v>
      </c>
      <c r="I75" s="2" t="s">
        <v>1201</v>
      </c>
      <c r="J75" s="2" t="s">
        <v>1202</v>
      </c>
      <c r="K75" s="0" t="s">
        <v>195</v>
      </c>
      <c r="L75" s="2" t="s">
        <v>1203</v>
      </c>
      <c r="M75" s="0" t="s">
        <v>197</v>
      </c>
      <c r="N75" s="6" t="n">
        <v>46104</v>
      </c>
      <c r="Q75" s="0" t="s">
        <v>31</v>
      </c>
      <c r="R75" s="0" t="s">
        <v>31</v>
      </c>
    </row>
    <row r="76" customFormat="false" ht="75" hidden="true" customHeight="true" outlineLevel="0" collapsed="false">
      <c r="B76" s="2" t="s">
        <v>1204</v>
      </c>
      <c r="C76" s="0" t="s">
        <v>190</v>
      </c>
      <c r="D76" s="0" t="s">
        <v>191</v>
      </c>
      <c r="E76" s="0" t="s">
        <v>1169</v>
      </c>
      <c r="F76" s="0" t="n">
        <v>6</v>
      </c>
      <c r="G76" s="0" t="s">
        <v>24</v>
      </c>
      <c r="H76" s="2" t="s">
        <v>1205</v>
      </c>
      <c r="I76" s="2" t="s">
        <v>1206</v>
      </c>
      <c r="J76" s="2" t="s">
        <v>1207</v>
      </c>
      <c r="K76" s="0" t="s">
        <v>195</v>
      </c>
      <c r="L76" s="2" t="s">
        <v>1208</v>
      </c>
      <c r="M76" s="0" t="s">
        <v>197</v>
      </c>
      <c r="N76" s="6" t="n">
        <v>46104</v>
      </c>
      <c r="Q76" s="0" t="s">
        <v>31</v>
      </c>
      <c r="R76" s="0" t="s">
        <v>31</v>
      </c>
    </row>
    <row r="77" customFormat="false" ht="105" hidden="true" customHeight="true" outlineLevel="0" collapsed="false">
      <c r="B77" s="2" t="s">
        <v>1209</v>
      </c>
      <c r="C77" s="0" t="s">
        <v>75</v>
      </c>
      <c r="D77" s="0" t="s">
        <v>76</v>
      </c>
      <c r="E77" s="0" t="s">
        <v>1169</v>
      </c>
      <c r="F77" s="0" t="n">
        <v>8</v>
      </c>
      <c r="G77" s="0" t="s">
        <v>77</v>
      </c>
      <c r="H77" s="2" t="s">
        <v>1210</v>
      </c>
      <c r="I77" s="2" t="s">
        <v>1211</v>
      </c>
      <c r="J77" s="2" t="s">
        <v>1212</v>
      </c>
      <c r="K77" s="0" t="s">
        <v>81</v>
      </c>
      <c r="L77" s="2" t="s">
        <v>1213</v>
      </c>
      <c r="M77" s="0" t="s">
        <v>83</v>
      </c>
      <c r="N77" s="6" t="n">
        <v>46104</v>
      </c>
      <c r="Q77" s="0" t="s">
        <v>31</v>
      </c>
      <c r="R77" s="0" t="s">
        <v>84</v>
      </c>
    </row>
    <row r="78" customFormat="false" ht="15" hidden="false" customHeight="false" outlineLevel="0" collapsed="false">
      <c r="B78" s="0" t="n">
        <v>365</v>
      </c>
      <c r="C78" s="0" t="s">
        <v>231</v>
      </c>
      <c r="D78" s="0" t="s">
        <v>232</v>
      </c>
      <c r="E78" s="0" t="s">
        <v>1167</v>
      </c>
      <c r="F78" s="0" t="n">
        <v>2</v>
      </c>
      <c r="G78" s="0" t="s">
        <v>61</v>
      </c>
      <c r="H78" s="0" t="s">
        <v>697</v>
      </c>
      <c r="I78" s="0" t="s">
        <v>698</v>
      </c>
      <c r="J78" s="0" t="s">
        <v>699</v>
      </c>
      <c r="K78" s="0" t="s">
        <v>236</v>
      </c>
      <c r="L78" s="0" t="s">
        <v>700</v>
      </c>
      <c r="M78" s="0" t="s">
        <v>238</v>
      </c>
      <c r="N78" s="6" t="n">
        <v>46104</v>
      </c>
      <c r="Q78" s="0" t="s">
        <v>31</v>
      </c>
      <c r="R78" s="0" t="s">
        <v>84</v>
      </c>
    </row>
    <row r="79" customFormat="false" ht="60" hidden="true" customHeight="true" outlineLevel="0" collapsed="false">
      <c r="B79" s="2" t="s">
        <v>1214</v>
      </c>
      <c r="C79" s="0" t="s">
        <v>231</v>
      </c>
      <c r="D79" s="0" t="s">
        <v>232</v>
      </c>
      <c r="E79" s="0" t="s">
        <v>1169</v>
      </c>
      <c r="F79" s="0" t="n">
        <v>5</v>
      </c>
      <c r="G79" s="0" t="s">
        <v>61</v>
      </c>
      <c r="H79" s="2" t="s">
        <v>702</v>
      </c>
      <c r="I79" s="2" t="s">
        <v>703</v>
      </c>
      <c r="J79" s="2" t="s">
        <v>704</v>
      </c>
      <c r="K79" s="0" t="s">
        <v>236</v>
      </c>
      <c r="L79" s="2" t="s">
        <v>1215</v>
      </c>
      <c r="M79" s="0" t="s">
        <v>238</v>
      </c>
      <c r="N79" s="6" t="n">
        <v>46104</v>
      </c>
      <c r="Q79" s="0" t="s">
        <v>31</v>
      </c>
      <c r="R79" s="0" t="s">
        <v>84</v>
      </c>
    </row>
    <row r="80" customFormat="false" ht="15" hidden="true" customHeight="false" outlineLevel="0" collapsed="false">
      <c r="B80" s="0" t="n">
        <v>343</v>
      </c>
      <c r="C80" s="0" t="s">
        <v>471</v>
      </c>
      <c r="D80" s="0" t="s">
        <v>472</v>
      </c>
      <c r="E80" s="0" t="s">
        <v>1169</v>
      </c>
      <c r="F80" s="0" t="n">
        <v>2</v>
      </c>
      <c r="G80" s="0" t="s">
        <v>111</v>
      </c>
      <c r="H80" s="0" t="s">
        <v>473</v>
      </c>
      <c r="I80" s="0" t="s">
        <v>474</v>
      </c>
      <c r="J80" s="0" t="s">
        <v>475</v>
      </c>
      <c r="K80" s="0" t="s">
        <v>476</v>
      </c>
      <c r="L80" s="0" t="s">
        <v>476</v>
      </c>
      <c r="M80" s="0" t="s">
        <v>477</v>
      </c>
      <c r="N80" s="6" t="n">
        <v>46104</v>
      </c>
      <c r="Q80" s="0" t="s">
        <v>31</v>
      </c>
      <c r="R80" s="0" t="s">
        <v>84</v>
      </c>
    </row>
    <row r="81" customFormat="false" ht="15" hidden="false" customHeight="false" outlineLevel="0" collapsed="false">
      <c r="B81" s="0" t="n">
        <v>366</v>
      </c>
      <c r="C81" s="0" t="s">
        <v>239</v>
      </c>
      <c r="D81" s="0" t="s">
        <v>240</v>
      </c>
      <c r="E81" s="0" t="s">
        <v>1167</v>
      </c>
      <c r="F81" s="0" t="n">
        <v>1</v>
      </c>
      <c r="G81" s="0" t="s">
        <v>24</v>
      </c>
      <c r="H81" s="0" t="s">
        <v>241</v>
      </c>
      <c r="I81" s="0" t="s">
        <v>242</v>
      </c>
      <c r="J81" s="0" t="s">
        <v>243</v>
      </c>
      <c r="K81" s="0" t="s">
        <v>244</v>
      </c>
      <c r="L81" s="0" t="s">
        <v>244</v>
      </c>
      <c r="M81" s="0" t="s">
        <v>246</v>
      </c>
      <c r="N81" s="6" t="n">
        <v>46104</v>
      </c>
      <c r="Q81" s="0" t="s">
        <v>31</v>
      </c>
      <c r="R81" s="0" t="s">
        <v>31</v>
      </c>
    </row>
    <row r="82" customFormat="false" ht="15" hidden="true" customHeight="false" outlineLevel="0" collapsed="false">
      <c r="B82" s="0" t="n">
        <v>320</v>
      </c>
      <c r="C82" s="0" t="s">
        <v>239</v>
      </c>
      <c r="D82" s="0" t="s">
        <v>240</v>
      </c>
      <c r="E82" s="0" t="s">
        <v>1169</v>
      </c>
      <c r="F82" s="0" t="n">
        <v>1</v>
      </c>
      <c r="G82" s="0" t="s">
        <v>24</v>
      </c>
      <c r="H82" s="0" t="s">
        <v>241</v>
      </c>
      <c r="I82" s="0" t="s">
        <v>242</v>
      </c>
      <c r="J82" s="0" t="s">
        <v>243</v>
      </c>
      <c r="K82" s="0" t="s">
        <v>244</v>
      </c>
      <c r="L82" s="0" t="s">
        <v>244</v>
      </c>
      <c r="M82" s="0" t="s">
        <v>246</v>
      </c>
      <c r="N82" s="6" t="n">
        <v>46104</v>
      </c>
      <c r="Q82" s="0" t="s">
        <v>31</v>
      </c>
      <c r="R82" s="0" t="s">
        <v>31</v>
      </c>
    </row>
    <row r="83" customFormat="false" ht="15" hidden="false" customHeight="false" outlineLevel="0" collapsed="false">
      <c r="B83" s="0" t="n">
        <v>359</v>
      </c>
      <c r="C83" s="0" t="s">
        <v>125</v>
      </c>
      <c r="D83" s="0" t="s">
        <v>126</v>
      </c>
      <c r="E83" s="0" t="s">
        <v>1167</v>
      </c>
      <c r="F83" s="0" t="n">
        <v>1</v>
      </c>
      <c r="G83" s="0" t="s">
        <v>127</v>
      </c>
      <c r="H83" s="0" t="s">
        <v>128</v>
      </c>
      <c r="I83" s="0" t="s">
        <v>129</v>
      </c>
      <c r="J83" s="0" t="s">
        <v>130</v>
      </c>
      <c r="K83" s="0" t="s">
        <v>131</v>
      </c>
      <c r="L83" s="0" t="s">
        <v>132</v>
      </c>
      <c r="M83" s="0" t="s">
        <v>133</v>
      </c>
      <c r="N83" s="6" t="n">
        <v>46104</v>
      </c>
      <c r="Q83" s="0" t="s">
        <v>31</v>
      </c>
      <c r="R83" s="0" t="s">
        <v>84</v>
      </c>
    </row>
    <row r="84" customFormat="false" ht="15" hidden="true" customHeight="false" outlineLevel="0" collapsed="false">
      <c r="B84" s="0" t="n">
        <v>309</v>
      </c>
      <c r="C84" s="0" t="s">
        <v>725</v>
      </c>
      <c r="D84" s="0" t="s">
        <v>726</v>
      </c>
      <c r="E84" s="0" t="s">
        <v>1169</v>
      </c>
      <c r="F84" s="0" t="n">
        <v>2</v>
      </c>
      <c r="G84" s="0" t="s">
        <v>727</v>
      </c>
      <c r="H84" s="0" t="s">
        <v>728</v>
      </c>
      <c r="I84" s="0" t="s">
        <v>729</v>
      </c>
      <c r="J84" s="0" t="s">
        <v>730</v>
      </c>
      <c r="K84" s="0" t="s">
        <v>731</v>
      </c>
      <c r="L84" s="0" t="s">
        <v>732</v>
      </c>
      <c r="M84" s="0" t="s">
        <v>733</v>
      </c>
      <c r="N84" s="6" t="n">
        <v>46104</v>
      </c>
      <c r="Q84" s="0" t="s">
        <v>31</v>
      </c>
      <c r="R84" s="0" t="s">
        <v>31</v>
      </c>
    </row>
    <row r="85" customFormat="false" ht="15" hidden="false" customHeight="false" outlineLevel="0" collapsed="false">
      <c r="B85" s="0" t="n">
        <v>379</v>
      </c>
      <c r="C85" s="0" t="s">
        <v>415</v>
      </c>
      <c r="D85" s="0" t="s">
        <v>416</v>
      </c>
      <c r="E85" s="0" t="s">
        <v>1167</v>
      </c>
      <c r="F85" s="0" t="n">
        <v>1</v>
      </c>
      <c r="G85" s="0" t="s">
        <v>417</v>
      </c>
      <c r="H85" s="0" t="s">
        <v>418</v>
      </c>
      <c r="I85" s="0" t="s">
        <v>419</v>
      </c>
      <c r="J85" s="0" t="s">
        <v>420</v>
      </c>
      <c r="K85" s="0" t="s">
        <v>421</v>
      </c>
      <c r="L85" s="0" t="s">
        <v>422</v>
      </c>
      <c r="M85" s="0" t="s">
        <v>423</v>
      </c>
      <c r="N85" s="6" t="n">
        <v>46104</v>
      </c>
      <c r="Q85" s="0" t="s">
        <v>31</v>
      </c>
      <c r="R85" s="0" t="s">
        <v>31</v>
      </c>
    </row>
    <row r="86" customFormat="false" ht="15" hidden="false" customHeight="false" outlineLevel="0" collapsed="false">
      <c r="B86" s="0" t="n">
        <v>375</v>
      </c>
      <c r="C86" s="0" t="s">
        <v>357</v>
      </c>
      <c r="D86" s="0" t="s">
        <v>358</v>
      </c>
      <c r="E86" s="0" t="s">
        <v>1167</v>
      </c>
      <c r="F86" s="0" t="n">
        <v>1</v>
      </c>
      <c r="G86" s="0" t="s">
        <v>359</v>
      </c>
      <c r="H86" s="0" t="s">
        <v>360</v>
      </c>
      <c r="I86" s="0" t="s">
        <v>361</v>
      </c>
      <c r="J86" s="0" t="s">
        <v>362</v>
      </c>
      <c r="K86" s="0" t="s">
        <v>363</v>
      </c>
      <c r="L86" s="0" t="s">
        <v>364</v>
      </c>
      <c r="M86" s="0" t="s">
        <v>365</v>
      </c>
      <c r="N86" s="6" t="n">
        <v>46104</v>
      </c>
      <c r="Q86" s="0" t="s">
        <v>31</v>
      </c>
      <c r="R86" s="0" t="s">
        <v>84</v>
      </c>
    </row>
    <row r="87" customFormat="false" ht="15" hidden="true" customHeight="false" outlineLevel="0" collapsed="false">
      <c r="B87" s="0" t="n">
        <v>325</v>
      </c>
      <c r="C87" s="0" t="s">
        <v>743</v>
      </c>
      <c r="D87" s="0" t="s">
        <v>744</v>
      </c>
      <c r="E87" s="0" t="s">
        <v>1169</v>
      </c>
      <c r="F87" s="0" t="n">
        <v>2</v>
      </c>
      <c r="G87" s="0" t="s">
        <v>745</v>
      </c>
      <c r="H87" s="0" t="s">
        <v>746</v>
      </c>
      <c r="I87" s="0" t="s">
        <v>747</v>
      </c>
      <c r="J87" s="0" t="s">
        <v>748</v>
      </c>
      <c r="K87" s="0" t="s">
        <v>749</v>
      </c>
      <c r="L87" s="0" t="s">
        <v>750</v>
      </c>
      <c r="M87" s="0" t="s">
        <v>751</v>
      </c>
      <c r="N87" s="6" t="n">
        <v>46104</v>
      </c>
      <c r="Q87" s="0" t="s">
        <v>31</v>
      </c>
      <c r="R87" s="0" t="s">
        <v>84</v>
      </c>
    </row>
    <row r="88" customFormat="false" ht="15" hidden="true" customHeight="false" outlineLevel="0" collapsed="false">
      <c r="B88" s="0" t="n">
        <v>317</v>
      </c>
      <c r="C88" s="0" t="s">
        <v>223</v>
      </c>
      <c r="D88" s="0" t="s">
        <v>224</v>
      </c>
      <c r="E88" s="0" t="s">
        <v>1169</v>
      </c>
      <c r="F88" s="0" t="n">
        <v>1</v>
      </c>
      <c r="G88" s="0" t="s">
        <v>61</v>
      </c>
      <c r="H88" s="0" t="s">
        <v>225</v>
      </c>
      <c r="I88" s="0" t="s">
        <v>226</v>
      </c>
      <c r="J88" s="0" t="s">
        <v>227</v>
      </c>
      <c r="K88" s="0" t="s">
        <v>228</v>
      </c>
      <c r="L88" s="0" t="s">
        <v>229</v>
      </c>
      <c r="M88" s="0" t="s">
        <v>230</v>
      </c>
      <c r="N88" s="6" t="n">
        <v>46104</v>
      </c>
      <c r="Q88" s="0" t="s">
        <v>31</v>
      </c>
      <c r="R88" s="0" t="s">
        <v>31</v>
      </c>
    </row>
    <row r="89" customFormat="false" ht="15" hidden="false" customHeight="false" outlineLevel="0" collapsed="false">
      <c r="F89" s="0" t="n">
        <f aca="false">SUBTOTAL(109,Table4[Kom.])</f>
        <v>150</v>
      </c>
      <c r="N89" s="6"/>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89"/>
  <sheetViews>
    <sheetView showFormulas="false" showGridLines="true" showRowColHeaders="true" showZeros="true" rightToLeft="false" tabSelected="false" showOutlineSymbols="true" defaultGridColor="true" view="normal" topLeftCell="A68" colorId="64" zoomScale="100" zoomScaleNormal="100" zoomScalePageLayoutView="100" workbookViewId="0">
      <selection pane="topLeft" activeCell="F89" activeCellId="0" sqref="F89"/>
    </sheetView>
  </sheetViews>
  <sheetFormatPr defaultColWidth="8.859375" defaultRowHeight="15" zeroHeight="false" outlineLevelRow="0" outlineLevelCol="0"/>
  <cols>
    <col collapsed="false" customWidth="true" hidden="false" outlineLevel="0" max="1" min="1" style="0" width="9.28"/>
    <col collapsed="false" customWidth="true" hidden="false" outlineLevel="0" max="2" min="2" style="0" width="40.14"/>
    <col collapsed="false" customWidth="true" hidden="false" outlineLevel="0" max="3" min="3" style="0" width="9.28"/>
    <col collapsed="false" customWidth="true" hidden="false" outlineLevel="0" max="4" min="4" style="0" width="63.14"/>
    <col collapsed="false" customWidth="true" hidden="false" outlineLevel="0" max="5" min="5" style="0" width="90.29"/>
    <col collapsed="false" customWidth="true" hidden="false" outlineLevel="0" max="6" min="6" style="0" width="9.28"/>
    <col collapsed="false" customWidth="true" hidden="false" outlineLevel="0" max="7" min="7" style="0" width="14.14"/>
    <col collapsed="false" customWidth="true" hidden="false" outlineLevel="0" max="8" min="8" style="0" width="63.71"/>
    <col collapsed="false" customWidth="true" hidden="false" outlineLevel="0" max="9" min="9" style="0" width="56"/>
    <col collapsed="false" customWidth="true" hidden="false" outlineLevel="0" max="10" min="10" style="0" width="83.28"/>
    <col collapsed="false" customWidth="true" hidden="false" outlineLevel="0" max="11" min="11" style="0" width="39"/>
    <col collapsed="false" customWidth="true" hidden="false" outlineLevel="0" max="12" min="12" style="0" width="255.71"/>
    <col collapsed="false" customWidth="true" hidden="false" outlineLevel="0" max="13" min="13" style="0" width="12"/>
    <col collapsed="false" customWidth="true" hidden="false" outlineLevel="0" max="14" min="14" style="0" width="21.71"/>
    <col collapsed="false" customWidth="true" hidden="false" outlineLevel="0" max="15" min="15" style="0" width="14.85"/>
    <col collapsed="false" customWidth="true" hidden="false" outlineLevel="0" max="16" min="16" style="0" width="15.85"/>
    <col collapsed="false" customWidth="true" hidden="false" outlineLevel="0" max="17" min="17" style="0" width="12.85"/>
    <col collapsed="false" customWidth="true" hidden="false" outlineLevel="0" max="18" min="18" style="0" width="13.71"/>
  </cols>
  <sheetData>
    <row r="1" customFormat="false" ht="15" hidden="false" customHeight="false" outlineLevel="0" collapsed="false">
      <c r="A1" s="1" t="s">
        <v>1165</v>
      </c>
    </row>
    <row r="3" customFormat="false" ht="15" hidden="false" customHeight="false" outlineLevel="0" collapsed="false">
      <c r="A3" s="3" t="s">
        <v>1</v>
      </c>
      <c r="B3" s="3" t="s">
        <v>2</v>
      </c>
      <c r="C3" s="3" t="s">
        <v>4</v>
      </c>
      <c r="D3" s="3" t="s">
        <v>6</v>
      </c>
      <c r="E3" s="3" t="s">
        <v>5</v>
      </c>
      <c r="F3" s="3" t="s">
        <v>7</v>
      </c>
      <c r="G3" s="3" t="s">
        <v>8</v>
      </c>
      <c r="H3" s="3" t="s">
        <v>9</v>
      </c>
      <c r="I3" s="3" t="s">
        <v>10</v>
      </c>
      <c r="J3" s="3" t="s">
        <v>11</v>
      </c>
      <c r="K3" s="3" t="s">
        <v>12</v>
      </c>
      <c r="L3" s="3" t="s">
        <v>13</v>
      </c>
      <c r="M3" s="3" t="s">
        <v>14</v>
      </c>
      <c r="N3" s="3" t="s">
        <v>16</v>
      </c>
      <c r="O3" s="4" t="s">
        <v>17</v>
      </c>
      <c r="P3" s="4" t="s">
        <v>18</v>
      </c>
      <c r="Q3" s="3" t="s">
        <v>19</v>
      </c>
      <c r="R3" s="3" t="s">
        <v>20</v>
      </c>
    </row>
    <row r="4" customFormat="false" ht="45" hidden="true" customHeight="true" outlineLevel="0" collapsed="false">
      <c r="B4" s="2" t="s">
        <v>1166</v>
      </c>
      <c r="C4" s="0" t="s">
        <v>760</v>
      </c>
      <c r="D4" s="0" t="s">
        <v>1167</v>
      </c>
      <c r="E4" s="0" t="s">
        <v>761</v>
      </c>
      <c r="F4" s="0" t="n">
        <v>7</v>
      </c>
      <c r="G4" s="0" t="s">
        <v>61</v>
      </c>
      <c r="H4" s="0" t="s">
        <v>762</v>
      </c>
      <c r="I4" s="0" t="s">
        <v>763</v>
      </c>
      <c r="J4" s="0" t="s">
        <v>764</v>
      </c>
      <c r="K4" s="0" t="s">
        <v>765</v>
      </c>
      <c r="L4" s="2" t="s">
        <v>1168</v>
      </c>
      <c r="M4" s="0" t="s">
        <v>766</v>
      </c>
      <c r="N4" s="6" t="n">
        <v>46104</v>
      </c>
      <c r="Q4" s="0" t="s">
        <v>31</v>
      </c>
      <c r="R4" s="0" t="s">
        <v>84</v>
      </c>
    </row>
    <row r="5" customFormat="false" ht="15" hidden="false" customHeight="false" outlineLevel="0" collapsed="false">
      <c r="B5" s="0" t="n">
        <v>342</v>
      </c>
      <c r="C5" s="0" t="s">
        <v>760</v>
      </c>
      <c r="D5" s="0" t="s">
        <v>1169</v>
      </c>
      <c r="E5" s="0" t="s">
        <v>761</v>
      </c>
      <c r="F5" s="0" t="n">
        <v>2</v>
      </c>
      <c r="G5" s="0" t="s">
        <v>61</v>
      </c>
      <c r="H5" s="0" t="s">
        <v>762</v>
      </c>
      <c r="I5" s="0" t="s">
        <v>763</v>
      </c>
      <c r="J5" s="0" t="s">
        <v>764</v>
      </c>
      <c r="K5" s="0" t="s">
        <v>765</v>
      </c>
      <c r="L5" s="0" t="s">
        <v>765</v>
      </c>
      <c r="M5" s="0" t="s">
        <v>766</v>
      </c>
      <c r="N5" s="6" t="n">
        <v>46104</v>
      </c>
      <c r="Q5" s="0" t="s">
        <v>31</v>
      </c>
      <c r="R5" s="0" t="s">
        <v>84</v>
      </c>
    </row>
    <row r="6" customFormat="false" ht="15" hidden="true" customHeight="false" outlineLevel="0" collapsed="false">
      <c r="B6" s="0" t="n">
        <v>372</v>
      </c>
      <c r="C6" s="0" t="s">
        <v>318</v>
      </c>
      <c r="D6" s="0" t="s">
        <v>1167</v>
      </c>
      <c r="E6" s="0" t="s">
        <v>319</v>
      </c>
      <c r="F6" s="0" t="n">
        <v>1</v>
      </c>
      <c r="G6" s="0" t="s">
        <v>111</v>
      </c>
      <c r="H6" s="0" t="s">
        <v>320</v>
      </c>
      <c r="I6" s="0" t="s">
        <v>321</v>
      </c>
      <c r="J6" s="0" t="s">
        <v>322</v>
      </c>
      <c r="K6" s="0" t="s">
        <v>323</v>
      </c>
      <c r="L6" s="0" t="s">
        <v>324</v>
      </c>
      <c r="M6" s="0" t="s">
        <v>325</v>
      </c>
      <c r="N6" s="6" t="n">
        <v>46104</v>
      </c>
      <c r="Q6" s="0" t="s">
        <v>31</v>
      </c>
      <c r="R6" s="0" t="s">
        <v>84</v>
      </c>
    </row>
    <row r="7" customFormat="false" ht="15" hidden="false" customHeight="false" outlineLevel="0" collapsed="false">
      <c r="B7" s="0" t="n">
        <v>327</v>
      </c>
      <c r="C7" s="0" t="s">
        <v>318</v>
      </c>
      <c r="D7" s="0" t="s">
        <v>1169</v>
      </c>
      <c r="E7" s="0" t="s">
        <v>319</v>
      </c>
      <c r="F7" s="0" t="n">
        <v>2</v>
      </c>
      <c r="G7" s="0" t="s">
        <v>111</v>
      </c>
      <c r="H7" s="0" t="s">
        <v>320</v>
      </c>
      <c r="I7" s="0" t="s">
        <v>321</v>
      </c>
      <c r="J7" s="0" t="s">
        <v>322</v>
      </c>
      <c r="K7" s="0" t="s">
        <v>323</v>
      </c>
      <c r="L7" s="0" t="s">
        <v>324</v>
      </c>
      <c r="M7" s="0" t="s">
        <v>325</v>
      </c>
      <c r="N7" s="6" t="n">
        <v>46104</v>
      </c>
      <c r="Q7" s="0" t="s">
        <v>31</v>
      </c>
      <c r="R7" s="0" t="s">
        <v>84</v>
      </c>
    </row>
    <row r="8" customFormat="false" ht="30" hidden="true" customHeight="true" outlineLevel="0" collapsed="false">
      <c r="B8" s="0" t="n">
        <v>367</v>
      </c>
      <c r="C8" s="0" t="s">
        <v>247</v>
      </c>
      <c r="D8" s="0" t="s">
        <v>1167</v>
      </c>
      <c r="E8" s="0" t="s">
        <v>248</v>
      </c>
      <c r="F8" s="0" t="n">
        <v>2</v>
      </c>
      <c r="G8" s="0" t="s">
        <v>61</v>
      </c>
      <c r="H8" s="2" t="s">
        <v>528</v>
      </c>
      <c r="I8" s="0" t="s">
        <v>1066</v>
      </c>
      <c r="J8" s="2" t="s">
        <v>530</v>
      </c>
      <c r="K8" s="0" t="s">
        <v>252</v>
      </c>
      <c r="L8" s="0" t="s">
        <v>531</v>
      </c>
      <c r="M8" s="0" t="s">
        <v>254</v>
      </c>
      <c r="N8" s="6" t="n">
        <v>46104</v>
      </c>
      <c r="Q8" s="0" t="s">
        <v>31</v>
      </c>
      <c r="R8" s="0" t="s">
        <v>84</v>
      </c>
    </row>
    <row r="9" customFormat="false" ht="30" hidden="false" customHeight="true" outlineLevel="0" collapsed="false">
      <c r="B9" s="0" t="n">
        <v>321</v>
      </c>
      <c r="C9" s="0" t="s">
        <v>247</v>
      </c>
      <c r="D9" s="0" t="s">
        <v>1169</v>
      </c>
      <c r="E9" s="0" t="s">
        <v>248</v>
      </c>
      <c r="F9" s="0" t="n">
        <v>1</v>
      </c>
      <c r="G9" s="0" t="s">
        <v>61</v>
      </c>
      <c r="H9" s="2" t="s">
        <v>528</v>
      </c>
      <c r="I9" s="0" t="s">
        <v>1066</v>
      </c>
      <c r="J9" s="2" t="s">
        <v>530</v>
      </c>
      <c r="K9" s="0" t="s">
        <v>252</v>
      </c>
      <c r="L9" s="0" t="s">
        <v>531</v>
      </c>
      <c r="M9" s="0" t="s">
        <v>254</v>
      </c>
      <c r="N9" s="6" t="n">
        <v>46104</v>
      </c>
      <c r="Q9" s="0" t="s">
        <v>31</v>
      </c>
      <c r="R9" s="0" t="s">
        <v>84</v>
      </c>
    </row>
    <row r="10" customFormat="false" ht="15" hidden="true" customHeight="false" outlineLevel="0" collapsed="false">
      <c r="B10" s="0" t="n">
        <v>364</v>
      </c>
      <c r="C10" s="0" t="s">
        <v>207</v>
      </c>
      <c r="D10" s="0" t="s">
        <v>1167</v>
      </c>
      <c r="E10" s="0" t="s">
        <v>208</v>
      </c>
      <c r="F10" s="0" t="n">
        <v>2</v>
      </c>
      <c r="G10" s="0" t="s">
        <v>61</v>
      </c>
      <c r="H10" s="0" t="s">
        <v>209</v>
      </c>
      <c r="I10" s="0" t="s">
        <v>210</v>
      </c>
      <c r="J10" s="0" t="s">
        <v>211</v>
      </c>
      <c r="K10" s="0" t="s">
        <v>212</v>
      </c>
      <c r="L10" s="0" t="s">
        <v>213</v>
      </c>
      <c r="M10" s="0" t="s">
        <v>214</v>
      </c>
      <c r="N10" s="6" t="n">
        <v>46104</v>
      </c>
      <c r="Q10" s="0" t="s">
        <v>31</v>
      </c>
      <c r="R10" s="0" t="s">
        <v>31</v>
      </c>
    </row>
    <row r="11" customFormat="false" ht="15" hidden="true" customHeight="false" outlineLevel="0" collapsed="false">
      <c r="B11" s="0" t="n">
        <v>371</v>
      </c>
      <c r="C11" s="0" t="s">
        <v>310</v>
      </c>
      <c r="D11" s="0" t="s">
        <v>1167</v>
      </c>
      <c r="E11" s="0" t="s">
        <v>311</v>
      </c>
      <c r="F11" s="0" t="n">
        <v>1</v>
      </c>
      <c r="G11" s="0" t="s">
        <v>152</v>
      </c>
      <c r="H11" s="0" t="s">
        <v>312</v>
      </c>
      <c r="I11" s="0" t="s">
        <v>313</v>
      </c>
      <c r="J11" s="0" t="s">
        <v>314</v>
      </c>
      <c r="K11" s="0" t="s">
        <v>315</v>
      </c>
      <c r="L11" s="0" t="s">
        <v>316</v>
      </c>
      <c r="M11" s="0" t="s">
        <v>317</v>
      </c>
      <c r="N11" s="6" t="n">
        <v>46104</v>
      </c>
      <c r="Q11" s="0" t="s">
        <v>31</v>
      </c>
      <c r="R11" s="0" t="s">
        <v>31</v>
      </c>
    </row>
    <row r="12" customFormat="false" ht="15" hidden="true" customHeight="false" outlineLevel="0" collapsed="false">
      <c r="B12" s="0" t="n">
        <v>382</v>
      </c>
      <c r="C12" s="0" t="s">
        <v>447</v>
      </c>
      <c r="D12" s="0" t="s">
        <v>1167</v>
      </c>
      <c r="E12" s="0" t="s">
        <v>448</v>
      </c>
      <c r="F12" s="0" t="n">
        <v>1</v>
      </c>
      <c r="G12" s="0" t="s">
        <v>24</v>
      </c>
      <c r="H12" s="0" t="s">
        <v>449</v>
      </c>
      <c r="I12" s="0" t="s">
        <v>450</v>
      </c>
      <c r="J12" s="0" t="s">
        <v>451</v>
      </c>
      <c r="K12" s="0" t="s">
        <v>452</v>
      </c>
      <c r="L12" s="0" t="s">
        <v>453</v>
      </c>
      <c r="M12" s="0" t="s">
        <v>454</v>
      </c>
      <c r="N12" s="6" t="n">
        <v>46104</v>
      </c>
      <c r="Q12" s="0" t="s">
        <v>31</v>
      </c>
      <c r="R12" s="0" t="s">
        <v>31</v>
      </c>
    </row>
    <row r="13" customFormat="false" ht="15" hidden="false" customHeight="false" outlineLevel="0" collapsed="false">
      <c r="B13" s="0" t="n">
        <v>339</v>
      </c>
      <c r="C13" s="0" t="s">
        <v>447</v>
      </c>
      <c r="D13" s="0" t="s">
        <v>1169</v>
      </c>
      <c r="E13" s="0" t="s">
        <v>448</v>
      </c>
      <c r="F13" s="0" t="n">
        <v>2</v>
      </c>
      <c r="G13" s="0" t="s">
        <v>24</v>
      </c>
      <c r="H13" s="0" t="s">
        <v>449</v>
      </c>
      <c r="I13" s="0" t="s">
        <v>450</v>
      </c>
      <c r="J13" s="0" t="s">
        <v>451</v>
      </c>
      <c r="K13" s="0" t="s">
        <v>452</v>
      </c>
      <c r="L13" s="0" t="s">
        <v>453</v>
      </c>
      <c r="M13" s="0" t="s">
        <v>454</v>
      </c>
      <c r="N13" s="6" t="n">
        <v>46104</v>
      </c>
      <c r="Q13" s="0" t="s">
        <v>31</v>
      </c>
      <c r="R13" s="0" t="s">
        <v>31</v>
      </c>
    </row>
    <row r="14" customFormat="false" ht="15" hidden="false" customHeight="false" outlineLevel="0" collapsed="false">
      <c r="B14" s="0" t="n">
        <v>311</v>
      </c>
      <c r="C14" s="0" t="s">
        <v>536</v>
      </c>
      <c r="D14" s="0" t="s">
        <v>1169</v>
      </c>
      <c r="E14" s="0" t="s">
        <v>537</v>
      </c>
      <c r="F14" s="0" t="n">
        <v>1</v>
      </c>
      <c r="G14" s="0" t="s">
        <v>111</v>
      </c>
      <c r="H14" s="0" t="s">
        <v>538</v>
      </c>
      <c r="I14" s="0" t="s">
        <v>539</v>
      </c>
      <c r="J14" s="0" t="s">
        <v>540</v>
      </c>
      <c r="K14" s="0" t="s">
        <v>541</v>
      </c>
      <c r="L14" s="0" t="s">
        <v>541</v>
      </c>
      <c r="M14" s="0" t="s">
        <v>542</v>
      </c>
      <c r="N14" s="6" t="n">
        <v>46104</v>
      </c>
      <c r="Q14" s="0" t="s">
        <v>31</v>
      </c>
      <c r="R14" s="0" t="s">
        <v>84</v>
      </c>
    </row>
    <row r="15" customFormat="false" ht="15" hidden="true" customHeight="false" outlineLevel="0" collapsed="false">
      <c r="B15" s="0" t="n">
        <v>386</v>
      </c>
      <c r="C15" s="0" t="s">
        <v>486</v>
      </c>
      <c r="D15" s="0" t="s">
        <v>1167</v>
      </c>
      <c r="E15" s="0" t="s">
        <v>487</v>
      </c>
      <c r="F15" s="0" t="n">
        <v>1</v>
      </c>
      <c r="G15" s="0" t="s">
        <v>152</v>
      </c>
      <c r="H15" s="0" t="s">
        <v>488</v>
      </c>
      <c r="I15" s="0" t="s">
        <v>489</v>
      </c>
      <c r="J15" s="0" t="s">
        <v>490</v>
      </c>
      <c r="K15" s="0" t="s">
        <v>491</v>
      </c>
      <c r="L15" s="0" t="s">
        <v>492</v>
      </c>
      <c r="M15" s="0" t="s">
        <v>493</v>
      </c>
      <c r="N15" s="6" t="n">
        <v>46104</v>
      </c>
      <c r="Q15" s="0" t="s">
        <v>31</v>
      </c>
      <c r="R15" s="0" t="s">
        <v>84</v>
      </c>
    </row>
    <row r="16" customFormat="false" ht="15" hidden="false" customHeight="false" outlineLevel="0" collapsed="false">
      <c r="B16" s="0" t="n">
        <v>345</v>
      </c>
      <c r="C16" s="0" t="s">
        <v>486</v>
      </c>
      <c r="D16" s="0" t="s">
        <v>1169</v>
      </c>
      <c r="E16" s="0" t="s">
        <v>487</v>
      </c>
      <c r="F16" s="0" t="n">
        <v>1</v>
      </c>
      <c r="G16" s="0" t="s">
        <v>152</v>
      </c>
      <c r="H16" s="0" t="s">
        <v>488</v>
      </c>
      <c r="I16" s="0" t="s">
        <v>489</v>
      </c>
      <c r="J16" s="0" t="s">
        <v>490</v>
      </c>
      <c r="K16" s="0" t="s">
        <v>491</v>
      </c>
      <c r="L16" s="0" t="s">
        <v>492</v>
      </c>
      <c r="M16" s="0" t="s">
        <v>493</v>
      </c>
      <c r="N16" s="6" t="n">
        <v>46104</v>
      </c>
      <c r="Q16" s="0" t="s">
        <v>31</v>
      </c>
      <c r="R16" s="0" t="s">
        <v>84</v>
      </c>
    </row>
    <row r="17" customFormat="false" ht="15" hidden="false" customHeight="false" outlineLevel="0" collapsed="false">
      <c r="B17" s="0" t="n">
        <v>329</v>
      </c>
      <c r="C17" s="0" t="s">
        <v>334</v>
      </c>
      <c r="D17" s="0" t="s">
        <v>1169</v>
      </c>
      <c r="E17" s="0" t="s">
        <v>335</v>
      </c>
      <c r="F17" s="0" t="n">
        <v>1</v>
      </c>
      <c r="G17" s="0" t="s">
        <v>61</v>
      </c>
      <c r="H17" s="0" t="s">
        <v>336</v>
      </c>
      <c r="I17" s="0" t="s">
        <v>337</v>
      </c>
      <c r="J17" s="0" t="s">
        <v>338</v>
      </c>
      <c r="K17" s="0" t="s">
        <v>339</v>
      </c>
      <c r="L17" s="0" t="s">
        <v>543</v>
      </c>
      <c r="M17" s="0" t="s">
        <v>341</v>
      </c>
      <c r="N17" s="6" t="n">
        <v>46104</v>
      </c>
      <c r="Q17" s="0" t="s">
        <v>31</v>
      </c>
      <c r="R17" s="0" t="s">
        <v>84</v>
      </c>
    </row>
    <row r="18" customFormat="false" ht="15" hidden="true" customHeight="false" outlineLevel="0" collapsed="false">
      <c r="B18" s="0" t="n">
        <v>349</v>
      </c>
      <c r="C18" s="0" t="s">
        <v>21</v>
      </c>
      <c r="D18" s="0" t="s">
        <v>1167</v>
      </c>
      <c r="E18" s="0" t="s">
        <v>22</v>
      </c>
      <c r="F18" s="0" t="n">
        <v>1</v>
      </c>
      <c r="G18" s="0" t="s">
        <v>24</v>
      </c>
      <c r="H18" s="0" t="s">
        <v>25</v>
      </c>
      <c r="I18" s="0" t="s">
        <v>26</v>
      </c>
      <c r="J18" s="0" t="s">
        <v>27</v>
      </c>
      <c r="K18" s="0" t="s">
        <v>28</v>
      </c>
      <c r="L18" s="0" t="s">
        <v>29</v>
      </c>
      <c r="M18" s="0" t="s">
        <v>30</v>
      </c>
      <c r="N18" s="6" t="n">
        <v>46104</v>
      </c>
      <c r="Q18" s="0" t="s">
        <v>31</v>
      </c>
      <c r="R18" s="0" t="s">
        <v>31</v>
      </c>
    </row>
    <row r="19" customFormat="false" ht="15" hidden="false" customHeight="false" outlineLevel="0" collapsed="false">
      <c r="B19" s="0" t="n">
        <v>302</v>
      </c>
      <c r="C19" s="0" t="s">
        <v>21</v>
      </c>
      <c r="D19" s="0" t="s">
        <v>1169</v>
      </c>
      <c r="E19" s="0" t="s">
        <v>22</v>
      </c>
      <c r="F19" s="0" t="n">
        <v>5</v>
      </c>
      <c r="G19" s="0" t="s">
        <v>24</v>
      </c>
      <c r="H19" s="0" t="s">
        <v>25</v>
      </c>
      <c r="I19" s="0" t="s">
        <v>26</v>
      </c>
      <c r="J19" s="0" t="s">
        <v>27</v>
      </c>
      <c r="K19" s="0" t="s">
        <v>28</v>
      </c>
      <c r="L19" s="0" t="s">
        <v>29</v>
      </c>
      <c r="M19" s="0" t="s">
        <v>30</v>
      </c>
      <c r="N19" s="6" t="n">
        <v>46104</v>
      </c>
      <c r="Q19" s="0" t="s">
        <v>31</v>
      </c>
      <c r="R19" s="0" t="s">
        <v>31</v>
      </c>
    </row>
    <row r="20" customFormat="false" ht="15" hidden="true" customHeight="false" outlineLevel="0" collapsed="false">
      <c r="B20" s="0" t="n">
        <v>361</v>
      </c>
      <c r="C20" s="0" t="s">
        <v>159</v>
      </c>
      <c r="D20" s="0" t="s">
        <v>1167</v>
      </c>
      <c r="E20" s="0" t="s">
        <v>160</v>
      </c>
      <c r="F20" s="0" t="n">
        <v>1</v>
      </c>
      <c r="G20" s="0" t="s">
        <v>61</v>
      </c>
      <c r="H20" s="0" t="s">
        <v>161</v>
      </c>
      <c r="I20" s="0" t="s">
        <v>162</v>
      </c>
      <c r="J20" s="0" t="s">
        <v>163</v>
      </c>
      <c r="K20" s="0" t="s">
        <v>164</v>
      </c>
      <c r="L20" s="0" t="s">
        <v>164</v>
      </c>
      <c r="M20" s="0" t="s">
        <v>165</v>
      </c>
      <c r="N20" s="6" t="n">
        <v>46104</v>
      </c>
      <c r="Q20" s="0" t="s">
        <v>31</v>
      </c>
      <c r="R20" s="0" t="s">
        <v>31</v>
      </c>
    </row>
    <row r="21" customFormat="false" ht="15" hidden="false" customHeight="false" outlineLevel="0" collapsed="false">
      <c r="B21" s="0" t="n">
        <v>337</v>
      </c>
      <c r="C21" s="0" t="s">
        <v>544</v>
      </c>
      <c r="D21" s="0" t="s">
        <v>1169</v>
      </c>
      <c r="E21" s="0" t="s">
        <v>545</v>
      </c>
      <c r="F21" s="0" t="n">
        <v>1</v>
      </c>
      <c r="G21" s="0" t="s">
        <v>24</v>
      </c>
      <c r="H21" s="0" t="s">
        <v>546</v>
      </c>
      <c r="I21" s="0" t="s">
        <v>547</v>
      </c>
      <c r="J21" s="0" t="s">
        <v>548</v>
      </c>
      <c r="K21" s="0" t="s">
        <v>549</v>
      </c>
      <c r="L21" s="0" t="s">
        <v>550</v>
      </c>
      <c r="M21" s="0" t="s">
        <v>551</v>
      </c>
      <c r="N21" s="6" t="n">
        <v>46104</v>
      </c>
      <c r="Q21" s="0" t="s">
        <v>31</v>
      </c>
      <c r="R21" s="0" t="s">
        <v>31</v>
      </c>
    </row>
    <row r="22" customFormat="false" ht="30" hidden="true" customHeight="true" outlineLevel="0" collapsed="false">
      <c r="B22" s="2" t="s">
        <v>1216</v>
      </c>
      <c r="C22" s="0" t="s">
        <v>34</v>
      </c>
      <c r="D22" s="0" t="s">
        <v>1167</v>
      </c>
      <c r="E22" s="0" t="s">
        <v>35</v>
      </c>
      <c r="F22" s="0" t="n">
        <v>2</v>
      </c>
      <c r="G22" s="0" t="s">
        <v>36</v>
      </c>
      <c r="H22" s="0" t="s">
        <v>37</v>
      </c>
      <c r="I22" s="0" t="s">
        <v>38</v>
      </c>
      <c r="J22" s="0" t="s">
        <v>39</v>
      </c>
      <c r="K22" s="0" t="s">
        <v>40</v>
      </c>
      <c r="L22" s="0" t="s">
        <v>553</v>
      </c>
      <c r="M22" s="0" t="s">
        <v>42</v>
      </c>
      <c r="N22" s="6" t="n">
        <v>46104</v>
      </c>
      <c r="Q22" s="0" t="s">
        <v>31</v>
      </c>
      <c r="R22" s="0" t="s">
        <v>31</v>
      </c>
    </row>
    <row r="23" customFormat="false" ht="15" hidden="false" customHeight="false" outlineLevel="0" collapsed="false">
      <c r="B23" s="0" t="n">
        <v>313</v>
      </c>
      <c r="C23" s="0" t="s">
        <v>166</v>
      </c>
      <c r="D23" s="0" t="s">
        <v>1169</v>
      </c>
      <c r="E23" s="0" t="s">
        <v>167</v>
      </c>
      <c r="F23" s="0" t="n">
        <v>1</v>
      </c>
      <c r="G23" s="0" t="s">
        <v>61</v>
      </c>
      <c r="H23" s="0" t="s">
        <v>168</v>
      </c>
      <c r="I23" s="0" t="s">
        <v>169</v>
      </c>
      <c r="J23" s="0" t="s">
        <v>170</v>
      </c>
      <c r="K23" s="0" t="s">
        <v>171</v>
      </c>
      <c r="L23" s="0" t="s">
        <v>172</v>
      </c>
      <c r="M23" s="0" t="s">
        <v>173</v>
      </c>
      <c r="N23" s="6" t="n">
        <v>46104</v>
      </c>
      <c r="Q23" s="0" t="s">
        <v>31</v>
      </c>
      <c r="R23" s="0" t="s">
        <v>84</v>
      </c>
    </row>
    <row r="24" customFormat="false" ht="15" hidden="false" customHeight="false" outlineLevel="0" collapsed="false">
      <c r="B24" s="0" t="n">
        <v>328</v>
      </c>
      <c r="C24" s="0" t="s">
        <v>326</v>
      </c>
      <c r="D24" s="0" t="s">
        <v>1169</v>
      </c>
      <c r="E24" s="0" t="s">
        <v>327</v>
      </c>
      <c r="F24" s="0" t="n">
        <v>1</v>
      </c>
      <c r="G24" s="0" t="s">
        <v>152</v>
      </c>
      <c r="H24" s="0" t="s">
        <v>328</v>
      </c>
      <c r="I24" s="0" t="s">
        <v>329</v>
      </c>
      <c r="J24" s="0" t="s">
        <v>330</v>
      </c>
      <c r="K24" s="0" t="s">
        <v>331</v>
      </c>
      <c r="L24" s="0" t="s">
        <v>332</v>
      </c>
      <c r="M24" s="0" t="s">
        <v>333</v>
      </c>
      <c r="N24" s="6" t="n">
        <v>46104</v>
      </c>
      <c r="Q24" s="0" t="s">
        <v>31</v>
      </c>
      <c r="R24" s="0" t="s">
        <v>31</v>
      </c>
    </row>
    <row r="25" customFormat="false" ht="15" hidden="true" customHeight="false" outlineLevel="0" collapsed="false">
      <c r="B25" s="0" t="n">
        <v>360</v>
      </c>
      <c r="C25" s="0" t="s">
        <v>554</v>
      </c>
      <c r="D25" s="0" t="s">
        <v>1167</v>
      </c>
      <c r="E25" s="0" t="s">
        <v>555</v>
      </c>
      <c r="F25" s="0" t="n">
        <v>1</v>
      </c>
      <c r="G25" s="0" t="s">
        <v>61</v>
      </c>
      <c r="H25" s="0" t="s">
        <v>556</v>
      </c>
      <c r="I25" s="0" t="s">
        <v>557</v>
      </c>
      <c r="J25" s="0" t="s">
        <v>558</v>
      </c>
      <c r="K25" s="0" t="s">
        <v>559</v>
      </c>
      <c r="L25" s="0" t="s">
        <v>560</v>
      </c>
      <c r="M25" s="0" t="s">
        <v>561</v>
      </c>
      <c r="N25" s="6" t="n">
        <v>46104</v>
      </c>
      <c r="Q25" s="0" t="s">
        <v>31</v>
      </c>
      <c r="R25" s="0" t="s">
        <v>31</v>
      </c>
    </row>
    <row r="26" customFormat="false" ht="15" hidden="true" customHeight="false" outlineLevel="0" collapsed="false">
      <c r="B26" s="0" t="n">
        <v>354</v>
      </c>
      <c r="C26" s="0" t="s">
        <v>562</v>
      </c>
      <c r="D26" s="0" t="s">
        <v>1167</v>
      </c>
      <c r="E26" s="0" t="s">
        <v>563</v>
      </c>
      <c r="F26" s="0" t="n">
        <v>1</v>
      </c>
      <c r="G26" s="0" t="s">
        <v>61</v>
      </c>
      <c r="H26" s="0" t="s">
        <v>564</v>
      </c>
      <c r="I26" s="0" t="s">
        <v>565</v>
      </c>
      <c r="J26" s="0" t="s">
        <v>566</v>
      </c>
      <c r="K26" s="0" t="s">
        <v>567</v>
      </c>
      <c r="L26" s="0" t="s">
        <v>568</v>
      </c>
      <c r="M26" s="0" t="s">
        <v>569</v>
      </c>
      <c r="N26" s="6" t="n">
        <v>46104</v>
      </c>
      <c r="Q26" s="0" t="s">
        <v>31</v>
      </c>
      <c r="R26" s="0" t="s">
        <v>31</v>
      </c>
    </row>
    <row r="27" customFormat="false" ht="15" hidden="true" customHeight="false" outlineLevel="0" collapsed="false">
      <c r="B27" s="0" t="n">
        <v>355</v>
      </c>
      <c r="C27" s="0" t="s">
        <v>85</v>
      </c>
      <c r="D27" s="0" t="s">
        <v>1167</v>
      </c>
      <c r="E27" s="0" t="s">
        <v>86</v>
      </c>
      <c r="F27" s="0" t="n">
        <v>2</v>
      </c>
      <c r="G27" s="0" t="s">
        <v>87</v>
      </c>
      <c r="H27" s="0" t="s">
        <v>88</v>
      </c>
      <c r="I27" s="0" t="s">
        <v>89</v>
      </c>
      <c r="J27" s="0" t="s">
        <v>90</v>
      </c>
      <c r="K27" s="0" t="s">
        <v>91</v>
      </c>
      <c r="L27" s="0" t="s">
        <v>92</v>
      </c>
      <c r="M27" s="0" t="s">
        <v>93</v>
      </c>
      <c r="N27" s="6" t="n">
        <v>46104</v>
      </c>
      <c r="Q27" s="0" t="s">
        <v>31</v>
      </c>
      <c r="R27" s="0" t="s">
        <v>84</v>
      </c>
    </row>
    <row r="28" customFormat="false" ht="30" hidden="true" customHeight="true" outlineLevel="0" collapsed="false">
      <c r="B28" s="0" t="n">
        <v>381</v>
      </c>
      <c r="C28" s="0" t="s">
        <v>439</v>
      </c>
      <c r="D28" s="0" t="s">
        <v>1167</v>
      </c>
      <c r="E28" s="0" t="s">
        <v>440</v>
      </c>
      <c r="F28" s="0" t="n">
        <v>1</v>
      </c>
      <c r="G28" s="0" t="s">
        <v>152</v>
      </c>
      <c r="H28" s="2" t="s">
        <v>441</v>
      </c>
      <c r="I28" s="2" t="s">
        <v>442</v>
      </c>
      <c r="J28" s="2" t="s">
        <v>443</v>
      </c>
      <c r="K28" s="0" t="s">
        <v>444</v>
      </c>
      <c r="L28" s="0" t="s">
        <v>1171</v>
      </c>
      <c r="M28" s="0" t="s">
        <v>446</v>
      </c>
      <c r="N28" s="6" t="n">
        <v>46104</v>
      </c>
      <c r="Q28" s="0" t="s">
        <v>31</v>
      </c>
      <c r="R28" s="0" t="s">
        <v>31</v>
      </c>
    </row>
    <row r="29" customFormat="false" ht="30" hidden="false" customHeight="true" outlineLevel="0" collapsed="false">
      <c r="B29" s="0" t="n">
        <v>338</v>
      </c>
      <c r="C29" s="0" t="s">
        <v>439</v>
      </c>
      <c r="D29" s="0" t="s">
        <v>1169</v>
      </c>
      <c r="E29" s="0" t="s">
        <v>440</v>
      </c>
      <c r="F29" s="0" t="n">
        <v>1</v>
      </c>
      <c r="G29" s="0" t="s">
        <v>152</v>
      </c>
      <c r="H29" s="2" t="s">
        <v>441</v>
      </c>
      <c r="I29" s="2" t="s">
        <v>442</v>
      </c>
      <c r="J29" s="2" t="s">
        <v>443</v>
      </c>
      <c r="K29" s="0" t="s">
        <v>444</v>
      </c>
      <c r="L29" s="0" t="s">
        <v>570</v>
      </c>
      <c r="M29" s="0" t="s">
        <v>446</v>
      </c>
      <c r="N29" s="6" t="n">
        <v>46104</v>
      </c>
      <c r="Q29" s="0" t="s">
        <v>31</v>
      </c>
      <c r="R29" s="0" t="s">
        <v>31</v>
      </c>
    </row>
    <row r="30" customFormat="false" ht="15" hidden="false" customHeight="false" outlineLevel="0" collapsed="false">
      <c r="B30" s="0" t="n">
        <v>340</v>
      </c>
      <c r="C30" s="0" t="s">
        <v>571</v>
      </c>
      <c r="D30" s="0" t="s">
        <v>1169</v>
      </c>
      <c r="E30" s="0" t="s">
        <v>572</v>
      </c>
      <c r="F30" s="0" t="n">
        <v>3</v>
      </c>
      <c r="G30" s="0" t="s">
        <v>573</v>
      </c>
      <c r="H30" s="0" t="s">
        <v>574</v>
      </c>
      <c r="I30" s="0" t="s">
        <v>575</v>
      </c>
      <c r="J30" s="0" t="s">
        <v>576</v>
      </c>
      <c r="K30" s="0" t="s">
        <v>577</v>
      </c>
      <c r="L30" s="0" t="s">
        <v>578</v>
      </c>
      <c r="M30" s="0" t="s">
        <v>579</v>
      </c>
      <c r="N30" s="6" t="n">
        <v>46104</v>
      </c>
      <c r="Q30" s="0" t="s">
        <v>31</v>
      </c>
      <c r="R30" s="0" t="s">
        <v>84</v>
      </c>
    </row>
    <row r="31" customFormat="false" ht="15" hidden="true" customHeight="false" outlineLevel="0" collapsed="false">
      <c r="B31" s="0" t="n">
        <v>356</v>
      </c>
      <c r="C31" s="0" t="s">
        <v>580</v>
      </c>
      <c r="D31" s="0" t="s">
        <v>1167</v>
      </c>
      <c r="E31" s="0" t="s">
        <v>581</v>
      </c>
      <c r="F31" s="0" t="n">
        <v>2</v>
      </c>
      <c r="G31" s="0" t="s">
        <v>61</v>
      </c>
      <c r="H31" s="0" t="s">
        <v>582</v>
      </c>
      <c r="I31" s="0" t="s">
        <v>583</v>
      </c>
      <c r="J31" s="0" t="s">
        <v>584</v>
      </c>
      <c r="K31" s="0" t="s">
        <v>585</v>
      </c>
      <c r="L31" s="0" t="s">
        <v>1172</v>
      </c>
      <c r="M31" s="0" t="s">
        <v>587</v>
      </c>
      <c r="N31" s="6" t="n">
        <v>46104</v>
      </c>
      <c r="Q31" s="0" t="s">
        <v>31</v>
      </c>
      <c r="R31" s="0" t="s">
        <v>84</v>
      </c>
    </row>
    <row r="32" customFormat="false" ht="15" hidden="true" customHeight="false" outlineLevel="0" collapsed="false">
      <c r="B32" s="0" t="n">
        <v>378</v>
      </c>
      <c r="C32" s="0" t="s">
        <v>391</v>
      </c>
      <c r="D32" s="0" t="s">
        <v>1167</v>
      </c>
      <c r="E32" s="0" t="s">
        <v>392</v>
      </c>
      <c r="F32" s="0" t="n">
        <v>4</v>
      </c>
      <c r="G32" s="0" t="s">
        <v>111</v>
      </c>
      <c r="H32" s="0" t="s">
        <v>393</v>
      </c>
      <c r="I32" s="0" t="s">
        <v>394</v>
      </c>
      <c r="J32" s="0" t="s">
        <v>395</v>
      </c>
      <c r="K32" s="0" t="s">
        <v>396</v>
      </c>
      <c r="L32" s="0" t="s">
        <v>397</v>
      </c>
      <c r="M32" s="0" t="s">
        <v>398</v>
      </c>
      <c r="N32" s="6" t="n">
        <v>46104</v>
      </c>
      <c r="Q32" s="0" t="s">
        <v>31</v>
      </c>
      <c r="R32" s="0" t="s">
        <v>84</v>
      </c>
    </row>
    <row r="33" customFormat="false" ht="15" hidden="true" customHeight="false" outlineLevel="0" collapsed="false">
      <c r="B33" s="0" t="n">
        <v>385</v>
      </c>
      <c r="C33" s="0" t="s">
        <v>588</v>
      </c>
      <c r="D33" s="0" t="s">
        <v>1167</v>
      </c>
      <c r="E33" s="0" t="s">
        <v>589</v>
      </c>
      <c r="F33" s="0" t="n">
        <v>13</v>
      </c>
      <c r="G33" s="0" t="s">
        <v>24</v>
      </c>
      <c r="H33" s="0" t="s">
        <v>590</v>
      </c>
      <c r="I33" s="0" t="s">
        <v>591</v>
      </c>
      <c r="J33" s="0" t="s">
        <v>592</v>
      </c>
      <c r="K33" s="0" t="s">
        <v>593</v>
      </c>
      <c r="L33" s="0" t="s">
        <v>594</v>
      </c>
      <c r="M33" s="0" t="s">
        <v>595</v>
      </c>
      <c r="N33" s="6" t="n">
        <v>46104</v>
      </c>
      <c r="Q33" s="0" t="s">
        <v>31</v>
      </c>
      <c r="R33" s="0" t="s">
        <v>31</v>
      </c>
    </row>
    <row r="34" customFormat="false" ht="15" hidden="false" customHeight="false" outlineLevel="0" collapsed="false">
      <c r="B34" s="0" t="n">
        <v>344</v>
      </c>
      <c r="C34" s="0" t="s">
        <v>588</v>
      </c>
      <c r="D34" s="0" t="s">
        <v>1169</v>
      </c>
      <c r="E34" s="0" t="s">
        <v>589</v>
      </c>
      <c r="F34" s="0" t="n">
        <v>10</v>
      </c>
      <c r="G34" s="0" t="s">
        <v>24</v>
      </c>
      <c r="H34" s="0" t="s">
        <v>590</v>
      </c>
      <c r="I34" s="0" t="s">
        <v>591</v>
      </c>
      <c r="J34" s="0" t="s">
        <v>592</v>
      </c>
      <c r="K34" s="0" t="s">
        <v>593</v>
      </c>
      <c r="L34" s="0" t="s">
        <v>594</v>
      </c>
      <c r="M34" s="0" t="s">
        <v>595</v>
      </c>
      <c r="N34" s="6" t="n">
        <v>46104</v>
      </c>
      <c r="Q34" s="0" t="s">
        <v>31</v>
      </c>
      <c r="R34" s="0" t="s">
        <v>31</v>
      </c>
    </row>
    <row r="35" customFormat="false" ht="15" hidden="true" customHeight="false" outlineLevel="0" collapsed="false">
      <c r="B35" s="0" t="n">
        <v>383</v>
      </c>
      <c r="C35" s="0" t="s">
        <v>596</v>
      </c>
      <c r="D35" s="0" t="s">
        <v>1167</v>
      </c>
      <c r="E35" s="0" t="s">
        <v>597</v>
      </c>
      <c r="F35" s="0" t="n">
        <v>1</v>
      </c>
      <c r="G35" s="0" t="s">
        <v>61</v>
      </c>
      <c r="H35" s="0" t="s">
        <v>598</v>
      </c>
      <c r="I35" s="0" t="s">
        <v>599</v>
      </c>
      <c r="J35" s="0" t="s">
        <v>600</v>
      </c>
      <c r="K35" s="0" t="s">
        <v>601</v>
      </c>
      <c r="L35" s="0" t="s">
        <v>602</v>
      </c>
      <c r="M35" s="0" t="s">
        <v>603</v>
      </c>
      <c r="N35" s="6" t="n">
        <v>46104</v>
      </c>
      <c r="Q35" s="0" t="s">
        <v>31</v>
      </c>
      <c r="R35" s="0" t="s">
        <v>84</v>
      </c>
    </row>
    <row r="36" customFormat="false" ht="15" hidden="false" customHeight="false" outlineLevel="0" collapsed="false">
      <c r="B36" s="0" t="n">
        <v>322</v>
      </c>
      <c r="C36" s="0" t="s">
        <v>263</v>
      </c>
      <c r="D36" s="0" t="s">
        <v>1169</v>
      </c>
      <c r="E36" s="0" t="s">
        <v>264</v>
      </c>
      <c r="F36" s="0" t="n">
        <v>3</v>
      </c>
      <c r="G36" s="0" t="s">
        <v>61</v>
      </c>
      <c r="H36" s="0" t="s">
        <v>265</v>
      </c>
      <c r="I36" s="0" t="s">
        <v>266</v>
      </c>
      <c r="J36" s="0" t="s">
        <v>267</v>
      </c>
      <c r="K36" s="0" t="s">
        <v>252</v>
      </c>
      <c r="L36" s="0" t="s">
        <v>268</v>
      </c>
      <c r="M36" s="0" t="s">
        <v>269</v>
      </c>
      <c r="N36" s="6" t="n">
        <v>46104</v>
      </c>
      <c r="Q36" s="0" t="s">
        <v>31</v>
      </c>
      <c r="R36" s="0" t="s">
        <v>31</v>
      </c>
    </row>
    <row r="37" customFormat="false" ht="15" hidden="false" customHeight="false" outlineLevel="0" collapsed="false">
      <c r="B37" s="0" t="n">
        <v>341</v>
      </c>
      <c r="C37" s="0" t="s">
        <v>455</v>
      </c>
      <c r="D37" s="0" t="s">
        <v>1169</v>
      </c>
      <c r="E37" s="0" t="s">
        <v>456</v>
      </c>
      <c r="F37" s="0" t="n">
        <v>2</v>
      </c>
      <c r="G37" s="0" t="s">
        <v>111</v>
      </c>
      <c r="H37" s="0" t="s">
        <v>457</v>
      </c>
      <c r="I37" s="0" t="s">
        <v>458</v>
      </c>
      <c r="J37" s="0" t="s">
        <v>459</v>
      </c>
      <c r="K37" s="0" t="s">
        <v>460</v>
      </c>
      <c r="L37" s="0" t="s">
        <v>461</v>
      </c>
      <c r="M37" s="0" t="s">
        <v>462</v>
      </c>
      <c r="N37" s="6" t="n">
        <v>46104</v>
      </c>
      <c r="Q37" s="0" t="s">
        <v>31</v>
      </c>
      <c r="R37" s="0" t="s">
        <v>84</v>
      </c>
    </row>
    <row r="38" customFormat="false" ht="15" hidden="false" customHeight="false" outlineLevel="0" collapsed="false">
      <c r="B38" s="0" t="n">
        <v>332</v>
      </c>
      <c r="C38" s="0" t="s">
        <v>604</v>
      </c>
      <c r="D38" s="0" t="s">
        <v>1169</v>
      </c>
      <c r="E38" s="0" t="s">
        <v>605</v>
      </c>
      <c r="F38" s="0" t="n">
        <v>15</v>
      </c>
      <c r="G38" s="0" t="s">
        <v>61</v>
      </c>
      <c r="H38" s="0" t="s">
        <v>606</v>
      </c>
      <c r="I38" s="0" t="s">
        <v>607</v>
      </c>
      <c r="J38" s="0" t="s">
        <v>608</v>
      </c>
      <c r="K38" s="0" t="s">
        <v>252</v>
      </c>
      <c r="L38" s="0" t="s">
        <v>609</v>
      </c>
      <c r="M38" s="0" t="s">
        <v>610</v>
      </c>
      <c r="N38" s="6" t="n">
        <v>46104</v>
      </c>
      <c r="Q38" s="0" t="s">
        <v>31</v>
      </c>
      <c r="R38" s="0" t="s">
        <v>31</v>
      </c>
    </row>
    <row r="39" customFormat="false" ht="15" hidden="true" customHeight="false" outlineLevel="0" collapsed="false">
      <c r="B39" s="0" t="n">
        <v>353</v>
      </c>
      <c r="C39" s="0" t="s">
        <v>1077</v>
      </c>
      <c r="D39" s="0" t="s">
        <v>1167</v>
      </c>
      <c r="E39" s="0" t="s">
        <v>916</v>
      </c>
      <c r="F39" s="0" t="n">
        <v>1</v>
      </c>
      <c r="G39" s="0" t="s">
        <v>152</v>
      </c>
      <c r="H39" s="0" t="s">
        <v>1078</v>
      </c>
      <c r="I39" s="0" t="s">
        <v>1079</v>
      </c>
      <c r="J39" s="0" t="s">
        <v>1080</v>
      </c>
      <c r="K39" s="0" t="s">
        <v>1081</v>
      </c>
      <c r="L39" s="0" t="s">
        <v>1082</v>
      </c>
      <c r="M39" s="0" t="s">
        <v>1083</v>
      </c>
      <c r="N39" s="6" t="n">
        <v>46104</v>
      </c>
      <c r="Q39" s="0" t="s">
        <v>31</v>
      </c>
      <c r="R39" s="0" t="s">
        <v>84</v>
      </c>
    </row>
    <row r="40" customFormat="false" ht="15" hidden="false" customHeight="false" outlineLevel="0" collapsed="false">
      <c r="B40" s="0" t="n">
        <v>306</v>
      </c>
      <c r="C40" s="0" t="s">
        <v>1077</v>
      </c>
      <c r="D40" s="0" t="s">
        <v>1169</v>
      </c>
      <c r="E40" s="0" t="s">
        <v>916</v>
      </c>
      <c r="F40" s="0" t="n">
        <v>3</v>
      </c>
      <c r="G40" s="0" t="s">
        <v>152</v>
      </c>
      <c r="H40" s="0" t="s">
        <v>1078</v>
      </c>
      <c r="I40" s="0" t="s">
        <v>1079</v>
      </c>
      <c r="J40" s="0" t="s">
        <v>1080</v>
      </c>
      <c r="K40" s="0" t="s">
        <v>1081</v>
      </c>
      <c r="L40" s="0" t="s">
        <v>1082</v>
      </c>
      <c r="M40" s="0" t="s">
        <v>1083</v>
      </c>
      <c r="N40" s="6" t="n">
        <v>46104</v>
      </c>
      <c r="Q40" s="0" t="s">
        <v>31</v>
      </c>
      <c r="R40" s="0" t="s">
        <v>84</v>
      </c>
    </row>
    <row r="41" customFormat="false" ht="15" hidden="false" customHeight="false" outlineLevel="0" collapsed="false">
      <c r="B41" s="0" t="n">
        <v>307</v>
      </c>
      <c r="C41" s="0" t="s">
        <v>59</v>
      </c>
      <c r="D41" s="0" t="s">
        <v>1169</v>
      </c>
      <c r="E41" s="0" t="s">
        <v>60</v>
      </c>
      <c r="F41" s="0" t="n">
        <v>16</v>
      </c>
      <c r="G41" s="0" t="s">
        <v>61</v>
      </c>
      <c r="H41" s="0" t="s">
        <v>62</v>
      </c>
      <c r="I41" s="0" t="s">
        <v>63</v>
      </c>
      <c r="J41" s="0" t="s">
        <v>64</v>
      </c>
      <c r="K41" s="0" t="s">
        <v>65</v>
      </c>
      <c r="L41" s="0" t="s">
        <v>66</v>
      </c>
      <c r="M41" s="0" t="s">
        <v>67</v>
      </c>
      <c r="N41" s="6" t="n">
        <v>46104</v>
      </c>
      <c r="Q41" s="0" t="s">
        <v>31</v>
      </c>
      <c r="R41" s="0" t="s">
        <v>31</v>
      </c>
    </row>
    <row r="42" customFormat="false" ht="15" hidden="true" customHeight="false" outlineLevel="0" collapsed="false">
      <c r="B42" s="0" t="n">
        <v>370</v>
      </c>
      <c r="C42" s="0" t="s">
        <v>286</v>
      </c>
      <c r="D42" s="0" t="s">
        <v>1167</v>
      </c>
      <c r="E42" s="0" t="s">
        <v>287</v>
      </c>
      <c r="F42" s="0" t="n">
        <v>1</v>
      </c>
      <c r="G42" s="0" t="s">
        <v>61</v>
      </c>
      <c r="H42" s="0" t="s">
        <v>288</v>
      </c>
      <c r="I42" s="0" t="s">
        <v>289</v>
      </c>
      <c r="J42" s="0" t="s">
        <v>290</v>
      </c>
      <c r="K42" s="0" t="s">
        <v>291</v>
      </c>
      <c r="L42" s="0" t="s">
        <v>292</v>
      </c>
      <c r="M42" s="0" t="s">
        <v>293</v>
      </c>
      <c r="N42" s="6" t="n">
        <v>46104</v>
      </c>
      <c r="Q42" s="0" t="s">
        <v>31</v>
      </c>
      <c r="R42" s="0" t="s">
        <v>84</v>
      </c>
    </row>
    <row r="43" customFormat="false" ht="15" hidden="true" customHeight="false" outlineLevel="0" collapsed="false">
      <c r="B43" s="0" t="n">
        <v>387</v>
      </c>
      <c r="C43" s="0" t="s">
        <v>611</v>
      </c>
      <c r="D43" s="0" t="s">
        <v>1167</v>
      </c>
      <c r="E43" s="0" t="s">
        <v>612</v>
      </c>
      <c r="F43" s="0" t="n">
        <v>5</v>
      </c>
      <c r="G43" s="0" t="s">
        <v>24</v>
      </c>
      <c r="H43" s="0" t="s">
        <v>613</v>
      </c>
      <c r="I43" s="0" t="s">
        <v>614</v>
      </c>
      <c r="J43" s="0" t="s">
        <v>615</v>
      </c>
      <c r="K43" s="0" t="s">
        <v>616</v>
      </c>
      <c r="L43" s="0" t="s">
        <v>616</v>
      </c>
      <c r="M43" s="0" t="s">
        <v>617</v>
      </c>
      <c r="N43" s="6" t="n">
        <v>46104</v>
      </c>
      <c r="Q43" s="0" t="s">
        <v>31</v>
      </c>
      <c r="R43" s="0" t="s">
        <v>31</v>
      </c>
    </row>
    <row r="44" customFormat="false" ht="15" hidden="false" customHeight="false" outlineLevel="0" collapsed="false">
      <c r="B44" s="0" t="n">
        <v>335</v>
      </c>
      <c r="C44" s="0" t="s">
        <v>399</v>
      </c>
      <c r="D44" s="0" t="s">
        <v>1169</v>
      </c>
      <c r="E44" s="0" t="s">
        <v>400</v>
      </c>
      <c r="F44" s="0" t="n">
        <v>2</v>
      </c>
      <c r="G44" s="0" t="s">
        <v>152</v>
      </c>
      <c r="H44" s="0" t="s">
        <v>401</v>
      </c>
      <c r="I44" s="0" t="s">
        <v>402</v>
      </c>
      <c r="J44" s="0" t="s">
        <v>403</v>
      </c>
      <c r="K44" s="0" t="s">
        <v>404</v>
      </c>
      <c r="L44" s="0" t="s">
        <v>791</v>
      </c>
      <c r="M44" s="0" t="s">
        <v>406</v>
      </c>
      <c r="N44" s="6" t="n">
        <v>46104</v>
      </c>
      <c r="Q44" s="0" t="s">
        <v>31</v>
      </c>
      <c r="R44" s="0" t="s">
        <v>84</v>
      </c>
    </row>
    <row r="45" customFormat="false" ht="15" hidden="true" customHeight="false" outlineLevel="0" collapsed="false">
      <c r="B45" s="0" t="n">
        <v>373</v>
      </c>
      <c r="C45" s="0" t="s">
        <v>342</v>
      </c>
      <c r="D45" s="0" t="s">
        <v>1167</v>
      </c>
      <c r="E45" s="0" t="s">
        <v>343</v>
      </c>
      <c r="F45" s="0" t="n">
        <v>1</v>
      </c>
      <c r="G45" s="0" t="s">
        <v>24</v>
      </c>
      <c r="H45" s="0" t="s">
        <v>344</v>
      </c>
      <c r="I45" s="0" t="s">
        <v>345</v>
      </c>
      <c r="J45" s="0" t="s">
        <v>346</v>
      </c>
      <c r="K45" s="0" t="s">
        <v>348</v>
      </c>
      <c r="L45" s="0" t="s">
        <v>348</v>
      </c>
      <c r="M45" s="0" t="s">
        <v>349</v>
      </c>
      <c r="N45" s="6" t="n">
        <v>46104</v>
      </c>
      <c r="Q45" s="0" t="s">
        <v>31</v>
      </c>
      <c r="R45" s="0" t="s">
        <v>31</v>
      </c>
    </row>
    <row r="46" customFormat="false" ht="15" hidden="true" customHeight="false" outlineLevel="0" collapsed="false">
      <c r="B46" s="0" t="n">
        <v>352</v>
      </c>
      <c r="C46" s="0" t="s">
        <v>43</v>
      </c>
      <c r="D46" s="0" t="s">
        <v>1167</v>
      </c>
      <c r="E46" s="0" t="s">
        <v>44</v>
      </c>
      <c r="F46" s="0" t="n">
        <v>4</v>
      </c>
      <c r="G46" s="0" t="s">
        <v>24</v>
      </c>
      <c r="H46" s="0" t="s">
        <v>45</v>
      </c>
      <c r="I46" s="0" t="s">
        <v>46</v>
      </c>
      <c r="J46" s="0" t="s">
        <v>47</v>
      </c>
      <c r="K46" s="0" t="s">
        <v>48</v>
      </c>
      <c r="L46" s="0" t="s">
        <v>49</v>
      </c>
      <c r="M46" s="0" t="s">
        <v>50</v>
      </c>
      <c r="N46" s="6" t="n">
        <v>46104</v>
      </c>
      <c r="Q46" s="0" t="s">
        <v>31</v>
      </c>
      <c r="R46" s="0" t="s">
        <v>31</v>
      </c>
    </row>
    <row r="47" customFormat="false" ht="15" hidden="false" customHeight="false" outlineLevel="0" collapsed="false">
      <c r="B47" s="0" t="n">
        <v>305</v>
      </c>
      <c r="C47" s="0" t="s">
        <v>43</v>
      </c>
      <c r="D47" s="0" t="s">
        <v>1169</v>
      </c>
      <c r="E47" s="0" t="s">
        <v>44</v>
      </c>
      <c r="F47" s="0" t="n">
        <v>2</v>
      </c>
      <c r="G47" s="0" t="s">
        <v>24</v>
      </c>
      <c r="H47" s="0" t="s">
        <v>45</v>
      </c>
      <c r="I47" s="0" t="s">
        <v>46</v>
      </c>
      <c r="J47" s="0" t="s">
        <v>47</v>
      </c>
      <c r="K47" s="0" t="s">
        <v>48</v>
      </c>
      <c r="L47" s="0" t="s">
        <v>49</v>
      </c>
      <c r="M47" s="0" t="s">
        <v>50</v>
      </c>
      <c r="N47" s="6" t="n">
        <v>46104</v>
      </c>
      <c r="Q47" s="0" t="s">
        <v>31</v>
      </c>
      <c r="R47" s="0" t="s">
        <v>31</v>
      </c>
    </row>
    <row r="48" customFormat="false" ht="15" hidden="false" customHeight="false" outlineLevel="0" collapsed="false">
      <c r="B48" s="0" t="n">
        <v>324</v>
      </c>
      <c r="C48" s="0" t="s">
        <v>270</v>
      </c>
      <c r="D48" s="0" t="s">
        <v>1169</v>
      </c>
      <c r="E48" s="0" t="s">
        <v>271</v>
      </c>
      <c r="F48" s="0" t="n">
        <v>4</v>
      </c>
      <c r="G48" s="0" t="s">
        <v>61</v>
      </c>
      <c r="H48" s="0" t="s">
        <v>272</v>
      </c>
      <c r="I48" s="0" t="s">
        <v>273</v>
      </c>
      <c r="J48" s="0" t="s">
        <v>274</v>
      </c>
      <c r="K48" s="0" t="s">
        <v>792</v>
      </c>
      <c r="L48" s="0" t="s">
        <v>792</v>
      </c>
      <c r="M48" s="0" t="s">
        <v>277</v>
      </c>
      <c r="N48" s="6" t="n">
        <v>46104</v>
      </c>
      <c r="Q48" s="0" t="s">
        <v>31</v>
      </c>
      <c r="R48" s="0" t="s">
        <v>31</v>
      </c>
    </row>
    <row r="49" customFormat="false" ht="15" hidden="true" customHeight="false" outlineLevel="0" collapsed="false">
      <c r="B49" s="0" t="n">
        <v>369</v>
      </c>
      <c r="C49" s="0" t="s">
        <v>859</v>
      </c>
      <c r="D49" s="0" t="s">
        <v>1167</v>
      </c>
      <c r="E49" s="0" t="s">
        <v>860</v>
      </c>
      <c r="F49" s="0" t="n">
        <v>1</v>
      </c>
      <c r="G49" s="0" t="s">
        <v>861</v>
      </c>
      <c r="H49" s="0" t="s">
        <v>862</v>
      </c>
      <c r="I49" s="0" t="s">
        <v>863</v>
      </c>
      <c r="J49" s="0" t="s">
        <v>864</v>
      </c>
      <c r="K49" s="0" t="s">
        <v>865</v>
      </c>
      <c r="L49" s="0" t="s">
        <v>866</v>
      </c>
      <c r="M49" s="0" t="s">
        <v>867</v>
      </c>
      <c r="N49" s="6" t="n">
        <v>46104</v>
      </c>
      <c r="Q49" s="0" t="s">
        <v>31</v>
      </c>
      <c r="R49" s="0" t="s">
        <v>31</v>
      </c>
    </row>
    <row r="50" customFormat="false" ht="15" hidden="false" customHeight="false" outlineLevel="0" collapsed="false">
      <c r="B50" s="0" t="n">
        <v>326</v>
      </c>
      <c r="C50" s="0" t="s">
        <v>859</v>
      </c>
      <c r="D50" s="0" t="s">
        <v>1169</v>
      </c>
      <c r="E50" s="0" t="s">
        <v>860</v>
      </c>
      <c r="F50" s="0" t="n">
        <v>1</v>
      </c>
      <c r="G50" s="0" t="s">
        <v>861</v>
      </c>
      <c r="H50" s="0" t="s">
        <v>862</v>
      </c>
      <c r="I50" s="0" t="s">
        <v>863</v>
      </c>
      <c r="J50" s="0" t="s">
        <v>864</v>
      </c>
      <c r="K50" s="0" t="s">
        <v>865</v>
      </c>
      <c r="L50" s="0" t="s">
        <v>866</v>
      </c>
      <c r="M50" s="0" t="s">
        <v>867</v>
      </c>
      <c r="N50" s="6" t="n">
        <v>46104</v>
      </c>
      <c r="Q50" s="0" t="s">
        <v>31</v>
      </c>
      <c r="R50" s="0" t="s">
        <v>31</v>
      </c>
    </row>
    <row r="51" customFormat="false" ht="15" hidden="true" customHeight="false" outlineLevel="0" collapsed="false">
      <c r="B51" s="0" t="n">
        <v>388</v>
      </c>
      <c r="C51" s="0" t="s">
        <v>508</v>
      </c>
      <c r="D51" s="0" t="s">
        <v>1167</v>
      </c>
      <c r="E51" s="0" t="s">
        <v>509</v>
      </c>
      <c r="F51" s="0" t="n">
        <v>15</v>
      </c>
      <c r="G51" s="0" t="s">
        <v>61</v>
      </c>
      <c r="H51" s="0" t="s">
        <v>510</v>
      </c>
      <c r="I51" s="0" t="s">
        <v>511</v>
      </c>
      <c r="J51" s="0" t="s">
        <v>512</v>
      </c>
      <c r="K51" s="0" t="s">
        <v>513</v>
      </c>
      <c r="L51" s="0" t="s">
        <v>514</v>
      </c>
      <c r="M51" s="0" t="s">
        <v>515</v>
      </c>
      <c r="N51" s="6" t="n">
        <v>46104</v>
      </c>
      <c r="Q51" s="0" t="s">
        <v>31</v>
      </c>
      <c r="R51" s="0" t="s">
        <v>31</v>
      </c>
    </row>
    <row r="52" customFormat="false" ht="15" hidden="false" customHeight="false" outlineLevel="0" collapsed="false">
      <c r="B52" s="0" t="n">
        <v>346</v>
      </c>
      <c r="C52" s="0" t="s">
        <v>508</v>
      </c>
      <c r="D52" s="0" t="s">
        <v>1169</v>
      </c>
      <c r="E52" s="0" t="s">
        <v>509</v>
      </c>
      <c r="F52" s="0" t="n">
        <v>20</v>
      </c>
      <c r="G52" s="0" t="s">
        <v>61</v>
      </c>
      <c r="H52" s="0" t="s">
        <v>510</v>
      </c>
      <c r="I52" s="0" t="s">
        <v>511</v>
      </c>
      <c r="J52" s="0" t="s">
        <v>512</v>
      </c>
      <c r="K52" s="0" t="s">
        <v>513</v>
      </c>
      <c r="L52" s="0" t="s">
        <v>514</v>
      </c>
      <c r="M52" s="0" t="s">
        <v>515</v>
      </c>
      <c r="N52" s="6" t="n">
        <v>46104</v>
      </c>
      <c r="Q52" s="0" t="s">
        <v>31</v>
      </c>
      <c r="R52" s="0" t="s">
        <v>31</v>
      </c>
    </row>
    <row r="53" customFormat="false" ht="15" hidden="true" customHeight="false" outlineLevel="0" collapsed="false">
      <c r="B53" s="0" t="n">
        <v>357</v>
      </c>
      <c r="C53" s="0" t="s">
        <v>102</v>
      </c>
      <c r="D53" s="0" t="s">
        <v>1167</v>
      </c>
      <c r="E53" s="0" t="s">
        <v>103</v>
      </c>
      <c r="F53" s="0" t="n">
        <v>2</v>
      </c>
      <c r="G53" s="0" t="s">
        <v>61</v>
      </c>
      <c r="H53" s="0" t="s">
        <v>104</v>
      </c>
      <c r="I53" s="0" t="s">
        <v>105</v>
      </c>
      <c r="J53" s="0" t="s">
        <v>106</v>
      </c>
      <c r="K53" s="0" t="s">
        <v>107</v>
      </c>
      <c r="L53" s="0" t="s">
        <v>107</v>
      </c>
      <c r="M53" s="0" t="s">
        <v>108</v>
      </c>
      <c r="N53" s="6" t="n">
        <v>46104</v>
      </c>
      <c r="Q53" s="0" t="s">
        <v>31</v>
      </c>
      <c r="R53" s="0" t="s">
        <v>84</v>
      </c>
    </row>
    <row r="54" customFormat="false" ht="15" hidden="false" customHeight="false" outlineLevel="0" collapsed="false">
      <c r="B54" s="0" t="n">
        <v>310</v>
      </c>
      <c r="C54" s="0" t="s">
        <v>102</v>
      </c>
      <c r="D54" s="0" t="s">
        <v>1169</v>
      </c>
      <c r="E54" s="0" t="s">
        <v>103</v>
      </c>
      <c r="F54" s="0" t="n">
        <v>3</v>
      </c>
      <c r="G54" s="0" t="s">
        <v>61</v>
      </c>
      <c r="H54" s="0" t="s">
        <v>104</v>
      </c>
      <c r="I54" s="0" t="s">
        <v>105</v>
      </c>
      <c r="J54" s="0" t="s">
        <v>106</v>
      </c>
      <c r="K54" s="0" t="s">
        <v>107</v>
      </c>
      <c r="L54" s="0" t="s">
        <v>107</v>
      </c>
      <c r="M54" s="0" t="s">
        <v>108</v>
      </c>
      <c r="N54" s="6" t="n">
        <v>46104</v>
      </c>
      <c r="Q54" s="0" t="s">
        <v>31</v>
      </c>
      <c r="R54" s="0" t="s">
        <v>84</v>
      </c>
    </row>
    <row r="55" customFormat="false" ht="15" hidden="false" customHeight="false" outlineLevel="0" collapsed="false">
      <c r="B55" s="0" t="n">
        <v>348</v>
      </c>
      <c r="C55" s="0" t="s">
        <v>644</v>
      </c>
      <c r="D55" s="0" t="s">
        <v>1169</v>
      </c>
      <c r="E55" s="0" t="s">
        <v>645</v>
      </c>
      <c r="F55" s="0" t="n">
        <v>4</v>
      </c>
      <c r="G55" s="0" t="s">
        <v>61</v>
      </c>
      <c r="H55" s="0" t="s">
        <v>646</v>
      </c>
      <c r="I55" s="0" t="s">
        <v>647</v>
      </c>
      <c r="J55" s="0" t="s">
        <v>648</v>
      </c>
      <c r="K55" s="0" t="s">
        <v>649</v>
      </c>
      <c r="L55" s="0" t="s">
        <v>650</v>
      </c>
      <c r="N55" s="6" t="n">
        <v>46104</v>
      </c>
      <c r="Q55" s="0" t="s">
        <v>31</v>
      </c>
      <c r="R55" s="0" t="s">
        <v>793</v>
      </c>
    </row>
    <row r="56" customFormat="false" ht="15" hidden="false" customHeight="false" outlineLevel="0" collapsed="false">
      <c r="B56" s="0" t="n">
        <v>312</v>
      </c>
      <c r="C56" s="0" t="s">
        <v>150</v>
      </c>
      <c r="D56" s="0" t="s">
        <v>1169</v>
      </c>
      <c r="E56" s="0" t="s">
        <v>151</v>
      </c>
      <c r="F56" s="0" t="n">
        <v>2</v>
      </c>
      <c r="G56" s="0" t="s">
        <v>152</v>
      </c>
      <c r="H56" s="0" t="s">
        <v>153</v>
      </c>
      <c r="I56" s="0" t="s">
        <v>154</v>
      </c>
      <c r="J56" s="0" t="s">
        <v>155</v>
      </c>
      <c r="K56" s="0" t="s">
        <v>156</v>
      </c>
      <c r="L56" s="0" t="s">
        <v>1173</v>
      </c>
      <c r="M56" s="0" t="s">
        <v>158</v>
      </c>
      <c r="N56" s="6" t="n">
        <v>46104</v>
      </c>
      <c r="Q56" s="0" t="s">
        <v>31</v>
      </c>
      <c r="R56" s="0" t="s">
        <v>84</v>
      </c>
    </row>
    <row r="57" customFormat="false" ht="15" hidden="false" customHeight="false" outlineLevel="0" collapsed="false">
      <c r="B57" s="0" t="n">
        <v>323</v>
      </c>
      <c r="C57" s="0" t="s">
        <v>651</v>
      </c>
      <c r="D57" s="0" t="s">
        <v>1169</v>
      </c>
      <c r="E57" s="0" t="s">
        <v>652</v>
      </c>
      <c r="F57" s="0" t="n">
        <v>5</v>
      </c>
      <c r="G57" s="0" t="s">
        <v>111</v>
      </c>
      <c r="H57" s="0" t="s">
        <v>653</v>
      </c>
      <c r="I57" s="0" t="s">
        <v>654</v>
      </c>
      <c r="J57" s="0" t="s">
        <v>655</v>
      </c>
      <c r="K57" s="0" t="s">
        <v>656</v>
      </c>
      <c r="L57" s="0" t="s">
        <v>657</v>
      </c>
      <c r="M57" s="0" t="s">
        <v>658</v>
      </c>
      <c r="N57" s="6" t="n">
        <v>46104</v>
      </c>
      <c r="Q57" s="0" t="s">
        <v>31</v>
      </c>
      <c r="R57" s="0" t="s">
        <v>31</v>
      </c>
    </row>
    <row r="58" customFormat="false" ht="30" hidden="false" customHeight="true" outlineLevel="0" collapsed="false">
      <c r="B58" s="2" t="s">
        <v>1217</v>
      </c>
      <c r="C58" s="0" t="s">
        <v>795</v>
      </c>
      <c r="D58" s="0" t="s">
        <v>1169</v>
      </c>
      <c r="E58" s="0" t="s">
        <v>796</v>
      </c>
      <c r="F58" s="0" t="n">
        <v>16</v>
      </c>
      <c r="G58" s="0" t="s">
        <v>61</v>
      </c>
      <c r="H58" s="2" t="s">
        <v>797</v>
      </c>
      <c r="I58" s="2" t="s">
        <v>798</v>
      </c>
      <c r="J58" s="2" t="s">
        <v>799</v>
      </c>
      <c r="K58" s="0" t="s">
        <v>236</v>
      </c>
      <c r="L58" s="2" t="s">
        <v>1218</v>
      </c>
      <c r="M58" s="0" t="s">
        <v>801</v>
      </c>
      <c r="N58" s="6" t="n">
        <v>46104</v>
      </c>
      <c r="Q58" s="0" t="s">
        <v>31</v>
      </c>
      <c r="R58" s="0" t="s">
        <v>84</v>
      </c>
    </row>
    <row r="59" customFormat="false" ht="15" hidden="true" customHeight="false" outlineLevel="0" collapsed="false">
      <c r="B59" s="0" t="n">
        <v>368</v>
      </c>
      <c r="C59" s="0" t="s">
        <v>278</v>
      </c>
      <c r="D59" s="0" t="s">
        <v>1167</v>
      </c>
      <c r="E59" s="0" t="s">
        <v>279</v>
      </c>
      <c r="F59" s="0" t="n">
        <v>7</v>
      </c>
      <c r="G59" s="0" t="s">
        <v>61</v>
      </c>
      <c r="H59" s="0" t="s">
        <v>280</v>
      </c>
      <c r="I59" s="0" t="s">
        <v>281</v>
      </c>
      <c r="J59" s="0" t="s">
        <v>282</v>
      </c>
      <c r="K59" s="0" t="s">
        <v>283</v>
      </c>
      <c r="L59" s="0" t="s">
        <v>284</v>
      </c>
      <c r="M59" s="0" t="s">
        <v>285</v>
      </c>
      <c r="N59" s="6" t="n">
        <v>46104</v>
      </c>
      <c r="Q59" s="0" t="s">
        <v>31</v>
      </c>
      <c r="R59" s="0" t="s">
        <v>31</v>
      </c>
    </row>
    <row r="60" customFormat="false" ht="15" hidden="true" customHeight="false" outlineLevel="0" collapsed="false">
      <c r="B60" s="0" t="n">
        <v>358</v>
      </c>
      <c r="C60" s="0" t="s">
        <v>117</v>
      </c>
      <c r="D60" s="0" t="s">
        <v>1167</v>
      </c>
      <c r="E60" s="0" t="s">
        <v>118</v>
      </c>
      <c r="F60" s="0" t="n">
        <v>6</v>
      </c>
      <c r="G60" s="0" t="s">
        <v>24</v>
      </c>
      <c r="H60" s="0" t="s">
        <v>119</v>
      </c>
      <c r="I60" s="0" t="s">
        <v>120</v>
      </c>
      <c r="J60" s="0" t="s">
        <v>121</v>
      </c>
      <c r="K60" s="0" t="s">
        <v>122</v>
      </c>
      <c r="L60" s="0" t="s">
        <v>123</v>
      </c>
      <c r="M60" s="0" t="s">
        <v>124</v>
      </c>
      <c r="N60" s="6" t="n">
        <v>46104</v>
      </c>
      <c r="Q60" s="0" t="s">
        <v>31</v>
      </c>
      <c r="R60" s="0" t="s">
        <v>31</v>
      </c>
    </row>
    <row r="61" customFormat="false" ht="15" hidden="false" customHeight="false" outlineLevel="0" collapsed="false">
      <c r="B61" s="0" t="n">
        <v>314</v>
      </c>
      <c r="C61" s="0" t="s">
        <v>667</v>
      </c>
      <c r="D61" s="0" t="s">
        <v>1169</v>
      </c>
      <c r="E61" s="0" t="s">
        <v>668</v>
      </c>
      <c r="F61" s="0" t="n">
        <v>1</v>
      </c>
      <c r="G61" s="0" t="s">
        <v>61</v>
      </c>
      <c r="H61" s="0" t="s">
        <v>669</v>
      </c>
      <c r="I61" s="0" t="s">
        <v>670</v>
      </c>
      <c r="J61" s="0" t="s">
        <v>671</v>
      </c>
      <c r="K61" s="0" t="s">
        <v>672</v>
      </c>
      <c r="L61" s="0" t="s">
        <v>672</v>
      </c>
      <c r="M61" s="0" t="s">
        <v>673</v>
      </c>
      <c r="N61" s="6" t="n">
        <v>46104</v>
      </c>
      <c r="Q61" s="0" t="s">
        <v>31</v>
      </c>
      <c r="R61" s="0" t="s">
        <v>84</v>
      </c>
    </row>
    <row r="62" customFormat="false" ht="15" hidden="false" customHeight="false" outlineLevel="0" collapsed="false">
      <c r="B62" s="0" t="n">
        <v>334</v>
      </c>
      <c r="C62" s="0" t="s">
        <v>383</v>
      </c>
      <c r="D62" s="0" t="s">
        <v>1169</v>
      </c>
      <c r="E62" s="0" t="s">
        <v>384</v>
      </c>
      <c r="F62" s="0" t="n">
        <v>1</v>
      </c>
      <c r="G62" s="0" t="s">
        <v>61</v>
      </c>
      <c r="H62" s="0" t="s">
        <v>385</v>
      </c>
      <c r="I62" s="0" t="s">
        <v>386</v>
      </c>
      <c r="J62" s="0" t="s">
        <v>387</v>
      </c>
      <c r="K62" s="0" t="s">
        <v>388</v>
      </c>
      <c r="L62" s="0" t="s">
        <v>389</v>
      </c>
      <c r="M62" s="0" t="s">
        <v>390</v>
      </c>
      <c r="N62" s="6" t="n">
        <v>46104</v>
      </c>
      <c r="Q62" s="0" t="s">
        <v>31</v>
      </c>
      <c r="R62" s="0" t="s">
        <v>84</v>
      </c>
    </row>
    <row r="63" customFormat="false" ht="45" hidden="true" customHeight="true" outlineLevel="0" collapsed="false">
      <c r="B63" s="2" t="s">
        <v>1178</v>
      </c>
      <c r="C63" s="0" t="s">
        <v>431</v>
      </c>
      <c r="D63" s="0" t="s">
        <v>1167</v>
      </c>
      <c r="E63" s="0" t="s">
        <v>432</v>
      </c>
      <c r="F63" s="0" t="n">
        <v>3</v>
      </c>
      <c r="G63" s="0" t="s">
        <v>152</v>
      </c>
      <c r="H63" s="2" t="s">
        <v>1179</v>
      </c>
      <c r="I63" s="2" t="s">
        <v>1180</v>
      </c>
      <c r="J63" s="2" t="s">
        <v>1181</v>
      </c>
      <c r="K63" s="0" t="s">
        <v>436</v>
      </c>
      <c r="L63" s="2" t="s">
        <v>1182</v>
      </c>
      <c r="M63" s="0" t="s">
        <v>438</v>
      </c>
      <c r="N63" s="6" t="n">
        <v>46104</v>
      </c>
      <c r="Q63" s="0" t="s">
        <v>31</v>
      </c>
      <c r="R63" s="0" t="s">
        <v>31</v>
      </c>
    </row>
    <row r="64" customFormat="false" ht="60" hidden="false" customHeight="true" outlineLevel="0" collapsed="false">
      <c r="B64" s="2" t="s">
        <v>1183</v>
      </c>
      <c r="C64" s="0" t="s">
        <v>431</v>
      </c>
      <c r="D64" s="0" t="s">
        <v>1169</v>
      </c>
      <c r="E64" s="0" t="s">
        <v>432</v>
      </c>
      <c r="F64" s="0" t="n">
        <v>9</v>
      </c>
      <c r="G64" s="0" t="s">
        <v>152</v>
      </c>
      <c r="H64" s="2" t="s">
        <v>1184</v>
      </c>
      <c r="I64" s="2" t="s">
        <v>1185</v>
      </c>
      <c r="J64" s="2" t="s">
        <v>1186</v>
      </c>
      <c r="K64" s="0" t="s">
        <v>436</v>
      </c>
      <c r="L64" s="2" t="s">
        <v>1187</v>
      </c>
      <c r="M64" s="0" t="s">
        <v>438</v>
      </c>
      <c r="N64" s="6" t="n">
        <v>46104</v>
      </c>
      <c r="Q64" s="0" t="s">
        <v>31</v>
      </c>
      <c r="R64" s="0" t="s">
        <v>31</v>
      </c>
    </row>
    <row r="65" customFormat="false" ht="45" hidden="true" customHeight="true" outlineLevel="0" collapsed="false">
      <c r="B65" s="2" t="s">
        <v>1188</v>
      </c>
      <c r="C65" s="0" t="s">
        <v>366</v>
      </c>
      <c r="D65" s="0" t="s">
        <v>1167</v>
      </c>
      <c r="E65" s="0" t="s">
        <v>367</v>
      </c>
      <c r="F65" s="0" t="n">
        <v>6</v>
      </c>
      <c r="G65" s="0" t="s">
        <v>368</v>
      </c>
      <c r="H65" s="0" t="s">
        <v>369</v>
      </c>
      <c r="I65" s="0" t="s">
        <v>370</v>
      </c>
      <c r="J65" s="0" t="s">
        <v>371</v>
      </c>
      <c r="K65" s="0" t="s">
        <v>372</v>
      </c>
      <c r="L65" s="2" t="s">
        <v>1189</v>
      </c>
      <c r="M65" s="0" t="s">
        <v>374</v>
      </c>
      <c r="N65" s="6" t="n">
        <v>46104</v>
      </c>
      <c r="Q65" s="0" t="s">
        <v>31</v>
      </c>
      <c r="R65" s="0" t="s">
        <v>84</v>
      </c>
    </row>
    <row r="66" customFormat="false" ht="60" hidden="false" customHeight="true" outlineLevel="0" collapsed="false">
      <c r="B66" s="2" t="s">
        <v>1190</v>
      </c>
      <c r="C66" s="0" t="s">
        <v>366</v>
      </c>
      <c r="D66" s="0" t="s">
        <v>1169</v>
      </c>
      <c r="E66" s="0" t="s">
        <v>367</v>
      </c>
      <c r="F66" s="0" t="n">
        <v>15</v>
      </c>
      <c r="G66" s="0" t="s">
        <v>368</v>
      </c>
      <c r="H66" s="0" t="s">
        <v>369</v>
      </c>
      <c r="I66" s="0" t="s">
        <v>370</v>
      </c>
      <c r="J66" s="0" t="s">
        <v>371</v>
      </c>
      <c r="K66" s="0" t="s">
        <v>372</v>
      </c>
      <c r="L66" s="2" t="s">
        <v>1191</v>
      </c>
      <c r="M66" s="0" t="s">
        <v>374</v>
      </c>
      <c r="N66" s="6" t="n">
        <v>46104</v>
      </c>
      <c r="Q66" s="0" t="s">
        <v>31</v>
      </c>
      <c r="R66" s="0" t="s">
        <v>84</v>
      </c>
    </row>
    <row r="67" customFormat="false" ht="15" hidden="true" customHeight="false" outlineLevel="0" collapsed="false">
      <c r="B67" s="0" t="n">
        <v>389</v>
      </c>
      <c r="C67" s="0" t="s">
        <v>516</v>
      </c>
      <c r="D67" s="0" t="s">
        <v>1167</v>
      </c>
      <c r="E67" s="0" t="s">
        <v>517</v>
      </c>
      <c r="F67" s="0" t="n">
        <v>1</v>
      </c>
      <c r="G67" s="0" t="s">
        <v>61</v>
      </c>
      <c r="H67" s="0" t="s">
        <v>518</v>
      </c>
      <c r="I67" s="0" t="s">
        <v>519</v>
      </c>
      <c r="J67" s="0" t="s">
        <v>520</v>
      </c>
      <c r="K67" s="0" t="s">
        <v>521</v>
      </c>
      <c r="L67" s="0" t="s">
        <v>522</v>
      </c>
      <c r="M67" s="0" t="s">
        <v>523</v>
      </c>
      <c r="N67" s="6" t="n">
        <v>46104</v>
      </c>
      <c r="Q67" s="0" t="s">
        <v>31</v>
      </c>
      <c r="R67" s="0" t="s">
        <v>31</v>
      </c>
    </row>
    <row r="68" customFormat="false" ht="15" hidden="false" customHeight="false" outlineLevel="0" collapsed="false">
      <c r="B68" s="0" t="n">
        <v>347</v>
      </c>
      <c r="C68" s="0" t="s">
        <v>516</v>
      </c>
      <c r="D68" s="0" t="s">
        <v>1169</v>
      </c>
      <c r="E68" s="0" t="s">
        <v>517</v>
      </c>
      <c r="F68" s="0" t="n">
        <v>1</v>
      </c>
      <c r="G68" s="0" t="s">
        <v>61</v>
      </c>
      <c r="H68" s="0" t="s">
        <v>518</v>
      </c>
      <c r="I68" s="0" t="s">
        <v>519</v>
      </c>
      <c r="J68" s="0" t="s">
        <v>520</v>
      </c>
      <c r="K68" s="0" t="s">
        <v>521</v>
      </c>
      <c r="L68" s="0" t="s">
        <v>522</v>
      </c>
      <c r="M68" s="0" t="s">
        <v>523</v>
      </c>
      <c r="N68" s="6" t="n">
        <v>46104</v>
      </c>
      <c r="Q68" s="0" t="s">
        <v>31</v>
      </c>
      <c r="R68" s="0" t="s">
        <v>31</v>
      </c>
    </row>
    <row r="69" customFormat="false" ht="30" hidden="true" customHeight="true" outlineLevel="0" collapsed="false">
      <c r="B69" s="2" t="s">
        <v>1219</v>
      </c>
      <c r="C69" s="0" t="s">
        <v>802</v>
      </c>
      <c r="D69" s="0" t="s">
        <v>1167</v>
      </c>
      <c r="E69" s="0" t="s">
        <v>803</v>
      </c>
      <c r="F69" s="0" t="n">
        <v>10</v>
      </c>
      <c r="G69" s="0" t="s">
        <v>804</v>
      </c>
      <c r="H69" s="2" t="s">
        <v>874</v>
      </c>
      <c r="I69" s="2" t="s">
        <v>875</v>
      </c>
      <c r="J69" s="2" t="s">
        <v>876</v>
      </c>
      <c r="K69" s="0" t="s">
        <v>808</v>
      </c>
      <c r="L69" s="2" t="s">
        <v>1220</v>
      </c>
      <c r="M69" s="0" t="s">
        <v>810</v>
      </c>
      <c r="N69" s="6" t="n">
        <v>46104</v>
      </c>
      <c r="Q69" s="0" t="s">
        <v>31</v>
      </c>
      <c r="R69" s="0" t="s">
        <v>84</v>
      </c>
    </row>
    <row r="70" customFormat="false" ht="15" hidden="false" customHeight="false" outlineLevel="0" collapsed="false">
      <c r="B70" s="0" t="n">
        <v>330</v>
      </c>
      <c r="C70" s="0" t="s">
        <v>802</v>
      </c>
      <c r="D70" s="0" t="s">
        <v>1169</v>
      </c>
      <c r="E70" s="0" t="s">
        <v>803</v>
      </c>
      <c r="F70" s="0" t="n">
        <v>10</v>
      </c>
      <c r="G70" s="0" t="s">
        <v>804</v>
      </c>
      <c r="H70" s="0" t="s">
        <v>805</v>
      </c>
      <c r="I70" s="0" t="s">
        <v>806</v>
      </c>
      <c r="J70" s="0" t="s">
        <v>807</v>
      </c>
      <c r="K70" s="0" t="s">
        <v>808</v>
      </c>
      <c r="L70" s="0" t="s">
        <v>809</v>
      </c>
      <c r="M70" s="0" t="s">
        <v>810</v>
      </c>
      <c r="N70" s="6" t="n">
        <v>46104</v>
      </c>
      <c r="Q70" s="0" t="s">
        <v>31</v>
      </c>
      <c r="R70" s="0" t="s">
        <v>84</v>
      </c>
    </row>
    <row r="71" customFormat="false" ht="15" hidden="true" customHeight="false" outlineLevel="0" collapsed="false">
      <c r="B71" s="0" t="n">
        <v>377</v>
      </c>
      <c r="C71" s="0" t="s">
        <v>375</v>
      </c>
      <c r="D71" s="0" t="s">
        <v>1167</v>
      </c>
      <c r="E71" s="0" t="s">
        <v>376</v>
      </c>
      <c r="F71" s="0" t="n">
        <v>10</v>
      </c>
      <c r="G71" s="0" t="s">
        <v>111</v>
      </c>
      <c r="H71" s="0" t="s">
        <v>377</v>
      </c>
      <c r="I71" s="0" t="s">
        <v>378</v>
      </c>
      <c r="J71" s="0" t="s">
        <v>379</v>
      </c>
      <c r="K71" s="0" t="s">
        <v>380</v>
      </c>
      <c r="L71" s="0" t="s">
        <v>1192</v>
      </c>
      <c r="M71" s="0" t="s">
        <v>382</v>
      </c>
      <c r="N71" s="6" t="n">
        <v>46104</v>
      </c>
      <c r="Q71" s="0" t="s">
        <v>31</v>
      </c>
      <c r="R71" s="0" t="s">
        <v>31</v>
      </c>
    </row>
    <row r="72" customFormat="false" ht="45" hidden="false" customHeight="true" outlineLevel="0" collapsed="false">
      <c r="B72" s="2" t="s">
        <v>1193</v>
      </c>
      <c r="C72" s="0" t="s">
        <v>375</v>
      </c>
      <c r="D72" s="0" t="s">
        <v>1169</v>
      </c>
      <c r="E72" s="0" t="s">
        <v>376</v>
      </c>
      <c r="F72" s="0" t="n">
        <v>15</v>
      </c>
      <c r="G72" s="0" t="s">
        <v>111</v>
      </c>
      <c r="H72" s="2" t="s">
        <v>1194</v>
      </c>
      <c r="I72" s="2" t="s">
        <v>1195</v>
      </c>
      <c r="J72" s="2" t="s">
        <v>1196</v>
      </c>
      <c r="K72" s="0" t="s">
        <v>380</v>
      </c>
      <c r="L72" s="2" t="s">
        <v>1197</v>
      </c>
      <c r="M72" s="0" t="s">
        <v>382</v>
      </c>
      <c r="N72" s="6" t="n">
        <v>46104</v>
      </c>
      <c r="Q72" s="0" t="s">
        <v>31</v>
      </c>
      <c r="R72" s="0" t="s">
        <v>31</v>
      </c>
    </row>
    <row r="73" customFormat="false" ht="120" hidden="true" customHeight="true" outlineLevel="0" collapsed="false">
      <c r="B73" s="2" t="s">
        <v>1221</v>
      </c>
      <c r="C73" s="0" t="s">
        <v>198</v>
      </c>
      <c r="D73" s="0" t="s">
        <v>1167</v>
      </c>
      <c r="E73" s="0" t="s">
        <v>199</v>
      </c>
      <c r="F73" s="0" t="n">
        <v>18</v>
      </c>
      <c r="G73" s="0" t="s">
        <v>200</v>
      </c>
      <c r="H73" s="0" t="s">
        <v>201</v>
      </c>
      <c r="I73" s="0" t="s">
        <v>202</v>
      </c>
      <c r="J73" s="0" t="s">
        <v>203</v>
      </c>
      <c r="K73" s="0" t="s">
        <v>204</v>
      </c>
      <c r="L73" s="2" t="s">
        <v>1222</v>
      </c>
      <c r="M73" s="0" t="s">
        <v>206</v>
      </c>
      <c r="N73" s="6" t="n">
        <v>46104</v>
      </c>
      <c r="Q73" s="0" t="s">
        <v>31</v>
      </c>
      <c r="R73" s="0" t="s">
        <v>84</v>
      </c>
    </row>
    <row r="74" customFormat="false" ht="15" hidden="false" customHeight="false" outlineLevel="0" collapsed="false">
      <c r="B74" s="0" t="n">
        <v>316</v>
      </c>
      <c r="C74" s="0" t="s">
        <v>198</v>
      </c>
      <c r="D74" s="0" t="s">
        <v>1169</v>
      </c>
      <c r="E74" s="0" t="s">
        <v>199</v>
      </c>
      <c r="F74" s="0" t="n">
        <v>1</v>
      </c>
      <c r="G74" s="0" t="s">
        <v>200</v>
      </c>
      <c r="H74" s="0" t="s">
        <v>201</v>
      </c>
      <c r="I74" s="0" t="s">
        <v>202</v>
      </c>
      <c r="J74" s="0" t="s">
        <v>203</v>
      </c>
      <c r="K74" s="0" t="s">
        <v>204</v>
      </c>
      <c r="L74" s="0" t="s">
        <v>1198</v>
      </c>
      <c r="M74" s="0" t="s">
        <v>206</v>
      </c>
      <c r="N74" s="6" t="n">
        <v>46104</v>
      </c>
      <c r="Q74" s="0" t="s">
        <v>31</v>
      </c>
      <c r="R74" s="0" t="s">
        <v>84</v>
      </c>
    </row>
    <row r="75" customFormat="false" ht="60" hidden="true" customHeight="true" outlineLevel="0" collapsed="false">
      <c r="B75" s="2" t="s">
        <v>1199</v>
      </c>
      <c r="C75" s="0" t="s">
        <v>190</v>
      </c>
      <c r="D75" s="0" t="s">
        <v>1167</v>
      </c>
      <c r="E75" s="0" t="s">
        <v>191</v>
      </c>
      <c r="F75" s="0" t="n">
        <v>9</v>
      </c>
      <c r="G75" s="0" t="s">
        <v>24</v>
      </c>
      <c r="H75" s="2" t="s">
        <v>1200</v>
      </c>
      <c r="I75" s="2" t="s">
        <v>1201</v>
      </c>
      <c r="J75" s="2" t="s">
        <v>1202</v>
      </c>
      <c r="K75" s="0" t="s">
        <v>195</v>
      </c>
      <c r="L75" s="2" t="s">
        <v>1203</v>
      </c>
      <c r="M75" s="0" t="s">
        <v>197</v>
      </c>
      <c r="N75" s="6" t="n">
        <v>46104</v>
      </c>
      <c r="Q75" s="0" t="s">
        <v>31</v>
      </c>
      <c r="R75" s="0" t="s">
        <v>31</v>
      </c>
    </row>
    <row r="76" customFormat="false" ht="75" hidden="false" customHeight="true" outlineLevel="0" collapsed="false">
      <c r="B76" s="2" t="s">
        <v>1204</v>
      </c>
      <c r="C76" s="0" t="s">
        <v>190</v>
      </c>
      <c r="D76" s="0" t="s">
        <v>1169</v>
      </c>
      <c r="E76" s="0" t="s">
        <v>191</v>
      </c>
      <c r="F76" s="0" t="n">
        <v>6</v>
      </c>
      <c r="G76" s="0" t="s">
        <v>24</v>
      </c>
      <c r="H76" s="2" t="s">
        <v>1205</v>
      </c>
      <c r="I76" s="2" t="s">
        <v>1206</v>
      </c>
      <c r="J76" s="2" t="s">
        <v>1207</v>
      </c>
      <c r="K76" s="0" t="s">
        <v>195</v>
      </c>
      <c r="L76" s="2" t="s">
        <v>1208</v>
      </c>
      <c r="M76" s="0" t="s">
        <v>197</v>
      </c>
      <c r="N76" s="6" t="n">
        <v>46104</v>
      </c>
      <c r="Q76" s="0" t="s">
        <v>31</v>
      </c>
      <c r="R76" s="0" t="s">
        <v>31</v>
      </c>
    </row>
    <row r="77" customFormat="false" ht="60" hidden="false" customHeight="true" outlineLevel="0" collapsed="false">
      <c r="B77" s="2" t="s">
        <v>1209</v>
      </c>
      <c r="C77" s="0" t="s">
        <v>75</v>
      </c>
      <c r="D77" s="0" t="s">
        <v>1169</v>
      </c>
      <c r="E77" s="0" t="s">
        <v>76</v>
      </c>
      <c r="F77" s="0" t="n">
        <v>8</v>
      </c>
      <c r="G77" s="0" t="s">
        <v>77</v>
      </c>
      <c r="H77" s="2" t="s">
        <v>1210</v>
      </c>
      <c r="I77" s="2" t="s">
        <v>1211</v>
      </c>
      <c r="J77" s="2" t="s">
        <v>1212</v>
      </c>
      <c r="K77" s="0" t="s">
        <v>81</v>
      </c>
      <c r="L77" s="2" t="s">
        <v>1213</v>
      </c>
      <c r="M77" s="0" t="s">
        <v>83</v>
      </c>
      <c r="N77" s="6" t="n">
        <v>46104</v>
      </c>
      <c r="Q77" s="0" t="s">
        <v>31</v>
      </c>
      <c r="R77" s="0" t="s">
        <v>84</v>
      </c>
    </row>
    <row r="78" customFormat="false" ht="15" hidden="true" customHeight="false" outlineLevel="0" collapsed="false">
      <c r="B78" s="0" t="n">
        <v>365</v>
      </c>
      <c r="C78" s="0" t="s">
        <v>231</v>
      </c>
      <c r="D78" s="0" t="s">
        <v>1167</v>
      </c>
      <c r="E78" s="0" t="s">
        <v>232</v>
      </c>
      <c r="F78" s="0" t="n">
        <v>2</v>
      </c>
      <c r="G78" s="0" t="s">
        <v>61</v>
      </c>
      <c r="H78" s="0" t="s">
        <v>697</v>
      </c>
      <c r="I78" s="0" t="s">
        <v>698</v>
      </c>
      <c r="J78" s="0" t="s">
        <v>699</v>
      </c>
      <c r="K78" s="0" t="s">
        <v>236</v>
      </c>
      <c r="L78" s="0" t="s">
        <v>700</v>
      </c>
      <c r="M78" s="0" t="s">
        <v>238</v>
      </c>
      <c r="N78" s="6" t="n">
        <v>46104</v>
      </c>
      <c r="Q78" s="0" t="s">
        <v>31</v>
      </c>
      <c r="R78" s="0" t="s">
        <v>84</v>
      </c>
    </row>
    <row r="79" customFormat="false" ht="60" hidden="false" customHeight="true" outlineLevel="0" collapsed="false">
      <c r="B79" s="2" t="s">
        <v>1214</v>
      </c>
      <c r="C79" s="0" t="s">
        <v>231</v>
      </c>
      <c r="D79" s="0" t="s">
        <v>1169</v>
      </c>
      <c r="E79" s="0" t="s">
        <v>232</v>
      </c>
      <c r="F79" s="0" t="n">
        <v>5</v>
      </c>
      <c r="G79" s="0" t="s">
        <v>61</v>
      </c>
      <c r="H79" s="2" t="s">
        <v>702</v>
      </c>
      <c r="I79" s="2" t="s">
        <v>703</v>
      </c>
      <c r="J79" s="2" t="s">
        <v>704</v>
      </c>
      <c r="K79" s="0" t="s">
        <v>236</v>
      </c>
      <c r="L79" s="2" t="s">
        <v>1215</v>
      </c>
      <c r="M79" s="0" t="s">
        <v>238</v>
      </c>
      <c r="N79" s="6" t="n">
        <v>46104</v>
      </c>
      <c r="Q79" s="0" t="s">
        <v>31</v>
      </c>
      <c r="R79" s="0" t="s">
        <v>84</v>
      </c>
    </row>
    <row r="80" customFormat="false" ht="15" hidden="false" customHeight="false" outlineLevel="0" collapsed="false">
      <c r="B80" s="0" t="n">
        <v>343</v>
      </c>
      <c r="C80" s="0" t="s">
        <v>471</v>
      </c>
      <c r="D80" s="0" t="s">
        <v>1169</v>
      </c>
      <c r="E80" s="0" t="s">
        <v>472</v>
      </c>
      <c r="F80" s="0" t="n">
        <v>2</v>
      </c>
      <c r="G80" s="0" t="s">
        <v>111</v>
      </c>
      <c r="H80" s="0" t="s">
        <v>473</v>
      </c>
      <c r="I80" s="0" t="s">
        <v>474</v>
      </c>
      <c r="J80" s="0" t="s">
        <v>475</v>
      </c>
      <c r="K80" s="0" t="s">
        <v>476</v>
      </c>
      <c r="L80" s="0" t="s">
        <v>476</v>
      </c>
      <c r="M80" s="0" t="s">
        <v>477</v>
      </c>
      <c r="N80" s="6" t="n">
        <v>46104</v>
      </c>
      <c r="Q80" s="0" t="s">
        <v>31</v>
      </c>
      <c r="R80" s="0" t="s">
        <v>84</v>
      </c>
    </row>
    <row r="81" customFormat="false" ht="15" hidden="true" customHeight="false" outlineLevel="0" collapsed="false">
      <c r="B81" s="0" t="n">
        <v>366</v>
      </c>
      <c r="C81" s="0" t="s">
        <v>239</v>
      </c>
      <c r="D81" s="0" t="s">
        <v>1167</v>
      </c>
      <c r="E81" s="0" t="s">
        <v>240</v>
      </c>
      <c r="F81" s="0" t="n">
        <v>1</v>
      </c>
      <c r="G81" s="0" t="s">
        <v>24</v>
      </c>
      <c r="H81" s="0" t="s">
        <v>241</v>
      </c>
      <c r="I81" s="0" t="s">
        <v>242</v>
      </c>
      <c r="J81" s="0" t="s">
        <v>243</v>
      </c>
      <c r="K81" s="0" t="s">
        <v>244</v>
      </c>
      <c r="L81" s="0" t="s">
        <v>244</v>
      </c>
      <c r="M81" s="0" t="s">
        <v>246</v>
      </c>
      <c r="N81" s="6" t="n">
        <v>46104</v>
      </c>
      <c r="Q81" s="0" t="s">
        <v>31</v>
      </c>
      <c r="R81" s="0" t="s">
        <v>31</v>
      </c>
    </row>
    <row r="82" customFormat="false" ht="15" hidden="false" customHeight="false" outlineLevel="0" collapsed="false">
      <c r="B82" s="0" t="n">
        <v>320</v>
      </c>
      <c r="C82" s="0" t="s">
        <v>239</v>
      </c>
      <c r="D82" s="0" t="s">
        <v>1169</v>
      </c>
      <c r="E82" s="0" t="s">
        <v>240</v>
      </c>
      <c r="F82" s="0" t="n">
        <v>1</v>
      </c>
      <c r="G82" s="0" t="s">
        <v>24</v>
      </c>
      <c r="H82" s="0" t="s">
        <v>241</v>
      </c>
      <c r="I82" s="0" t="s">
        <v>242</v>
      </c>
      <c r="J82" s="0" t="s">
        <v>243</v>
      </c>
      <c r="K82" s="0" t="s">
        <v>244</v>
      </c>
      <c r="L82" s="0" t="s">
        <v>244</v>
      </c>
      <c r="M82" s="0" t="s">
        <v>246</v>
      </c>
      <c r="N82" s="6" t="n">
        <v>46104</v>
      </c>
      <c r="Q82" s="0" t="s">
        <v>31</v>
      </c>
      <c r="R82" s="0" t="s">
        <v>31</v>
      </c>
    </row>
    <row r="83" customFormat="false" ht="15" hidden="true" customHeight="false" outlineLevel="0" collapsed="false">
      <c r="B83" s="0" t="n">
        <v>359</v>
      </c>
      <c r="C83" s="0" t="s">
        <v>125</v>
      </c>
      <c r="D83" s="0" t="s">
        <v>1167</v>
      </c>
      <c r="E83" s="0" t="s">
        <v>126</v>
      </c>
      <c r="F83" s="0" t="n">
        <v>1</v>
      </c>
      <c r="G83" s="0" t="s">
        <v>127</v>
      </c>
      <c r="H83" s="0" t="s">
        <v>128</v>
      </c>
      <c r="I83" s="0" t="s">
        <v>129</v>
      </c>
      <c r="J83" s="0" t="s">
        <v>130</v>
      </c>
      <c r="K83" s="0" t="s">
        <v>131</v>
      </c>
      <c r="L83" s="0" t="s">
        <v>132</v>
      </c>
      <c r="M83" s="0" t="s">
        <v>133</v>
      </c>
      <c r="N83" s="6" t="n">
        <v>46104</v>
      </c>
      <c r="Q83" s="0" t="s">
        <v>31</v>
      </c>
      <c r="R83" s="0" t="s">
        <v>84</v>
      </c>
    </row>
    <row r="84" customFormat="false" ht="15" hidden="false" customHeight="false" outlineLevel="0" collapsed="false">
      <c r="B84" s="0" t="n">
        <v>309</v>
      </c>
      <c r="C84" s="0" t="s">
        <v>725</v>
      </c>
      <c r="D84" s="0" t="s">
        <v>1169</v>
      </c>
      <c r="E84" s="0" t="s">
        <v>726</v>
      </c>
      <c r="F84" s="0" t="n">
        <v>2</v>
      </c>
      <c r="G84" s="0" t="s">
        <v>727</v>
      </c>
      <c r="H84" s="0" t="s">
        <v>728</v>
      </c>
      <c r="I84" s="0" t="s">
        <v>729</v>
      </c>
      <c r="J84" s="0" t="s">
        <v>730</v>
      </c>
      <c r="K84" s="0" t="s">
        <v>731</v>
      </c>
      <c r="L84" s="0" t="s">
        <v>732</v>
      </c>
      <c r="M84" s="0" t="s">
        <v>733</v>
      </c>
      <c r="N84" s="6" t="n">
        <v>46104</v>
      </c>
      <c r="Q84" s="0" t="s">
        <v>31</v>
      </c>
      <c r="R84" s="0" t="s">
        <v>31</v>
      </c>
    </row>
    <row r="85" customFormat="false" ht="15" hidden="true" customHeight="false" outlineLevel="0" collapsed="false">
      <c r="B85" s="0" t="n">
        <v>379</v>
      </c>
      <c r="C85" s="0" t="s">
        <v>415</v>
      </c>
      <c r="D85" s="0" t="s">
        <v>1167</v>
      </c>
      <c r="E85" s="0" t="s">
        <v>416</v>
      </c>
      <c r="F85" s="0" t="n">
        <v>1</v>
      </c>
      <c r="G85" s="0" t="s">
        <v>417</v>
      </c>
      <c r="H85" s="0" t="s">
        <v>418</v>
      </c>
      <c r="I85" s="0" t="s">
        <v>419</v>
      </c>
      <c r="J85" s="0" t="s">
        <v>420</v>
      </c>
      <c r="K85" s="0" t="s">
        <v>421</v>
      </c>
      <c r="L85" s="0" t="s">
        <v>422</v>
      </c>
      <c r="M85" s="0" t="s">
        <v>423</v>
      </c>
      <c r="N85" s="6" t="n">
        <v>46104</v>
      </c>
      <c r="Q85" s="0" t="s">
        <v>31</v>
      </c>
      <c r="R85" s="0" t="s">
        <v>31</v>
      </c>
    </row>
    <row r="86" customFormat="false" ht="15" hidden="true" customHeight="false" outlineLevel="0" collapsed="false">
      <c r="B86" s="0" t="n">
        <v>375</v>
      </c>
      <c r="C86" s="0" t="s">
        <v>357</v>
      </c>
      <c r="D86" s="0" t="s">
        <v>1167</v>
      </c>
      <c r="E86" s="0" t="s">
        <v>358</v>
      </c>
      <c r="F86" s="0" t="n">
        <v>1</v>
      </c>
      <c r="G86" s="0" t="s">
        <v>359</v>
      </c>
      <c r="H86" s="0" t="s">
        <v>360</v>
      </c>
      <c r="I86" s="0" t="s">
        <v>361</v>
      </c>
      <c r="J86" s="0" t="s">
        <v>362</v>
      </c>
      <c r="K86" s="0" t="s">
        <v>363</v>
      </c>
      <c r="L86" s="0" t="s">
        <v>364</v>
      </c>
      <c r="M86" s="0" t="s">
        <v>365</v>
      </c>
      <c r="N86" s="6" t="n">
        <v>46104</v>
      </c>
      <c r="Q86" s="0" t="s">
        <v>31</v>
      </c>
      <c r="R86" s="0" t="s">
        <v>84</v>
      </c>
    </row>
    <row r="87" customFormat="false" ht="15" hidden="false" customHeight="false" outlineLevel="0" collapsed="false">
      <c r="B87" s="0" t="n">
        <v>325</v>
      </c>
      <c r="C87" s="0" t="s">
        <v>743</v>
      </c>
      <c r="D87" s="0" t="s">
        <v>1169</v>
      </c>
      <c r="E87" s="0" t="s">
        <v>744</v>
      </c>
      <c r="F87" s="0" t="n">
        <v>2</v>
      </c>
      <c r="G87" s="0" t="s">
        <v>745</v>
      </c>
      <c r="H87" s="0" t="s">
        <v>746</v>
      </c>
      <c r="I87" s="0" t="s">
        <v>747</v>
      </c>
      <c r="J87" s="0" t="s">
        <v>748</v>
      </c>
      <c r="K87" s="0" t="s">
        <v>749</v>
      </c>
      <c r="L87" s="0" t="s">
        <v>750</v>
      </c>
      <c r="M87" s="0" t="s">
        <v>751</v>
      </c>
      <c r="N87" s="6" t="n">
        <v>46104</v>
      </c>
      <c r="Q87" s="0" t="s">
        <v>31</v>
      </c>
      <c r="R87" s="0" t="s">
        <v>84</v>
      </c>
    </row>
    <row r="88" customFormat="false" ht="15" hidden="false" customHeight="false" outlineLevel="0" collapsed="false">
      <c r="B88" s="0" t="n">
        <v>317</v>
      </c>
      <c r="C88" s="0" t="s">
        <v>223</v>
      </c>
      <c r="D88" s="0" t="s">
        <v>1169</v>
      </c>
      <c r="E88" s="0" t="s">
        <v>224</v>
      </c>
      <c r="F88" s="0" t="n">
        <v>1</v>
      </c>
      <c r="G88" s="0" t="s">
        <v>61</v>
      </c>
      <c r="H88" s="0" t="s">
        <v>225</v>
      </c>
      <c r="I88" s="0" t="s">
        <v>226</v>
      </c>
      <c r="J88" s="0" t="s">
        <v>227</v>
      </c>
      <c r="K88" s="0" t="s">
        <v>228</v>
      </c>
      <c r="L88" s="0" t="s">
        <v>229</v>
      </c>
      <c r="M88" s="0" t="s">
        <v>230</v>
      </c>
      <c r="N88" s="6" t="n">
        <v>46104</v>
      </c>
      <c r="Q88" s="0" t="s">
        <v>31</v>
      </c>
      <c r="R88" s="0" t="s">
        <v>31</v>
      </c>
    </row>
    <row r="89" customFormat="false" ht="15" hidden="false" customHeight="false" outlineLevel="0" collapsed="false">
      <c r="F89" s="0" t="n">
        <f aca="false">SUBTOTAL(109,Table5[Kom.])</f>
        <v>210</v>
      </c>
      <c r="N89" s="6"/>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9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E9" activeCellId="0" sqref="E9"/>
    </sheetView>
  </sheetViews>
  <sheetFormatPr defaultColWidth="8.859375" defaultRowHeight="15" zeroHeight="false" outlineLevelRow="0" outlineLevelCol="0"/>
  <cols>
    <col collapsed="false" customWidth="true" hidden="false" outlineLevel="0" max="1" min="1" style="0" width="9.28"/>
    <col collapsed="false" customWidth="true" hidden="false" outlineLevel="0" max="2" min="2" style="0" width="15.14"/>
    <col collapsed="false" customWidth="true" hidden="false" outlineLevel="0" max="3" min="3" style="0" width="9.28"/>
    <col collapsed="false" customWidth="true" hidden="false" outlineLevel="0" max="4" min="4" style="0" width="35.14"/>
    <col collapsed="false" customWidth="true" hidden="false" outlineLevel="0" max="5" min="5" style="0" width="90.29"/>
    <col collapsed="false" customWidth="true" hidden="false" outlineLevel="0" max="6" min="6" style="0" width="9.28"/>
    <col collapsed="false" customWidth="true" hidden="false" outlineLevel="0" max="7" min="7" style="0" width="14.14"/>
    <col collapsed="false" customWidth="true" hidden="false" outlineLevel="0" max="8" min="8" style="0" width="70.43"/>
    <col collapsed="false" customWidth="true" hidden="false" outlineLevel="0" max="9" min="9" style="0" width="36.14"/>
    <col collapsed="false" customWidth="true" hidden="false" outlineLevel="0" max="10" min="10" style="0" width="73.14"/>
    <col collapsed="false" customWidth="true" hidden="false" outlineLevel="0" max="11" min="11" style="0" width="31.29"/>
    <col collapsed="false" customWidth="true" hidden="false" outlineLevel="0" max="12" min="12" style="0" width="118"/>
    <col collapsed="false" customWidth="true" hidden="false" outlineLevel="0" max="13" min="13" style="0" width="12"/>
    <col collapsed="false" customWidth="true" hidden="false" outlineLevel="0" max="14" min="14" style="0" width="21.71"/>
    <col collapsed="false" customWidth="true" hidden="false" outlineLevel="0" max="15" min="15" style="0" width="14.85"/>
    <col collapsed="false" customWidth="true" hidden="false" outlineLevel="0" max="16" min="16" style="0" width="15.85"/>
    <col collapsed="false" customWidth="true" hidden="false" outlineLevel="0" max="17" min="17" style="0" width="12.85"/>
    <col collapsed="false" customWidth="true" hidden="false" outlineLevel="0" max="18" min="18" style="0" width="13.71"/>
  </cols>
  <sheetData>
    <row r="1" customFormat="false" ht="15" hidden="false" customHeight="false" outlineLevel="0" collapsed="false">
      <c r="A1" s="1" t="s">
        <v>1223</v>
      </c>
    </row>
    <row r="3" customFormat="false" ht="15" hidden="false" customHeight="false" outlineLevel="0" collapsed="false">
      <c r="A3" s="3" t="s">
        <v>1</v>
      </c>
      <c r="B3" s="3" t="s">
        <v>753</v>
      </c>
      <c r="C3" s="3" t="s">
        <v>4</v>
      </c>
      <c r="D3" s="3" t="s">
        <v>6</v>
      </c>
      <c r="E3" s="3" t="s">
        <v>5</v>
      </c>
      <c r="F3" s="3" t="s">
        <v>7</v>
      </c>
      <c r="G3" s="3" t="s">
        <v>8</v>
      </c>
      <c r="H3" s="3" t="s">
        <v>9</v>
      </c>
      <c r="I3" s="3" t="s">
        <v>10</v>
      </c>
      <c r="J3" s="3" t="s">
        <v>11</v>
      </c>
      <c r="K3" s="3" t="s">
        <v>12</v>
      </c>
      <c r="L3" s="3" t="s">
        <v>13</v>
      </c>
      <c r="M3" s="3" t="s">
        <v>14</v>
      </c>
      <c r="N3" s="3" t="s">
        <v>16</v>
      </c>
      <c r="O3" s="4" t="s">
        <v>17</v>
      </c>
      <c r="P3" s="4" t="s">
        <v>18</v>
      </c>
      <c r="Q3" s="3" t="s">
        <v>19</v>
      </c>
      <c r="R3" s="3" t="s">
        <v>20</v>
      </c>
    </row>
    <row r="4" customFormat="false" ht="30" hidden="false" customHeight="true" outlineLevel="0" collapsed="false">
      <c r="B4" s="2" t="s">
        <v>1224</v>
      </c>
      <c r="C4" s="0" t="s">
        <v>302</v>
      </c>
      <c r="D4" s="0" t="s">
        <v>1225</v>
      </c>
      <c r="E4" s="0" t="s">
        <v>303</v>
      </c>
      <c r="F4" s="0" t="n">
        <v>2</v>
      </c>
      <c r="G4" s="0" t="s">
        <v>61</v>
      </c>
      <c r="H4" s="0" t="s">
        <v>304</v>
      </c>
      <c r="I4" s="0" t="s">
        <v>305</v>
      </c>
      <c r="J4" s="0" t="s">
        <v>306</v>
      </c>
      <c r="K4" s="0" t="s">
        <v>307</v>
      </c>
      <c r="L4" s="0" t="s">
        <v>526</v>
      </c>
      <c r="M4" s="0" t="s">
        <v>309</v>
      </c>
      <c r="N4" s="6" t="n">
        <v>46119</v>
      </c>
    </row>
    <row r="5" customFormat="false" ht="30" hidden="false" customHeight="true" outlineLevel="0" collapsed="false">
      <c r="B5" s="2" t="s">
        <v>1226</v>
      </c>
      <c r="C5" s="0" t="s">
        <v>760</v>
      </c>
      <c r="D5" s="0" t="s">
        <v>1227</v>
      </c>
      <c r="E5" s="0" t="s">
        <v>761</v>
      </c>
      <c r="F5" s="0" t="n">
        <v>8</v>
      </c>
      <c r="G5" s="0" t="s">
        <v>61</v>
      </c>
      <c r="H5" s="0" t="s">
        <v>762</v>
      </c>
      <c r="I5" s="0" t="s">
        <v>763</v>
      </c>
      <c r="J5" s="0" t="s">
        <v>764</v>
      </c>
      <c r="K5" s="0" t="s">
        <v>765</v>
      </c>
      <c r="L5" s="2" t="s">
        <v>1228</v>
      </c>
      <c r="M5" s="0" t="s">
        <v>766</v>
      </c>
      <c r="N5" s="6" t="n">
        <v>46119</v>
      </c>
    </row>
    <row r="6" customFormat="false" ht="15" hidden="false" customHeight="false" outlineLevel="0" collapsed="false">
      <c r="B6" s="0" t="n">
        <v>426</v>
      </c>
      <c r="C6" s="0" t="s">
        <v>318</v>
      </c>
      <c r="D6" s="0" t="s">
        <v>1227</v>
      </c>
      <c r="E6" s="0" t="s">
        <v>319</v>
      </c>
      <c r="F6" s="0" t="n">
        <v>1</v>
      </c>
      <c r="G6" s="0" t="s">
        <v>111</v>
      </c>
      <c r="H6" s="0" t="s">
        <v>320</v>
      </c>
      <c r="I6" s="0" t="s">
        <v>321</v>
      </c>
      <c r="J6" s="0" t="s">
        <v>322</v>
      </c>
      <c r="K6" s="0" t="s">
        <v>323</v>
      </c>
      <c r="L6" s="0" t="s">
        <v>324</v>
      </c>
      <c r="M6" s="0" t="s">
        <v>325</v>
      </c>
      <c r="N6" s="6" t="n">
        <v>46119</v>
      </c>
    </row>
    <row r="7" customFormat="false" ht="15" hidden="false" customHeight="false" outlineLevel="0" collapsed="false">
      <c r="B7" s="0" t="n">
        <v>431</v>
      </c>
      <c r="C7" s="0" t="s">
        <v>961</v>
      </c>
      <c r="D7" s="0" t="s">
        <v>1227</v>
      </c>
      <c r="E7" s="0" t="s">
        <v>915</v>
      </c>
      <c r="F7" s="0" t="n">
        <v>1</v>
      </c>
      <c r="G7" s="0" t="s">
        <v>152</v>
      </c>
      <c r="H7" s="0" t="s">
        <v>962</v>
      </c>
      <c r="I7" s="0" t="s">
        <v>963</v>
      </c>
      <c r="J7" s="0" t="s">
        <v>964</v>
      </c>
      <c r="K7" s="0" t="s">
        <v>965</v>
      </c>
      <c r="L7" s="0" t="s">
        <v>983</v>
      </c>
      <c r="M7" s="0" t="s">
        <v>967</v>
      </c>
      <c r="N7" s="6" t="n">
        <v>46119</v>
      </c>
    </row>
    <row r="8" customFormat="false" ht="30" hidden="false" customHeight="true" outlineLevel="0" collapsed="false">
      <c r="B8" s="0" t="n">
        <v>564</v>
      </c>
      <c r="C8" s="0" t="s">
        <v>247</v>
      </c>
      <c r="D8" s="0" t="s">
        <v>1225</v>
      </c>
      <c r="E8" s="0" t="s">
        <v>248</v>
      </c>
      <c r="F8" s="0" t="n">
        <v>2</v>
      </c>
      <c r="G8" s="0" t="s">
        <v>61</v>
      </c>
      <c r="H8" s="2" t="s">
        <v>528</v>
      </c>
      <c r="I8" s="0" t="s">
        <v>1066</v>
      </c>
      <c r="J8" s="2" t="s">
        <v>530</v>
      </c>
      <c r="K8" s="0" t="s">
        <v>252</v>
      </c>
      <c r="L8" s="0" t="s">
        <v>531</v>
      </c>
      <c r="M8" s="0" t="s">
        <v>254</v>
      </c>
      <c r="N8" s="6" t="n">
        <v>46119</v>
      </c>
    </row>
    <row r="9" customFormat="false" ht="30" hidden="false" customHeight="true" outlineLevel="0" collapsed="false">
      <c r="B9" s="0" t="n">
        <v>418</v>
      </c>
      <c r="C9" s="0" t="s">
        <v>247</v>
      </c>
      <c r="D9" s="0" t="s">
        <v>1227</v>
      </c>
      <c r="E9" s="0" t="s">
        <v>248</v>
      </c>
      <c r="F9" s="0" t="n">
        <v>1</v>
      </c>
      <c r="G9" s="0" t="s">
        <v>61</v>
      </c>
      <c r="H9" s="2" t="s">
        <v>528</v>
      </c>
      <c r="I9" s="0" t="s">
        <v>1066</v>
      </c>
      <c r="J9" s="2" t="s">
        <v>530</v>
      </c>
      <c r="K9" s="0" t="s">
        <v>252</v>
      </c>
      <c r="L9" s="0" t="s">
        <v>531</v>
      </c>
      <c r="M9" s="0" t="s">
        <v>254</v>
      </c>
      <c r="N9" s="6" t="n">
        <v>46119</v>
      </c>
    </row>
    <row r="10" customFormat="false" ht="15" hidden="false" customHeight="false" outlineLevel="0" collapsed="false">
      <c r="B10" s="0" t="n">
        <v>414</v>
      </c>
      <c r="C10" s="0" t="s">
        <v>207</v>
      </c>
      <c r="D10" s="0" t="s">
        <v>1227</v>
      </c>
      <c r="E10" s="0" t="s">
        <v>208</v>
      </c>
      <c r="F10" s="0" t="n">
        <v>2</v>
      </c>
      <c r="G10" s="0" t="s">
        <v>61</v>
      </c>
      <c r="H10" s="0" t="s">
        <v>209</v>
      </c>
      <c r="I10" s="0" t="s">
        <v>210</v>
      </c>
      <c r="J10" s="0" t="s">
        <v>211</v>
      </c>
      <c r="K10" s="0" t="s">
        <v>212</v>
      </c>
      <c r="L10" s="0" t="s">
        <v>213</v>
      </c>
      <c r="M10" s="0" t="s">
        <v>214</v>
      </c>
      <c r="N10" s="6" t="n">
        <v>46119</v>
      </c>
    </row>
    <row r="11" customFormat="false" ht="15" hidden="false" customHeight="false" outlineLevel="0" collapsed="false">
      <c r="B11" s="0" t="n">
        <v>408</v>
      </c>
      <c r="C11" s="0" t="s">
        <v>768</v>
      </c>
      <c r="D11" s="0" t="s">
        <v>1227</v>
      </c>
      <c r="E11" s="0" t="s">
        <v>769</v>
      </c>
      <c r="F11" s="0" t="n">
        <v>7</v>
      </c>
      <c r="G11" s="0" t="s">
        <v>61</v>
      </c>
      <c r="H11" s="0" t="s">
        <v>770</v>
      </c>
      <c r="I11" s="0" t="s">
        <v>771</v>
      </c>
      <c r="J11" s="0" t="s">
        <v>772</v>
      </c>
      <c r="K11" s="0" t="s">
        <v>773</v>
      </c>
      <c r="L11" s="0" t="s">
        <v>774</v>
      </c>
      <c r="M11" s="0" t="s">
        <v>775</v>
      </c>
      <c r="N11" s="6" t="n">
        <v>46119</v>
      </c>
    </row>
    <row r="12" customFormat="false" ht="15" hidden="false" customHeight="false" outlineLevel="0" collapsed="false">
      <c r="B12" s="0" t="n">
        <v>570</v>
      </c>
      <c r="C12" s="0" t="s">
        <v>310</v>
      </c>
      <c r="D12" s="0" t="s">
        <v>1225</v>
      </c>
      <c r="E12" s="0" t="s">
        <v>311</v>
      </c>
      <c r="F12" s="0" t="n">
        <v>1</v>
      </c>
      <c r="G12" s="0" t="s">
        <v>152</v>
      </c>
      <c r="H12" s="0" t="s">
        <v>312</v>
      </c>
      <c r="I12" s="0" t="s">
        <v>313</v>
      </c>
      <c r="J12" s="0" t="s">
        <v>314</v>
      </c>
      <c r="K12" s="0" t="s">
        <v>315</v>
      </c>
      <c r="L12" s="0" t="s">
        <v>316</v>
      </c>
      <c r="M12" s="0" t="s">
        <v>317</v>
      </c>
      <c r="N12" s="6" t="n">
        <v>46119</v>
      </c>
    </row>
    <row r="13" customFormat="false" ht="15" hidden="false" customHeight="false" outlineLevel="0" collapsed="false">
      <c r="B13" s="0" t="n">
        <v>425</v>
      </c>
      <c r="C13" s="0" t="s">
        <v>310</v>
      </c>
      <c r="D13" s="0" t="s">
        <v>1227</v>
      </c>
      <c r="E13" s="0" t="s">
        <v>311</v>
      </c>
      <c r="F13" s="0" t="n">
        <v>1</v>
      </c>
      <c r="G13" s="0" t="s">
        <v>152</v>
      </c>
      <c r="H13" s="0" t="s">
        <v>312</v>
      </c>
      <c r="I13" s="0" t="s">
        <v>313</v>
      </c>
      <c r="J13" s="0" t="s">
        <v>314</v>
      </c>
      <c r="K13" s="0" t="s">
        <v>315</v>
      </c>
      <c r="L13" s="0" t="s">
        <v>316</v>
      </c>
      <c r="M13" s="0" t="s">
        <v>317</v>
      </c>
      <c r="N13" s="6" t="n">
        <v>46119</v>
      </c>
    </row>
    <row r="14" customFormat="false" ht="15" hidden="false" customHeight="false" outlineLevel="0" collapsed="false">
      <c r="B14" s="0" t="n">
        <v>442</v>
      </c>
      <c r="C14" s="0" t="s">
        <v>447</v>
      </c>
      <c r="D14" s="0" t="s">
        <v>1227</v>
      </c>
      <c r="E14" s="0" t="s">
        <v>448</v>
      </c>
      <c r="F14" s="0" t="n">
        <v>1</v>
      </c>
      <c r="G14" s="0" t="s">
        <v>24</v>
      </c>
      <c r="H14" s="0" t="s">
        <v>449</v>
      </c>
      <c r="I14" s="0" t="s">
        <v>450</v>
      </c>
      <c r="J14" s="0" t="s">
        <v>451</v>
      </c>
      <c r="K14" s="0" t="s">
        <v>452</v>
      </c>
      <c r="L14" s="0" t="s">
        <v>437</v>
      </c>
      <c r="M14" s="0" t="s">
        <v>454</v>
      </c>
      <c r="N14" s="6" t="n">
        <v>46119</v>
      </c>
    </row>
    <row r="15" customFormat="false" ht="15" hidden="false" customHeight="false" outlineLevel="0" collapsed="false">
      <c r="B15" s="0" t="n">
        <v>578</v>
      </c>
      <c r="C15" s="0" t="s">
        <v>463</v>
      </c>
      <c r="D15" s="0" t="s">
        <v>1225</v>
      </c>
      <c r="E15" s="0" t="s">
        <v>464</v>
      </c>
      <c r="F15" s="0" t="n">
        <v>1</v>
      </c>
      <c r="G15" s="0" t="s">
        <v>152</v>
      </c>
      <c r="H15" s="0" t="s">
        <v>465</v>
      </c>
      <c r="I15" s="0" t="s">
        <v>466</v>
      </c>
      <c r="J15" s="0" t="s">
        <v>467</v>
      </c>
      <c r="K15" s="0" t="s">
        <v>468</v>
      </c>
      <c r="L15" s="0" t="s">
        <v>469</v>
      </c>
      <c r="M15" s="0" t="s">
        <v>470</v>
      </c>
      <c r="N15" s="6" t="n">
        <v>46119</v>
      </c>
    </row>
    <row r="16" customFormat="false" ht="15" hidden="false" customHeight="false" outlineLevel="0" collapsed="false">
      <c r="B16" s="0" t="n">
        <v>445</v>
      </c>
      <c r="C16" s="0" t="s">
        <v>463</v>
      </c>
      <c r="D16" s="0" t="s">
        <v>1229</v>
      </c>
      <c r="E16" s="0" t="s">
        <v>464</v>
      </c>
      <c r="F16" s="0" t="n">
        <v>3</v>
      </c>
      <c r="G16" s="0" t="s">
        <v>152</v>
      </c>
      <c r="H16" s="0" t="s">
        <v>465</v>
      </c>
      <c r="I16" s="0" t="s">
        <v>466</v>
      </c>
      <c r="J16" s="0" t="s">
        <v>467</v>
      </c>
      <c r="K16" s="0" t="s">
        <v>468</v>
      </c>
      <c r="L16" s="0" t="s">
        <v>469</v>
      </c>
      <c r="M16" s="0" t="s">
        <v>470</v>
      </c>
      <c r="N16" s="6" t="n">
        <v>46119</v>
      </c>
    </row>
    <row r="17" customFormat="false" ht="15" hidden="false" customHeight="false" outlineLevel="0" collapsed="false">
      <c r="B17" s="0" t="n">
        <v>390</v>
      </c>
      <c r="C17" s="0" t="s">
        <v>21</v>
      </c>
      <c r="D17" s="0" t="s">
        <v>1227</v>
      </c>
      <c r="E17" s="0" t="s">
        <v>22</v>
      </c>
      <c r="F17" s="0" t="n">
        <v>2</v>
      </c>
      <c r="G17" s="0" t="s">
        <v>24</v>
      </c>
      <c r="H17" s="0" t="s">
        <v>25</v>
      </c>
      <c r="I17" s="0" t="s">
        <v>26</v>
      </c>
      <c r="J17" s="0" t="s">
        <v>27</v>
      </c>
      <c r="K17" s="0" t="s">
        <v>28</v>
      </c>
      <c r="L17" s="0" t="s">
        <v>29</v>
      </c>
      <c r="M17" s="0" t="s">
        <v>30</v>
      </c>
      <c r="N17" s="6" t="n">
        <v>46119</v>
      </c>
    </row>
    <row r="18" customFormat="false" ht="15" hidden="false" customHeight="false" outlineLevel="0" collapsed="false">
      <c r="B18" s="0" t="n">
        <v>557</v>
      </c>
      <c r="C18" s="0" t="s">
        <v>159</v>
      </c>
      <c r="D18" s="0" t="s">
        <v>1225</v>
      </c>
      <c r="E18" s="0" t="s">
        <v>160</v>
      </c>
      <c r="F18" s="0" t="n">
        <v>1</v>
      </c>
      <c r="G18" s="0" t="s">
        <v>61</v>
      </c>
      <c r="H18" s="0" t="s">
        <v>161</v>
      </c>
      <c r="I18" s="0" t="s">
        <v>162</v>
      </c>
      <c r="J18" s="0" t="s">
        <v>163</v>
      </c>
      <c r="K18" s="0" t="s">
        <v>164</v>
      </c>
      <c r="L18" s="0" t="s">
        <v>164</v>
      </c>
      <c r="M18" s="0" t="s">
        <v>165</v>
      </c>
      <c r="N18" s="6" t="n">
        <v>46119</v>
      </c>
    </row>
    <row r="19" customFormat="false" ht="15" hidden="false" customHeight="false" outlineLevel="0" collapsed="false">
      <c r="B19" s="0" t="n">
        <v>441</v>
      </c>
      <c r="C19" s="0" t="s">
        <v>544</v>
      </c>
      <c r="D19" s="0" t="s">
        <v>1227</v>
      </c>
      <c r="E19" s="0" t="s">
        <v>545</v>
      </c>
      <c r="F19" s="0" t="n">
        <v>5</v>
      </c>
      <c r="G19" s="0" t="s">
        <v>24</v>
      </c>
      <c r="H19" s="0" t="s">
        <v>546</v>
      </c>
      <c r="I19" s="0" t="s">
        <v>547</v>
      </c>
      <c r="J19" s="0" t="s">
        <v>548</v>
      </c>
      <c r="K19" s="0" t="s">
        <v>549</v>
      </c>
      <c r="L19" s="0" t="s">
        <v>436</v>
      </c>
      <c r="M19" s="0" t="s">
        <v>551</v>
      </c>
      <c r="N19" s="6" t="n">
        <v>46119</v>
      </c>
    </row>
    <row r="20" customFormat="false" ht="15" hidden="false" customHeight="false" outlineLevel="0" collapsed="false">
      <c r="B20" s="0" t="n">
        <v>451</v>
      </c>
      <c r="C20" s="0" t="s">
        <v>494</v>
      </c>
      <c r="D20" s="0" t="s">
        <v>1227</v>
      </c>
      <c r="E20" s="0" t="s">
        <v>495</v>
      </c>
      <c r="F20" s="0" t="n">
        <v>2</v>
      </c>
      <c r="G20" s="0" t="s">
        <v>61</v>
      </c>
      <c r="H20" s="0" t="s">
        <v>496</v>
      </c>
      <c r="I20" s="0" t="s">
        <v>497</v>
      </c>
      <c r="J20" s="0" t="s">
        <v>498</v>
      </c>
      <c r="K20" s="0" t="s">
        <v>499</v>
      </c>
      <c r="L20" s="0" t="s">
        <v>500</v>
      </c>
      <c r="M20" s="0" t="s">
        <v>501</v>
      </c>
      <c r="N20" s="6" t="n">
        <v>46119</v>
      </c>
    </row>
    <row r="21" customFormat="false" ht="15" hidden="false" customHeight="false" outlineLevel="0" collapsed="false">
      <c r="B21" s="0" t="n">
        <v>392</v>
      </c>
      <c r="C21" s="0" t="s">
        <v>34</v>
      </c>
      <c r="D21" s="0" t="s">
        <v>1227</v>
      </c>
      <c r="E21" s="0" t="s">
        <v>35</v>
      </c>
      <c r="F21" s="0" t="n">
        <v>6</v>
      </c>
      <c r="G21" s="0" t="s">
        <v>36</v>
      </c>
      <c r="H21" s="0" t="s">
        <v>37</v>
      </c>
      <c r="I21" s="0" t="s">
        <v>38</v>
      </c>
      <c r="J21" s="0" t="s">
        <v>39</v>
      </c>
      <c r="K21" s="0" t="s">
        <v>40</v>
      </c>
      <c r="L21" s="0" t="s">
        <v>553</v>
      </c>
      <c r="M21" s="0" t="s">
        <v>42</v>
      </c>
      <c r="N21" s="6" t="n">
        <v>46119</v>
      </c>
    </row>
    <row r="22" customFormat="false" ht="15" hidden="false" customHeight="false" outlineLevel="0" collapsed="false">
      <c r="B22" s="0" t="n">
        <v>558</v>
      </c>
      <c r="C22" s="0" t="s">
        <v>166</v>
      </c>
      <c r="D22" s="0" t="s">
        <v>1225</v>
      </c>
      <c r="E22" s="0" t="s">
        <v>167</v>
      </c>
      <c r="F22" s="0" t="n">
        <v>2</v>
      </c>
      <c r="G22" s="0" t="s">
        <v>61</v>
      </c>
      <c r="H22" s="0" t="s">
        <v>168</v>
      </c>
      <c r="I22" s="0" t="s">
        <v>169</v>
      </c>
      <c r="J22" s="0" t="s">
        <v>170</v>
      </c>
      <c r="K22" s="0" t="s">
        <v>171</v>
      </c>
      <c r="L22" s="0" t="s">
        <v>172</v>
      </c>
      <c r="M22" s="0" t="s">
        <v>173</v>
      </c>
      <c r="N22" s="6" t="n">
        <v>46119</v>
      </c>
    </row>
    <row r="23" customFormat="false" ht="15" hidden="false" customHeight="false" outlineLevel="0" collapsed="false">
      <c r="B23" s="0" t="n">
        <v>409</v>
      </c>
      <c r="C23" s="0" t="s">
        <v>166</v>
      </c>
      <c r="D23" s="0" t="s">
        <v>1227</v>
      </c>
      <c r="E23" s="0" t="s">
        <v>167</v>
      </c>
      <c r="F23" s="0" t="n">
        <v>1</v>
      </c>
      <c r="G23" s="0" t="s">
        <v>61</v>
      </c>
      <c r="H23" s="0" t="s">
        <v>168</v>
      </c>
      <c r="I23" s="0" t="s">
        <v>169</v>
      </c>
      <c r="J23" s="0" t="s">
        <v>170</v>
      </c>
      <c r="K23" s="0" t="s">
        <v>171</v>
      </c>
      <c r="L23" s="0" t="s">
        <v>172</v>
      </c>
      <c r="M23" s="0" t="s">
        <v>173</v>
      </c>
      <c r="N23" s="6" t="n">
        <v>46119</v>
      </c>
    </row>
    <row r="24" customFormat="false" ht="15" hidden="false" customHeight="false" outlineLevel="0" collapsed="false">
      <c r="B24" s="0" t="n">
        <v>427</v>
      </c>
      <c r="C24" s="0" t="s">
        <v>326</v>
      </c>
      <c r="D24" s="0" t="s">
        <v>1227</v>
      </c>
      <c r="E24" s="0" t="s">
        <v>327</v>
      </c>
      <c r="F24" s="0" t="n">
        <v>3</v>
      </c>
      <c r="G24" s="0" t="s">
        <v>152</v>
      </c>
      <c r="H24" s="0" t="s">
        <v>328</v>
      </c>
      <c r="I24" s="0" t="s">
        <v>329</v>
      </c>
      <c r="J24" s="0" t="s">
        <v>330</v>
      </c>
      <c r="K24" s="0" t="s">
        <v>331</v>
      </c>
      <c r="L24" s="0" t="s">
        <v>332</v>
      </c>
      <c r="M24" s="0" t="s">
        <v>333</v>
      </c>
      <c r="N24" s="6" t="n">
        <v>46119</v>
      </c>
    </row>
    <row r="25" customFormat="false" ht="15" hidden="false" customHeight="false" outlineLevel="0" collapsed="false">
      <c r="B25" s="0" t="n">
        <v>555</v>
      </c>
      <c r="C25" s="0" t="s">
        <v>554</v>
      </c>
      <c r="D25" s="0" t="s">
        <v>1225</v>
      </c>
      <c r="E25" s="0" t="s">
        <v>555</v>
      </c>
      <c r="F25" s="0" t="n">
        <v>1</v>
      </c>
      <c r="G25" s="0" t="s">
        <v>61</v>
      </c>
      <c r="H25" s="0" t="s">
        <v>556</v>
      </c>
      <c r="I25" s="0" t="s">
        <v>557</v>
      </c>
      <c r="J25" s="0" t="s">
        <v>558</v>
      </c>
      <c r="K25" s="0" t="s">
        <v>559</v>
      </c>
      <c r="L25" s="0" t="s">
        <v>560</v>
      </c>
      <c r="M25" s="0" t="s">
        <v>561</v>
      </c>
      <c r="N25" s="6" t="n">
        <v>46119</v>
      </c>
    </row>
    <row r="26" customFormat="false" ht="15" hidden="false" customHeight="false" outlineLevel="0" collapsed="false">
      <c r="B26" s="0" t="n">
        <v>405</v>
      </c>
      <c r="C26" s="0" t="s">
        <v>554</v>
      </c>
      <c r="D26" s="0" t="s">
        <v>1227</v>
      </c>
      <c r="E26" s="0" t="s">
        <v>555</v>
      </c>
      <c r="F26" s="0" t="n">
        <v>1</v>
      </c>
      <c r="G26" s="0" t="s">
        <v>61</v>
      </c>
      <c r="H26" s="0" t="s">
        <v>556</v>
      </c>
      <c r="I26" s="0" t="s">
        <v>557</v>
      </c>
      <c r="J26" s="0" t="s">
        <v>558</v>
      </c>
      <c r="K26" s="0" t="s">
        <v>559</v>
      </c>
      <c r="L26" s="0" t="s">
        <v>560</v>
      </c>
      <c r="M26" s="0" t="s">
        <v>561</v>
      </c>
      <c r="N26" s="6" t="n">
        <v>46119</v>
      </c>
    </row>
    <row r="27" customFormat="false" ht="15" hidden="false" customHeight="false" outlineLevel="0" collapsed="false">
      <c r="B27" s="0" t="n">
        <v>398</v>
      </c>
      <c r="C27" s="0" t="s">
        <v>85</v>
      </c>
      <c r="D27" s="0" t="s">
        <v>1227</v>
      </c>
      <c r="E27" s="0" t="s">
        <v>86</v>
      </c>
      <c r="F27" s="0" t="n">
        <v>1</v>
      </c>
      <c r="G27" s="0" t="s">
        <v>87</v>
      </c>
      <c r="H27" s="0" t="s">
        <v>88</v>
      </c>
      <c r="I27" s="0" t="s">
        <v>89</v>
      </c>
      <c r="J27" s="0" t="s">
        <v>90</v>
      </c>
      <c r="K27" s="0" t="s">
        <v>91</v>
      </c>
      <c r="L27" s="0" t="s">
        <v>92</v>
      </c>
      <c r="M27" s="0" t="s">
        <v>93</v>
      </c>
      <c r="N27" s="6" t="n">
        <v>46119</v>
      </c>
    </row>
    <row r="28" customFormat="false" ht="15" hidden="false" customHeight="false" outlineLevel="0" collapsed="false">
      <c r="B28" s="0" t="n">
        <v>443</v>
      </c>
      <c r="C28" s="0" t="s">
        <v>571</v>
      </c>
      <c r="D28" s="0" t="s">
        <v>1227</v>
      </c>
      <c r="E28" s="0" t="s">
        <v>572</v>
      </c>
      <c r="F28" s="0" t="n">
        <v>2</v>
      </c>
      <c r="G28" s="0" t="s">
        <v>573</v>
      </c>
      <c r="H28" s="0" t="s">
        <v>574</v>
      </c>
      <c r="I28" s="0" t="s">
        <v>575</v>
      </c>
      <c r="J28" s="0" t="s">
        <v>576</v>
      </c>
      <c r="K28" s="0" t="s">
        <v>577</v>
      </c>
      <c r="L28" s="0" t="s">
        <v>436</v>
      </c>
      <c r="M28" s="0" t="s">
        <v>579</v>
      </c>
      <c r="N28" s="6" t="n">
        <v>46119</v>
      </c>
    </row>
    <row r="29" customFormat="false" ht="15" hidden="false" customHeight="false" outlineLevel="0" collapsed="false">
      <c r="B29" s="0" t="n">
        <v>559</v>
      </c>
      <c r="C29" s="0" t="s">
        <v>174</v>
      </c>
      <c r="D29" s="0" t="s">
        <v>1225</v>
      </c>
      <c r="E29" s="0" t="s">
        <v>175</v>
      </c>
      <c r="F29" s="0" t="n">
        <v>1</v>
      </c>
      <c r="G29" s="0" t="s">
        <v>152</v>
      </c>
      <c r="H29" s="0" t="s">
        <v>176</v>
      </c>
      <c r="I29" s="0" t="s">
        <v>177</v>
      </c>
      <c r="J29" s="0" t="s">
        <v>178</v>
      </c>
      <c r="K29" s="0" t="s">
        <v>179</v>
      </c>
      <c r="L29" s="0" t="s">
        <v>180</v>
      </c>
      <c r="M29" s="0" t="s">
        <v>181</v>
      </c>
      <c r="N29" s="6" t="n">
        <v>46119</v>
      </c>
    </row>
    <row r="30" customFormat="false" ht="15" hidden="false" customHeight="false" outlineLevel="0" collapsed="false">
      <c r="B30" s="0" t="n">
        <v>410</v>
      </c>
      <c r="C30" s="0" t="s">
        <v>174</v>
      </c>
      <c r="D30" s="0" t="s">
        <v>1227</v>
      </c>
      <c r="E30" s="0" t="s">
        <v>175</v>
      </c>
      <c r="F30" s="0" t="n">
        <v>1</v>
      </c>
      <c r="G30" s="0" t="s">
        <v>152</v>
      </c>
      <c r="H30" s="0" t="s">
        <v>176</v>
      </c>
      <c r="I30" s="0" t="s">
        <v>177</v>
      </c>
      <c r="J30" s="0" t="s">
        <v>178</v>
      </c>
      <c r="K30" s="0" t="s">
        <v>179</v>
      </c>
      <c r="L30" s="0" t="s">
        <v>180</v>
      </c>
      <c r="M30" s="0" t="s">
        <v>181</v>
      </c>
      <c r="N30" s="6" t="n">
        <v>46119</v>
      </c>
    </row>
    <row r="31" customFormat="false" ht="15" hidden="false" customHeight="false" outlineLevel="0" collapsed="false">
      <c r="B31" s="0" t="n">
        <v>402</v>
      </c>
      <c r="C31" s="0" t="s">
        <v>109</v>
      </c>
      <c r="D31" s="0" t="s">
        <v>1227</v>
      </c>
      <c r="E31" s="0" t="s">
        <v>110</v>
      </c>
      <c r="F31" s="0" t="n">
        <v>1</v>
      </c>
      <c r="G31" s="0" t="s">
        <v>111</v>
      </c>
      <c r="H31" s="0" t="s">
        <v>112</v>
      </c>
      <c r="I31" s="0" t="s">
        <v>113</v>
      </c>
      <c r="J31" s="0" t="s">
        <v>114</v>
      </c>
      <c r="K31" s="0" t="s">
        <v>115</v>
      </c>
      <c r="L31" s="0" t="s">
        <v>115</v>
      </c>
      <c r="M31" s="0" t="s">
        <v>116</v>
      </c>
      <c r="N31" s="6" t="n">
        <v>46119</v>
      </c>
    </row>
    <row r="32" customFormat="false" ht="15" hidden="false" customHeight="false" outlineLevel="0" collapsed="false">
      <c r="B32" s="0" t="n">
        <v>572</v>
      </c>
      <c r="C32" s="0" t="s">
        <v>350</v>
      </c>
      <c r="D32" s="0" t="s">
        <v>1225</v>
      </c>
      <c r="E32" s="0" t="s">
        <v>351</v>
      </c>
      <c r="F32" s="0" t="n">
        <v>1</v>
      </c>
      <c r="G32" s="0" t="s">
        <v>152</v>
      </c>
      <c r="H32" s="0" t="s">
        <v>352</v>
      </c>
      <c r="I32" s="0" t="s">
        <v>353</v>
      </c>
      <c r="J32" s="0" t="s">
        <v>354</v>
      </c>
      <c r="K32" s="0" t="s">
        <v>355</v>
      </c>
      <c r="L32" s="0" t="s">
        <v>355</v>
      </c>
      <c r="M32" s="0" t="s">
        <v>356</v>
      </c>
      <c r="N32" s="6" t="n">
        <v>46119</v>
      </c>
    </row>
    <row r="33" customFormat="false" ht="15" hidden="false" customHeight="false" outlineLevel="0" collapsed="false">
      <c r="B33" s="0" t="n">
        <v>429</v>
      </c>
      <c r="C33" s="0" t="s">
        <v>350</v>
      </c>
      <c r="D33" s="0" t="s">
        <v>1227</v>
      </c>
      <c r="E33" s="0" t="s">
        <v>351</v>
      </c>
      <c r="F33" s="0" t="n">
        <v>2</v>
      </c>
      <c r="G33" s="0" t="s">
        <v>152</v>
      </c>
      <c r="H33" s="0" t="s">
        <v>352</v>
      </c>
      <c r="I33" s="0" t="s">
        <v>353</v>
      </c>
      <c r="J33" s="0" t="s">
        <v>354</v>
      </c>
      <c r="K33" s="0" t="s">
        <v>355</v>
      </c>
      <c r="L33" s="0" t="s">
        <v>355</v>
      </c>
      <c r="M33" s="0" t="s">
        <v>356</v>
      </c>
      <c r="N33" s="6" t="n">
        <v>46119</v>
      </c>
    </row>
    <row r="34" customFormat="false" ht="15" hidden="false" customHeight="false" outlineLevel="0" collapsed="false">
      <c r="B34" s="0" t="n">
        <v>435</v>
      </c>
      <c r="C34" s="0" t="s">
        <v>391</v>
      </c>
      <c r="D34" s="0" t="s">
        <v>1227</v>
      </c>
      <c r="E34" s="0" t="s">
        <v>392</v>
      </c>
      <c r="F34" s="0" t="n">
        <v>1</v>
      </c>
      <c r="G34" s="0" t="s">
        <v>111</v>
      </c>
      <c r="H34" s="0" t="s">
        <v>393</v>
      </c>
      <c r="I34" s="0" t="s">
        <v>394</v>
      </c>
      <c r="J34" s="0" t="s">
        <v>395</v>
      </c>
      <c r="K34" s="0" t="s">
        <v>396</v>
      </c>
      <c r="L34" s="0" t="s">
        <v>397</v>
      </c>
      <c r="M34" s="0" t="s">
        <v>398</v>
      </c>
      <c r="N34" s="6" t="n">
        <v>46119</v>
      </c>
    </row>
    <row r="35" customFormat="false" ht="15" hidden="false" customHeight="false" outlineLevel="0" collapsed="false">
      <c r="B35" s="0" t="n">
        <v>449</v>
      </c>
      <c r="C35" s="0" t="s">
        <v>588</v>
      </c>
      <c r="D35" s="0" t="s">
        <v>1227</v>
      </c>
      <c r="E35" s="0" t="s">
        <v>589</v>
      </c>
      <c r="F35" s="0" t="n">
        <v>1</v>
      </c>
      <c r="G35" s="0" t="s">
        <v>24</v>
      </c>
      <c r="H35" s="0" t="s">
        <v>590</v>
      </c>
      <c r="I35" s="0" t="s">
        <v>591</v>
      </c>
      <c r="J35" s="0" t="s">
        <v>592</v>
      </c>
      <c r="K35" s="0" t="s">
        <v>593</v>
      </c>
      <c r="L35" s="0" t="s">
        <v>594</v>
      </c>
      <c r="M35" s="0" t="s">
        <v>595</v>
      </c>
      <c r="N35" s="6" t="n">
        <v>46119</v>
      </c>
    </row>
    <row r="36" customFormat="false" ht="15" hidden="false" customHeight="false" outlineLevel="0" collapsed="false">
      <c r="B36" s="0" t="n">
        <v>577</v>
      </c>
      <c r="C36" s="0" t="s">
        <v>596</v>
      </c>
      <c r="D36" s="0" t="s">
        <v>1225</v>
      </c>
      <c r="E36" s="0" t="s">
        <v>597</v>
      </c>
      <c r="F36" s="0" t="n">
        <v>1</v>
      </c>
      <c r="G36" s="0" t="s">
        <v>61</v>
      </c>
      <c r="H36" s="0" t="s">
        <v>598</v>
      </c>
      <c r="I36" s="0" t="s">
        <v>599</v>
      </c>
      <c r="J36" s="0" t="s">
        <v>600</v>
      </c>
      <c r="K36" s="0" t="s">
        <v>601</v>
      </c>
      <c r="L36" s="0" t="s">
        <v>602</v>
      </c>
      <c r="M36" s="0" t="s">
        <v>603</v>
      </c>
      <c r="N36" s="6" t="n">
        <v>46119</v>
      </c>
    </row>
    <row r="37" customFormat="false" ht="15" hidden="false" customHeight="false" outlineLevel="0" collapsed="false">
      <c r="B37" s="0" t="n">
        <v>565</v>
      </c>
      <c r="C37" s="0" t="s">
        <v>263</v>
      </c>
      <c r="D37" s="0" t="s">
        <v>1225</v>
      </c>
      <c r="E37" s="0" t="s">
        <v>264</v>
      </c>
      <c r="F37" s="0" t="n">
        <v>1</v>
      </c>
      <c r="G37" s="0" t="s">
        <v>61</v>
      </c>
      <c r="H37" s="0" t="s">
        <v>265</v>
      </c>
      <c r="I37" s="0" t="s">
        <v>266</v>
      </c>
      <c r="J37" s="0" t="s">
        <v>267</v>
      </c>
      <c r="K37" s="0" t="s">
        <v>252</v>
      </c>
      <c r="L37" s="0" t="s">
        <v>268</v>
      </c>
      <c r="M37" s="0" t="s">
        <v>269</v>
      </c>
      <c r="N37" s="6" t="n">
        <v>46119</v>
      </c>
    </row>
    <row r="38" customFormat="false" ht="15" hidden="false" customHeight="false" outlineLevel="0" collapsed="false">
      <c r="B38" s="0" t="n">
        <v>420</v>
      </c>
      <c r="C38" s="0" t="s">
        <v>263</v>
      </c>
      <c r="D38" s="0" t="s">
        <v>1227</v>
      </c>
      <c r="E38" s="0" t="s">
        <v>264</v>
      </c>
      <c r="F38" s="0" t="n">
        <v>2</v>
      </c>
      <c r="G38" s="0" t="s">
        <v>61</v>
      </c>
      <c r="H38" s="0" t="s">
        <v>265</v>
      </c>
      <c r="I38" s="0" t="s">
        <v>266</v>
      </c>
      <c r="J38" s="0" t="s">
        <v>267</v>
      </c>
      <c r="K38" s="0" t="s">
        <v>252</v>
      </c>
      <c r="L38" s="0" t="s">
        <v>268</v>
      </c>
      <c r="M38" s="0" t="s">
        <v>269</v>
      </c>
      <c r="N38" s="6" t="n">
        <v>46119</v>
      </c>
    </row>
    <row r="39" customFormat="false" ht="15" hidden="false" customHeight="false" outlineLevel="0" collapsed="false">
      <c r="B39" s="0" t="n">
        <v>444</v>
      </c>
      <c r="C39" s="0" t="s">
        <v>455</v>
      </c>
      <c r="D39" s="0" t="s">
        <v>1227</v>
      </c>
      <c r="E39" s="0" t="s">
        <v>456</v>
      </c>
      <c r="F39" s="0" t="n">
        <v>1</v>
      </c>
      <c r="G39" s="0" t="s">
        <v>111</v>
      </c>
      <c r="H39" s="0" t="s">
        <v>457</v>
      </c>
      <c r="I39" s="0" t="s">
        <v>458</v>
      </c>
      <c r="J39" s="0" t="s">
        <v>459</v>
      </c>
      <c r="K39" s="0" t="s">
        <v>460</v>
      </c>
      <c r="L39" s="0" t="s">
        <v>331</v>
      </c>
      <c r="M39" s="0" t="s">
        <v>462</v>
      </c>
      <c r="N39" s="6" t="n">
        <v>46119</v>
      </c>
    </row>
    <row r="40" customFormat="false" ht="15" hidden="false" customHeight="false" outlineLevel="0" collapsed="false">
      <c r="B40" s="0" t="n">
        <v>433</v>
      </c>
      <c r="C40" s="0" t="s">
        <v>604</v>
      </c>
      <c r="D40" s="0" t="s">
        <v>1227</v>
      </c>
      <c r="E40" s="0" t="s">
        <v>605</v>
      </c>
      <c r="F40" s="0" t="n">
        <v>1</v>
      </c>
      <c r="G40" s="0" t="s">
        <v>61</v>
      </c>
      <c r="H40" s="0" t="s">
        <v>606</v>
      </c>
      <c r="I40" s="0" t="s">
        <v>607</v>
      </c>
      <c r="J40" s="0" t="s">
        <v>608</v>
      </c>
      <c r="K40" s="0" t="s">
        <v>252</v>
      </c>
      <c r="L40" s="0" t="s">
        <v>609</v>
      </c>
      <c r="M40" s="0" t="s">
        <v>610</v>
      </c>
      <c r="N40" s="6" t="n">
        <v>46119</v>
      </c>
    </row>
    <row r="41" customFormat="false" ht="15" hidden="false" customHeight="false" outlineLevel="0" collapsed="false">
      <c r="B41" s="0" t="n">
        <v>556</v>
      </c>
      <c r="C41" s="0" t="s">
        <v>142</v>
      </c>
      <c r="D41" s="0" t="s">
        <v>1225</v>
      </c>
      <c r="E41" s="0" t="s">
        <v>143</v>
      </c>
      <c r="F41" s="0" t="n">
        <v>1</v>
      </c>
      <c r="G41" s="0" t="s">
        <v>61</v>
      </c>
      <c r="H41" s="0" t="s">
        <v>144</v>
      </c>
      <c r="I41" s="0" t="s">
        <v>145</v>
      </c>
      <c r="J41" s="0" t="s">
        <v>146</v>
      </c>
      <c r="K41" s="0" t="s">
        <v>147</v>
      </c>
      <c r="L41" s="0" t="s">
        <v>148</v>
      </c>
      <c r="M41" s="0" t="s">
        <v>149</v>
      </c>
      <c r="N41" s="6" t="n">
        <v>46119</v>
      </c>
    </row>
    <row r="42" customFormat="false" ht="15" hidden="false" customHeight="false" outlineLevel="0" collapsed="false">
      <c r="B42" s="0" t="n">
        <v>406</v>
      </c>
      <c r="C42" s="0" t="s">
        <v>142</v>
      </c>
      <c r="D42" s="0" t="s">
        <v>1227</v>
      </c>
      <c r="E42" s="0" t="s">
        <v>143</v>
      </c>
      <c r="F42" s="0" t="n">
        <v>1</v>
      </c>
      <c r="G42" s="0" t="s">
        <v>61</v>
      </c>
      <c r="H42" s="0" t="s">
        <v>144</v>
      </c>
      <c r="I42" s="0" t="s">
        <v>145</v>
      </c>
      <c r="J42" s="0" t="s">
        <v>146</v>
      </c>
      <c r="K42" s="0" t="s">
        <v>147</v>
      </c>
      <c r="L42" s="0" t="s">
        <v>148</v>
      </c>
      <c r="M42" s="0" t="s">
        <v>149</v>
      </c>
      <c r="N42" s="6" t="n">
        <v>46119</v>
      </c>
    </row>
    <row r="43" customFormat="false" ht="15" hidden="false" customHeight="false" outlineLevel="0" collapsed="false">
      <c r="B43" s="0" t="n">
        <v>550</v>
      </c>
      <c r="C43" s="0" t="s">
        <v>59</v>
      </c>
      <c r="D43" s="0" t="s">
        <v>1225</v>
      </c>
      <c r="E43" s="0" t="s">
        <v>60</v>
      </c>
      <c r="F43" s="0" t="n">
        <v>4</v>
      </c>
      <c r="G43" s="0" t="s">
        <v>61</v>
      </c>
      <c r="H43" s="0" t="s">
        <v>62</v>
      </c>
      <c r="I43" s="0" t="s">
        <v>63</v>
      </c>
      <c r="J43" s="0" t="s">
        <v>64</v>
      </c>
      <c r="K43" s="0" t="s">
        <v>65</v>
      </c>
      <c r="L43" s="0" t="s">
        <v>66</v>
      </c>
      <c r="M43" s="0" t="s">
        <v>67</v>
      </c>
      <c r="N43" s="6" t="n">
        <v>46119</v>
      </c>
    </row>
    <row r="44" customFormat="false" ht="15" hidden="false" customHeight="false" outlineLevel="0" collapsed="false">
      <c r="B44" s="0" t="n">
        <v>396</v>
      </c>
      <c r="C44" s="0" t="s">
        <v>59</v>
      </c>
      <c r="D44" s="0" t="s">
        <v>1227</v>
      </c>
      <c r="E44" s="0" t="s">
        <v>60</v>
      </c>
      <c r="F44" s="0" t="n">
        <v>20</v>
      </c>
      <c r="G44" s="0" t="s">
        <v>61</v>
      </c>
      <c r="H44" s="0" t="s">
        <v>62</v>
      </c>
      <c r="I44" s="0" t="s">
        <v>63</v>
      </c>
      <c r="J44" s="0" t="s">
        <v>64</v>
      </c>
      <c r="K44" s="0" t="s">
        <v>65</v>
      </c>
      <c r="L44" s="0" t="s">
        <v>66</v>
      </c>
      <c r="M44" s="0" t="s">
        <v>67</v>
      </c>
      <c r="N44" s="6" t="n">
        <v>46119</v>
      </c>
    </row>
    <row r="45" customFormat="false" ht="15" hidden="false" customHeight="false" outlineLevel="0" collapsed="false">
      <c r="B45" s="0" t="n">
        <v>549</v>
      </c>
      <c r="C45" s="0" t="s">
        <v>782</v>
      </c>
      <c r="D45" s="0" t="s">
        <v>1225</v>
      </c>
      <c r="E45" s="0" t="s">
        <v>783</v>
      </c>
      <c r="F45" s="0" t="n">
        <v>1</v>
      </c>
      <c r="G45" s="0" t="s">
        <v>784</v>
      </c>
      <c r="H45" s="0" t="s">
        <v>785</v>
      </c>
      <c r="I45" s="0" t="s">
        <v>786</v>
      </c>
      <c r="J45" s="0" t="s">
        <v>787</v>
      </c>
      <c r="K45" s="0" t="s">
        <v>788</v>
      </c>
      <c r="L45" s="0" t="s">
        <v>789</v>
      </c>
      <c r="M45" s="0" t="s">
        <v>790</v>
      </c>
      <c r="N45" s="6" t="n">
        <v>46119</v>
      </c>
    </row>
    <row r="46" customFormat="false" ht="15" hidden="false" customHeight="false" outlineLevel="0" collapsed="false">
      <c r="B46" s="0" t="n">
        <v>395</v>
      </c>
      <c r="C46" s="0" t="s">
        <v>782</v>
      </c>
      <c r="D46" s="0" t="s">
        <v>1227</v>
      </c>
      <c r="E46" s="0" t="s">
        <v>783</v>
      </c>
      <c r="F46" s="0" t="n">
        <v>1</v>
      </c>
      <c r="G46" s="0" t="s">
        <v>784</v>
      </c>
      <c r="H46" s="0" t="s">
        <v>785</v>
      </c>
      <c r="I46" s="0" t="s">
        <v>786</v>
      </c>
      <c r="J46" s="0" t="s">
        <v>787</v>
      </c>
      <c r="K46" s="0" t="s">
        <v>788</v>
      </c>
      <c r="L46" s="0" t="s">
        <v>789</v>
      </c>
      <c r="M46" s="0" t="s">
        <v>790</v>
      </c>
      <c r="N46" s="6" t="n">
        <v>46119</v>
      </c>
    </row>
    <row r="47" customFormat="false" ht="15" hidden="false" customHeight="false" outlineLevel="0" collapsed="false">
      <c r="B47" s="0" t="n">
        <v>415</v>
      </c>
      <c r="C47" s="0" t="s">
        <v>215</v>
      </c>
      <c r="D47" s="0" t="s">
        <v>1227</v>
      </c>
      <c r="E47" s="0" t="s">
        <v>216</v>
      </c>
      <c r="F47" s="0" t="n">
        <v>1</v>
      </c>
      <c r="G47" s="0" t="s">
        <v>24</v>
      </c>
      <c r="H47" s="0" t="s">
        <v>217</v>
      </c>
      <c r="I47" s="0" t="s">
        <v>218</v>
      </c>
      <c r="J47" s="0" t="s">
        <v>219</v>
      </c>
      <c r="K47" s="0" t="s">
        <v>220</v>
      </c>
      <c r="L47" s="0" t="s">
        <v>221</v>
      </c>
      <c r="M47" s="0" t="s">
        <v>222</v>
      </c>
      <c r="N47" s="6" t="n">
        <v>46119</v>
      </c>
    </row>
    <row r="48" customFormat="false" ht="15" hidden="false" customHeight="false" outlineLevel="0" collapsed="false">
      <c r="B48" s="0" t="n">
        <v>424</v>
      </c>
      <c r="C48" s="0" t="s">
        <v>286</v>
      </c>
      <c r="D48" s="0" t="s">
        <v>1227</v>
      </c>
      <c r="E48" s="0" t="s">
        <v>287</v>
      </c>
      <c r="F48" s="0" t="n">
        <v>1</v>
      </c>
      <c r="G48" s="0" t="s">
        <v>61</v>
      </c>
      <c r="H48" s="0" t="s">
        <v>288</v>
      </c>
      <c r="I48" s="0" t="s">
        <v>289</v>
      </c>
      <c r="J48" s="0" t="s">
        <v>290</v>
      </c>
      <c r="K48" s="0" t="s">
        <v>291</v>
      </c>
      <c r="L48" s="0" t="s">
        <v>292</v>
      </c>
      <c r="M48" s="0" t="s">
        <v>293</v>
      </c>
      <c r="N48" s="6" t="n">
        <v>46119</v>
      </c>
    </row>
    <row r="49" customFormat="false" ht="15" hidden="false" customHeight="false" outlineLevel="0" collapsed="false">
      <c r="B49" s="0" t="n">
        <v>436</v>
      </c>
      <c r="C49" s="0" t="s">
        <v>399</v>
      </c>
      <c r="D49" s="0" t="s">
        <v>1227</v>
      </c>
      <c r="E49" s="0" t="s">
        <v>400</v>
      </c>
      <c r="F49" s="0" t="n">
        <v>1</v>
      </c>
      <c r="G49" s="0" t="s">
        <v>152</v>
      </c>
      <c r="H49" s="0" t="s">
        <v>401</v>
      </c>
      <c r="I49" s="0" t="s">
        <v>402</v>
      </c>
      <c r="J49" s="0" t="s">
        <v>403</v>
      </c>
      <c r="K49" s="0" t="s">
        <v>404</v>
      </c>
      <c r="L49" s="0" t="s">
        <v>791</v>
      </c>
      <c r="M49" s="0" t="s">
        <v>406</v>
      </c>
      <c r="N49" s="6" t="n">
        <v>46119</v>
      </c>
    </row>
    <row r="50" customFormat="false" ht="15" hidden="false" customHeight="false" outlineLevel="0" collapsed="false">
      <c r="B50" s="0" t="n">
        <v>428</v>
      </c>
      <c r="C50" s="0" t="s">
        <v>342</v>
      </c>
      <c r="D50" s="0" t="s">
        <v>1227</v>
      </c>
      <c r="E50" s="0" t="s">
        <v>343</v>
      </c>
      <c r="F50" s="0" t="n">
        <v>4</v>
      </c>
      <c r="G50" s="0" t="s">
        <v>24</v>
      </c>
      <c r="H50" s="0" t="s">
        <v>344</v>
      </c>
      <c r="I50" s="0" t="s">
        <v>345</v>
      </c>
      <c r="J50" s="0" t="s">
        <v>346</v>
      </c>
      <c r="K50" s="0" t="s">
        <v>348</v>
      </c>
      <c r="L50" s="0" t="s">
        <v>348</v>
      </c>
      <c r="M50" s="0" t="s">
        <v>349</v>
      </c>
      <c r="N50" s="6" t="n">
        <v>46119</v>
      </c>
    </row>
    <row r="51" customFormat="false" ht="15" hidden="false" customHeight="false" outlineLevel="0" collapsed="false">
      <c r="B51" s="0" t="n">
        <v>400</v>
      </c>
      <c r="C51" s="0" t="s">
        <v>626</v>
      </c>
      <c r="D51" s="0" t="s">
        <v>1227</v>
      </c>
      <c r="E51" s="0" t="s">
        <v>627</v>
      </c>
      <c r="F51" s="0" t="n">
        <v>4</v>
      </c>
      <c r="G51" s="0" t="s">
        <v>152</v>
      </c>
      <c r="H51" s="0" t="s">
        <v>628</v>
      </c>
      <c r="I51" s="0" t="s">
        <v>629</v>
      </c>
      <c r="J51" s="0" t="s">
        <v>630</v>
      </c>
      <c r="K51" s="0" t="s">
        <v>631</v>
      </c>
      <c r="L51" s="0" t="s">
        <v>632</v>
      </c>
      <c r="M51" s="0" t="s">
        <v>633</v>
      </c>
      <c r="N51" s="6" t="n">
        <v>46119</v>
      </c>
    </row>
    <row r="52" customFormat="false" ht="30" hidden="false" customHeight="true" outlineLevel="0" collapsed="false">
      <c r="B52" s="0" t="n">
        <v>579</v>
      </c>
      <c r="C52" s="0" t="s">
        <v>478</v>
      </c>
      <c r="D52" s="0" t="s">
        <v>1225</v>
      </c>
      <c r="E52" s="0" t="s">
        <v>479</v>
      </c>
      <c r="F52" s="0" t="n">
        <v>1</v>
      </c>
      <c r="G52" s="0" t="s">
        <v>111</v>
      </c>
      <c r="H52" s="2" t="s">
        <v>480</v>
      </c>
      <c r="I52" s="2" t="s">
        <v>481</v>
      </c>
      <c r="J52" s="2" t="s">
        <v>482</v>
      </c>
      <c r="K52" s="0" t="s">
        <v>483</v>
      </c>
      <c r="L52" s="0" t="s">
        <v>634</v>
      </c>
      <c r="M52" s="0" t="s">
        <v>485</v>
      </c>
      <c r="N52" s="6" t="n">
        <v>46119</v>
      </c>
    </row>
    <row r="53" customFormat="false" ht="30" hidden="false" customHeight="true" outlineLevel="0" collapsed="false">
      <c r="B53" s="0" t="n">
        <v>450</v>
      </c>
      <c r="C53" s="0" t="s">
        <v>478</v>
      </c>
      <c r="D53" s="0" t="s">
        <v>1227</v>
      </c>
      <c r="E53" s="0" t="s">
        <v>479</v>
      </c>
      <c r="F53" s="0" t="n">
        <v>1</v>
      </c>
      <c r="G53" s="0" t="s">
        <v>111</v>
      </c>
      <c r="H53" s="2" t="s">
        <v>480</v>
      </c>
      <c r="I53" s="2" t="s">
        <v>481</v>
      </c>
      <c r="J53" s="2" t="s">
        <v>482</v>
      </c>
      <c r="K53" s="0" t="s">
        <v>483</v>
      </c>
      <c r="L53" s="0" t="s">
        <v>634</v>
      </c>
      <c r="M53" s="0" t="s">
        <v>485</v>
      </c>
      <c r="N53" s="6" t="n">
        <v>46119</v>
      </c>
    </row>
    <row r="54" customFormat="false" ht="15" hidden="false" customHeight="false" outlineLevel="0" collapsed="false">
      <c r="B54" s="0" t="n">
        <v>393</v>
      </c>
      <c r="C54" s="0" t="s">
        <v>43</v>
      </c>
      <c r="D54" s="0" t="s">
        <v>1227</v>
      </c>
      <c r="E54" s="0" t="s">
        <v>44</v>
      </c>
      <c r="F54" s="0" t="n">
        <v>6</v>
      </c>
      <c r="G54" s="0" t="s">
        <v>24</v>
      </c>
      <c r="H54" s="0" t="s">
        <v>45</v>
      </c>
      <c r="I54" s="0" t="s">
        <v>46</v>
      </c>
      <c r="J54" s="0" t="s">
        <v>47</v>
      </c>
      <c r="K54" s="0" t="s">
        <v>48</v>
      </c>
      <c r="L54" s="0" t="s">
        <v>49</v>
      </c>
      <c r="M54" s="0" t="s">
        <v>50</v>
      </c>
      <c r="N54" s="6" t="n">
        <v>46119</v>
      </c>
    </row>
    <row r="55" customFormat="false" ht="15" hidden="false" customHeight="false" outlineLevel="0" collapsed="false">
      <c r="B55" s="0" t="n">
        <v>567</v>
      </c>
      <c r="C55" s="0" t="s">
        <v>270</v>
      </c>
      <c r="D55" s="0" t="s">
        <v>1225</v>
      </c>
      <c r="E55" s="0" t="s">
        <v>271</v>
      </c>
      <c r="F55" s="0" t="n">
        <v>1</v>
      </c>
      <c r="G55" s="0" t="s">
        <v>61</v>
      </c>
      <c r="H55" s="0" t="s">
        <v>272</v>
      </c>
      <c r="I55" s="0" t="s">
        <v>273</v>
      </c>
      <c r="J55" s="0" t="s">
        <v>274</v>
      </c>
      <c r="K55" s="0" t="s">
        <v>792</v>
      </c>
      <c r="L55" s="0" t="s">
        <v>792</v>
      </c>
      <c r="M55" s="0" t="s">
        <v>277</v>
      </c>
      <c r="N55" s="6" t="n">
        <v>46119</v>
      </c>
    </row>
    <row r="56" customFormat="false" ht="15" hidden="false" customHeight="false" outlineLevel="0" collapsed="false">
      <c r="B56" s="0" t="n">
        <v>453</v>
      </c>
      <c r="C56" s="0" t="s">
        <v>508</v>
      </c>
      <c r="D56" s="0" t="s">
        <v>1227</v>
      </c>
      <c r="E56" s="0" t="s">
        <v>509</v>
      </c>
      <c r="F56" s="0" t="n">
        <v>1</v>
      </c>
      <c r="G56" s="0" t="s">
        <v>61</v>
      </c>
      <c r="H56" s="0" t="s">
        <v>510</v>
      </c>
      <c r="I56" s="0" t="s">
        <v>511</v>
      </c>
      <c r="J56" s="0" t="s">
        <v>512</v>
      </c>
      <c r="K56" s="0" t="s">
        <v>513</v>
      </c>
      <c r="L56" s="0" t="s">
        <v>514</v>
      </c>
      <c r="M56" s="0" t="s">
        <v>515</v>
      </c>
      <c r="N56" s="6" t="n">
        <v>46119</v>
      </c>
    </row>
    <row r="57" customFormat="false" ht="15" hidden="false" customHeight="false" outlineLevel="0" collapsed="false">
      <c r="B57" s="0" t="n">
        <v>401</v>
      </c>
      <c r="C57" s="0" t="s">
        <v>102</v>
      </c>
      <c r="D57" s="0" t="s">
        <v>1227</v>
      </c>
      <c r="E57" s="0" t="s">
        <v>103</v>
      </c>
      <c r="F57" s="0" t="n">
        <v>7</v>
      </c>
      <c r="G57" s="0" t="s">
        <v>61</v>
      </c>
      <c r="H57" s="0" t="s">
        <v>104</v>
      </c>
      <c r="I57" s="0" t="s">
        <v>105</v>
      </c>
      <c r="J57" s="0" t="s">
        <v>106</v>
      </c>
      <c r="K57" s="0" t="s">
        <v>107</v>
      </c>
      <c r="L57" s="0" t="s">
        <v>107</v>
      </c>
      <c r="M57" s="0" t="s">
        <v>108</v>
      </c>
      <c r="N57" s="6" t="n">
        <v>46119</v>
      </c>
    </row>
    <row r="58" customFormat="false" ht="15" hidden="false" customHeight="false" outlineLevel="0" collapsed="false">
      <c r="B58" s="0" t="n">
        <v>580</v>
      </c>
      <c r="C58" s="0" t="s">
        <v>644</v>
      </c>
      <c r="D58" s="0" t="s">
        <v>1225</v>
      </c>
      <c r="E58" s="0" t="s">
        <v>645</v>
      </c>
      <c r="F58" s="0" t="n">
        <v>2</v>
      </c>
      <c r="G58" s="0" t="s">
        <v>61</v>
      </c>
      <c r="H58" s="0" t="s">
        <v>646</v>
      </c>
      <c r="I58" s="0" t="s">
        <v>647</v>
      </c>
      <c r="J58" s="0" t="s">
        <v>648</v>
      </c>
      <c r="K58" s="0" t="s">
        <v>649</v>
      </c>
      <c r="L58" s="0" t="s">
        <v>650</v>
      </c>
      <c r="N58" s="6" t="n">
        <v>46119</v>
      </c>
    </row>
    <row r="59" customFormat="false" ht="15" hidden="false" customHeight="false" outlineLevel="0" collapsed="false">
      <c r="B59" s="0" t="n">
        <v>455</v>
      </c>
      <c r="C59" s="0" t="s">
        <v>644</v>
      </c>
      <c r="D59" s="0" t="s">
        <v>1227</v>
      </c>
      <c r="E59" s="0" t="s">
        <v>645</v>
      </c>
      <c r="F59" s="0" t="n">
        <v>2</v>
      </c>
      <c r="G59" s="0" t="s">
        <v>61</v>
      </c>
      <c r="H59" s="0" t="s">
        <v>646</v>
      </c>
      <c r="I59" s="0" t="s">
        <v>647</v>
      </c>
      <c r="J59" s="0" t="s">
        <v>648</v>
      </c>
      <c r="K59" s="0" t="s">
        <v>649</v>
      </c>
      <c r="L59" s="0" t="s">
        <v>650</v>
      </c>
      <c r="N59" s="6" t="n">
        <v>46119</v>
      </c>
    </row>
    <row r="60" customFormat="false" ht="15" hidden="false" customHeight="false" outlineLevel="0" collapsed="false">
      <c r="B60" s="0" t="n">
        <v>439</v>
      </c>
      <c r="C60" s="0" t="s">
        <v>424</v>
      </c>
      <c r="D60" s="0" t="s">
        <v>1227</v>
      </c>
      <c r="E60" s="0" t="s">
        <v>425</v>
      </c>
      <c r="F60" s="0" t="n">
        <v>2</v>
      </c>
      <c r="G60" s="0" t="s">
        <v>111</v>
      </c>
      <c r="H60" s="0" t="s">
        <v>426</v>
      </c>
      <c r="I60" s="0" t="s">
        <v>427</v>
      </c>
      <c r="J60" s="0" t="s">
        <v>428</v>
      </c>
      <c r="K60" s="0" t="s">
        <v>429</v>
      </c>
      <c r="L60" s="0" t="s">
        <v>429</v>
      </c>
      <c r="M60" s="0" t="s">
        <v>430</v>
      </c>
      <c r="N60" s="6" t="n">
        <v>46119</v>
      </c>
    </row>
    <row r="61" customFormat="false" ht="15" hidden="false" customHeight="false" outlineLevel="0" collapsed="false">
      <c r="B61" s="0" t="n">
        <v>404</v>
      </c>
      <c r="C61" s="0" t="s">
        <v>134</v>
      </c>
      <c r="D61" s="0" t="s">
        <v>1227</v>
      </c>
      <c r="E61" s="0" t="s">
        <v>135</v>
      </c>
      <c r="F61" s="0" t="n">
        <v>2</v>
      </c>
      <c r="G61" s="0" t="s">
        <v>24</v>
      </c>
      <c r="H61" s="0" t="s">
        <v>136</v>
      </c>
      <c r="I61" s="0" t="s">
        <v>137</v>
      </c>
      <c r="J61" s="0" t="s">
        <v>138</v>
      </c>
      <c r="K61" s="0" t="s">
        <v>139</v>
      </c>
      <c r="L61" s="0" t="s">
        <v>140</v>
      </c>
      <c r="M61" s="0" t="s">
        <v>141</v>
      </c>
      <c r="N61" s="6" t="n">
        <v>46119</v>
      </c>
    </row>
    <row r="62" customFormat="false" ht="15" hidden="false" customHeight="false" outlineLevel="0" collapsed="false">
      <c r="B62" s="0" t="n">
        <v>407</v>
      </c>
      <c r="C62" s="0" t="s">
        <v>150</v>
      </c>
      <c r="D62" s="0" t="s">
        <v>1227</v>
      </c>
      <c r="E62" s="0" t="s">
        <v>151</v>
      </c>
      <c r="F62" s="0" t="n">
        <v>1</v>
      </c>
      <c r="G62" s="0" t="s">
        <v>152</v>
      </c>
      <c r="H62" s="0" t="s">
        <v>153</v>
      </c>
      <c r="I62" s="0" t="s">
        <v>154</v>
      </c>
      <c r="J62" s="0" t="s">
        <v>155</v>
      </c>
      <c r="K62" s="0" t="s">
        <v>156</v>
      </c>
      <c r="L62" s="0" t="s">
        <v>1113</v>
      </c>
      <c r="M62" s="0" t="s">
        <v>158</v>
      </c>
      <c r="N62" s="6" t="n">
        <v>46119</v>
      </c>
    </row>
    <row r="63" customFormat="false" ht="15" hidden="false" customHeight="false" outlineLevel="0" collapsed="false">
      <c r="B63" s="0" t="n">
        <v>566</v>
      </c>
      <c r="C63" s="0" t="s">
        <v>651</v>
      </c>
      <c r="D63" s="0" t="s">
        <v>1225</v>
      </c>
      <c r="E63" s="0" t="s">
        <v>652</v>
      </c>
      <c r="F63" s="0" t="n">
        <v>1</v>
      </c>
      <c r="G63" s="0" t="s">
        <v>111</v>
      </c>
      <c r="H63" s="0" t="s">
        <v>653</v>
      </c>
      <c r="I63" s="0" t="s">
        <v>654</v>
      </c>
      <c r="J63" s="0" t="s">
        <v>655</v>
      </c>
      <c r="K63" s="0" t="s">
        <v>656</v>
      </c>
      <c r="L63" s="0" t="s">
        <v>657</v>
      </c>
      <c r="M63" s="0" t="s">
        <v>658</v>
      </c>
      <c r="N63" s="6" t="n">
        <v>46119</v>
      </c>
    </row>
    <row r="64" customFormat="false" ht="15" hidden="false" customHeight="false" outlineLevel="0" collapsed="false">
      <c r="B64" s="0" t="n">
        <v>421</v>
      </c>
      <c r="C64" s="0" t="s">
        <v>651</v>
      </c>
      <c r="D64" s="0" t="s">
        <v>1227</v>
      </c>
      <c r="E64" s="0" t="s">
        <v>652</v>
      </c>
      <c r="F64" s="0" t="n">
        <v>2</v>
      </c>
      <c r="G64" s="0" t="s">
        <v>111</v>
      </c>
      <c r="H64" s="0" t="s">
        <v>653</v>
      </c>
      <c r="I64" s="0" t="s">
        <v>654</v>
      </c>
      <c r="J64" s="0" t="s">
        <v>655</v>
      </c>
      <c r="K64" s="0" t="s">
        <v>656</v>
      </c>
      <c r="L64" s="0" t="s">
        <v>657</v>
      </c>
      <c r="M64" s="0" t="s">
        <v>658</v>
      </c>
      <c r="N64" s="6" t="n">
        <v>46119</v>
      </c>
    </row>
    <row r="65" customFormat="false" ht="15" hidden="false" customHeight="false" outlineLevel="0" collapsed="false">
      <c r="B65" s="0" t="n">
        <v>394</v>
      </c>
      <c r="C65" s="0" t="s">
        <v>51</v>
      </c>
      <c r="D65" s="0" t="s">
        <v>1227</v>
      </c>
      <c r="E65" s="0" t="s">
        <v>52</v>
      </c>
      <c r="F65" s="0" t="n">
        <v>3</v>
      </c>
      <c r="G65" s="0" t="s">
        <v>24</v>
      </c>
      <c r="H65" s="0" t="s">
        <v>53</v>
      </c>
      <c r="I65" s="0" t="s">
        <v>54</v>
      </c>
      <c r="J65" s="0" t="s">
        <v>55</v>
      </c>
      <c r="K65" s="0" t="s">
        <v>56</v>
      </c>
      <c r="L65" s="0" t="s">
        <v>57</v>
      </c>
      <c r="M65" s="0" t="s">
        <v>58</v>
      </c>
      <c r="N65" s="6" t="n">
        <v>46119</v>
      </c>
    </row>
    <row r="66" customFormat="false" ht="15" hidden="false" customHeight="false" outlineLevel="0" collapsed="false">
      <c r="B66" s="0" t="n">
        <v>447</v>
      </c>
      <c r="C66" s="0" t="s">
        <v>659</v>
      </c>
      <c r="D66" s="0" t="s">
        <v>1227</v>
      </c>
      <c r="E66" s="0" t="s">
        <v>660</v>
      </c>
      <c r="F66" s="0" t="n">
        <v>1</v>
      </c>
      <c r="G66" s="0" t="s">
        <v>152</v>
      </c>
      <c r="H66" s="0" t="s">
        <v>661</v>
      </c>
      <c r="I66" s="0" t="s">
        <v>662</v>
      </c>
      <c r="J66" s="0" t="s">
        <v>663</v>
      </c>
      <c r="K66" s="0" t="s">
        <v>664</v>
      </c>
      <c r="L66" s="0" t="s">
        <v>665</v>
      </c>
      <c r="M66" s="0" t="s">
        <v>666</v>
      </c>
      <c r="N66" s="6" t="n">
        <v>46119</v>
      </c>
    </row>
    <row r="67" customFormat="false" ht="15" hidden="false" customHeight="false" outlineLevel="0" collapsed="false">
      <c r="B67" s="0" t="n">
        <v>560</v>
      </c>
      <c r="C67" s="0" t="s">
        <v>667</v>
      </c>
      <c r="D67" s="0" t="s">
        <v>1225</v>
      </c>
      <c r="E67" s="0" t="s">
        <v>668</v>
      </c>
      <c r="F67" s="0" t="n">
        <v>2</v>
      </c>
      <c r="G67" s="0" t="s">
        <v>61</v>
      </c>
      <c r="H67" s="0" t="s">
        <v>669</v>
      </c>
      <c r="I67" s="0" t="s">
        <v>670</v>
      </c>
      <c r="J67" s="0" t="s">
        <v>671</v>
      </c>
      <c r="K67" s="0" t="s">
        <v>672</v>
      </c>
      <c r="L67" s="0" t="s">
        <v>672</v>
      </c>
      <c r="M67" s="0" t="s">
        <v>673</v>
      </c>
      <c r="N67" s="6" t="n">
        <v>46119</v>
      </c>
    </row>
    <row r="68" customFormat="false" ht="15" hidden="false" customHeight="false" outlineLevel="0" collapsed="false">
      <c r="B68" s="0" t="n">
        <v>411</v>
      </c>
      <c r="C68" s="0" t="s">
        <v>667</v>
      </c>
      <c r="D68" s="0" t="s">
        <v>1227</v>
      </c>
      <c r="E68" s="0" t="s">
        <v>668</v>
      </c>
      <c r="F68" s="0" t="n">
        <v>1</v>
      </c>
      <c r="G68" s="0" t="s">
        <v>61</v>
      </c>
      <c r="H68" s="0" t="s">
        <v>674</v>
      </c>
      <c r="I68" s="0" t="s">
        <v>675</v>
      </c>
      <c r="J68" s="0" t="s">
        <v>676</v>
      </c>
      <c r="K68" s="0" t="s">
        <v>672</v>
      </c>
      <c r="L68" s="0" t="s">
        <v>677</v>
      </c>
      <c r="M68" s="0" t="s">
        <v>673</v>
      </c>
      <c r="N68" s="6" t="n">
        <v>46119</v>
      </c>
    </row>
    <row r="69" customFormat="false" ht="15" hidden="false" customHeight="false" outlineLevel="0" collapsed="false">
      <c r="B69" s="0" t="n">
        <v>452</v>
      </c>
      <c r="C69" s="0" t="s">
        <v>502</v>
      </c>
      <c r="D69" s="0" t="s">
        <v>1227</v>
      </c>
      <c r="E69" s="0" t="s">
        <v>503</v>
      </c>
      <c r="F69" s="0" t="n">
        <v>1</v>
      </c>
      <c r="G69" s="0" t="s">
        <v>61</v>
      </c>
      <c r="H69" s="0" t="s">
        <v>504</v>
      </c>
      <c r="I69" s="0" t="s">
        <v>505</v>
      </c>
      <c r="J69" s="0" t="s">
        <v>506</v>
      </c>
      <c r="K69" s="0" t="s">
        <v>283</v>
      </c>
      <c r="L69" s="0" t="s">
        <v>284</v>
      </c>
      <c r="M69" s="0" t="s">
        <v>507</v>
      </c>
      <c r="N69" s="6" t="n">
        <v>46119</v>
      </c>
    </row>
    <row r="70" customFormat="false" ht="15" hidden="false" customHeight="false" outlineLevel="0" collapsed="false">
      <c r="B70" s="0" t="n">
        <v>575</v>
      </c>
      <c r="C70" s="0" t="s">
        <v>383</v>
      </c>
      <c r="D70" s="0" t="s">
        <v>1225</v>
      </c>
      <c r="E70" s="0" t="s">
        <v>384</v>
      </c>
      <c r="F70" s="0" t="n">
        <v>2</v>
      </c>
      <c r="G70" s="0" t="s">
        <v>61</v>
      </c>
      <c r="H70" s="0" t="s">
        <v>385</v>
      </c>
      <c r="I70" s="0" t="s">
        <v>386</v>
      </c>
      <c r="J70" s="0" t="s">
        <v>387</v>
      </c>
      <c r="K70" s="0" t="s">
        <v>388</v>
      </c>
      <c r="L70" s="0" t="s">
        <v>389</v>
      </c>
      <c r="M70" s="0" t="s">
        <v>390</v>
      </c>
      <c r="N70" s="6" t="n">
        <v>46119</v>
      </c>
    </row>
    <row r="71" customFormat="false" ht="15" hidden="false" customHeight="false" outlineLevel="0" collapsed="false">
      <c r="B71" s="0" t="n">
        <v>576</v>
      </c>
      <c r="C71" s="0" t="s">
        <v>431</v>
      </c>
      <c r="D71" s="0" t="s">
        <v>1225</v>
      </c>
      <c r="E71" s="0" t="s">
        <v>432</v>
      </c>
      <c r="F71" s="0" t="n">
        <v>1</v>
      </c>
      <c r="G71" s="0" t="s">
        <v>152</v>
      </c>
      <c r="H71" s="0" t="s">
        <v>868</v>
      </c>
      <c r="I71" s="0" t="s">
        <v>869</v>
      </c>
      <c r="J71" s="0" t="s">
        <v>870</v>
      </c>
      <c r="K71" s="0" t="s">
        <v>436</v>
      </c>
      <c r="L71" s="0" t="s">
        <v>436</v>
      </c>
      <c r="M71" s="0" t="s">
        <v>438</v>
      </c>
      <c r="N71" s="6" t="n">
        <v>46119</v>
      </c>
    </row>
    <row r="72" customFormat="false" ht="30" hidden="false" customHeight="true" outlineLevel="0" collapsed="false">
      <c r="B72" s="2" t="s">
        <v>1230</v>
      </c>
      <c r="C72" s="0" t="s">
        <v>431</v>
      </c>
      <c r="D72" s="0" t="s">
        <v>1227</v>
      </c>
      <c r="E72" s="0" t="s">
        <v>432</v>
      </c>
      <c r="F72" s="0" t="n">
        <v>7</v>
      </c>
      <c r="G72" s="0" t="s">
        <v>152</v>
      </c>
      <c r="H72" s="2" t="s">
        <v>1095</v>
      </c>
      <c r="I72" s="2" t="s">
        <v>1096</v>
      </c>
      <c r="J72" s="2" t="s">
        <v>1097</v>
      </c>
      <c r="K72" s="0" t="s">
        <v>436</v>
      </c>
      <c r="L72" s="2" t="s">
        <v>1231</v>
      </c>
      <c r="M72" s="0" t="s">
        <v>438</v>
      </c>
      <c r="N72" s="6" t="n">
        <v>46119</v>
      </c>
    </row>
    <row r="73" customFormat="false" ht="15" hidden="false" customHeight="false" outlineLevel="0" collapsed="false">
      <c r="B73" s="0" t="n">
        <v>432</v>
      </c>
      <c r="C73" s="0" t="s">
        <v>366</v>
      </c>
      <c r="D73" s="0" t="s">
        <v>1227</v>
      </c>
      <c r="E73" s="0" t="s">
        <v>367</v>
      </c>
      <c r="F73" s="0" t="n">
        <v>3</v>
      </c>
      <c r="G73" s="0" t="s">
        <v>368</v>
      </c>
      <c r="H73" s="0" t="s">
        <v>369</v>
      </c>
      <c r="I73" s="0" t="s">
        <v>370</v>
      </c>
      <c r="J73" s="0" t="s">
        <v>371</v>
      </c>
      <c r="K73" s="0" t="s">
        <v>372</v>
      </c>
      <c r="L73" s="0" t="s">
        <v>373</v>
      </c>
      <c r="M73" s="0" t="s">
        <v>374</v>
      </c>
      <c r="N73" s="6" t="n">
        <v>46119</v>
      </c>
    </row>
    <row r="74" customFormat="false" ht="15" hidden="false" customHeight="false" outlineLevel="0" collapsed="false">
      <c r="B74" s="0" t="n">
        <v>454</v>
      </c>
      <c r="C74" s="0" t="s">
        <v>516</v>
      </c>
      <c r="D74" s="0" t="s">
        <v>1227</v>
      </c>
      <c r="E74" s="0" t="s">
        <v>517</v>
      </c>
      <c r="F74" s="0" t="n">
        <v>1</v>
      </c>
      <c r="G74" s="0" t="s">
        <v>61</v>
      </c>
      <c r="H74" s="0" t="s">
        <v>518</v>
      </c>
      <c r="I74" s="0" t="s">
        <v>519</v>
      </c>
      <c r="J74" s="0" t="s">
        <v>520</v>
      </c>
      <c r="K74" s="0" t="s">
        <v>521</v>
      </c>
      <c r="L74" s="0" t="s">
        <v>522</v>
      </c>
      <c r="M74" s="0" t="s">
        <v>523</v>
      </c>
      <c r="N74" s="6" t="n">
        <v>46119</v>
      </c>
    </row>
    <row r="75" customFormat="false" ht="30" hidden="false" customHeight="true" outlineLevel="0" collapsed="false">
      <c r="B75" s="2" t="s">
        <v>1232</v>
      </c>
      <c r="C75" s="0" t="s">
        <v>802</v>
      </c>
      <c r="D75" s="0" t="s">
        <v>1225</v>
      </c>
      <c r="E75" s="0" t="s">
        <v>803</v>
      </c>
      <c r="F75" s="0" t="n">
        <v>3</v>
      </c>
      <c r="G75" s="0" t="s">
        <v>804</v>
      </c>
      <c r="H75" s="2" t="s">
        <v>874</v>
      </c>
      <c r="I75" s="2" t="s">
        <v>875</v>
      </c>
      <c r="J75" s="2" t="s">
        <v>876</v>
      </c>
      <c r="K75" s="0" t="s">
        <v>808</v>
      </c>
      <c r="L75" s="2" t="s">
        <v>1233</v>
      </c>
      <c r="M75" s="0" t="s">
        <v>810</v>
      </c>
      <c r="N75" s="6" t="n">
        <v>46119</v>
      </c>
    </row>
    <row r="76" customFormat="false" ht="30" hidden="false" customHeight="true" outlineLevel="0" collapsed="false">
      <c r="B76" s="2" t="s">
        <v>1234</v>
      </c>
      <c r="C76" s="0" t="s">
        <v>802</v>
      </c>
      <c r="D76" s="0" t="s">
        <v>1227</v>
      </c>
      <c r="E76" s="0" t="s">
        <v>803</v>
      </c>
      <c r="F76" s="0" t="n">
        <v>15</v>
      </c>
      <c r="G76" s="0" t="s">
        <v>804</v>
      </c>
      <c r="H76" s="2" t="s">
        <v>874</v>
      </c>
      <c r="I76" s="2" t="s">
        <v>875</v>
      </c>
      <c r="J76" s="2" t="s">
        <v>876</v>
      </c>
      <c r="K76" s="0" t="s">
        <v>808</v>
      </c>
      <c r="L76" s="2" t="s">
        <v>1235</v>
      </c>
      <c r="M76" s="0" t="s">
        <v>810</v>
      </c>
      <c r="N76" s="6" t="n">
        <v>46119</v>
      </c>
    </row>
    <row r="77" customFormat="false" ht="15" hidden="false" customHeight="false" outlineLevel="0" collapsed="false">
      <c r="B77" s="0" t="n">
        <v>391</v>
      </c>
      <c r="C77" s="0" t="s">
        <v>811</v>
      </c>
      <c r="D77" s="0" t="s">
        <v>1227</v>
      </c>
      <c r="E77" s="0" t="s">
        <v>812</v>
      </c>
      <c r="F77" s="0" t="n">
        <v>41</v>
      </c>
      <c r="G77" s="0" t="s">
        <v>813</v>
      </c>
      <c r="H77" s="0" t="s">
        <v>814</v>
      </c>
      <c r="I77" s="0" t="s">
        <v>815</v>
      </c>
      <c r="J77" s="0" t="s">
        <v>816</v>
      </c>
      <c r="K77" s="0" t="s">
        <v>817</v>
      </c>
      <c r="L77" s="0" t="s">
        <v>1149</v>
      </c>
      <c r="M77" s="0" t="s">
        <v>819</v>
      </c>
      <c r="N77" s="6" t="n">
        <v>46119</v>
      </c>
    </row>
    <row r="78" customFormat="false" ht="15" hidden="false" customHeight="false" outlineLevel="0" collapsed="false">
      <c r="B78" s="0" t="n">
        <v>574</v>
      </c>
      <c r="C78" s="0" t="s">
        <v>375</v>
      </c>
      <c r="D78" s="0" t="s">
        <v>1225</v>
      </c>
      <c r="E78" s="0" t="s">
        <v>376</v>
      </c>
      <c r="F78" s="0" t="n">
        <v>1</v>
      </c>
      <c r="G78" s="0" t="s">
        <v>111</v>
      </c>
      <c r="H78" s="0" t="s">
        <v>1236</v>
      </c>
      <c r="I78" s="0" t="s">
        <v>1237</v>
      </c>
      <c r="J78" s="0" t="s">
        <v>1238</v>
      </c>
      <c r="K78" s="0" t="s">
        <v>380</v>
      </c>
      <c r="L78" s="0" t="s">
        <v>1239</v>
      </c>
      <c r="M78" s="0" t="s">
        <v>382</v>
      </c>
      <c r="N78" s="6" t="n">
        <v>46119</v>
      </c>
    </row>
    <row r="79" customFormat="false" ht="45" hidden="false" customHeight="true" outlineLevel="0" collapsed="false">
      <c r="B79" s="2" t="s">
        <v>1240</v>
      </c>
      <c r="C79" s="0" t="s">
        <v>375</v>
      </c>
      <c r="D79" s="0" t="s">
        <v>1227</v>
      </c>
      <c r="E79" s="0" t="s">
        <v>376</v>
      </c>
      <c r="F79" s="0" t="n">
        <v>5</v>
      </c>
      <c r="G79" s="0" t="s">
        <v>111</v>
      </c>
      <c r="H79" s="2" t="s">
        <v>1241</v>
      </c>
      <c r="I79" s="2" t="s">
        <v>1242</v>
      </c>
      <c r="J79" s="2" t="s">
        <v>1243</v>
      </c>
      <c r="K79" s="0" t="s">
        <v>380</v>
      </c>
      <c r="L79" s="2" t="s">
        <v>1244</v>
      </c>
      <c r="M79" s="0" t="s">
        <v>382</v>
      </c>
      <c r="N79" s="6" t="n">
        <v>46119</v>
      </c>
    </row>
    <row r="80" customFormat="false" ht="15" hidden="false" customHeight="false" outlineLevel="0" collapsed="false">
      <c r="B80" s="0" t="n">
        <v>561</v>
      </c>
      <c r="C80" s="0" t="s">
        <v>198</v>
      </c>
      <c r="D80" s="0" t="s">
        <v>1225</v>
      </c>
      <c r="E80" s="0" t="s">
        <v>199</v>
      </c>
      <c r="F80" s="0" t="n">
        <v>1</v>
      </c>
      <c r="G80" s="0" t="s">
        <v>200</v>
      </c>
      <c r="H80" s="0" t="s">
        <v>201</v>
      </c>
      <c r="I80" s="0" t="s">
        <v>202</v>
      </c>
      <c r="J80" s="0" t="s">
        <v>203</v>
      </c>
      <c r="K80" s="0" t="s">
        <v>204</v>
      </c>
      <c r="L80" s="0" t="s">
        <v>205</v>
      </c>
      <c r="M80" s="0" t="s">
        <v>206</v>
      </c>
      <c r="N80" s="6" t="n">
        <v>46119</v>
      </c>
    </row>
    <row r="81" customFormat="false" ht="15" hidden="false" customHeight="false" outlineLevel="0" collapsed="false">
      <c r="B81" s="0" t="n">
        <v>413</v>
      </c>
      <c r="C81" s="0" t="s">
        <v>198</v>
      </c>
      <c r="D81" s="0" t="s">
        <v>1227</v>
      </c>
      <c r="E81" s="0" t="s">
        <v>199</v>
      </c>
      <c r="F81" s="0" t="n">
        <v>10</v>
      </c>
      <c r="G81" s="0" t="s">
        <v>200</v>
      </c>
      <c r="H81" s="0" t="s">
        <v>201</v>
      </c>
      <c r="I81" s="0" t="s">
        <v>202</v>
      </c>
      <c r="J81" s="0" t="s">
        <v>203</v>
      </c>
      <c r="K81" s="0" t="s">
        <v>204</v>
      </c>
      <c r="L81" s="0" t="s">
        <v>205</v>
      </c>
      <c r="M81" s="0" t="s">
        <v>206</v>
      </c>
      <c r="N81" s="6" t="n">
        <v>46119</v>
      </c>
    </row>
    <row r="82" customFormat="false" ht="30" hidden="false" customHeight="true" outlineLevel="0" collapsed="false">
      <c r="B82" s="2" t="s">
        <v>1245</v>
      </c>
      <c r="C82" s="0" t="s">
        <v>190</v>
      </c>
      <c r="D82" s="0" t="s">
        <v>1227</v>
      </c>
      <c r="E82" s="0" t="s">
        <v>191</v>
      </c>
      <c r="F82" s="0" t="n">
        <v>4</v>
      </c>
      <c r="G82" s="0" t="s">
        <v>24</v>
      </c>
      <c r="H82" s="2" t="s">
        <v>1246</v>
      </c>
      <c r="I82" s="2" t="s">
        <v>1247</v>
      </c>
      <c r="J82" s="2" t="s">
        <v>1248</v>
      </c>
      <c r="K82" s="0" t="s">
        <v>195</v>
      </c>
      <c r="L82" s="2" t="s">
        <v>1249</v>
      </c>
      <c r="M82" s="0" t="s">
        <v>197</v>
      </c>
      <c r="N82" s="6" t="n">
        <v>46119</v>
      </c>
    </row>
    <row r="83" customFormat="false" ht="15" hidden="false" customHeight="false" outlineLevel="0" collapsed="false">
      <c r="B83" s="0" t="n">
        <v>551</v>
      </c>
      <c r="C83" s="0" t="s">
        <v>75</v>
      </c>
      <c r="D83" s="0" t="s">
        <v>1225</v>
      </c>
      <c r="E83" s="0" t="s">
        <v>76</v>
      </c>
      <c r="F83" s="0" t="n">
        <v>1</v>
      </c>
      <c r="G83" s="0" t="s">
        <v>77</v>
      </c>
      <c r="H83" s="0" t="s">
        <v>78</v>
      </c>
      <c r="I83" s="0" t="s">
        <v>79</v>
      </c>
      <c r="J83" s="0" t="s">
        <v>80</v>
      </c>
      <c r="K83" s="0" t="s">
        <v>81</v>
      </c>
      <c r="L83" s="0" t="s">
        <v>82</v>
      </c>
      <c r="M83" s="0" t="s">
        <v>83</v>
      </c>
      <c r="N83" s="6" t="n">
        <v>46119</v>
      </c>
    </row>
    <row r="84" customFormat="false" ht="15" hidden="false" customHeight="false" outlineLevel="0" collapsed="false">
      <c r="B84" s="0" t="n">
        <v>397</v>
      </c>
      <c r="C84" s="0" t="s">
        <v>75</v>
      </c>
      <c r="D84" s="0" t="s">
        <v>1227</v>
      </c>
      <c r="E84" s="0" t="s">
        <v>76</v>
      </c>
      <c r="F84" s="0" t="n">
        <v>10</v>
      </c>
      <c r="G84" s="0" t="s">
        <v>77</v>
      </c>
      <c r="H84" s="0" t="s">
        <v>78</v>
      </c>
      <c r="I84" s="0" t="s">
        <v>79</v>
      </c>
      <c r="J84" s="0" t="s">
        <v>80</v>
      </c>
      <c r="K84" s="0" t="s">
        <v>81</v>
      </c>
      <c r="L84" s="0" t="s">
        <v>82</v>
      </c>
      <c r="M84" s="0" t="s">
        <v>83</v>
      </c>
      <c r="N84" s="6" t="n">
        <v>46119</v>
      </c>
    </row>
    <row r="85" customFormat="false" ht="30" hidden="false" customHeight="true" outlineLevel="0" collapsed="false">
      <c r="B85" s="0" t="n">
        <v>563</v>
      </c>
      <c r="C85" s="0" t="s">
        <v>231</v>
      </c>
      <c r="D85" s="0" t="s">
        <v>1225</v>
      </c>
      <c r="E85" s="0" t="s">
        <v>232</v>
      </c>
      <c r="F85" s="0" t="n">
        <v>2</v>
      </c>
      <c r="G85" s="0" t="s">
        <v>61</v>
      </c>
      <c r="H85" s="2" t="s">
        <v>233</v>
      </c>
      <c r="I85" s="2" t="s">
        <v>234</v>
      </c>
      <c r="J85" s="2" t="s">
        <v>235</v>
      </c>
      <c r="K85" s="0" t="s">
        <v>236</v>
      </c>
      <c r="L85" s="0" t="s">
        <v>891</v>
      </c>
      <c r="M85" s="0" t="s">
        <v>238</v>
      </c>
      <c r="N85" s="6" t="n">
        <v>46119</v>
      </c>
    </row>
    <row r="86" customFormat="false" ht="30" hidden="false" customHeight="true" outlineLevel="0" collapsed="false">
      <c r="B86" s="2" t="s">
        <v>1250</v>
      </c>
      <c r="C86" s="0" t="s">
        <v>231</v>
      </c>
      <c r="D86" s="0" t="s">
        <v>1227</v>
      </c>
      <c r="E86" s="0" t="s">
        <v>232</v>
      </c>
      <c r="F86" s="0" t="n">
        <v>2</v>
      </c>
      <c r="G86" s="0" t="s">
        <v>61</v>
      </c>
      <c r="H86" s="2" t="s">
        <v>702</v>
      </c>
      <c r="I86" s="2" t="s">
        <v>703</v>
      </c>
      <c r="J86" s="2" t="s">
        <v>704</v>
      </c>
      <c r="K86" s="0" t="s">
        <v>236</v>
      </c>
      <c r="L86" s="2" t="s">
        <v>838</v>
      </c>
      <c r="M86" s="0" t="s">
        <v>238</v>
      </c>
      <c r="N86" s="6" t="n">
        <v>46119</v>
      </c>
    </row>
    <row r="87" customFormat="false" ht="15" hidden="false" customHeight="false" outlineLevel="0" collapsed="false">
      <c r="B87" s="0" t="n">
        <v>422</v>
      </c>
      <c r="C87" s="0" t="s">
        <v>706</v>
      </c>
      <c r="D87" s="0" t="s">
        <v>1227</v>
      </c>
      <c r="E87" s="0" t="s">
        <v>707</v>
      </c>
      <c r="F87" s="0" t="n">
        <v>3</v>
      </c>
      <c r="G87" s="0" t="s">
        <v>111</v>
      </c>
      <c r="H87" s="0" t="s">
        <v>708</v>
      </c>
      <c r="I87" s="0" t="s">
        <v>709</v>
      </c>
      <c r="J87" s="0" t="s">
        <v>710</v>
      </c>
      <c r="K87" s="0" t="s">
        <v>711</v>
      </c>
      <c r="L87" s="0" t="s">
        <v>712</v>
      </c>
      <c r="M87" s="0" t="s">
        <v>713</v>
      </c>
      <c r="N87" s="6" t="n">
        <v>46119</v>
      </c>
    </row>
    <row r="88" customFormat="false" ht="15" hidden="false" customHeight="false" outlineLevel="0" collapsed="false">
      <c r="B88" s="0" t="n">
        <v>448</v>
      </c>
      <c r="C88" s="0" t="s">
        <v>471</v>
      </c>
      <c r="D88" s="0" t="s">
        <v>1227</v>
      </c>
      <c r="E88" s="0" t="s">
        <v>472</v>
      </c>
      <c r="F88" s="0" t="n">
        <v>3</v>
      </c>
      <c r="G88" s="0" t="s">
        <v>111</v>
      </c>
      <c r="H88" s="0" t="s">
        <v>473</v>
      </c>
      <c r="I88" s="0" t="s">
        <v>474</v>
      </c>
      <c r="J88" s="0" t="s">
        <v>475</v>
      </c>
      <c r="K88" s="0" t="s">
        <v>476</v>
      </c>
      <c r="L88" s="0" t="s">
        <v>476</v>
      </c>
      <c r="M88" s="0" t="s">
        <v>477</v>
      </c>
      <c r="N88" s="6" t="n">
        <v>46119</v>
      </c>
    </row>
    <row r="89" customFormat="false" ht="45" hidden="false" customHeight="true" outlineLevel="0" collapsed="false">
      <c r="B89" s="2" t="s">
        <v>1251</v>
      </c>
      <c r="C89" s="0" t="s">
        <v>892</v>
      </c>
      <c r="D89" s="0" t="s">
        <v>1227</v>
      </c>
      <c r="E89" s="0" t="s">
        <v>893</v>
      </c>
      <c r="F89" s="0" t="n">
        <v>3</v>
      </c>
      <c r="G89" s="0" t="s">
        <v>61</v>
      </c>
      <c r="H89" s="2" t="s">
        <v>1252</v>
      </c>
      <c r="I89" s="2" t="s">
        <v>1253</v>
      </c>
      <c r="J89" s="2" t="s">
        <v>1254</v>
      </c>
      <c r="K89" s="0" t="s">
        <v>989</v>
      </c>
      <c r="L89" s="2" t="s">
        <v>1255</v>
      </c>
      <c r="M89" s="0" t="s">
        <v>898</v>
      </c>
      <c r="N89" s="6" t="n">
        <v>46119</v>
      </c>
    </row>
    <row r="90" customFormat="false" ht="15" hidden="false" customHeight="false" outlineLevel="0" collapsed="false">
      <c r="B90" s="0" t="n">
        <v>417</v>
      </c>
      <c r="C90" s="0" t="s">
        <v>239</v>
      </c>
      <c r="D90" s="0" t="s">
        <v>1227</v>
      </c>
      <c r="E90" s="0" t="s">
        <v>240</v>
      </c>
      <c r="F90" s="0" t="n">
        <v>1</v>
      </c>
      <c r="G90" s="0" t="s">
        <v>24</v>
      </c>
      <c r="H90" s="0" t="s">
        <v>241</v>
      </c>
      <c r="I90" s="0" t="s">
        <v>242</v>
      </c>
      <c r="J90" s="0" t="s">
        <v>243</v>
      </c>
      <c r="K90" s="0" t="s">
        <v>244</v>
      </c>
      <c r="L90" s="0" t="s">
        <v>245</v>
      </c>
      <c r="M90" s="0" t="s">
        <v>246</v>
      </c>
      <c r="N90" s="6" t="n">
        <v>46119</v>
      </c>
    </row>
    <row r="91" customFormat="false" ht="15" hidden="false" customHeight="false" outlineLevel="0" collapsed="false">
      <c r="B91" s="0" t="n">
        <v>553</v>
      </c>
      <c r="C91" s="0" t="s">
        <v>125</v>
      </c>
      <c r="D91" s="0" t="s">
        <v>1225</v>
      </c>
      <c r="E91" s="0" t="s">
        <v>126</v>
      </c>
      <c r="F91" s="0" t="n">
        <v>1</v>
      </c>
      <c r="G91" s="0" t="s">
        <v>127</v>
      </c>
      <c r="H91" s="0" t="s">
        <v>128</v>
      </c>
      <c r="I91" s="0" t="s">
        <v>129</v>
      </c>
      <c r="J91" s="0" t="s">
        <v>130</v>
      </c>
      <c r="K91" s="0" t="s">
        <v>131</v>
      </c>
      <c r="L91" s="0" t="s">
        <v>132</v>
      </c>
      <c r="M91" s="0" t="s">
        <v>133</v>
      </c>
      <c r="N91" s="6" t="n">
        <v>46119</v>
      </c>
    </row>
    <row r="92" customFormat="false" ht="15" hidden="false" customHeight="false" outlineLevel="0" collapsed="false">
      <c r="B92" s="0" t="n">
        <v>403</v>
      </c>
      <c r="C92" s="0" t="s">
        <v>125</v>
      </c>
      <c r="D92" s="0" t="s">
        <v>1227</v>
      </c>
      <c r="E92" s="0" t="s">
        <v>126</v>
      </c>
      <c r="F92" s="0" t="n">
        <v>2</v>
      </c>
      <c r="G92" s="0" t="s">
        <v>127</v>
      </c>
      <c r="H92" s="0" t="s">
        <v>128</v>
      </c>
      <c r="I92" s="0" t="s">
        <v>129</v>
      </c>
      <c r="J92" s="0" t="s">
        <v>130</v>
      </c>
      <c r="K92" s="0" t="s">
        <v>131</v>
      </c>
      <c r="L92" s="0" t="s">
        <v>132</v>
      </c>
      <c r="M92" s="0" t="s">
        <v>133</v>
      </c>
      <c r="N92" s="6" t="n">
        <v>46119</v>
      </c>
    </row>
    <row r="93" customFormat="false" ht="15" hidden="false" customHeight="false" outlineLevel="0" collapsed="false">
      <c r="B93" s="0" t="n">
        <v>399</v>
      </c>
      <c r="C93" s="0" t="s">
        <v>899</v>
      </c>
      <c r="D93" s="0" t="s">
        <v>1227</v>
      </c>
      <c r="E93" s="0" t="s">
        <v>900</v>
      </c>
      <c r="F93" s="0" t="n">
        <v>1</v>
      </c>
      <c r="G93" s="0" t="s">
        <v>901</v>
      </c>
      <c r="H93" s="0" t="s">
        <v>902</v>
      </c>
      <c r="I93" s="0" t="s">
        <v>903</v>
      </c>
      <c r="J93" s="0" t="s">
        <v>904</v>
      </c>
      <c r="K93" s="0" t="s">
        <v>905</v>
      </c>
      <c r="L93" s="0" t="s">
        <v>906</v>
      </c>
      <c r="M93" s="0" t="s">
        <v>907</v>
      </c>
      <c r="N93" s="6" t="n">
        <v>46119</v>
      </c>
    </row>
    <row r="94" customFormat="false" ht="15" hidden="false" customHeight="false" outlineLevel="0" collapsed="false">
      <c r="B94" s="0" t="n">
        <v>419</v>
      </c>
      <c r="C94" s="0" t="s">
        <v>715</v>
      </c>
      <c r="D94" s="0" t="s">
        <v>1227</v>
      </c>
      <c r="E94" s="0" t="s">
        <v>716</v>
      </c>
      <c r="F94" s="0" t="n">
        <v>1</v>
      </c>
      <c r="G94" s="0" t="s">
        <v>717</v>
      </c>
      <c r="H94" s="0" t="s">
        <v>718</v>
      </c>
      <c r="I94" s="0" t="s">
        <v>719</v>
      </c>
      <c r="J94" s="0" t="s">
        <v>720</v>
      </c>
      <c r="K94" s="0" t="s">
        <v>721</v>
      </c>
      <c r="L94" s="0" t="s">
        <v>722</v>
      </c>
      <c r="M94" s="0" t="s">
        <v>723</v>
      </c>
      <c r="N94" s="6" t="n">
        <v>46119</v>
      </c>
    </row>
    <row r="95" customFormat="false" ht="15" hidden="false" customHeight="false" outlineLevel="0" collapsed="false">
      <c r="B95" s="0" t="n">
        <v>438</v>
      </c>
      <c r="C95" s="0" t="s">
        <v>415</v>
      </c>
      <c r="D95" s="0" t="s">
        <v>1227</v>
      </c>
      <c r="E95" s="0" t="s">
        <v>416</v>
      </c>
      <c r="F95" s="0" t="n">
        <v>4</v>
      </c>
      <c r="G95" s="0" t="s">
        <v>417</v>
      </c>
      <c r="H95" s="0" t="s">
        <v>418</v>
      </c>
      <c r="I95" s="0" t="s">
        <v>419</v>
      </c>
      <c r="J95" s="0" t="s">
        <v>420</v>
      </c>
      <c r="K95" s="0" t="s">
        <v>421</v>
      </c>
      <c r="L95" s="0" t="s">
        <v>422</v>
      </c>
      <c r="M95" s="0" t="s">
        <v>423</v>
      </c>
      <c r="N95" s="6" t="n">
        <v>46119</v>
      </c>
    </row>
    <row r="96" customFormat="false" ht="15" hidden="false" customHeight="false" outlineLevel="0" collapsed="false">
      <c r="B96" s="0" t="n">
        <v>423</v>
      </c>
      <c r="C96" s="0" t="s">
        <v>743</v>
      </c>
      <c r="D96" s="0" t="s">
        <v>1227</v>
      </c>
      <c r="E96" s="0" t="s">
        <v>744</v>
      </c>
      <c r="F96" s="0" t="n">
        <v>1</v>
      </c>
      <c r="G96" s="0" t="s">
        <v>745</v>
      </c>
      <c r="H96" s="0" t="s">
        <v>746</v>
      </c>
      <c r="I96" s="0" t="s">
        <v>747</v>
      </c>
      <c r="J96" s="0" t="s">
        <v>748</v>
      </c>
      <c r="K96" s="0" t="s">
        <v>749</v>
      </c>
      <c r="L96" s="0" t="s">
        <v>750</v>
      </c>
      <c r="M96" s="0" t="s">
        <v>751</v>
      </c>
      <c r="N96" s="6" t="n">
        <v>46119</v>
      </c>
    </row>
    <row r="97" customFormat="false" ht="15" hidden="false" customHeight="false" outlineLevel="0" collapsed="false">
      <c r="B97" s="0" t="n">
        <v>562</v>
      </c>
      <c r="C97" s="0" t="s">
        <v>223</v>
      </c>
      <c r="D97" s="0" t="s">
        <v>1225</v>
      </c>
      <c r="E97" s="0" t="s">
        <v>224</v>
      </c>
      <c r="F97" s="0" t="n">
        <v>1</v>
      </c>
      <c r="G97" s="0" t="s">
        <v>61</v>
      </c>
      <c r="H97" s="0" t="s">
        <v>225</v>
      </c>
      <c r="I97" s="0" t="s">
        <v>226</v>
      </c>
      <c r="J97" s="0" t="s">
        <v>227</v>
      </c>
      <c r="K97" s="0" t="s">
        <v>228</v>
      </c>
      <c r="L97" s="0" t="s">
        <v>229</v>
      </c>
      <c r="M97" s="0" t="s">
        <v>230</v>
      </c>
      <c r="N97" s="6" t="n">
        <v>46119</v>
      </c>
    </row>
    <row r="98" customFormat="false" ht="15" hidden="false" customHeight="false" outlineLevel="0" collapsed="false">
      <c r="B98" s="0" t="n">
        <v>568</v>
      </c>
      <c r="C98" s="0" t="s">
        <v>294</v>
      </c>
      <c r="D98" s="0" t="s">
        <v>1225</v>
      </c>
      <c r="E98" s="0" t="s">
        <v>295</v>
      </c>
      <c r="F98" s="0" t="n">
        <v>1</v>
      </c>
      <c r="G98" s="0" t="s">
        <v>61</v>
      </c>
      <c r="H98" s="0" t="s">
        <v>908</v>
      </c>
      <c r="I98" s="0" t="s">
        <v>909</v>
      </c>
      <c r="J98" s="0" t="s">
        <v>910</v>
      </c>
      <c r="K98" s="0" t="s">
        <v>299</v>
      </c>
      <c r="L98" s="0" t="s">
        <v>300</v>
      </c>
      <c r="M98" s="0" t="s">
        <v>301</v>
      </c>
      <c r="N98" s="6" t="n">
        <v>46119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82"/>
  <sheetViews>
    <sheetView showFormulas="false" showGridLines="true" showRowColHeaders="true" showZeros="true" rightToLeft="false" tabSelected="false" showOutlineSymbols="true" defaultGridColor="true" view="normal" topLeftCell="A52" colorId="64" zoomScale="100" zoomScaleNormal="100" zoomScalePageLayoutView="100" workbookViewId="0">
      <selection pane="topLeft" activeCell="D31" activeCellId="0" sqref="D31"/>
    </sheetView>
  </sheetViews>
  <sheetFormatPr defaultColWidth="8.859375" defaultRowHeight="15" zeroHeight="false" outlineLevelRow="0" outlineLevelCol="0"/>
  <cols>
    <col collapsed="false" customWidth="true" hidden="false" outlineLevel="0" max="1" min="1" style="0" width="9.28"/>
    <col collapsed="false" customWidth="true" hidden="false" outlineLevel="0" max="2" min="2" style="0" width="30"/>
    <col collapsed="false" customWidth="true" hidden="false" outlineLevel="0" max="3" min="3" style="0" width="9.28"/>
    <col collapsed="false" customWidth="true" hidden="false" outlineLevel="0" max="4" min="4" style="0" width="74"/>
    <col collapsed="false" customWidth="true" hidden="false" outlineLevel="0" max="5" min="5" style="0" width="90.29"/>
    <col collapsed="false" customWidth="true" hidden="false" outlineLevel="0" max="6" min="6" style="0" width="9.28"/>
    <col collapsed="false" customWidth="true" hidden="false" outlineLevel="0" max="7" min="7" style="0" width="14.14"/>
    <col collapsed="false" customWidth="true" hidden="false" outlineLevel="0" max="8" min="8" style="0" width="77.43"/>
    <col collapsed="false" customWidth="true" hidden="false" outlineLevel="0" max="9" min="9" style="0" width="100.14"/>
    <col collapsed="false" customWidth="true" hidden="false" outlineLevel="0" max="10" min="10" style="0" width="152.72"/>
    <col collapsed="false" customWidth="true" hidden="false" outlineLevel="0" max="11" min="11" style="0" width="29.42"/>
    <col collapsed="false" customWidth="true" hidden="false" outlineLevel="0" max="12" min="12" style="0" width="192.43"/>
    <col collapsed="false" customWidth="true" hidden="false" outlineLevel="0" max="13" min="13" style="0" width="12"/>
    <col collapsed="false" customWidth="true" hidden="false" outlineLevel="0" max="14" min="14" style="0" width="21.71"/>
    <col collapsed="false" customWidth="true" hidden="false" outlineLevel="0" max="15" min="15" style="0" width="14.85"/>
    <col collapsed="false" customWidth="true" hidden="false" outlineLevel="0" max="16" min="16" style="0" width="15.85"/>
    <col collapsed="false" customWidth="true" hidden="false" outlineLevel="0" max="17" min="17" style="0" width="12.85"/>
    <col collapsed="false" customWidth="true" hidden="false" outlineLevel="0" max="18" min="18" style="0" width="13.71"/>
  </cols>
  <sheetData>
    <row r="1" customFormat="false" ht="15" hidden="false" customHeight="false" outlineLevel="0" collapsed="false">
      <c r="A1" s="1" t="s">
        <v>1256</v>
      </c>
    </row>
    <row r="3" customFormat="false" ht="15" hidden="false" customHeight="false" outlineLevel="0" collapsed="false">
      <c r="A3" s="3" t="s">
        <v>1</v>
      </c>
      <c r="B3" s="3" t="s">
        <v>753</v>
      </c>
      <c r="C3" s="3" t="s">
        <v>4</v>
      </c>
      <c r="D3" s="3" t="s">
        <v>6</v>
      </c>
      <c r="E3" s="3" t="s">
        <v>5</v>
      </c>
      <c r="F3" s="3" t="s">
        <v>7</v>
      </c>
      <c r="G3" s="3" t="s">
        <v>8</v>
      </c>
      <c r="H3" s="3" t="s">
        <v>9</v>
      </c>
      <c r="I3" s="3" t="s">
        <v>10</v>
      </c>
      <c r="J3" s="3" t="s">
        <v>11</v>
      </c>
      <c r="K3" s="3" t="s">
        <v>12</v>
      </c>
      <c r="L3" s="3" t="s">
        <v>13</v>
      </c>
      <c r="M3" s="3" t="s">
        <v>14</v>
      </c>
      <c r="N3" s="3" t="s">
        <v>16</v>
      </c>
      <c r="O3" s="4" t="s">
        <v>17</v>
      </c>
      <c r="P3" s="4" t="s">
        <v>18</v>
      </c>
      <c r="Q3" s="3" t="s">
        <v>19</v>
      </c>
      <c r="R3" s="3" t="s">
        <v>20</v>
      </c>
    </row>
    <row r="4" customFormat="false" ht="15" hidden="false" customHeight="false" outlineLevel="0" collapsed="false">
      <c r="B4" s="0" t="n">
        <v>169</v>
      </c>
      <c r="C4" s="0" t="s">
        <v>1014</v>
      </c>
      <c r="D4" s="0" t="s">
        <v>1257</v>
      </c>
      <c r="E4" s="0" t="s">
        <v>917</v>
      </c>
      <c r="F4" s="0" t="n">
        <v>1</v>
      </c>
      <c r="G4" s="0" t="s">
        <v>61</v>
      </c>
      <c r="H4" s="0" t="s">
        <v>1015</v>
      </c>
      <c r="I4" s="0" t="s">
        <v>1016</v>
      </c>
      <c r="J4" s="0" t="s">
        <v>1017</v>
      </c>
      <c r="K4" s="0" t="s">
        <v>1018</v>
      </c>
      <c r="L4" s="0" t="s">
        <v>1258</v>
      </c>
      <c r="M4" s="0" t="s">
        <v>1020</v>
      </c>
      <c r="N4" s="6" t="n">
        <v>46125</v>
      </c>
      <c r="Q4" s="0" t="s">
        <v>31</v>
      </c>
    </row>
    <row r="5" customFormat="false" ht="15" hidden="false" customHeight="false" outlineLevel="0" collapsed="false">
      <c r="B5" s="0" t="n">
        <v>161</v>
      </c>
      <c r="C5" s="0" t="s">
        <v>318</v>
      </c>
      <c r="D5" s="0" t="s">
        <v>1257</v>
      </c>
      <c r="E5" s="0" t="s">
        <v>319</v>
      </c>
      <c r="F5" s="0" t="n">
        <v>4</v>
      </c>
      <c r="G5" s="0" t="s">
        <v>111</v>
      </c>
      <c r="H5" s="0" t="s">
        <v>320</v>
      </c>
      <c r="I5" s="0" t="s">
        <v>321</v>
      </c>
      <c r="J5" s="0" t="s">
        <v>322</v>
      </c>
      <c r="K5" s="0" t="s">
        <v>323</v>
      </c>
      <c r="L5" s="0" t="s">
        <v>324</v>
      </c>
      <c r="M5" s="0" t="s">
        <v>325</v>
      </c>
      <c r="N5" s="6" t="n">
        <v>46125</v>
      </c>
      <c r="Q5" s="0" t="s">
        <v>31</v>
      </c>
    </row>
    <row r="6" customFormat="false" ht="30" hidden="false" customHeight="true" outlineLevel="0" collapsed="false">
      <c r="B6" s="0" t="n">
        <v>524</v>
      </c>
      <c r="C6" s="0" t="s">
        <v>247</v>
      </c>
      <c r="D6" s="0" t="s">
        <v>1259</v>
      </c>
      <c r="E6" s="0" t="s">
        <v>248</v>
      </c>
      <c r="F6" s="0" t="n">
        <v>1</v>
      </c>
      <c r="G6" s="0" t="s">
        <v>61</v>
      </c>
      <c r="H6" s="2" t="s">
        <v>528</v>
      </c>
      <c r="I6" s="0" t="s">
        <v>1066</v>
      </c>
      <c r="J6" s="2" t="s">
        <v>530</v>
      </c>
      <c r="K6" s="0" t="s">
        <v>252</v>
      </c>
      <c r="L6" s="0" t="s">
        <v>531</v>
      </c>
      <c r="M6" s="0" t="s">
        <v>254</v>
      </c>
      <c r="N6" s="6" t="n">
        <v>46125</v>
      </c>
    </row>
    <row r="7" customFormat="false" ht="15" hidden="false" customHeight="false" outlineLevel="0" collapsed="false">
      <c r="B7" s="0" t="n">
        <v>528</v>
      </c>
      <c r="C7" s="0" t="s">
        <v>310</v>
      </c>
      <c r="D7" s="0" t="s">
        <v>1259</v>
      </c>
      <c r="E7" s="0" t="s">
        <v>311</v>
      </c>
      <c r="F7" s="0" t="n">
        <v>1</v>
      </c>
      <c r="G7" s="0" t="s">
        <v>152</v>
      </c>
      <c r="H7" s="0" t="s">
        <v>312</v>
      </c>
      <c r="I7" s="0" t="s">
        <v>313</v>
      </c>
      <c r="J7" s="0" t="s">
        <v>314</v>
      </c>
      <c r="K7" s="0" t="s">
        <v>315</v>
      </c>
      <c r="L7" s="0" t="s">
        <v>316</v>
      </c>
      <c r="M7" s="0" t="s">
        <v>317</v>
      </c>
      <c r="N7" s="6" t="n">
        <v>46125</v>
      </c>
    </row>
    <row r="8" customFormat="false" ht="15" hidden="false" customHeight="false" outlineLevel="0" collapsed="false">
      <c r="B8" s="0" t="n">
        <v>238</v>
      </c>
      <c r="C8" s="0" t="s">
        <v>486</v>
      </c>
      <c r="D8" s="0" t="s">
        <v>1260</v>
      </c>
      <c r="E8" s="0" t="s">
        <v>487</v>
      </c>
      <c r="F8" s="0" t="n">
        <v>1</v>
      </c>
      <c r="G8" s="0" t="s">
        <v>152</v>
      </c>
      <c r="H8" s="0" t="s">
        <v>488</v>
      </c>
      <c r="I8" s="0" t="s">
        <v>489</v>
      </c>
      <c r="J8" s="0" t="s">
        <v>490</v>
      </c>
      <c r="K8" s="0" t="s">
        <v>491</v>
      </c>
      <c r="L8" s="0" t="s">
        <v>492</v>
      </c>
      <c r="M8" s="0" t="s">
        <v>493</v>
      </c>
      <c r="N8" s="6" t="n">
        <v>46125</v>
      </c>
      <c r="Q8" s="0" t="s">
        <v>31</v>
      </c>
    </row>
    <row r="9" customFormat="false" ht="15" hidden="false" customHeight="false" outlineLevel="0" collapsed="false">
      <c r="B9" s="0" t="n">
        <v>174</v>
      </c>
      <c r="C9" s="0" t="s">
        <v>486</v>
      </c>
      <c r="D9" s="0" t="s">
        <v>1257</v>
      </c>
      <c r="E9" s="0" t="s">
        <v>487</v>
      </c>
      <c r="F9" s="0" t="n">
        <v>1</v>
      </c>
      <c r="G9" s="0" t="s">
        <v>152</v>
      </c>
      <c r="H9" s="0" t="s">
        <v>488</v>
      </c>
      <c r="I9" s="0" t="s">
        <v>489</v>
      </c>
      <c r="J9" s="0" t="s">
        <v>490</v>
      </c>
      <c r="K9" s="0" t="s">
        <v>491</v>
      </c>
      <c r="L9" s="0" t="s">
        <v>492</v>
      </c>
      <c r="M9" s="0" t="s">
        <v>493</v>
      </c>
      <c r="N9" s="6" t="n">
        <v>46125</v>
      </c>
      <c r="Q9" s="0" t="s">
        <v>31</v>
      </c>
    </row>
    <row r="10" customFormat="false" ht="15" hidden="false" customHeight="false" outlineLevel="0" collapsed="false">
      <c r="B10" s="0" t="n">
        <v>530</v>
      </c>
      <c r="C10" s="0" t="s">
        <v>334</v>
      </c>
      <c r="D10" s="0" t="s">
        <v>1259</v>
      </c>
      <c r="E10" s="0" t="s">
        <v>335</v>
      </c>
      <c r="F10" s="0" t="n">
        <v>2</v>
      </c>
      <c r="G10" s="0" t="s">
        <v>61</v>
      </c>
      <c r="H10" s="0" t="s">
        <v>336</v>
      </c>
      <c r="I10" s="0" t="s">
        <v>337</v>
      </c>
      <c r="J10" s="0" t="s">
        <v>338</v>
      </c>
      <c r="K10" s="0" t="s">
        <v>339</v>
      </c>
      <c r="L10" s="0" t="s">
        <v>543</v>
      </c>
      <c r="M10" s="0" t="s">
        <v>341</v>
      </c>
      <c r="N10" s="6" t="n">
        <v>46125</v>
      </c>
    </row>
    <row r="11" customFormat="false" ht="15" hidden="false" customHeight="false" outlineLevel="0" collapsed="false">
      <c r="B11" s="0" t="n">
        <v>175</v>
      </c>
      <c r="C11" s="0" t="s">
        <v>21</v>
      </c>
      <c r="D11" s="0" t="s">
        <v>1260</v>
      </c>
      <c r="E11" s="0" t="s">
        <v>22</v>
      </c>
      <c r="F11" s="0" t="n">
        <v>3</v>
      </c>
      <c r="G11" s="0" t="s">
        <v>24</v>
      </c>
      <c r="H11" s="0" t="s">
        <v>25</v>
      </c>
      <c r="I11" s="0" t="s">
        <v>26</v>
      </c>
      <c r="J11" s="0" t="s">
        <v>27</v>
      </c>
      <c r="K11" s="0" t="s">
        <v>28</v>
      </c>
      <c r="L11" s="0" t="s">
        <v>29</v>
      </c>
      <c r="M11" s="0" t="s">
        <v>30</v>
      </c>
      <c r="N11" s="6" t="n">
        <v>46125</v>
      </c>
      <c r="Q11" s="0" t="s">
        <v>31</v>
      </c>
    </row>
    <row r="12" customFormat="false" ht="15" hidden="false" customHeight="false" outlineLevel="0" collapsed="false">
      <c r="B12" s="0" t="n">
        <v>149</v>
      </c>
      <c r="C12" s="0" t="s">
        <v>21</v>
      </c>
      <c r="D12" s="0" t="s">
        <v>1257</v>
      </c>
      <c r="E12" s="0" t="s">
        <v>22</v>
      </c>
      <c r="F12" s="0" t="n">
        <v>2</v>
      </c>
      <c r="G12" s="0" t="s">
        <v>24</v>
      </c>
      <c r="H12" s="0" t="s">
        <v>25</v>
      </c>
      <c r="I12" s="0" t="s">
        <v>26</v>
      </c>
      <c r="J12" s="0" t="s">
        <v>27</v>
      </c>
      <c r="K12" s="0" t="s">
        <v>28</v>
      </c>
      <c r="L12" s="0" t="s">
        <v>29</v>
      </c>
      <c r="M12" s="0" t="s">
        <v>30</v>
      </c>
      <c r="N12" s="6" t="n">
        <v>46125</v>
      </c>
      <c r="Q12" s="0" t="s">
        <v>31</v>
      </c>
    </row>
    <row r="13" customFormat="false" ht="15" hidden="false" customHeight="false" outlineLevel="0" collapsed="false">
      <c r="B13" s="0" t="n">
        <v>514</v>
      </c>
      <c r="C13" s="0" t="s">
        <v>159</v>
      </c>
      <c r="D13" s="0" t="s">
        <v>1259</v>
      </c>
      <c r="E13" s="0" t="s">
        <v>160</v>
      </c>
      <c r="F13" s="0" t="n">
        <v>1</v>
      </c>
      <c r="G13" s="0" t="s">
        <v>61</v>
      </c>
      <c r="H13" s="0" t="s">
        <v>161</v>
      </c>
      <c r="I13" s="0" t="s">
        <v>162</v>
      </c>
      <c r="J13" s="0" t="s">
        <v>163</v>
      </c>
      <c r="K13" s="0" t="s">
        <v>164</v>
      </c>
      <c r="L13" s="0" t="s">
        <v>164</v>
      </c>
      <c r="M13" s="0" t="s">
        <v>165</v>
      </c>
      <c r="N13" s="6" t="n">
        <v>46125</v>
      </c>
    </row>
    <row r="14" customFormat="false" ht="15" hidden="false" customHeight="false" outlineLevel="0" collapsed="false">
      <c r="B14" s="0" t="n">
        <v>194</v>
      </c>
      <c r="C14" s="0" t="s">
        <v>159</v>
      </c>
      <c r="D14" s="0" t="s">
        <v>1260</v>
      </c>
      <c r="E14" s="0" t="s">
        <v>160</v>
      </c>
      <c r="F14" s="0" t="n">
        <v>1</v>
      </c>
      <c r="G14" s="0" t="s">
        <v>61</v>
      </c>
      <c r="H14" s="0" t="s">
        <v>161</v>
      </c>
      <c r="I14" s="0" t="s">
        <v>162</v>
      </c>
      <c r="J14" s="0" t="s">
        <v>163</v>
      </c>
      <c r="K14" s="0" t="s">
        <v>164</v>
      </c>
      <c r="L14" s="0" t="s">
        <v>164</v>
      </c>
      <c r="M14" s="0" t="s">
        <v>165</v>
      </c>
      <c r="N14" s="6" t="n">
        <v>46125</v>
      </c>
      <c r="Q14" s="0" t="s">
        <v>31</v>
      </c>
    </row>
    <row r="15" customFormat="false" ht="15" hidden="false" customHeight="false" outlineLevel="0" collapsed="false">
      <c r="B15" s="0" t="n">
        <v>153</v>
      </c>
      <c r="C15" s="0" t="s">
        <v>159</v>
      </c>
      <c r="D15" s="0" t="s">
        <v>1257</v>
      </c>
      <c r="E15" s="0" t="s">
        <v>160</v>
      </c>
      <c r="F15" s="0" t="n">
        <v>1</v>
      </c>
      <c r="G15" s="0" t="s">
        <v>61</v>
      </c>
      <c r="H15" s="0" t="s">
        <v>161</v>
      </c>
      <c r="I15" s="0" t="s">
        <v>162</v>
      </c>
      <c r="J15" s="0" t="s">
        <v>163</v>
      </c>
      <c r="K15" s="0" t="s">
        <v>164</v>
      </c>
      <c r="L15" s="0" t="s">
        <v>164</v>
      </c>
      <c r="M15" s="0" t="s">
        <v>165</v>
      </c>
      <c r="N15" s="6" t="n">
        <v>46125</v>
      </c>
      <c r="Q15" s="0" t="s">
        <v>31</v>
      </c>
    </row>
    <row r="16" customFormat="false" ht="15" hidden="false" customHeight="false" outlineLevel="0" collapsed="false">
      <c r="B16" s="0" t="n">
        <v>543</v>
      </c>
      <c r="C16" s="0" t="s">
        <v>494</v>
      </c>
      <c r="D16" s="0" t="s">
        <v>1259</v>
      </c>
      <c r="E16" s="0" t="s">
        <v>495</v>
      </c>
      <c r="F16" s="0" t="n">
        <v>1</v>
      </c>
      <c r="G16" s="0" t="s">
        <v>61</v>
      </c>
      <c r="H16" s="0" t="s">
        <v>496</v>
      </c>
      <c r="I16" s="0" t="s">
        <v>497</v>
      </c>
      <c r="J16" s="0" t="s">
        <v>498</v>
      </c>
      <c r="K16" s="0" t="s">
        <v>499</v>
      </c>
      <c r="L16" s="0" t="s">
        <v>500</v>
      </c>
      <c r="M16" s="0" t="s">
        <v>501</v>
      </c>
      <c r="N16" s="6" t="n">
        <v>46125</v>
      </c>
    </row>
    <row r="17" customFormat="false" ht="15" hidden="false" customHeight="false" outlineLevel="0" collapsed="false">
      <c r="B17" s="0" t="n">
        <v>168</v>
      </c>
      <c r="C17" s="0" t="s">
        <v>407</v>
      </c>
      <c r="D17" s="0" t="s">
        <v>1257</v>
      </c>
      <c r="E17" s="0" t="s">
        <v>408</v>
      </c>
      <c r="F17" s="0" t="n">
        <v>1</v>
      </c>
      <c r="G17" s="0" t="s">
        <v>61</v>
      </c>
      <c r="H17" s="0" t="s">
        <v>409</v>
      </c>
      <c r="I17" s="0" t="s">
        <v>410</v>
      </c>
      <c r="J17" s="0" t="s">
        <v>411</v>
      </c>
      <c r="K17" s="0" t="s">
        <v>412</v>
      </c>
      <c r="L17" s="0" t="s">
        <v>552</v>
      </c>
      <c r="M17" s="0" t="s">
        <v>414</v>
      </c>
      <c r="N17" s="6" t="n">
        <v>46125</v>
      </c>
      <c r="Q17" s="0" t="s">
        <v>31</v>
      </c>
    </row>
    <row r="18" customFormat="false" ht="15" hidden="false" customHeight="false" outlineLevel="0" collapsed="false">
      <c r="B18" s="0" t="n">
        <v>515</v>
      </c>
      <c r="C18" s="0" t="s">
        <v>166</v>
      </c>
      <c r="D18" s="0" t="s">
        <v>1259</v>
      </c>
      <c r="E18" s="0" t="s">
        <v>167</v>
      </c>
      <c r="F18" s="0" t="n">
        <v>1</v>
      </c>
      <c r="G18" s="0" t="s">
        <v>61</v>
      </c>
      <c r="H18" s="0" t="s">
        <v>168</v>
      </c>
      <c r="I18" s="0" t="s">
        <v>169</v>
      </c>
      <c r="J18" s="0" t="s">
        <v>170</v>
      </c>
      <c r="K18" s="0" t="s">
        <v>171</v>
      </c>
      <c r="L18" s="0" t="s">
        <v>172</v>
      </c>
      <c r="M18" s="0" t="s">
        <v>173</v>
      </c>
      <c r="N18" s="6" t="n">
        <v>46125</v>
      </c>
    </row>
    <row r="19" customFormat="false" ht="15" hidden="false" customHeight="false" outlineLevel="0" collapsed="false">
      <c r="B19" s="0" t="n">
        <v>529</v>
      </c>
      <c r="C19" s="0" t="s">
        <v>326</v>
      </c>
      <c r="D19" s="0" t="s">
        <v>1259</v>
      </c>
      <c r="E19" s="0" t="s">
        <v>327</v>
      </c>
      <c r="F19" s="0" t="n">
        <v>1</v>
      </c>
      <c r="G19" s="0" t="s">
        <v>152</v>
      </c>
      <c r="H19" s="0" t="s">
        <v>328</v>
      </c>
      <c r="I19" s="0" t="s">
        <v>329</v>
      </c>
      <c r="J19" s="0" t="s">
        <v>330</v>
      </c>
      <c r="K19" s="0" t="s">
        <v>331</v>
      </c>
      <c r="L19" s="0" t="s">
        <v>332</v>
      </c>
      <c r="M19" s="0" t="s">
        <v>333</v>
      </c>
      <c r="N19" s="6" t="n">
        <v>46125</v>
      </c>
    </row>
    <row r="20" customFormat="false" ht="15" hidden="false" customHeight="false" outlineLevel="0" collapsed="false">
      <c r="B20" s="0" t="n">
        <v>214</v>
      </c>
      <c r="C20" s="0" t="s">
        <v>326</v>
      </c>
      <c r="D20" s="0" t="s">
        <v>1260</v>
      </c>
      <c r="E20" s="0" t="s">
        <v>327</v>
      </c>
      <c r="F20" s="0" t="n">
        <v>1</v>
      </c>
      <c r="G20" s="0" t="s">
        <v>152</v>
      </c>
      <c r="H20" s="0" t="s">
        <v>328</v>
      </c>
      <c r="I20" s="0" t="s">
        <v>329</v>
      </c>
      <c r="J20" s="0" t="s">
        <v>330</v>
      </c>
      <c r="K20" s="0" t="s">
        <v>331</v>
      </c>
      <c r="L20" s="0" t="s">
        <v>332</v>
      </c>
      <c r="M20" s="0" t="s">
        <v>333</v>
      </c>
      <c r="N20" s="6" t="n">
        <v>46125</v>
      </c>
      <c r="Q20" s="0" t="s">
        <v>31</v>
      </c>
    </row>
    <row r="21" customFormat="false" ht="15" hidden="false" customHeight="false" outlineLevel="0" collapsed="false">
      <c r="B21" s="0" t="n">
        <v>162</v>
      </c>
      <c r="C21" s="0" t="s">
        <v>326</v>
      </c>
      <c r="D21" s="0" t="s">
        <v>1257</v>
      </c>
      <c r="E21" s="0" t="s">
        <v>327</v>
      </c>
      <c r="F21" s="0" t="n">
        <v>1</v>
      </c>
      <c r="G21" s="0" t="s">
        <v>152</v>
      </c>
      <c r="H21" s="0" t="s">
        <v>328</v>
      </c>
      <c r="I21" s="0" t="s">
        <v>329</v>
      </c>
      <c r="J21" s="0" t="s">
        <v>330</v>
      </c>
      <c r="K21" s="0" t="s">
        <v>331</v>
      </c>
      <c r="L21" s="0" t="s">
        <v>332</v>
      </c>
      <c r="M21" s="0" t="s">
        <v>333</v>
      </c>
      <c r="N21" s="6" t="n">
        <v>46125</v>
      </c>
      <c r="Q21" s="0" t="s">
        <v>31</v>
      </c>
    </row>
    <row r="22" customFormat="false" ht="15" hidden="false" customHeight="false" outlineLevel="0" collapsed="false">
      <c r="B22" s="0" t="n">
        <v>512</v>
      </c>
      <c r="C22" s="0" t="s">
        <v>554</v>
      </c>
      <c r="D22" s="0" t="s">
        <v>1259</v>
      </c>
      <c r="E22" s="0" t="s">
        <v>555</v>
      </c>
      <c r="F22" s="0" t="n">
        <v>1</v>
      </c>
      <c r="G22" s="0" t="s">
        <v>61</v>
      </c>
      <c r="H22" s="0" t="s">
        <v>556</v>
      </c>
      <c r="I22" s="0" t="s">
        <v>557</v>
      </c>
      <c r="J22" s="0" t="s">
        <v>558</v>
      </c>
      <c r="K22" s="0" t="s">
        <v>559</v>
      </c>
      <c r="L22" s="0" t="s">
        <v>560</v>
      </c>
      <c r="M22" s="0" t="s">
        <v>561</v>
      </c>
      <c r="N22" s="6" t="n">
        <v>46125</v>
      </c>
    </row>
    <row r="23" customFormat="false" ht="30" hidden="false" customHeight="true" outlineLevel="0" collapsed="false">
      <c r="B23" s="2" t="s">
        <v>1261</v>
      </c>
      <c r="C23" s="0" t="s">
        <v>554</v>
      </c>
      <c r="D23" s="0" t="s">
        <v>1260</v>
      </c>
      <c r="E23" s="0" t="s">
        <v>555</v>
      </c>
      <c r="F23" s="0" t="n">
        <v>10</v>
      </c>
      <c r="G23" s="0" t="s">
        <v>61</v>
      </c>
      <c r="H23" s="2" t="s">
        <v>1262</v>
      </c>
      <c r="I23" s="2" t="s">
        <v>1263</v>
      </c>
      <c r="J23" s="2" t="s">
        <v>1264</v>
      </c>
      <c r="K23" s="0" t="s">
        <v>559</v>
      </c>
      <c r="L23" s="2" t="s">
        <v>1265</v>
      </c>
      <c r="M23" s="0" t="s">
        <v>561</v>
      </c>
      <c r="N23" s="6" t="n">
        <v>46125</v>
      </c>
      <c r="Q23" s="0" t="s">
        <v>31</v>
      </c>
    </row>
    <row r="24" customFormat="false" ht="30" hidden="false" customHeight="true" outlineLevel="0" collapsed="false">
      <c r="B24" s="2" t="s">
        <v>1266</v>
      </c>
      <c r="C24" s="0" t="s">
        <v>554</v>
      </c>
      <c r="D24" s="0" t="s">
        <v>1257</v>
      </c>
      <c r="E24" s="0" t="s">
        <v>555</v>
      </c>
      <c r="F24" s="0" t="n">
        <v>2</v>
      </c>
      <c r="G24" s="0" t="s">
        <v>61</v>
      </c>
      <c r="H24" s="0" t="s">
        <v>556</v>
      </c>
      <c r="I24" s="0" t="s">
        <v>557</v>
      </c>
      <c r="J24" s="0" t="s">
        <v>558</v>
      </c>
      <c r="K24" s="0" t="s">
        <v>559</v>
      </c>
      <c r="L24" s="2" t="s">
        <v>1267</v>
      </c>
      <c r="M24" s="0" t="s">
        <v>561</v>
      </c>
      <c r="N24" s="6" t="n">
        <v>46125</v>
      </c>
      <c r="Q24" s="0" t="s">
        <v>31</v>
      </c>
    </row>
    <row r="25" customFormat="false" ht="30" hidden="false" customHeight="true" outlineLevel="0" collapsed="false">
      <c r="B25" s="0" t="n">
        <v>539</v>
      </c>
      <c r="C25" s="0" t="s">
        <v>439</v>
      </c>
      <c r="D25" s="0" t="s">
        <v>1259</v>
      </c>
      <c r="E25" s="0" t="s">
        <v>440</v>
      </c>
      <c r="F25" s="0" t="n">
        <v>1</v>
      </c>
      <c r="G25" s="0" t="s">
        <v>152</v>
      </c>
      <c r="H25" s="2" t="s">
        <v>441</v>
      </c>
      <c r="I25" s="2" t="s">
        <v>442</v>
      </c>
      <c r="J25" s="2" t="s">
        <v>443</v>
      </c>
      <c r="K25" s="0" t="s">
        <v>444</v>
      </c>
      <c r="L25" s="0" t="s">
        <v>570</v>
      </c>
      <c r="M25" s="0" t="s">
        <v>446</v>
      </c>
      <c r="N25" s="6" t="n">
        <v>46125</v>
      </c>
    </row>
    <row r="26" customFormat="false" ht="15" hidden="false" customHeight="false" outlineLevel="0" collapsed="false">
      <c r="B26" s="0" t="n">
        <v>540</v>
      </c>
      <c r="C26" s="0" t="s">
        <v>571</v>
      </c>
      <c r="D26" s="0" t="s">
        <v>1259</v>
      </c>
      <c r="E26" s="0" t="s">
        <v>572</v>
      </c>
      <c r="F26" s="0" t="n">
        <v>2</v>
      </c>
      <c r="G26" s="0" t="s">
        <v>573</v>
      </c>
      <c r="H26" s="0" t="s">
        <v>574</v>
      </c>
      <c r="I26" s="0" t="s">
        <v>575</v>
      </c>
      <c r="J26" s="0" t="s">
        <v>576</v>
      </c>
      <c r="K26" s="0" t="s">
        <v>577</v>
      </c>
      <c r="L26" s="0" t="s">
        <v>578</v>
      </c>
      <c r="M26" s="0" t="s">
        <v>579</v>
      </c>
      <c r="N26" s="6" t="n">
        <v>46125</v>
      </c>
    </row>
    <row r="27" customFormat="false" ht="15" hidden="false" customHeight="false" outlineLevel="0" collapsed="false">
      <c r="B27" s="0" t="n">
        <v>516</v>
      </c>
      <c r="C27" s="0" t="s">
        <v>174</v>
      </c>
      <c r="D27" s="0" t="s">
        <v>1259</v>
      </c>
      <c r="E27" s="0" t="s">
        <v>175</v>
      </c>
      <c r="F27" s="0" t="n">
        <v>1</v>
      </c>
      <c r="G27" s="0" t="s">
        <v>152</v>
      </c>
      <c r="H27" s="0" t="s">
        <v>176</v>
      </c>
      <c r="I27" s="0" t="s">
        <v>177</v>
      </c>
      <c r="J27" s="0" t="s">
        <v>178</v>
      </c>
      <c r="K27" s="0" t="s">
        <v>179</v>
      </c>
      <c r="L27" s="0" t="s">
        <v>180</v>
      </c>
      <c r="M27" s="0" t="s">
        <v>181</v>
      </c>
      <c r="N27" s="6" t="n">
        <v>46125</v>
      </c>
    </row>
    <row r="28" customFormat="false" ht="15" hidden="false" customHeight="false" outlineLevel="0" collapsed="false">
      <c r="B28" s="0" t="n">
        <v>509</v>
      </c>
      <c r="C28" s="0" t="s">
        <v>109</v>
      </c>
      <c r="D28" s="0" t="s">
        <v>1259</v>
      </c>
      <c r="E28" s="0" t="s">
        <v>110</v>
      </c>
      <c r="F28" s="0" t="n">
        <v>1</v>
      </c>
      <c r="G28" s="0" t="s">
        <v>111</v>
      </c>
      <c r="H28" s="0" t="s">
        <v>112</v>
      </c>
      <c r="I28" s="0" t="s">
        <v>113</v>
      </c>
      <c r="J28" s="0" t="s">
        <v>114</v>
      </c>
      <c r="K28" s="0" t="s">
        <v>115</v>
      </c>
      <c r="L28" s="0" t="s">
        <v>115</v>
      </c>
      <c r="M28" s="0" t="s">
        <v>116</v>
      </c>
      <c r="N28" s="6" t="n">
        <v>46125</v>
      </c>
    </row>
    <row r="29" customFormat="false" ht="15" hidden="false" customHeight="false" outlineLevel="0" collapsed="false">
      <c r="B29" s="0" t="n">
        <v>531</v>
      </c>
      <c r="C29" s="0" t="s">
        <v>350</v>
      </c>
      <c r="D29" s="0" t="s">
        <v>1259</v>
      </c>
      <c r="E29" s="0" t="s">
        <v>351</v>
      </c>
      <c r="F29" s="0" t="n">
        <v>1</v>
      </c>
      <c r="G29" s="0" t="s">
        <v>152</v>
      </c>
      <c r="H29" s="0" t="s">
        <v>352</v>
      </c>
      <c r="I29" s="0" t="s">
        <v>353</v>
      </c>
      <c r="J29" s="0" t="s">
        <v>354</v>
      </c>
      <c r="K29" s="0" t="s">
        <v>355</v>
      </c>
      <c r="L29" s="0" t="s">
        <v>355</v>
      </c>
      <c r="M29" s="0" t="s">
        <v>356</v>
      </c>
      <c r="N29" s="6" t="n">
        <v>46125</v>
      </c>
    </row>
    <row r="30" customFormat="false" ht="15" hidden="false" customHeight="false" outlineLevel="0" collapsed="false">
      <c r="B30" s="0" t="n">
        <v>541</v>
      </c>
      <c r="C30" s="0" t="s">
        <v>588</v>
      </c>
      <c r="D30" s="0" t="s">
        <v>1259</v>
      </c>
      <c r="E30" s="0" t="s">
        <v>589</v>
      </c>
      <c r="F30" s="0" t="n">
        <v>1</v>
      </c>
      <c r="G30" s="0" t="s">
        <v>24</v>
      </c>
      <c r="H30" s="0" t="s">
        <v>590</v>
      </c>
      <c r="I30" s="0" t="s">
        <v>591</v>
      </c>
      <c r="J30" s="0" t="s">
        <v>592</v>
      </c>
      <c r="K30" s="0" t="s">
        <v>593</v>
      </c>
      <c r="L30" s="0" t="s">
        <v>594</v>
      </c>
      <c r="M30" s="0" t="s">
        <v>595</v>
      </c>
      <c r="N30" s="6" t="n">
        <v>46125</v>
      </c>
    </row>
    <row r="31" customFormat="false" ht="15" hidden="false" customHeight="false" outlineLevel="0" collapsed="false">
      <c r="B31" s="0" t="n">
        <v>236</v>
      </c>
      <c r="C31" s="0" t="s">
        <v>588</v>
      </c>
      <c r="D31" s="0" t="s">
        <v>1260</v>
      </c>
      <c r="E31" s="0" t="s">
        <v>589</v>
      </c>
      <c r="F31" s="0" t="n">
        <v>9</v>
      </c>
      <c r="G31" s="0" t="s">
        <v>24</v>
      </c>
      <c r="H31" s="0" t="s">
        <v>590</v>
      </c>
      <c r="I31" s="0" t="s">
        <v>591</v>
      </c>
      <c r="J31" s="0" t="s">
        <v>592</v>
      </c>
      <c r="K31" s="0" t="s">
        <v>593</v>
      </c>
      <c r="L31" s="0" t="s">
        <v>594</v>
      </c>
      <c r="M31" s="0" t="s">
        <v>595</v>
      </c>
      <c r="N31" s="6" t="n">
        <v>46125</v>
      </c>
      <c r="Q31" s="0" t="s">
        <v>31</v>
      </c>
    </row>
    <row r="32" customFormat="false" ht="30" hidden="false" customHeight="true" outlineLevel="0" collapsed="false">
      <c r="B32" s="2" t="s">
        <v>1268</v>
      </c>
      <c r="C32" s="0" t="s">
        <v>596</v>
      </c>
      <c r="D32" s="0" t="s">
        <v>1260</v>
      </c>
      <c r="E32" s="0" t="s">
        <v>597</v>
      </c>
      <c r="F32" s="0" t="n">
        <v>30</v>
      </c>
      <c r="G32" s="0" t="s">
        <v>61</v>
      </c>
      <c r="H32" s="0" t="s">
        <v>598</v>
      </c>
      <c r="I32" s="0" t="s">
        <v>599</v>
      </c>
      <c r="J32" s="0" t="s">
        <v>600</v>
      </c>
      <c r="K32" s="0" t="s">
        <v>601</v>
      </c>
      <c r="L32" s="2" t="s">
        <v>1269</v>
      </c>
      <c r="M32" s="0" t="s">
        <v>603</v>
      </c>
      <c r="N32" s="6" t="n">
        <v>46125</v>
      </c>
      <c r="Q32" s="0" t="s">
        <v>31</v>
      </c>
    </row>
    <row r="33" customFormat="false" ht="15" hidden="false" customHeight="false" outlineLevel="0" collapsed="false">
      <c r="B33" s="0" t="n">
        <v>525</v>
      </c>
      <c r="C33" s="0" t="s">
        <v>263</v>
      </c>
      <c r="D33" s="0" t="s">
        <v>1259</v>
      </c>
      <c r="E33" s="0" t="s">
        <v>264</v>
      </c>
      <c r="F33" s="0" t="n">
        <v>1</v>
      </c>
      <c r="G33" s="0" t="s">
        <v>61</v>
      </c>
      <c r="H33" s="0" t="s">
        <v>265</v>
      </c>
      <c r="I33" s="0" t="s">
        <v>266</v>
      </c>
      <c r="J33" s="0" t="s">
        <v>267</v>
      </c>
      <c r="K33" s="0" t="s">
        <v>252</v>
      </c>
      <c r="L33" s="0" t="s">
        <v>268</v>
      </c>
      <c r="M33" s="0" t="s">
        <v>269</v>
      </c>
      <c r="N33" s="6" t="n">
        <v>46125</v>
      </c>
    </row>
    <row r="34" customFormat="false" ht="15" hidden="false" customHeight="false" outlineLevel="0" collapsed="false">
      <c r="B34" s="0" t="n">
        <v>534</v>
      </c>
      <c r="C34" s="0" t="s">
        <v>604</v>
      </c>
      <c r="D34" s="0" t="s">
        <v>1259</v>
      </c>
      <c r="E34" s="0" t="s">
        <v>605</v>
      </c>
      <c r="F34" s="0" t="n">
        <v>1</v>
      </c>
      <c r="G34" s="0" t="s">
        <v>61</v>
      </c>
      <c r="H34" s="0" t="s">
        <v>606</v>
      </c>
      <c r="I34" s="0" t="s">
        <v>607</v>
      </c>
      <c r="J34" s="0" t="s">
        <v>608</v>
      </c>
      <c r="K34" s="0" t="s">
        <v>252</v>
      </c>
      <c r="L34" s="0" t="s">
        <v>609</v>
      </c>
      <c r="M34" s="0" t="s">
        <v>610</v>
      </c>
      <c r="N34" s="6" t="n">
        <v>46125</v>
      </c>
    </row>
    <row r="35" customFormat="false" ht="15" hidden="false" customHeight="false" outlineLevel="0" collapsed="false">
      <c r="B35" s="0" t="n">
        <v>221</v>
      </c>
      <c r="C35" s="0" t="s">
        <v>604</v>
      </c>
      <c r="D35" s="0" t="s">
        <v>1260</v>
      </c>
      <c r="E35" s="0" t="s">
        <v>605</v>
      </c>
      <c r="F35" s="0" t="n">
        <v>6</v>
      </c>
      <c r="G35" s="0" t="s">
        <v>61</v>
      </c>
      <c r="H35" s="0" t="s">
        <v>606</v>
      </c>
      <c r="I35" s="0" t="s">
        <v>607</v>
      </c>
      <c r="J35" s="0" t="s">
        <v>608</v>
      </c>
      <c r="K35" s="0" t="s">
        <v>252</v>
      </c>
      <c r="L35" s="0" t="s">
        <v>609</v>
      </c>
      <c r="M35" s="0" t="s">
        <v>610</v>
      </c>
      <c r="N35" s="6" t="n">
        <v>46125</v>
      </c>
      <c r="Q35" s="0" t="s">
        <v>31</v>
      </c>
    </row>
    <row r="36" customFormat="false" ht="15" hidden="false" customHeight="false" outlineLevel="0" collapsed="false">
      <c r="B36" s="0" t="n">
        <v>165</v>
      </c>
      <c r="C36" s="0" t="s">
        <v>604</v>
      </c>
      <c r="D36" s="0" t="s">
        <v>1257</v>
      </c>
      <c r="E36" s="0" t="s">
        <v>605</v>
      </c>
      <c r="F36" s="0" t="n">
        <v>12</v>
      </c>
      <c r="G36" s="0" t="s">
        <v>61</v>
      </c>
      <c r="H36" s="0" t="s">
        <v>606</v>
      </c>
      <c r="I36" s="0" t="s">
        <v>607</v>
      </c>
      <c r="J36" s="0" t="s">
        <v>608</v>
      </c>
      <c r="K36" s="0" t="s">
        <v>252</v>
      </c>
      <c r="L36" s="0" t="s">
        <v>609</v>
      </c>
      <c r="M36" s="0" t="s">
        <v>610</v>
      </c>
      <c r="N36" s="6" t="n">
        <v>46125</v>
      </c>
      <c r="Q36" s="0" t="s">
        <v>31</v>
      </c>
    </row>
    <row r="37" customFormat="false" ht="15" hidden="false" customHeight="false" outlineLevel="0" collapsed="false">
      <c r="B37" s="0" t="n">
        <v>513</v>
      </c>
      <c r="C37" s="0" t="s">
        <v>142</v>
      </c>
      <c r="D37" s="0" t="s">
        <v>1259</v>
      </c>
      <c r="E37" s="0" t="s">
        <v>143</v>
      </c>
      <c r="F37" s="0" t="n">
        <v>1</v>
      </c>
      <c r="G37" s="0" t="s">
        <v>61</v>
      </c>
      <c r="H37" s="0" t="s">
        <v>144</v>
      </c>
      <c r="I37" s="0" t="s">
        <v>145</v>
      </c>
      <c r="J37" s="0" t="s">
        <v>146</v>
      </c>
      <c r="K37" s="0" t="s">
        <v>147</v>
      </c>
      <c r="L37" s="0" t="s">
        <v>148</v>
      </c>
      <c r="M37" s="0" t="s">
        <v>149</v>
      </c>
      <c r="N37" s="6" t="n">
        <v>46125</v>
      </c>
    </row>
    <row r="38" customFormat="false" ht="15" hidden="false" customHeight="false" outlineLevel="0" collapsed="false">
      <c r="B38" s="0" t="n">
        <v>508</v>
      </c>
      <c r="C38" s="0" t="s">
        <v>59</v>
      </c>
      <c r="D38" s="0" t="s">
        <v>1259</v>
      </c>
      <c r="E38" s="0" t="s">
        <v>60</v>
      </c>
      <c r="F38" s="0" t="n">
        <v>8</v>
      </c>
      <c r="G38" s="0" t="s">
        <v>61</v>
      </c>
      <c r="H38" s="0" t="s">
        <v>62</v>
      </c>
      <c r="I38" s="0" t="s">
        <v>63</v>
      </c>
      <c r="J38" s="0" t="s">
        <v>64</v>
      </c>
      <c r="K38" s="0" t="s">
        <v>65</v>
      </c>
      <c r="L38" s="0" t="s">
        <v>66</v>
      </c>
      <c r="M38" s="0" t="s">
        <v>67</v>
      </c>
      <c r="N38" s="6" t="n">
        <v>46125</v>
      </c>
    </row>
    <row r="39" customFormat="false" ht="15" hidden="false" customHeight="false" outlineLevel="0" collapsed="false">
      <c r="B39" s="0" t="n">
        <v>507</v>
      </c>
      <c r="C39" s="0" t="s">
        <v>782</v>
      </c>
      <c r="D39" s="0" t="s">
        <v>1259</v>
      </c>
      <c r="E39" s="0" t="s">
        <v>783</v>
      </c>
      <c r="F39" s="0" t="n">
        <v>1</v>
      </c>
      <c r="G39" s="0" t="s">
        <v>784</v>
      </c>
      <c r="H39" s="0" t="s">
        <v>785</v>
      </c>
      <c r="I39" s="0" t="s">
        <v>786</v>
      </c>
      <c r="J39" s="0" t="s">
        <v>787</v>
      </c>
      <c r="K39" s="0" t="s">
        <v>788</v>
      </c>
      <c r="L39" s="0" t="s">
        <v>789</v>
      </c>
      <c r="M39" s="0" t="s">
        <v>790</v>
      </c>
      <c r="N39" s="6" t="n">
        <v>46125</v>
      </c>
    </row>
    <row r="40" customFormat="false" ht="15" hidden="false" customHeight="false" outlineLevel="0" collapsed="false">
      <c r="B40" s="0" t="n">
        <v>521</v>
      </c>
      <c r="C40" s="0" t="s">
        <v>215</v>
      </c>
      <c r="D40" s="0" t="s">
        <v>1259</v>
      </c>
      <c r="E40" s="0" t="s">
        <v>216</v>
      </c>
      <c r="F40" s="0" t="n">
        <v>1</v>
      </c>
      <c r="G40" s="0" t="s">
        <v>24</v>
      </c>
      <c r="H40" s="0" t="s">
        <v>217</v>
      </c>
      <c r="I40" s="0" t="s">
        <v>218</v>
      </c>
      <c r="J40" s="0" t="s">
        <v>219</v>
      </c>
      <c r="K40" s="0" t="s">
        <v>220</v>
      </c>
      <c r="L40" s="0" t="s">
        <v>221</v>
      </c>
      <c r="M40" s="0" t="s">
        <v>222</v>
      </c>
      <c r="N40" s="6" t="n">
        <v>46125</v>
      </c>
    </row>
    <row r="41" customFormat="false" ht="15" hidden="false" customHeight="false" outlineLevel="0" collapsed="false">
      <c r="B41" s="0" t="n">
        <v>537</v>
      </c>
      <c r="C41" s="0" t="s">
        <v>399</v>
      </c>
      <c r="D41" s="0" t="s">
        <v>1259</v>
      </c>
      <c r="E41" s="0" t="s">
        <v>400</v>
      </c>
      <c r="F41" s="0" t="n">
        <v>1</v>
      </c>
      <c r="G41" s="0" t="s">
        <v>152</v>
      </c>
      <c r="H41" s="0" t="s">
        <v>401</v>
      </c>
      <c r="I41" s="0" t="s">
        <v>402</v>
      </c>
      <c r="J41" s="0" t="s">
        <v>403</v>
      </c>
      <c r="K41" s="0" t="s">
        <v>404</v>
      </c>
      <c r="L41" s="0" t="s">
        <v>791</v>
      </c>
      <c r="M41" s="0" t="s">
        <v>406</v>
      </c>
      <c r="N41" s="6" t="n">
        <v>46125</v>
      </c>
    </row>
    <row r="42" customFormat="false" ht="15" hidden="false" customHeight="false" outlineLevel="0" collapsed="false">
      <c r="B42" s="0" t="n">
        <v>571</v>
      </c>
      <c r="C42" s="0" t="s">
        <v>342</v>
      </c>
      <c r="D42" s="0" t="s">
        <v>1225</v>
      </c>
      <c r="E42" s="0" t="s">
        <v>343</v>
      </c>
      <c r="F42" s="0" t="n">
        <v>1</v>
      </c>
      <c r="G42" s="0" t="s">
        <v>24</v>
      </c>
      <c r="H42" s="0" t="s">
        <v>344</v>
      </c>
      <c r="I42" s="0" t="s">
        <v>345</v>
      </c>
      <c r="J42" s="0" t="s">
        <v>346</v>
      </c>
      <c r="K42" s="0" t="s">
        <v>348</v>
      </c>
      <c r="L42" s="0" t="s">
        <v>348</v>
      </c>
      <c r="M42" s="0" t="s">
        <v>349</v>
      </c>
      <c r="N42" s="6" t="n">
        <v>46125</v>
      </c>
    </row>
    <row r="43" customFormat="false" ht="15" hidden="false" customHeight="false" outlineLevel="0" collapsed="false">
      <c r="B43" s="0" t="n">
        <v>151</v>
      </c>
      <c r="C43" s="0" t="s">
        <v>626</v>
      </c>
      <c r="D43" s="0" t="s">
        <v>1257</v>
      </c>
      <c r="E43" s="0" t="s">
        <v>627</v>
      </c>
      <c r="F43" s="0" t="n">
        <v>2</v>
      </c>
      <c r="G43" s="0" t="s">
        <v>152</v>
      </c>
      <c r="H43" s="0" t="s">
        <v>628</v>
      </c>
      <c r="I43" s="0" t="s">
        <v>629</v>
      </c>
      <c r="J43" s="0" t="s">
        <v>630</v>
      </c>
      <c r="K43" s="0" t="s">
        <v>631</v>
      </c>
      <c r="L43" s="0" t="s">
        <v>632</v>
      </c>
      <c r="M43" s="0" t="s">
        <v>633</v>
      </c>
      <c r="N43" s="6" t="n">
        <v>46125</v>
      </c>
      <c r="Q43" s="0" t="s">
        <v>31</v>
      </c>
    </row>
    <row r="44" customFormat="false" ht="30" hidden="false" customHeight="true" outlineLevel="0" collapsed="false">
      <c r="B44" s="0" t="n">
        <v>542</v>
      </c>
      <c r="C44" s="0" t="s">
        <v>478</v>
      </c>
      <c r="D44" s="0" t="s">
        <v>1259</v>
      </c>
      <c r="E44" s="0" t="s">
        <v>479</v>
      </c>
      <c r="F44" s="0" t="n">
        <v>1</v>
      </c>
      <c r="G44" s="0" t="s">
        <v>111</v>
      </c>
      <c r="H44" s="2" t="s">
        <v>480</v>
      </c>
      <c r="I44" s="2" t="s">
        <v>481</v>
      </c>
      <c r="J44" s="2" t="s">
        <v>482</v>
      </c>
      <c r="K44" s="0" t="s">
        <v>483</v>
      </c>
      <c r="L44" s="0" t="s">
        <v>634</v>
      </c>
      <c r="M44" s="0" t="s">
        <v>485</v>
      </c>
      <c r="N44" s="6" t="n">
        <v>46125</v>
      </c>
    </row>
    <row r="45" customFormat="false" ht="15" hidden="false" customHeight="false" outlineLevel="0" collapsed="false">
      <c r="B45" s="0" t="n">
        <v>547</v>
      </c>
      <c r="C45" s="0" t="s">
        <v>43</v>
      </c>
      <c r="D45" s="0" t="s">
        <v>1225</v>
      </c>
      <c r="E45" s="0" t="s">
        <v>44</v>
      </c>
      <c r="F45" s="0" t="n">
        <v>2</v>
      </c>
      <c r="G45" s="0" t="s">
        <v>24</v>
      </c>
      <c r="H45" s="0" t="s">
        <v>45</v>
      </c>
      <c r="I45" s="0" t="s">
        <v>46</v>
      </c>
      <c r="J45" s="0" t="s">
        <v>47</v>
      </c>
      <c r="K45" s="0" t="s">
        <v>48</v>
      </c>
      <c r="L45" s="0" t="s">
        <v>49</v>
      </c>
      <c r="M45" s="0" t="s">
        <v>50</v>
      </c>
      <c r="N45" s="6" t="n">
        <v>46125</v>
      </c>
    </row>
    <row r="46" customFormat="false" ht="15" hidden="false" customHeight="false" outlineLevel="0" collapsed="false">
      <c r="B46" s="0" t="n">
        <v>506</v>
      </c>
      <c r="C46" s="0" t="s">
        <v>43</v>
      </c>
      <c r="D46" s="0" t="s">
        <v>1259</v>
      </c>
      <c r="E46" s="0" t="s">
        <v>44</v>
      </c>
      <c r="F46" s="0" t="n">
        <v>2</v>
      </c>
      <c r="G46" s="0" t="s">
        <v>24</v>
      </c>
      <c r="H46" s="0" t="s">
        <v>45</v>
      </c>
      <c r="I46" s="0" t="s">
        <v>46</v>
      </c>
      <c r="J46" s="0" t="s">
        <v>47</v>
      </c>
      <c r="K46" s="0" t="s">
        <v>48</v>
      </c>
      <c r="L46" s="0" t="s">
        <v>49</v>
      </c>
      <c r="M46" s="0" t="s">
        <v>50</v>
      </c>
      <c r="N46" s="6" t="n">
        <v>46125</v>
      </c>
    </row>
    <row r="47" customFormat="false" ht="15" hidden="false" customHeight="false" outlineLevel="0" collapsed="false">
      <c r="B47" s="0" t="n">
        <v>526</v>
      </c>
      <c r="C47" s="0" t="s">
        <v>270</v>
      </c>
      <c r="D47" s="0" t="s">
        <v>1259</v>
      </c>
      <c r="E47" s="0" t="s">
        <v>271</v>
      </c>
      <c r="F47" s="0" t="n">
        <v>1</v>
      </c>
      <c r="G47" s="0" t="s">
        <v>61</v>
      </c>
      <c r="H47" s="0" t="s">
        <v>272</v>
      </c>
      <c r="I47" s="0" t="s">
        <v>273</v>
      </c>
      <c r="J47" s="0" t="s">
        <v>274</v>
      </c>
      <c r="K47" s="0" t="s">
        <v>792</v>
      </c>
      <c r="L47" s="0" t="s">
        <v>792</v>
      </c>
      <c r="M47" s="0" t="s">
        <v>277</v>
      </c>
      <c r="N47" s="6" t="n">
        <v>46125</v>
      </c>
    </row>
    <row r="48" customFormat="false" ht="15" hidden="false" customHeight="false" outlineLevel="0" collapsed="false">
      <c r="B48" s="0" t="n">
        <v>207</v>
      </c>
      <c r="C48" s="0" t="s">
        <v>270</v>
      </c>
      <c r="D48" s="0" t="s">
        <v>1260</v>
      </c>
      <c r="E48" s="0" t="s">
        <v>271</v>
      </c>
      <c r="F48" s="0" t="n">
        <v>1</v>
      </c>
      <c r="G48" s="0" t="s">
        <v>61</v>
      </c>
      <c r="H48" s="0" t="s">
        <v>272</v>
      </c>
      <c r="I48" s="0" t="s">
        <v>273</v>
      </c>
      <c r="J48" s="0" t="s">
        <v>274</v>
      </c>
      <c r="K48" s="0" t="s">
        <v>792</v>
      </c>
      <c r="L48" s="0" t="s">
        <v>792</v>
      </c>
      <c r="M48" s="0" t="s">
        <v>277</v>
      </c>
      <c r="N48" s="6" t="n">
        <v>46125</v>
      </c>
      <c r="Q48" s="0" t="s">
        <v>31</v>
      </c>
    </row>
    <row r="49" customFormat="false" ht="15" hidden="false" customHeight="false" outlineLevel="0" collapsed="false">
      <c r="B49" s="0" t="n">
        <v>158</v>
      </c>
      <c r="C49" s="0" t="s">
        <v>270</v>
      </c>
      <c r="D49" s="0" t="s">
        <v>1257</v>
      </c>
      <c r="E49" s="0" t="s">
        <v>271</v>
      </c>
      <c r="F49" s="0" t="n">
        <v>3</v>
      </c>
      <c r="G49" s="0" t="s">
        <v>61</v>
      </c>
      <c r="H49" s="0" t="s">
        <v>272</v>
      </c>
      <c r="I49" s="0" t="s">
        <v>273</v>
      </c>
      <c r="J49" s="0" t="s">
        <v>274</v>
      </c>
      <c r="K49" s="0" t="s">
        <v>792</v>
      </c>
      <c r="L49" s="0" t="s">
        <v>792</v>
      </c>
      <c r="M49" s="0" t="s">
        <v>277</v>
      </c>
      <c r="N49" s="6" t="n">
        <v>46125</v>
      </c>
      <c r="Q49" s="0" t="s">
        <v>31</v>
      </c>
    </row>
    <row r="50" customFormat="false" ht="15" hidden="false" customHeight="false" outlineLevel="0" collapsed="false">
      <c r="B50" s="0" t="n">
        <v>545</v>
      </c>
      <c r="C50" s="0" t="s">
        <v>508</v>
      </c>
      <c r="D50" s="0" t="s">
        <v>1259</v>
      </c>
      <c r="E50" s="0" t="s">
        <v>509</v>
      </c>
      <c r="F50" s="0" t="n">
        <v>1</v>
      </c>
      <c r="G50" s="0" t="s">
        <v>61</v>
      </c>
      <c r="H50" s="0" t="s">
        <v>510</v>
      </c>
      <c r="I50" s="0" t="s">
        <v>511</v>
      </c>
      <c r="J50" s="0" t="s">
        <v>512</v>
      </c>
      <c r="K50" s="0" t="s">
        <v>513</v>
      </c>
      <c r="L50" s="0" t="s">
        <v>514</v>
      </c>
      <c r="M50" s="0" t="s">
        <v>515</v>
      </c>
      <c r="N50" s="6" t="n">
        <v>46125</v>
      </c>
    </row>
    <row r="51" customFormat="false" ht="15" hidden="false" customHeight="false" outlineLevel="0" collapsed="false">
      <c r="B51" s="0" t="n">
        <v>240</v>
      </c>
      <c r="C51" s="0" t="s">
        <v>508</v>
      </c>
      <c r="D51" s="0" t="s">
        <v>1260</v>
      </c>
      <c r="E51" s="0" t="s">
        <v>509</v>
      </c>
      <c r="F51" s="0" t="n">
        <v>20</v>
      </c>
      <c r="G51" s="0" t="s">
        <v>61</v>
      </c>
      <c r="H51" s="0" t="s">
        <v>510</v>
      </c>
      <c r="I51" s="0" t="s">
        <v>511</v>
      </c>
      <c r="J51" s="0" t="s">
        <v>512</v>
      </c>
      <c r="K51" s="0" t="s">
        <v>513</v>
      </c>
      <c r="L51" s="0" t="s">
        <v>514</v>
      </c>
      <c r="M51" s="0" t="s">
        <v>515</v>
      </c>
      <c r="N51" s="6" t="n">
        <v>46125</v>
      </c>
      <c r="Q51" s="0" t="s">
        <v>31</v>
      </c>
    </row>
    <row r="52" customFormat="false" ht="15" hidden="false" customHeight="false" outlineLevel="0" collapsed="false">
      <c r="B52" s="0" t="n">
        <v>242</v>
      </c>
      <c r="C52" s="0" t="s">
        <v>644</v>
      </c>
      <c r="D52" s="0" t="s">
        <v>1260</v>
      </c>
      <c r="E52" s="0" t="s">
        <v>645</v>
      </c>
      <c r="F52" s="0" t="n">
        <v>3</v>
      </c>
      <c r="G52" s="0" t="s">
        <v>61</v>
      </c>
      <c r="H52" s="0" t="s">
        <v>646</v>
      </c>
      <c r="I52" s="0" t="s">
        <v>647</v>
      </c>
      <c r="J52" s="0" t="s">
        <v>648</v>
      </c>
      <c r="K52" s="0" t="s">
        <v>649</v>
      </c>
      <c r="L52" s="0" t="s">
        <v>650</v>
      </c>
      <c r="N52" s="6" t="n">
        <v>46125</v>
      </c>
      <c r="Q52" s="0" t="s">
        <v>31</v>
      </c>
    </row>
    <row r="53" customFormat="false" ht="15" hidden="false" customHeight="false" outlineLevel="0" collapsed="false">
      <c r="B53" s="0" t="n">
        <v>170</v>
      </c>
      <c r="C53" s="0" t="s">
        <v>424</v>
      </c>
      <c r="D53" s="0" t="s">
        <v>1257</v>
      </c>
      <c r="E53" s="0" t="s">
        <v>425</v>
      </c>
      <c r="F53" s="0" t="n">
        <v>4</v>
      </c>
      <c r="G53" s="0" t="s">
        <v>111</v>
      </c>
      <c r="H53" s="0" t="s">
        <v>426</v>
      </c>
      <c r="I53" s="0" t="s">
        <v>427</v>
      </c>
      <c r="J53" s="0" t="s">
        <v>428</v>
      </c>
      <c r="K53" s="0" t="s">
        <v>429</v>
      </c>
      <c r="L53" s="0" t="s">
        <v>429</v>
      </c>
      <c r="M53" s="0" t="s">
        <v>430</v>
      </c>
      <c r="N53" s="6" t="n">
        <v>46125</v>
      </c>
      <c r="Q53" s="0" t="s">
        <v>31</v>
      </c>
    </row>
    <row r="54" customFormat="false" ht="15" hidden="false" customHeight="false" outlineLevel="0" collapsed="false">
      <c r="B54" s="0" t="n">
        <v>554</v>
      </c>
      <c r="C54" s="0" t="s">
        <v>134</v>
      </c>
      <c r="D54" s="0" t="s">
        <v>1225</v>
      </c>
      <c r="E54" s="0" t="s">
        <v>135</v>
      </c>
      <c r="F54" s="0" t="n">
        <v>1</v>
      </c>
      <c r="G54" s="0" t="s">
        <v>24</v>
      </c>
      <c r="H54" s="0" t="s">
        <v>136</v>
      </c>
      <c r="I54" s="0" t="s">
        <v>137</v>
      </c>
      <c r="J54" s="0" t="s">
        <v>138</v>
      </c>
      <c r="K54" s="0" t="s">
        <v>139</v>
      </c>
      <c r="L54" s="0" t="s">
        <v>140</v>
      </c>
      <c r="M54" s="0" t="s">
        <v>141</v>
      </c>
      <c r="N54" s="6" t="n">
        <v>46125</v>
      </c>
    </row>
    <row r="55" customFormat="false" ht="15" hidden="false" customHeight="false" outlineLevel="0" collapsed="false">
      <c r="B55" s="0" t="n">
        <v>511</v>
      </c>
      <c r="C55" s="0" t="s">
        <v>134</v>
      </c>
      <c r="D55" s="0" t="s">
        <v>1259</v>
      </c>
      <c r="E55" s="0" t="s">
        <v>135</v>
      </c>
      <c r="F55" s="0" t="n">
        <v>1</v>
      </c>
      <c r="G55" s="0" t="s">
        <v>24</v>
      </c>
      <c r="H55" s="0" t="s">
        <v>136</v>
      </c>
      <c r="I55" s="0" t="s">
        <v>137</v>
      </c>
      <c r="J55" s="0" t="s">
        <v>138</v>
      </c>
      <c r="K55" s="0" t="s">
        <v>139</v>
      </c>
      <c r="L55" s="0" t="s">
        <v>140</v>
      </c>
      <c r="M55" s="0" t="s">
        <v>141</v>
      </c>
      <c r="N55" s="6" t="n">
        <v>46125</v>
      </c>
    </row>
    <row r="56" customFormat="false" ht="15" hidden="false" customHeight="false" outlineLevel="0" collapsed="false">
      <c r="B56" s="0" t="n">
        <v>206</v>
      </c>
      <c r="C56" s="0" t="s">
        <v>651</v>
      </c>
      <c r="D56" s="0" t="s">
        <v>1260</v>
      </c>
      <c r="E56" s="0" t="s">
        <v>652</v>
      </c>
      <c r="F56" s="0" t="n">
        <v>3</v>
      </c>
      <c r="G56" s="0" t="s">
        <v>111</v>
      </c>
      <c r="H56" s="0" t="s">
        <v>653</v>
      </c>
      <c r="I56" s="0" t="s">
        <v>654</v>
      </c>
      <c r="J56" s="0" t="s">
        <v>655</v>
      </c>
      <c r="K56" s="0" t="s">
        <v>656</v>
      </c>
      <c r="L56" s="0" t="s">
        <v>657</v>
      </c>
      <c r="M56" s="0" t="s">
        <v>658</v>
      </c>
      <c r="N56" s="6" t="n">
        <v>46125</v>
      </c>
      <c r="Q56" s="0" t="s">
        <v>31</v>
      </c>
    </row>
    <row r="57" customFormat="false" ht="15" hidden="false" customHeight="false" outlineLevel="0" collapsed="false">
      <c r="B57" s="0" t="n">
        <v>157</v>
      </c>
      <c r="C57" s="0" t="s">
        <v>651</v>
      </c>
      <c r="D57" s="0" t="s">
        <v>1257</v>
      </c>
      <c r="E57" s="0" t="s">
        <v>652</v>
      </c>
      <c r="F57" s="0" t="n">
        <v>2</v>
      </c>
      <c r="G57" s="0" t="s">
        <v>111</v>
      </c>
      <c r="H57" s="0" t="s">
        <v>653</v>
      </c>
      <c r="I57" s="0" t="s">
        <v>654</v>
      </c>
      <c r="J57" s="0" t="s">
        <v>655</v>
      </c>
      <c r="K57" s="0" t="s">
        <v>656</v>
      </c>
      <c r="L57" s="0" t="s">
        <v>657</v>
      </c>
      <c r="M57" s="0" t="s">
        <v>658</v>
      </c>
      <c r="N57" s="6" t="n">
        <v>46125</v>
      </c>
      <c r="Q57" s="0" t="s">
        <v>31</v>
      </c>
    </row>
    <row r="58" customFormat="false" ht="15" hidden="false" customHeight="false" outlineLevel="0" collapsed="false">
      <c r="B58" s="0" t="n">
        <v>548</v>
      </c>
      <c r="C58" s="0" t="s">
        <v>51</v>
      </c>
      <c r="D58" s="0" t="s">
        <v>1225</v>
      </c>
      <c r="E58" s="0" t="s">
        <v>52</v>
      </c>
      <c r="F58" s="0" t="n">
        <v>6</v>
      </c>
      <c r="G58" s="0" t="s">
        <v>24</v>
      </c>
      <c r="H58" s="0" t="s">
        <v>53</v>
      </c>
      <c r="I58" s="0" t="s">
        <v>54</v>
      </c>
      <c r="J58" s="0" t="s">
        <v>55</v>
      </c>
      <c r="K58" s="0" t="s">
        <v>56</v>
      </c>
      <c r="L58" s="0" t="s">
        <v>57</v>
      </c>
      <c r="M58" s="0" t="s">
        <v>58</v>
      </c>
      <c r="N58" s="6" t="n">
        <v>46125</v>
      </c>
    </row>
    <row r="59" customFormat="false" ht="15" hidden="false" customHeight="false" outlineLevel="0" collapsed="false">
      <c r="B59" s="0" t="n">
        <v>552</v>
      </c>
      <c r="C59" s="0" t="s">
        <v>117</v>
      </c>
      <c r="D59" s="0" t="s">
        <v>1225</v>
      </c>
      <c r="E59" s="0" t="s">
        <v>118</v>
      </c>
      <c r="F59" s="0" t="n">
        <v>1</v>
      </c>
      <c r="G59" s="0" t="s">
        <v>24</v>
      </c>
      <c r="H59" s="0" t="s">
        <v>119</v>
      </c>
      <c r="I59" s="0" t="s">
        <v>120</v>
      </c>
      <c r="J59" s="0" t="s">
        <v>121</v>
      </c>
      <c r="K59" s="0" t="s">
        <v>122</v>
      </c>
      <c r="L59" s="0" t="s">
        <v>123</v>
      </c>
      <c r="M59" s="0" t="s">
        <v>124</v>
      </c>
      <c r="N59" s="6" t="n">
        <v>46125</v>
      </c>
    </row>
    <row r="60" customFormat="false" ht="15" hidden="false" customHeight="false" outlineLevel="0" collapsed="false">
      <c r="B60" s="0" t="n">
        <v>517</v>
      </c>
      <c r="C60" s="0" t="s">
        <v>667</v>
      </c>
      <c r="D60" s="0" t="s">
        <v>1259</v>
      </c>
      <c r="E60" s="0" t="s">
        <v>668</v>
      </c>
      <c r="F60" s="0" t="n">
        <v>2</v>
      </c>
      <c r="G60" s="0" t="s">
        <v>61</v>
      </c>
      <c r="H60" s="0" t="s">
        <v>669</v>
      </c>
      <c r="I60" s="0" t="s">
        <v>670</v>
      </c>
      <c r="J60" s="0" t="s">
        <v>671</v>
      </c>
      <c r="K60" s="0" t="s">
        <v>672</v>
      </c>
      <c r="L60" s="0" t="s">
        <v>672</v>
      </c>
      <c r="M60" s="0" t="s">
        <v>673</v>
      </c>
      <c r="N60" s="6" t="n">
        <v>46125</v>
      </c>
    </row>
    <row r="61" customFormat="false" ht="15" hidden="false" customHeight="false" outlineLevel="0" collapsed="false">
      <c r="B61" s="0" t="n">
        <v>544</v>
      </c>
      <c r="C61" s="0" t="s">
        <v>502</v>
      </c>
      <c r="D61" s="0" t="s">
        <v>1259</v>
      </c>
      <c r="E61" s="0" t="s">
        <v>503</v>
      </c>
      <c r="F61" s="0" t="n">
        <v>1</v>
      </c>
      <c r="G61" s="0" t="s">
        <v>61</v>
      </c>
      <c r="H61" s="0" t="s">
        <v>504</v>
      </c>
      <c r="I61" s="0" t="s">
        <v>505</v>
      </c>
      <c r="J61" s="0" t="s">
        <v>506</v>
      </c>
      <c r="K61" s="0" t="s">
        <v>283</v>
      </c>
      <c r="L61" s="0" t="s">
        <v>284</v>
      </c>
      <c r="M61" s="0" t="s">
        <v>507</v>
      </c>
      <c r="N61" s="6" t="n">
        <v>46125</v>
      </c>
    </row>
    <row r="62" customFormat="false" ht="15" hidden="false" customHeight="false" outlineLevel="0" collapsed="false">
      <c r="B62" s="0" t="n">
        <v>536</v>
      </c>
      <c r="C62" s="0" t="s">
        <v>383</v>
      </c>
      <c r="D62" s="0" t="s">
        <v>1259</v>
      </c>
      <c r="E62" s="0" t="s">
        <v>384</v>
      </c>
      <c r="F62" s="0" t="n">
        <v>3</v>
      </c>
      <c r="G62" s="0" t="s">
        <v>61</v>
      </c>
      <c r="H62" s="0" t="s">
        <v>385</v>
      </c>
      <c r="I62" s="0" t="s">
        <v>386</v>
      </c>
      <c r="J62" s="0" t="s">
        <v>387</v>
      </c>
      <c r="K62" s="0" t="s">
        <v>388</v>
      </c>
      <c r="L62" s="0" t="s">
        <v>389</v>
      </c>
      <c r="M62" s="0" t="s">
        <v>390</v>
      </c>
      <c r="N62" s="6" t="n">
        <v>46125</v>
      </c>
    </row>
    <row r="63" customFormat="false" ht="15" hidden="false" customHeight="false" outlineLevel="0" collapsed="false">
      <c r="B63" s="0" t="n">
        <v>538</v>
      </c>
      <c r="C63" s="0" t="s">
        <v>431</v>
      </c>
      <c r="D63" s="0" t="s">
        <v>1259</v>
      </c>
      <c r="E63" s="0" t="s">
        <v>432</v>
      </c>
      <c r="F63" s="0" t="n">
        <v>1</v>
      </c>
      <c r="G63" s="0" t="s">
        <v>152</v>
      </c>
      <c r="H63" s="0" t="s">
        <v>433</v>
      </c>
      <c r="I63" s="0" t="s">
        <v>434</v>
      </c>
      <c r="J63" s="0" t="s">
        <v>435</v>
      </c>
      <c r="K63" s="0" t="s">
        <v>436</v>
      </c>
      <c r="L63" s="0" t="s">
        <v>437</v>
      </c>
      <c r="M63" s="0" t="s">
        <v>438</v>
      </c>
      <c r="N63" s="6" t="n">
        <v>46125</v>
      </c>
    </row>
    <row r="64" customFormat="false" ht="15" hidden="false" customHeight="false" outlineLevel="0" collapsed="false">
      <c r="B64" s="0" t="n">
        <v>533</v>
      </c>
      <c r="C64" s="0" t="s">
        <v>366</v>
      </c>
      <c r="D64" s="0" t="s">
        <v>1259</v>
      </c>
      <c r="E64" s="0" t="s">
        <v>367</v>
      </c>
      <c r="F64" s="0" t="n">
        <v>2</v>
      </c>
      <c r="G64" s="0" t="s">
        <v>368</v>
      </c>
      <c r="H64" s="0" t="s">
        <v>369</v>
      </c>
      <c r="I64" s="0" t="s">
        <v>370</v>
      </c>
      <c r="J64" s="0" t="s">
        <v>371</v>
      </c>
      <c r="K64" s="0" t="s">
        <v>372</v>
      </c>
      <c r="L64" s="0" t="s">
        <v>373</v>
      </c>
      <c r="M64" s="0" t="s">
        <v>374</v>
      </c>
      <c r="N64" s="6" t="n">
        <v>46125</v>
      </c>
    </row>
    <row r="65" customFormat="false" ht="15" hidden="false" customHeight="false" outlineLevel="0" collapsed="false">
      <c r="B65" s="0" t="n">
        <v>532</v>
      </c>
      <c r="C65" s="0" t="s">
        <v>802</v>
      </c>
      <c r="D65" s="0" t="s">
        <v>1259</v>
      </c>
      <c r="E65" s="0" t="s">
        <v>803</v>
      </c>
      <c r="F65" s="0" t="n">
        <v>2</v>
      </c>
      <c r="G65" s="0" t="s">
        <v>804</v>
      </c>
      <c r="H65" s="0" t="s">
        <v>805</v>
      </c>
      <c r="I65" s="0" t="s">
        <v>806</v>
      </c>
      <c r="J65" s="0" t="s">
        <v>807</v>
      </c>
      <c r="K65" s="0" t="s">
        <v>808</v>
      </c>
      <c r="L65" s="0" t="s">
        <v>809</v>
      </c>
      <c r="M65" s="0" t="s">
        <v>810</v>
      </c>
      <c r="N65" s="6" t="n">
        <v>46125</v>
      </c>
    </row>
    <row r="66" customFormat="false" ht="30" hidden="false" customHeight="true" outlineLevel="0" collapsed="false">
      <c r="B66" s="2" t="s">
        <v>1270</v>
      </c>
      <c r="C66" s="0" t="s">
        <v>802</v>
      </c>
      <c r="D66" s="0" t="s">
        <v>1257</v>
      </c>
      <c r="E66" s="0" t="s">
        <v>803</v>
      </c>
      <c r="F66" s="0" t="n">
        <v>15</v>
      </c>
      <c r="G66" s="0" t="s">
        <v>804</v>
      </c>
      <c r="H66" s="2" t="s">
        <v>874</v>
      </c>
      <c r="I66" s="2" t="s">
        <v>875</v>
      </c>
      <c r="J66" s="2" t="s">
        <v>876</v>
      </c>
      <c r="K66" s="0" t="s">
        <v>808</v>
      </c>
      <c r="L66" s="2" t="s">
        <v>1271</v>
      </c>
      <c r="M66" s="0" t="s">
        <v>810</v>
      </c>
      <c r="N66" s="6" t="n">
        <v>46125</v>
      </c>
      <c r="Q66" s="0" t="s">
        <v>31</v>
      </c>
    </row>
    <row r="67" customFormat="false" ht="15" hidden="false" customHeight="false" outlineLevel="0" collapsed="false">
      <c r="B67" s="0" t="n">
        <v>546</v>
      </c>
      <c r="C67" s="0" t="s">
        <v>811</v>
      </c>
      <c r="D67" s="0" t="s">
        <v>1225</v>
      </c>
      <c r="E67" s="0" t="s">
        <v>812</v>
      </c>
      <c r="F67" s="0" t="n">
        <v>2</v>
      </c>
      <c r="G67" s="0" t="s">
        <v>813</v>
      </c>
      <c r="H67" s="0" t="s">
        <v>814</v>
      </c>
      <c r="I67" s="0" t="s">
        <v>815</v>
      </c>
      <c r="J67" s="0" t="s">
        <v>816</v>
      </c>
      <c r="K67" s="0" t="s">
        <v>817</v>
      </c>
      <c r="L67" s="0" t="s">
        <v>1149</v>
      </c>
      <c r="M67" s="0" t="s">
        <v>819</v>
      </c>
      <c r="N67" s="6" t="n">
        <v>46125</v>
      </c>
    </row>
    <row r="68" customFormat="false" ht="15" hidden="false" customHeight="false" outlineLevel="0" collapsed="false">
      <c r="B68" s="0" t="n">
        <v>535</v>
      </c>
      <c r="C68" s="0" t="s">
        <v>375</v>
      </c>
      <c r="D68" s="0" t="s">
        <v>1259</v>
      </c>
      <c r="E68" s="0" t="s">
        <v>376</v>
      </c>
      <c r="F68" s="0" t="n">
        <v>1</v>
      </c>
      <c r="G68" s="0" t="s">
        <v>111</v>
      </c>
      <c r="H68" s="0" t="s">
        <v>377</v>
      </c>
      <c r="I68" s="0" t="s">
        <v>378</v>
      </c>
      <c r="J68" s="0" t="s">
        <v>379</v>
      </c>
      <c r="K68" s="0" t="s">
        <v>380</v>
      </c>
      <c r="L68" s="0" t="s">
        <v>381</v>
      </c>
      <c r="M68" s="0" t="s">
        <v>382</v>
      </c>
      <c r="N68" s="6" t="n">
        <v>46125</v>
      </c>
    </row>
    <row r="69" customFormat="false" ht="15" hidden="false" customHeight="false" outlineLevel="0" collapsed="false">
      <c r="B69" s="0" t="n">
        <v>520</v>
      </c>
      <c r="C69" s="0" t="s">
        <v>198</v>
      </c>
      <c r="D69" s="0" t="s">
        <v>1259</v>
      </c>
      <c r="E69" s="0" t="s">
        <v>199</v>
      </c>
      <c r="F69" s="0" t="n">
        <v>1</v>
      </c>
      <c r="G69" s="0" t="s">
        <v>200</v>
      </c>
      <c r="H69" s="0" t="s">
        <v>201</v>
      </c>
      <c r="I69" s="0" t="s">
        <v>202</v>
      </c>
      <c r="J69" s="0" t="s">
        <v>203</v>
      </c>
      <c r="K69" s="0" t="s">
        <v>204</v>
      </c>
      <c r="L69" s="0" t="s">
        <v>205</v>
      </c>
      <c r="M69" s="0" t="s">
        <v>206</v>
      </c>
      <c r="N69" s="6" t="n">
        <v>46125</v>
      </c>
    </row>
    <row r="70" customFormat="false" ht="15" hidden="false" customHeight="false" outlineLevel="0" collapsed="false">
      <c r="B70" s="0" t="n">
        <v>519</v>
      </c>
      <c r="C70" s="0" t="s">
        <v>190</v>
      </c>
      <c r="D70" s="0" t="s">
        <v>1259</v>
      </c>
      <c r="E70" s="0" t="s">
        <v>191</v>
      </c>
      <c r="F70" s="0" t="n">
        <v>1</v>
      </c>
      <c r="G70" s="0" t="s">
        <v>24</v>
      </c>
      <c r="H70" s="0" t="s">
        <v>1272</v>
      </c>
      <c r="I70" s="0" t="s">
        <v>1273</v>
      </c>
      <c r="J70" s="0" t="s">
        <v>1274</v>
      </c>
      <c r="K70" s="0" t="s">
        <v>195</v>
      </c>
      <c r="L70" s="0" t="s">
        <v>1275</v>
      </c>
      <c r="M70" s="0" t="s">
        <v>197</v>
      </c>
      <c r="N70" s="6" t="n">
        <v>46125</v>
      </c>
    </row>
    <row r="71" customFormat="false" ht="90" hidden="false" customHeight="true" outlineLevel="0" collapsed="false">
      <c r="B71" s="2" t="s">
        <v>1276</v>
      </c>
      <c r="C71" s="0" t="s">
        <v>190</v>
      </c>
      <c r="D71" s="0" t="s">
        <v>1260</v>
      </c>
      <c r="E71" s="0" t="s">
        <v>191</v>
      </c>
      <c r="F71" s="0" t="n">
        <v>18</v>
      </c>
      <c r="G71" s="0" t="s">
        <v>24</v>
      </c>
      <c r="H71" s="2" t="s">
        <v>1277</v>
      </c>
      <c r="I71" s="2" t="s">
        <v>1278</v>
      </c>
      <c r="J71" s="2" t="s">
        <v>1279</v>
      </c>
      <c r="K71" s="0" t="s">
        <v>195</v>
      </c>
      <c r="L71" s="2" t="s">
        <v>1280</v>
      </c>
      <c r="M71" s="0" t="s">
        <v>197</v>
      </c>
      <c r="N71" s="6" t="n">
        <v>46125</v>
      </c>
      <c r="Q71" s="0" t="s">
        <v>31</v>
      </c>
    </row>
    <row r="72" customFormat="false" ht="30" hidden="false" customHeight="true" outlineLevel="0" collapsed="false">
      <c r="B72" s="2" t="s">
        <v>1281</v>
      </c>
      <c r="C72" s="0" t="s">
        <v>190</v>
      </c>
      <c r="D72" s="0" t="s">
        <v>1257</v>
      </c>
      <c r="E72" s="0" t="s">
        <v>191</v>
      </c>
      <c r="F72" s="0" t="n">
        <v>2</v>
      </c>
      <c r="G72" s="0" t="s">
        <v>24</v>
      </c>
      <c r="H72" s="2" t="s">
        <v>1282</v>
      </c>
      <c r="I72" s="2" t="s">
        <v>1283</v>
      </c>
      <c r="J72" s="2" t="s">
        <v>1284</v>
      </c>
      <c r="K72" s="0" t="s">
        <v>195</v>
      </c>
      <c r="L72" s="2" t="s">
        <v>1285</v>
      </c>
      <c r="M72" s="0" t="s">
        <v>197</v>
      </c>
      <c r="N72" s="6" t="n">
        <v>46125</v>
      </c>
      <c r="Q72" s="0" t="s">
        <v>31</v>
      </c>
    </row>
    <row r="73" customFormat="false" ht="30" hidden="false" customHeight="true" outlineLevel="0" collapsed="false">
      <c r="B73" s="0" t="n">
        <v>523</v>
      </c>
      <c r="C73" s="0" t="s">
        <v>231</v>
      </c>
      <c r="D73" s="0" t="s">
        <v>1259</v>
      </c>
      <c r="E73" s="0" t="s">
        <v>232</v>
      </c>
      <c r="F73" s="0" t="n">
        <v>2</v>
      </c>
      <c r="G73" s="0" t="s">
        <v>61</v>
      </c>
      <c r="H73" s="2" t="s">
        <v>233</v>
      </c>
      <c r="I73" s="2" t="s">
        <v>234</v>
      </c>
      <c r="J73" s="2" t="s">
        <v>235</v>
      </c>
      <c r="K73" s="0" t="s">
        <v>236</v>
      </c>
      <c r="L73" s="0" t="s">
        <v>891</v>
      </c>
      <c r="M73" s="0" t="s">
        <v>238</v>
      </c>
      <c r="N73" s="6" t="n">
        <v>46125</v>
      </c>
    </row>
    <row r="74" customFormat="false" ht="30" hidden="false" customHeight="true" outlineLevel="0" collapsed="false">
      <c r="B74" s="2" t="s">
        <v>1286</v>
      </c>
      <c r="C74" s="0" t="s">
        <v>255</v>
      </c>
      <c r="D74" s="0" t="s">
        <v>1260</v>
      </c>
      <c r="E74" s="0" t="s">
        <v>256</v>
      </c>
      <c r="F74" s="0" t="n">
        <v>3</v>
      </c>
      <c r="G74" s="0" t="s">
        <v>61</v>
      </c>
      <c r="H74" s="2" t="s">
        <v>1287</v>
      </c>
      <c r="I74" s="2" t="s">
        <v>1288</v>
      </c>
      <c r="J74" s="2" t="s">
        <v>1289</v>
      </c>
      <c r="K74" s="0" t="s">
        <v>260</v>
      </c>
      <c r="L74" s="2" t="s">
        <v>1290</v>
      </c>
      <c r="M74" s="0" t="s">
        <v>262</v>
      </c>
      <c r="N74" s="6" t="n">
        <v>46125</v>
      </c>
      <c r="Q74" s="0" t="s">
        <v>31</v>
      </c>
    </row>
    <row r="75" customFormat="false" ht="30" hidden="false" customHeight="true" outlineLevel="0" collapsed="false">
      <c r="B75" s="0" t="n">
        <v>155</v>
      </c>
      <c r="C75" s="0" t="s">
        <v>255</v>
      </c>
      <c r="D75" s="0" t="s">
        <v>1257</v>
      </c>
      <c r="E75" s="0" t="s">
        <v>256</v>
      </c>
      <c r="F75" s="0" t="n">
        <v>1</v>
      </c>
      <c r="G75" s="0" t="s">
        <v>61</v>
      </c>
      <c r="H75" s="0" t="s">
        <v>1291</v>
      </c>
      <c r="I75" s="0" t="s">
        <v>1292</v>
      </c>
      <c r="J75" s="2" t="s">
        <v>1293</v>
      </c>
      <c r="K75" s="0" t="s">
        <v>260</v>
      </c>
      <c r="L75" s="0" t="s">
        <v>1294</v>
      </c>
      <c r="M75" s="0" t="s">
        <v>262</v>
      </c>
      <c r="N75" s="6" t="n">
        <v>46125</v>
      </c>
      <c r="Q75" s="0" t="s">
        <v>31</v>
      </c>
    </row>
    <row r="76" customFormat="false" ht="15" hidden="false" customHeight="false" outlineLevel="0" collapsed="false">
      <c r="B76" s="0" t="n">
        <v>510</v>
      </c>
      <c r="C76" s="0" t="s">
        <v>125</v>
      </c>
      <c r="D76" s="0" t="s">
        <v>1259</v>
      </c>
      <c r="E76" s="0" t="s">
        <v>126</v>
      </c>
      <c r="F76" s="0" t="n">
        <v>1</v>
      </c>
      <c r="G76" s="0" t="s">
        <v>127</v>
      </c>
      <c r="H76" s="0" t="s">
        <v>128</v>
      </c>
      <c r="I76" s="0" t="s">
        <v>129</v>
      </c>
      <c r="J76" s="0" t="s">
        <v>130</v>
      </c>
      <c r="K76" s="0" t="s">
        <v>131</v>
      </c>
      <c r="L76" s="0" t="s">
        <v>132</v>
      </c>
      <c r="M76" s="0" t="s">
        <v>133</v>
      </c>
      <c r="N76" s="6" t="n">
        <v>46125</v>
      </c>
    </row>
    <row r="77" customFormat="false" ht="15" hidden="false" customHeight="false" outlineLevel="0" collapsed="false">
      <c r="B77" s="0" t="n">
        <v>220</v>
      </c>
      <c r="C77" s="0" t="s">
        <v>734</v>
      </c>
      <c r="D77" s="0" t="s">
        <v>1260</v>
      </c>
      <c r="E77" s="0" t="s">
        <v>735</v>
      </c>
      <c r="F77" s="0" t="n">
        <v>3</v>
      </c>
      <c r="G77" s="0" t="s">
        <v>736</v>
      </c>
      <c r="H77" s="0" t="s">
        <v>737</v>
      </c>
      <c r="I77" s="0" t="s">
        <v>738</v>
      </c>
      <c r="J77" s="0" t="s">
        <v>739</v>
      </c>
      <c r="K77" s="0" t="s">
        <v>740</v>
      </c>
      <c r="L77" s="0" t="s">
        <v>741</v>
      </c>
      <c r="M77" s="0" t="s">
        <v>742</v>
      </c>
      <c r="N77" s="6" t="n">
        <v>46125</v>
      </c>
      <c r="Q77" s="0" t="s">
        <v>31</v>
      </c>
    </row>
    <row r="78" customFormat="false" ht="30" hidden="false" customHeight="true" outlineLevel="0" collapsed="false">
      <c r="B78" s="2" t="s">
        <v>1295</v>
      </c>
      <c r="C78" s="0" t="s">
        <v>734</v>
      </c>
      <c r="D78" s="0" t="s">
        <v>1257</v>
      </c>
      <c r="E78" s="0" t="s">
        <v>735</v>
      </c>
      <c r="F78" s="0" t="n">
        <v>6</v>
      </c>
      <c r="G78" s="0" t="s">
        <v>736</v>
      </c>
      <c r="H78" s="0" t="s">
        <v>737</v>
      </c>
      <c r="I78" s="0" t="s">
        <v>738</v>
      </c>
      <c r="J78" s="0" t="s">
        <v>739</v>
      </c>
      <c r="K78" s="0" t="s">
        <v>740</v>
      </c>
      <c r="L78" s="2" t="s">
        <v>1296</v>
      </c>
      <c r="M78" s="0" t="s">
        <v>742</v>
      </c>
      <c r="N78" s="6" t="n">
        <v>46125</v>
      </c>
      <c r="Q78" s="0" t="s">
        <v>31</v>
      </c>
    </row>
    <row r="79" customFormat="false" ht="15" hidden="false" customHeight="false" outlineLevel="0" collapsed="false">
      <c r="B79" s="0" t="n">
        <v>518</v>
      </c>
      <c r="C79" s="0" t="s">
        <v>182</v>
      </c>
      <c r="D79" s="0" t="s">
        <v>1259</v>
      </c>
      <c r="E79" s="0" t="s">
        <v>183</v>
      </c>
      <c r="F79" s="0" t="n">
        <v>1</v>
      </c>
      <c r="G79" s="0" t="s">
        <v>111</v>
      </c>
      <c r="H79" s="0" t="s">
        <v>184</v>
      </c>
      <c r="I79" s="0" t="s">
        <v>185</v>
      </c>
      <c r="J79" s="0" t="s">
        <v>186</v>
      </c>
      <c r="K79" s="0" t="s">
        <v>187</v>
      </c>
      <c r="L79" s="0" t="s">
        <v>188</v>
      </c>
      <c r="M79" s="0" t="s">
        <v>189</v>
      </c>
      <c r="N79" s="6" t="n">
        <v>46125</v>
      </c>
    </row>
    <row r="80" customFormat="false" ht="15" hidden="false" customHeight="false" outlineLevel="0" collapsed="false">
      <c r="B80" s="0" t="n">
        <v>522</v>
      </c>
      <c r="C80" s="0" t="s">
        <v>223</v>
      </c>
      <c r="D80" s="0" t="s">
        <v>1259</v>
      </c>
      <c r="E80" s="0" t="s">
        <v>224</v>
      </c>
      <c r="F80" s="0" t="n">
        <v>1</v>
      </c>
      <c r="G80" s="0" t="s">
        <v>61</v>
      </c>
      <c r="H80" s="0" t="s">
        <v>225</v>
      </c>
      <c r="I80" s="0" t="s">
        <v>226</v>
      </c>
      <c r="J80" s="0" t="s">
        <v>227</v>
      </c>
      <c r="K80" s="0" t="s">
        <v>228</v>
      </c>
      <c r="L80" s="0" t="s">
        <v>229</v>
      </c>
      <c r="M80" s="0" t="s">
        <v>230</v>
      </c>
      <c r="N80" s="6" t="n">
        <v>46125</v>
      </c>
    </row>
    <row r="81" customFormat="false" ht="15" hidden="false" customHeight="false" outlineLevel="0" collapsed="false">
      <c r="B81" s="0" t="n">
        <v>527</v>
      </c>
      <c r="C81" s="0" t="s">
        <v>294</v>
      </c>
      <c r="D81" s="0" t="s">
        <v>1259</v>
      </c>
      <c r="E81" s="0" t="s">
        <v>295</v>
      </c>
      <c r="F81" s="0" t="n">
        <v>2</v>
      </c>
      <c r="G81" s="0" t="s">
        <v>61</v>
      </c>
      <c r="H81" s="0" t="s">
        <v>908</v>
      </c>
      <c r="I81" s="0" t="s">
        <v>909</v>
      </c>
      <c r="J81" s="0" t="s">
        <v>910</v>
      </c>
      <c r="K81" s="0" t="s">
        <v>299</v>
      </c>
      <c r="L81" s="0" t="s">
        <v>300</v>
      </c>
      <c r="M81" s="0" t="s">
        <v>301</v>
      </c>
      <c r="N81" s="6" t="n">
        <v>46125</v>
      </c>
    </row>
    <row r="82" customFormat="false" ht="15" hidden="false" customHeight="false" outlineLevel="0" collapsed="false">
      <c r="F82" s="0" t="n">
        <f aca="false">SUBTOTAL(109,Table17[Kom.])</f>
        <v>242</v>
      </c>
      <c r="N82" s="6"/>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107" activePane="bottomLeft" state="frozen"/>
      <selection pane="topLeft" activeCell="A1" activeCellId="0" sqref="A1"/>
      <selection pane="bottomLeft" activeCell="E127" activeCellId="0" sqref="E127"/>
    </sheetView>
  </sheetViews>
  <sheetFormatPr defaultColWidth="8.859375" defaultRowHeight="15" zeroHeight="false" outlineLevelRow="0" outlineLevelCol="0"/>
  <cols>
    <col collapsed="false" customWidth="true" hidden="false" outlineLevel="0" max="1" min="1" style="0" width="94"/>
    <col collapsed="false" customWidth="true" hidden="false" outlineLevel="0" max="2" min="2" style="0" width="16.85"/>
    <col collapsed="false" customWidth="true" hidden="false" outlineLevel="0" max="3" min="3" style="0" width="9.14"/>
    <col collapsed="false" customWidth="true" hidden="false" outlineLevel="0" max="4" min="4" style="0" width="8.14"/>
    <col collapsed="false" customWidth="true" hidden="false" outlineLevel="0" max="5" min="5" style="0" width="9.14"/>
    <col collapsed="false" customWidth="true" hidden="false" outlineLevel="0" max="8" min="8" style="0" width="8.14"/>
    <col collapsed="false" customWidth="true" hidden="false" outlineLevel="0" max="9" min="9" style="0" width="9.14"/>
    <col collapsed="false" customWidth="true" hidden="false" outlineLevel="0" max="10" min="10" style="0" width="7.28"/>
    <col collapsed="false" customWidth="true" hidden="false" outlineLevel="0" max="11" min="11" style="0" width="8.14"/>
    <col collapsed="false" customWidth="true" hidden="false" outlineLevel="0" max="12" min="12" style="0" width="9.14"/>
    <col collapsed="false" customWidth="true" hidden="false" outlineLevel="0" max="14" min="13" style="0" width="11.28"/>
  </cols>
  <sheetData>
    <row r="1" customFormat="false" ht="15" hidden="false" customHeight="false" outlineLevel="0" collapsed="false">
      <c r="A1" s="10" t="s">
        <v>6</v>
      </c>
      <c r="B1" s="11" t="s">
        <v>911</v>
      </c>
    </row>
    <row r="3" customFormat="false" ht="15" hidden="false" customHeight="false" outlineLevel="0" collapsed="false">
      <c r="A3" s="12" t="s">
        <v>912</v>
      </c>
      <c r="B3" s="13"/>
      <c r="C3" s="14" t="s">
        <v>16</v>
      </c>
      <c r="D3" s="15"/>
      <c r="E3" s="15"/>
      <c r="F3" s="15"/>
      <c r="G3" s="15"/>
      <c r="H3" s="15"/>
      <c r="I3" s="15"/>
      <c r="J3" s="15"/>
      <c r="K3" s="15"/>
      <c r="L3" s="15"/>
      <c r="M3" s="15"/>
      <c r="N3" s="16"/>
    </row>
    <row r="4" customFormat="false" ht="15" hidden="false" customHeight="false" outlineLevel="0" collapsed="false">
      <c r="A4" s="17" t="s">
        <v>8</v>
      </c>
      <c r="B4" s="18" t="s">
        <v>5</v>
      </c>
      <c r="C4" s="19" t="n">
        <v>46104</v>
      </c>
      <c r="D4" s="20" t="n">
        <v>46111</v>
      </c>
      <c r="E4" s="20" t="n">
        <v>46119</v>
      </c>
      <c r="F4" s="20" t="n">
        <v>46125</v>
      </c>
      <c r="G4" s="20" t="n">
        <v>46132</v>
      </c>
      <c r="H4" s="20" t="n">
        <v>46139</v>
      </c>
      <c r="I4" s="20" t="n">
        <v>46146</v>
      </c>
      <c r="J4" s="20" t="n">
        <v>46153</v>
      </c>
      <c r="K4" s="20" t="s">
        <v>913</v>
      </c>
      <c r="L4" s="20" t="n">
        <v>46181</v>
      </c>
      <c r="M4" s="20" t="n">
        <v>46160</v>
      </c>
      <c r="N4" s="21" t="s">
        <v>914</v>
      </c>
    </row>
    <row r="5" customFormat="false" ht="15" hidden="false" customHeight="false" outlineLevel="0" collapsed="false">
      <c r="A5" s="22" t="s">
        <v>637</v>
      </c>
      <c r="B5" s="23"/>
      <c r="C5" s="24"/>
      <c r="D5" s="26"/>
      <c r="E5" s="26"/>
      <c r="F5" s="26"/>
      <c r="G5" s="25" t="n">
        <v>2</v>
      </c>
      <c r="H5" s="25" t="n">
        <v>3</v>
      </c>
      <c r="I5" s="26"/>
      <c r="J5" s="26"/>
      <c r="K5" s="26"/>
      <c r="L5" s="26"/>
      <c r="M5" s="27"/>
      <c r="N5" s="28" t="n">
        <v>5</v>
      </c>
    </row>
    <row r="6" customFormat="false" ht="15" hidden="false" customHeight="false" outlineLevel="0" collapsed="false">
      <c r="A6" s="29"/>
      <c r="B6" s="30" t="s">
        <v>636</v>
      </c>
      <c r="C6" s="31"/>
      <c r="D6" s="33"/>
      <c r="E6" s="33"/>
      <c r="F6" s="33"/>
      <c r="G6" s="32" t="n">
        <v>2</v>
      </c>
      <c r="H6" s="32" t="n">
        <v>3</v>
      </c>
      <c r="I6" s="33"/>
      <c r="J6" s="33"/>
      <c r="K6" s="33"/>
      <c r="L6" s="33"/>
      <c r="M6" s="34"/>
      <c r="N6" s="35" t="n">
        <v>5</v>
      </c>
    </row>
    <row r="7" customFormat="false" ht="15" hidden="false" customHeight="false" outlineLevel="0" collapsed="false">
      <c r="A7" s="22" t="s">
        <v>813</v>
      </c>
      <c r="B7" s="23"/>
      <c r="C7" s="26"/>
      <c r="D7" s="26"/>
      <c r="E7" s="25" t="n">
        <v>41</v>
      </c>
      <c r="F7" s="25" t="n">
        <v>2</v>
      </c>
      <c r="G7" s="26"/>
      <c r="H7" s="25" t="n">
        <v>3</v>
      </c>
      <c r="I7" s="26"/>
      <c r="J7" s="25" t="n">
        <v>51</v>
      </c>
      <c r="K7" s="26"/>
      <c r="L7" s="26"/>
      <c r="M7" s="25" t="n">
        <v>10</v>
      </c>
      <c r="N7" s="28" t="n">
        <v>107</v>
      </c>
    </row>
    <row r="8" customFormat="false" ht="15" hidden="false" customHeight="false" outlineLevel="0" collapsed="false">
      <c r="A8" s="29"/>
      <c r="B8" s="30" t="s">
        <v>812</v>
      </c>
      <c r="C8" s="33"/>
      <c r="D8" s="33"/>
      <c r="E8" s="32" t="n">
        <v>41</v>
      </c>
      <c r="F8" s="32" t="n">
        <v>2</v>
      </c>
      <c r="G8" s="33"/>
      <c r="H8" s="32" t="n">
        <v>3</v>
      </c>
      <c r="I8" s="33"/>
      <c r="J8" s="32" t="n">
        <v>51</v>
      </c>
      <c r="K8" s="33"/>
      <c r="L8" s="33"/>
      <c r="M8" s="32" t="n">
        <v>10</v>
      </c>
      <c r="N8" s="35" t="n">
        <v>107</v>
      </c>
    </row>
    <row r="9" customFormat="false" ht="15" hidden="false" customHeight="false" outlineLevel="0" collapsed="false">
      <c r="A9" s="22" t="s">
        <v>784</v>
      </c>
      <c r="B9" s="23"/>
      <c r="C9" s="24"/>
      <c r="D9" s="26"/>
      <c r="E9" s="25" t="n">
        <v>2</v>
      </c>
      <c r="F9" s="25" t="n">
        <v>1</v>
      </c>
      <c r="G9" s="26"/>
      <c r="H9" s="26"/>
      <c r="I9" s="26"/>
      <c r="J9" s="25" t="n">
        <v>1</v>
      </c>
      <c r="K9" s="26"/>
      <c r="L9" s="26"/>
      <c r="M9" s="27"/>
      <c r="N9" s="28" t="n">
        <v>4</v>
      </c>
    </row>
    <row r="10" customFormat="false" ht="15" hidden="false" customHeight="false" outlineLevel="0" collapsed="false">
      <c r="A10" s="29"/>
      <c r="B10" s="30" t="s">
        <v>783</v>
      </c>
      <c r="C10" s="31"/>
      <c r="D10" s="33"/>
      <c r="E10" s="32" t="n">
        <v>2</v>
      </c>
      <c r="F10" s="32" t="n">
        <v>1</v>
      </c>
      <c r="G10" s="33"/>
      <c r="H10" s="33"/>
      <c r="I10" s="33"/>
      <c r="J10" s="32" t="n">
        <v>1</v>
      </c>
      <c r="K10" s="33"/>
      <c r="L10" s="33"/>
      <c r="M10" s="34"/>
      <c r="N10" s="35" t="n">
        <v>4</v>
      </c>
    </row>
    <row r="11" customFormat="false" ht="15" hidden="false" customHeight="false" outlineLevel="0" collapsed="false">
      <c r="A11" s="22" t="s">
        <v>717</v>
      </c>
      <c r="B11" s="23"/>
      <c r="C11" s="26"/>
      <c r="D11" s="26"/>
      <c r="E11" s="25" t="n">
        <v>1</v>
      </c>
      <c r="F11" s="26"/>
      <c r="G11" s="26"/>
      <c r="H11" s="25" t="n">
        <v>1</v>
      </c>
      <c r="I11" s="26"/>
      <c r="J11" s="26"/>
      <c r="K11" s="26"/>
      <c r="L11" s="26"/>
      <c r="M11" s="26"/>
      <c r="N11" s="28" t="n">
        <v>2</v>
      </c>
    </row>
    <row r="12" customFormat="false" ht="15" hidden="false" customHeight="false" outlineLevel="0" collapsed="false">
      <c r="A12" s="29"/>
      <c r="B12" s="30" t="s">
        <v>716</v>
      </c>
      <c r="C12" s="33"/>
      <c r="D12" s="33"/>
      <c r="E12" s="32" t="n">
        <v>1</v>
      </c>
      <c r="F12" s="33"/>
      <c r="G12" s="33"/>
      <c r="H12" s="32" t="n">
        <v>1</v>
      </c>
      <c r="I12" s="33"/>
      <c r="J12" s="33"/>
      <c r="K12" s="33"/>
      <c r="L12" s="33"/>
      <c r="M12" s="33"/>
      <c r="N12" s="35" t="n">
        <v>2</v>
      </c>
    </row>
    <row r="13" customFormat="false" ht="15" hidden="false" customHeight="false" outlineLevel="0" collapsed="false">
      <c r="A13" s="22" t="s">
        <v>573</v>
      </c>
      <c r="B13" s="23"/>
      <c r="C13" s="36" t="n">
        <v>3</v>
      </c>
      <c r="D13" s="25" t="n">
        <v>2</v>
      </c>
      <c r="E13" s="25" t="n">
        <v>2</v>
      </c>
      <c r="F13" s="25" t="n">
        <v>2</v>
      </c>
      <c r="G13" s="25" t="n">
        <v>8</v>
      </c>
      <c r="H13" s="25" t="n">
        <v>2</v>
      </c>
      <c r="I13" s="26"/>
      <c r="J13" s="26"/>
      <c r="K13" s="26"/>
      <c r="L13" s="26"/>
      <c r="M13" s="37" t="n">
        <v>1</v>
      </c>
      <c r="N13" s="28" t="n">
        <v>20</v>
      </c>
    </row>
    <row r="14" customFormat="false" ht="15" hidden="false" customHeight="false" outlineLevel="0" collapsed="false">
      <c r="A14" s="29"/>
      <c r="B14" s="30" t="s">
        <v>572</v>
      </c>
      <c r="C14" s="47" t="n">
        <v>3</v>
      </c>
      <c r="D14" s="32" t="n">
        <v>2</v>
      </c>
      <c r="E14" s="32" t="n">
        <v>2</v>
      </c>
      <c r="F14" s="32" t="n">
        <v>2</v>
      </c>
      <c r="G14" s="32" t="n">
        <v>8</v>
      </c>
      <c r="H14" s="32" t="n">
        <v>2</v>
      </c>
      <c r="I14" s="33"/>
      <c r="J14" s="33"/>
      <c r="K14" s="33"/>
      <c r="L14" s="33"/>
      <c r="M14" s="48" t="n">
        <v>1</v>
      </c>
      <c r="N14" s="35" t="n">
        <v>20</v>
      </c>
    </row>
    <row r="15" customFormat="false" ht="15" hidden="false" customHeight="false" outlineLevel="0" collapsed="false">
      <c r="A15" s="22" t="s">
        <v>736</v>
      </c>
      <c r="B15" s="23"/>
      <c r="C15" s="26"/>
      <c r="D15" s="26"/>
      <c r="E15" s="26"/>
      <c r="F15" s="25" t="n">
        <v>9</v>
      </c>
      <c r="G15" s="25" t="n">
        <v>1</v>
      </c>
      <c r="H15" s="25" t="n">
        <v>1</v>
      </c>
      <c r="I15" s="26"/>
      <c r="J15" s="26"/>
      <c r="K15" s="26"/>
      <c r="L15" s="26"/>
      <c r="M15" s="26"/>
      <c r="N15" s="28" t="n">
        <v>11</v>
      </c>
    </row>
    <row r="16" customFormat="false" ht="15" hidden="false" customHeight="false" outlineLevel="0" collapsed="false">
      <c r="A16" s="29"/>
      <c r="B16" s="30" t="s">
        <v>735</v>
      </c>
      <c r="C16" s="33"/>
      <c r="D16" s="33"/>
      <c r="E16" s="33"/>
      <c r="F16" s="32" t="n">
        <v>9</v>
      </c>
      <c r="G16" s="32" t="n">
        <v>1</v>
      </c>
      <c r="H16" s="32" t="n">
        <v>1</v>
      </c>
      <c r="I16" s="33"/>
      <c r="J16" s="33"/>
      <c r="K16" s="33"/>
      <c r="L16" s="33"/>
      <c r="M16" s="33"/>
      <c r="N16" s="35" t="n">
        <v>11</v>
      </c>
    </row>
    <row r="17" customFormat="false" ht="15" hidden="false" customHeight="false" outlineLevel="0" collapsed="false">
      <c r="A17" s="22" t="s">
        <v>901</v>
      </c>
      <c r="B17" s="23"/>
      <c r="C17" s="24"/>
      <c r="D17" s="26"/>
      <c r="E17" s="25" t="n">
        <v>1</v>
      </c>
      <c r="F17" s="26"/>
      <c r="G17" s="25" t="n">
        <v>1</v>
      </c>
      <c r="H17" s="26"/>
      <c r="I17" s="26"/>
      <c r="J17" s="25" t="n">
        <v>1</v>
      </c>
      <c r="K17" s="26"/>
      <c r="L17" s="26"/>
      <c r="M17" s="27"/>
      <c r="N17" s="28" t="n">
        <v>3</v>
      </c>
    </row>
    <row r="18" customFormat="false" ht="15" hidden="false" customHeight="false" outlineLevel="0" collapsed="false">
      <c r="A18" s="29"/>
      <c r="B18" s="30" t="s">
        <v>900</v>
      </c>
      <c r="C18" s="31"/>
      <c r="D18" s="33"/>
      <c r="E18" s="32" t="n">
        <v>1</v>
      </c>
      <c r="F18" s="33"/>
      <c r="G18" s="32" t="n">
        <v>1</v>
      </c>
      <c r="H18" s="33"/>
      <c r="I18" s="33"/>
      <c r="J18" s="32" t="n">
        <v>1</v>
      </c>
      <c r="K18" s="33"/>
      <c r="L18" s="33"/>
      <c r="M18" s="34"/>
      <c r="N18" s="35" t="n">
        <v>3</v>
      </c>
    </row>
    <row r="19" customFormat="false" ht="15" hidden="false" customHeight="false" outlineLevel="0" collapsed="false">
      <c r="A19" s="22" t="s">
        <v>804</v>
      </c>
      <c r="B19" s="23"/>
      <c r="C19" s="25" t="n">
        <v>20</v>
      </c>
      <c r="D19" s="25" t="n">
        <v>1</v>
      </c>
      <c r="E19" s="25" t="n">
        <v>18</v>
      </c>
      <c r="F19" s="25" t="n">
        <v>17</v>
      </c>
      <c r="G19" s="26"/>
      <c r="H19" s="25" t="n">
        <v>15</v>
      </c>
      <c r="I19" s="26"/>
      <c r="J19" s="25" t="n">
        <v>3</v>
      </c>
      <c r="K19" s="26"/>
      <c r="L19" s="26"/>
      <c r="M19" s="25" t="n">
        <v>20</v>
      </c>
      <c r="N19" s="28" t="n">
        <v>94</v>
      </c>
    </row>
    <row r="20" customFormat="false" ht="15" hidden="false" customHeight="false" outlineLevel="0" collapsed="false">
      <c r="A20" s="29"/>
      <c r="B20" s="30" t="s">
        <v>803</v>
      </c>
      <c r="C20" s="32" t="n">
        <v>20</v>
      </c>
      <c r="D20" s="32" t="n">
        <v>1</v>
      </c>
      <c r="E20" s="32" t="n">
        <v>18</v>
      </c>
      <c r="F20" s="32" t="n">
        <v>17</v>
      </c>
      <c r="G20" s="33"/>
      <c r="H20" s="32" t="n">
        <v>15</v>
      </c>
      <c r="I20" s="33"/>
      <c r="J20" s="32" t="n">
        <v>3</v>
      </c>
      <c r="K20" s="33"/>
      <c r="L20" s="33"/>
      <c r="M20" s="32" t="n">
        <v>20</v>
      </c>
      <c r="N20" s="35" t="n">
        <v>94</v>
      </c>
    </row>
    <row r="21" customFormat="false" ht="15" hidden="false" customHeight="false" outlineLevel="0" collapsed="false">
      <c r="A21" s="22" t="s">
        <v>727</v>
      </c>
      <c r="B21" s="23"/>
      <c r="C21" s="36" t="n">
        <v>2</v>
      </c>
      <c r="D21" s="26"/>
      <c r="E21" s="26"/>
      <c r="F21" s="26"/>
      <c r="G21" s="26"/>
      <c r="H21" s="25" t="n">
        <v>1</v>
      </c>
      <c r="I21" s="25" t="n">
        <v>1</v>
      </c>
      <c r="J21" s="26"/>
      <c r="K21" s="26"/>
      <c r="L21" s="26"/>
      <c r="M21" s="37" t="n">
        <v>1</v>
      </c>
      <c r="N21" s="28" t="n">
        <v>5</v>
      </c>
    </row>
    <row r="22" customFormat="false" ht="15" hidden="false" customHeight="false" outlineLevel="0" collapsed="false">
      <c r="A22" s="29"/>
      <c r="B22" s="30" t="s">
        <v>726</v>
      </c>
      <c r="C22" s="47" t="n">
        <v>2</v>
      </c>
      <c r="D22" s="33"/>
      <c r="E22" s="33"/>
      <c r="F22" s="33"/>
      <c r="G22" s="33"/>
      <c r="H22" s="32" t="n">
        <v>1</v>
      </c>
      <c r="I22" s="32" t="n">
        <v>1</v>
      </c>
      <c r="J22" s="33"/>
      <c r="K22" s="33"/>
      <c r="L22" s="33"/>
      <c r="M22" s="48" t="n">
        <v>1</v>
      </c>
      <c r="N22" s="35" t="n">
        <v>5</v>
      </c>
    </row>
    <row r="23" customFormat="false" ht="15" hidden="false" customHeight="false" outlineLevel="0" collapsed="false">
      <c r="A23" s="22" t="s">
        <v>417</v>
      </c>
      <c r="B23" s="23"/>
      <c r="C23" s="25" t="n">
        <v>1</v>
      </c>
      <c r="D23" s="26"/>
      <c r="E23" s="25" t="n">
        <v>4</v>
      </c>
      <c r="F23" s="26"/>
      <c r="G23" s="26"/>
      <c r="H23" s="25" t="n">
        <v>5</v>
      </c>
      <c r="I23" s="26"/>
      <c r="J23" s="26"/>
      <c r="K23" s="26"/>
      <c r="L23" s="26"/>
      <c r="M23" s="25" t="n">
        <v>5</v>
      </c>
      <c r="N23" s="28" t="n">
        <v>15</v>
      </c>
    </row>
    <row r="24" customFormat="false" ht="15" hidden="false" customHeight="false" outlineLevel="0" collapsed="false">
      <c r="A24" s="29"/>
      <c r="B24" s="30" t="s">
        <v>416</v>
      </c>
      <c r="C24" s="32" t="n">
        <v>1</v>
      </c>
      <c r="D24" s="33"/>
      <c r="E24" s="32" t="n">
        <v>4</v>
      </c>
      <c r="F24" s="33"/>
      <c r="G24" s="33"/>
      <c r="H24" s="32" t="n">
        <v>5</v>
      </c>
      <c r="I24" s="33"/>
      <c r="J24" s="33"/>
      <c r="K24" s="33"/>
      <c r="L24" s="33"/>
      <c r="M24" s="32" t="n">
        <v>5</v>
      </c>
      <c r="N24" s="35" t="n">
        <v>15</v>
      </c>
    </row>
    <row r="25" customFormat="false" ht="15" hidden="false" customHeight="false" outlineLevel="0" collapsed="false">
      <c r="A25" s="22" t="s">
        <v>152</v>
      </c>
      <c r="B25" s="23"/>
      <c r="C25" s="36" t="n">
        <v>26</v>
      </c>
      <c r="D25" s="25" t="n">
        <v>8</v>
      </c>
      <c r="E25" s="25" t="n">
        <v>30</v>
      </c>
      <c r="F25" s="25" t="n">
        <v>13</v>
      </c>
      <c r="G25" s="25" t="n">
        <v>13</v>
      </c>
      <c r="H25" s="25" t="n">
        <v>47</v>
      </c>
      <c r="I25" s="26"/>
      <c r="J25" s="25" t="n">
        <v>10</v>
      </c>
      <c r="K25" s="26"/>
      <c r="L25" s="26"/>
      <c r="M25" s="37" t="n">
        <v>20</v>
      </c>
      <c r="N25" s="28" t="n">
        <v>167</v>
      </c>
    </row>
    <row r="26" customFormat="false" ht="15" hidden="false" customHeight="false" outlineLevel="0" collapsed="false">
      <c r="A26" s="38"/>
      <c r="B26" s="39" t="s">
        <v>915</v>
      </c>
      <c r="C26" s="40"/>
      <c r="D26" s="41"/>
      <c r="E26" s="42" t="n">
        <v>1</v>
      </c>
      <c r="F26" s="41"/>
      <c r="G26" s="42" t="n">
        <v>1</v>
      </c>
      <c r="H26" s="42" t="n">
        <v>2</v>
      </c>
      <c r="I26" s="41"/>
      <c r="J26" s="42" t="n">
        <v>1</v>
      </c>
      <c r="K26" s="41"/>
      <c r="L26" s="41"/>
      <c r="M26" s="43"/>
      <c r="N26" s="44" t="n">
        <v>5</v>
      </c>
    </row>
    <row r="27" customFormat="false" ht="15" hidden="false" customHeight="false" outlineLevel="0" collapsed="false">
      <c r="A27" s="38"/>
      <c r="B27" s="39" t="s">
        <v>311</v>
      </c>
      <c r="C27" s="45" t="n">
        <v>1</v>
      </c>
      <c r="D27" s="41"/>
      <c r="E27" s="42" t="n">
        <v>2</v>
      </c>
      <c r="F27" s="42" t="n">
        <v>1</v>
      </c>
      <c r="G27" s="42" t="n">
        <v>1</v>
      </c>
      <c r="H27" s="42" t="n">
        <v>1</v>
      </c>
      <c r="I27" s="41"/>
      <c r="J27" s="42" t="n">
        <v>1</v>
      </c>
      <c r="K27" s="41"/>
      <c r="L27" s="41"/>
      <c r="M27" s="43"/>
      <c r="N27" s="44" t="n">
        <v>7</v>
      </c>
    </row>
    <row r="28" customFormat="false" ht="15" hidden="false" customHeight="false" outlineLevel="0" collapsed="false">
      <c r="A28" s="38"/>
      <c r="B28" s="39" t="s">
        <v>487</v>
      </c>
      <c r="C28" s="45" t="n">
        <v>2</v>
      </c>
      <c r="D28" s="41"/>
      <c r="E28" s="41"/>
      <c r="F28" s="42" t="n">
        <v>2</v>
      </c>
      <c r="G28" s="41"/>
      <c r="H28" s="42" t="n">
        <v>3</v>
      </c>
      <c r="I28" s="41"/>
      <c r="J28" s="42" t="n">
        <v>1</v>
      </c>
      <c r="K28" s="41"/>
      <c r="L28" s="41"/>
      <c r="M28" s="43"/>
      <c r="N28" s="44" t="n">
        <v>8</v>
      </c>
    </row>
    <row r="29" customFormat="false" ht="15" hidden="false" customHeight="false" outlineLevel="0" collapsed="false">
      <c r="A29" s="38"/>
      <c r="B29" s="39" t="s">
        <v>464</v>
      </c>
      <c r="C29" s="40"/>
      <c r="D29" s="41"/>
      <c r="E29" s="42" t="n">
        <v>4</v>
      </c>
      <c r="F29" s="41"/>
      <c r="G29" s="41"/>
      <c r="H29" s="42" t="n">
        <v>2</v>
      </c>
      <c r="I29" s="41"/>
      <c r="J29" s="42" t="n">
        <v>1</v>
      </c>
      <c r="K29" s="41"/>
      <c r="L29" s="41"/>
      <c r="M29" s="46" t="n">
        <v>1</v>
      </c>
      <c r="N29" s="44" t="n">
        <v>8</v>
      </c>
    </row>
    <row r="30" customFormat="false" ht="15" hidden="false" customHeight="false" outlineLevel="0" collapsed="false">
      <c r="A30" s="38"/>
      <c r="B30" s="39" t="s">
        <v>327</v>
      </c>
      <c r="C30" s="45" t="n">
        <v>1</v>
      </c>
      <c r="D30" s="42" t="n">
        <v>2</v>
      </c>
      <c r="E30" s="42" t="n">
        <v>3</v>
      </c>
      <c r="F30" s="42" t="n">
        <v>3</v>
      </c>
      <c r="G30" s="42" t="n">
        <v>1</v>
      </c>
      <c r="H30" s="42" t="n">
        <v>3</v>
      </c>
      <c r="I30" s="41"/>
      <c r="J30" s="42" t="n">
        <v>1</v>
      </c>
      <c r="K30" s="41"/>
      <c r="L30" s="41"/>
      <c r="M30" s="43"/>
      <c r="N30" s="44" t="n">
        <v>14</v>
      </c>
    </row>
    <row r="31" customFormat="false" ht="15" hidden="false" customHeight="false" outlineLevel="0" collapsed="false">
      <c r="A31" s="38"/>
      <c r="B31" s="39" t="s">
        <v>440</v>
      </c>
      <c r="C31" s="45" t="n">
        <v>2</v>
      </c>
      <c r="D31" s="41"/>
      <c r="E31" s="41"/>
      <c r="F31" s="42" t="n">
        <v>1</v>
      </c>
      <c r="G31" s="42" t="n">
        <v>1</v>
      </c>
      <c r="H31" s="42" t="n">
        <v>4</v>
      </c>
      <c r="I31" s="41"/>
      <c r="J31" s="41"/>
      <c r="K31" s="41"/>
      <c r="L31" s="41"/>
      <c r="M31" s="46" t="n">
        <v>1</v>
      </c>
      <c r="N31" s="44" t="n">
        <v>9</v>
      </c>
    </row>
    <row r="32" customFormat="false" ht="15" hidden="false" customHeight="false" outlineLevel="0" collapsed="false">
      <c r="A32" s="38"/>
      <c r="B32" s="39" t="s">
        <v>175</v>
      </c>
      <c r="C32" s="40"/>
      <c r="D32" s="42" t="n">
        <v>1</v>
      </c>
      <c r="E32" s="42" t="n">
        <v>2</v>
      </c>
      <c r="F32" s="42" t="n">
        <v>1</v>
      </c>
      <c r="G32" s="41"/>
      <c r="H32" s="41"/>
      <c r="I32" s="41"/>
      <c r="J32" s="42" t="n">
        <v>2</v>
      </c>
      <c r="K32" s="41"/>
      <c r="L32" s="41"/>
      <c r="M32" s="43"/>
      <c r="N32" s="44" t="n">
        <v>6</v>
      </c>
    </row>
    <row r="33" customFormat="false" ht="15" hidden="false" customHeight="false" outlineLevel="0" collapsed="false">
      <c r="A33" s="38"/>
      <c r="B33" s="39" t="s">
        <v>351</v>
      </c>
      <c r="C33" s="40"/>
      <c r="D33" s="41"/>
      <c r="E33" s="42" t="n">
        <v>3</v>
      </c>
      <c r="F33" s="42" t="n">
        <v>1</v>
      </c>
      <c r="G33" s="41"/>
      <c r="H33" s="42" t="n">
        <v>1</v>
      </c>
      <c r="I33" s="41"/>
      <c r="J33" s="42" t="n">
        <v>1</v>
      </c>
      <c r="K33" s="41"/>
      <c r="L33" s="41"/>
      <c r="M33" s="43"/>
      <c r="N33" s="44" t="n">
        <v>6</v>
      </c>
    </row>
    <row r="34" customFormat="false" ht="15" hidden="false" customHeight="false" outlineLevel="0" collapsed="false">
      <c r="A34" s="38"/>
      <c r="B34" s="39" t="s">
        <v>916</v>
      </c>
      <c r="C34" s="45" t="n">
        <v>4</v>
      </c>
      <c r="D34" s="42" t="n">
        <v>1</v>
      </c>
      <c r="E34" s="41"/>
      <c r="F34" s="41"/>
      <c r="G34" s="42" t="n">
        <v>1</v>
      </c>
      <c r="H34" s="42" t="n">
        <v>3</v>
      </c>
      <c r="I34" s="41"/>
      <c r="J34" s="41"/>
      <c r="K34" s="41"/>
      <c r="L34" s="41"/>
      <c r="M34" s="46" t="n">
        <v>2</v>
      </c>
      <c r="N34" s="44" t="n">
        <v>11</v>
      </c>
    </row>
    <row r="35" customFormat="false" ht="15" hidden="false" customHeight="false" outlineLevel="0" collapsed="false">
      <c r="A35" s="38"/>
      <c r="B35" s="39" t="s">
        <v>400</v>
      </c>
      <c r="C35" s="45" t="n">
        <v>2</v>
      </c>
      <c r="D35" s="42" t="n">
        <v>2</v>
      </c>
      <c r="E35" s="42" t="n">
        <v>1</v>
      </c>
      <c r="F35" s="42" t="n">
        <v>1</v>
      </c>
      <c r="G35" s="42" t="n">
        <v>1</v>
      </c>
      <c r="H35" s="42" t="n">
        <v>4</v>
      </c>
      <c r="I35" s="41"/>
      <c r="J35" s="41"/>
      <c r="K35" s="41"/>
      <c r="L35" s="41"/>
      <c r="M35" s="46" t="n">
        <v>3</v>
      </c>
      <c r="N35" s="44" t="n">
        <v>14</v>
      </c>
    </row>
    <row r="36" customFormat="false" ht="15" hidden="false" customHeight="false" outlineLevel="0" collapsed="false">
      <c r="A36" s="38"/>
      <c r="B36" s="39" t="s">
        <v>627</v>
      </c>
      <c r="C36" s="40"/>
      <c r="D36" s="41"/>
      <c r="E36" s="42" t="n">
        <v>4</v>
      </c>
      <c r="F36" s="42" t="n">
        <v>2</v>
      </c>
      <c r="G36" s="42" t="n">
        <v>1</v>
      </c>
      <c r="H36" s="42" t="n">
        <v>5</v>
      </c>
      <c r="I36" s="41"/>
      <c r="J36" s="41"/>
      <c r="K36" s="41"/>
      <c r="L36" s="41"/>
      <c r="M36" s="46" t="n">
        <v>1</v>
      </c>
      <c r="N36" s="44" t="n">
        <v>13</v>
      </c>
    </row>
    <row r="37" customFormat="false" ht="15" hidden="false" customHeight="false" outlineLevel="0" collapsed="false">
      <c r="A37" s="38"/>
      <c r="B37" s="39" t="s">
        <v>151</v>
      </c>
      <c r="C37" s="45" t="n">
        <v>2</v>
      </c>
      <c r="D37" s="41"/>
      <c r="E37" s="42" t="n">
        <v>1</v>
      </c>
      <c r="F37" s="41"/>
      <c r="G37" s="42" t="n">
        <v>1</v>
      </c>
      <c r="H37" s="42" t="n">
        <v>2</v>
      </c>
      <c r="I37" s="41"/>
      <c r="J37" s="41"/>
      <c r="K37" s="41"/>
      <c r="L37" s="41"/>
      <c r="M37" s="46" t="n">
        <v>2</v>
      </c>
      <c r="N37" s="44" t="n">
        <v>8</v>
      </c>
    </row>
    <row r="38" customFormat="false" ht="15" hidden="false" customHeight="false" outlineLevel="0" collapsed="false">
      <c r="A38" s="38"/>
      <c r="B38" s="39" t="s">
        <v>660</v>
      </c>
      <c r="C38" s="40"/>
      <c r="D38" s="41"/>
      <c r="E38" s="42" t="n">
        <v>1</v>
      </c>
      <c r="F38" s="41"/>
      <c r="G38" s="41"/>
      <c r="H38" s="42" t="n">
        <v>4</v>
      </c>
      <c r="I38" s="41"/>
      <c r="J38" s="41"/>
      <c r="K38" s="41"/>
      <c r="L38" s="41"/>
      <c r="M38" s="46" t="n">
        <v>1</v>
      </c>
      <c r="N38" s="44" t="n">
        <v>6</v>
      </c>
    </row>
    <row r="39" customFormat="false" ht="15" hidden="false" customHeight="false" outlineLevel="0" collapsed="false">
      <c r="A39" s="29"/>
      <c r="B39" s="30" t="s">
        <v>432</v>
      </c>
      <c r="C39" s="47" t="n">
        <v>12</v>
      </c>
      <c r="D39" s="32" t="n">
        <v>2</v>
      </c>
      <c r="E39" s="32" t="n">
        <v>8</v>
      </c>
      <c r="F39" s="32" t="n">
        <v>1</v>
      </c>
      <c r="G39" s="32" t="n">
        <v>5</v>
      </c>
      <c r="H39" s="32" t="n">
        <v>13</v>
      </c>
      <c r="I39" s="33"/>
      <c r="J39" s="32" t="n">
        <v>2</v>
      </c>
      <c r="K39" s="33"/>
      <c r="L39" s="33"/>
      <c r="M39" s="48" t="n">
        <v>9</v>
      </c>
      <c r="N39" s="35" t="n">
        <v>52</v>
      </c>
    </row>
    <row r="40" customFormat="false" ht="15" hidden="false" customHeight="false" outlineLevel="0" collapsed="false">
      <c r="A40" s="22" t="s">
        <v>87</v>
      </c>
      <c r="B40" s="23"/>
      <c r="C40" s="25" t="n">
        <v>2</v>
      </c>
      <c r="D40" s="26"/>
      <c r="E40" s="25" t="n">
        <v>1</v>
      </c>
      <c r="F40" s="26"/>
      <c r="G40" s="26"/>
      <c r="H40" s="25" t="n">
        <v>2</v>
      </c>
      <c r="I40" s="26"/>
      <c r="J40" s="26"/>
      <c r="K40" s="26"/>
      <c r="L40" s="26"/>
      <c r="M40" s="25" t="n">
        <v>1</v>
      </c>
      <c r="N40" s="28" t="n">
        <v>6</v>
      </c>
    </row>
    <row r="41" customFormat="false" ht="15" hidden="false" customHeight="false" outlineLevel="0" collapsed="false">
      <c r="A41" s="29"/>
      <c r="B41" s="30" t="s">
        <v>86</v>
      </c>
      <c r="C41" s="32" t="n">
        <v>2</v>
      </c>
      <c r="D41" s="33"/>
      <c r="E41" s="32" t="n">
        <v>1</v>
      </c>
      <c r="F41" s="33"/>
      <c r="G41" s="33"/>
      <c r="H41" s="32" t="n">
        <v>2</v>
      </c>
      <c r="I41" s="33"/>
      <c r="J41" s="33"/>
      <c r="K41" s="33"/>
      <c r="L41" s="33"/>
      <c r="M41" s="32" t="n">
        <v>1</v>
      </c>
      <c r="N41" s="35" t="n">
        <v>6</v>
      </c>
    </row>
    <row r="42" customFormat="false" ht="15" hidden="false" customHeight="false" outlineLevel="0" collapsed="false">
      <c r="A42" s="22" t="s">
        <v>368</v>
      </c>
      <c r="B42" s="23"/>
      <c r="C42" s="36" t="n">
        <v>21</v>
      </c>
      <c r="D42" s="25" t="n">
        <v>1</v>
      </c>
      <c r="E42" s="25" t="n">
        <v>3</v>
      </c>
      <c r="F42" s="25" t="n">
        <v>2</v>
      </c>
      <c r="G42" s="25" t="n">
        <v>6</v>
      </c>
      <c r="H42" s="25" t="n">
        <v>9</v>
      </c>
      <c r="I42" s="26"/>
      <c r="J42" s="25" t="n">
        <v>1</v>
      </c>
      <c r="K42" s="26"/>
      <c r="L42" s="25" t="n">
        <v>1</v>
      </c>
      <c r="M42" s="37" t="n">
        <v>15</v>
      </c>
      <c r="N42" s="28" t="n">
        <v>59</v>
      </c>
    </row>
    <row r="43" customFormat="false" ht="15" hidden="false" customHeight="false" outlineLevel="0" collapsed="false">
      <c r="A43" s="29"/>
      <c r="B43" s="30" t="s">
        <v>367</v>
      </c>
      <c r="C43" s="47" t="n">
        <v>21</v>
      </c>
      <c r="D43" s="32" t="n">
        <v>1</v>
      </c>
      <c r="E43" s="32" t="n">
        <v>3</v>
      </c>
      <c r="F43" s="32" t="n">
        <v>2</v>
      </c>
      <c r="G43" s="32" t="n">
        <v>6</v>
      </c>
      <c r="H43" s="32" t="n">
        <v>9</v>
      </c>
      <c r="I43" s="33"/>
      <c r="J43" s="32" t="n">
        <v>1</v>
      </c>
      <c r="K43" s="33"/>
      <c r="L43" s="32" t="n">
        <v>1</v>
      </c>
      <c r="M43" s="48" t="n">
        <v>15</v>
      </c>
      <c r="N43" s="35" t="n">
        <v>59</v>
      </c>
    </row>
    <row r="44" customFormat="false" ht="15" hidden="false" customHeight="false" outlineLevel="0" collapsed="false">
      <c r="A44" s="22" t="s">
        <v>111</v>
      </c>
      <c r="B44" s="23"/>
      <c r="C44" s="25" t="n">
        <v>42</v>
      </c>
      <c r="D44" s="25" t="n">
        <v>10</v>
      </c>
      <c r="E44" s="25" t="n">
        <v>23</v>
      </c>
      <c r="F44" s="25" t="n">
        <v>17</v>
      </c>
      <c r="G44" s="25" t="n">
        <v>9</v>
      </c>
      <c r="H44" s="25" t="n">
        <v>59</v>
      </c>
      <c r="I44" s="26"/>
      <c r="J44" s="25" t="n">
        <v>5</v>
      </c>
      <c r="K44" s="26"/>
      <c r="L44" s="26"/>
      <c r="M44" s="25" t="n">
        <v>26</v>
      </c>
      <c r="N44" s="28" t="n">
        <v>191</v>
      </c>
    </row>
    <row r="45" customFormat="false" ht="15" hidden="false" customHeight="false" outlineLevel="0" collapsed="false">
      <c r="A45" s="38"/>
      <c r="B45" s="39" t="s">
        <v>319</v>
      </c>
      <c r="C45" s="42" t="n">
        <v>3</v>
      </c>
      <c r="D45" s="41"/>
      <c r="E45" s="42" t="n">
        <v>1</v>
      </c>
      <c r="F45" s="42" t="n">
        <v>4</v>
      </c>
      <c r="G45" s="41"/>
      <c r="H45" s="42" t="n">
        <v>5</v>
      </c>
      <c r="I45" s="41"/>
      <c r="J45" s="42" t="n">
        <v>1</v>
      </c>
      <c r="K45" s="41"/>
      <c r="L45" s="41"/>
      <c r="M45" s="41"/>
      <c r="N45" s="44" t="n">
        <v>14</v>
      </c>
    </row>
    <row r="46" customFormat="false" ht="15" hidden="false" customHeight="false" outlineLevel="0" collapsed="false">
      <c r="A46" s="38"/>
      <c r="B46" s="39" t="s">
        <v>537</v>
      </c>
      <c r="C46" s="42" t="n">
        <v>1</v>
      </c>
      <c r="D46" s="41"/>
      <c r="E46" s="41"/>
      <c r="F46" s="41"/>
      <c r="G46" s="41"/>
      <c r="H46" s="42" t="n">
        <v>1</v>
      </c>
      <c r="I46" s="41"/>
      <c r="J46" s="41"/>
      <c r="K46" s="41"/>
      <c r="L46" s="41"/>
      <c r="M46" s="42" t="n">
        <v>1</v>
      </c>
      <c r="N46" s="44" t="n">
        <v>3</v>
      </c>
    </row>
    <row r="47" customFormat="false" ht="15" hidden="false" customHeight="false" outlineLevel="0" collapsed="false">
      <c r="A47" s="38"/>
      <c r="B47" s="39" t="s">
        <v>110</v>
      </c>
      <c r="C47" s="41"/>
      <c r="D47" s="42" t="n">
        <v>2</v>
      </c>
      <c r="E47" s="42" t="n">
        <v>1</v>
      </c>
      <c r="F47" s="42" t="n">
        <v>1</v>
      </c>
      <c r="G47" s="41"/>
      <c r="H47" s="42" t="n">
        <v>1</v>
      </c>
      <c r="I47" s="41"/>
      <c r="J47" s="41"/>
      <c r="K47" s="41"/>
      <c r="L47" s="41"/>
      <c r="M47" s="41"/>
      <c r="N47" s="44" t="n">
        <v>5</v>
      </c>
    </row>
    <row r="48" customFormat="false" ht="15" hidden="false" customHeight="false" outlineLevel="0" collapsed="false">
      <c r="A48" s="38"/>
      <c r="B48" s="39" t="s">
        <v>392</v>
      </c>
      <c r="C48" s="42" t="n">
        <v>4</v>
      </c>
      <c r="D48" s="41"/>
      <c r="E48" s="42" t="n">
        <v>1</v>
      </c>
      <c r="F48" s="41"/>
      <c r="G48" s="42" t="n">
        <v>1</v>
      </c>
      <c r="H48" s="42" t="n">
        <v>1</v>
      </c>
      <c r="I48" s="41"/>
      <c r="J48" s="41"/>
      <c r="K48" s="41"/>
      <c r="L48" s="41"/>
      <c r="M48" s="41"/>
      <c r="N48" s="44" t="n">
        <v>7</v>
      </c>
    </row>
    <row r="49" customFormat="false" ht="15" hidden="false" customHeight="false" outlineLevel="0" collapsed="false">
      <c r="A49" s="38"/>
      <c r="B49" s="39" t="s">
        <v>456</v>
      </c>
      <c r="C49" s="42" t="n">
        <v>2</v>
      </c>
      <c r="D49" s="42" t="n">
        <v>4</v>
      </c>
      <c r="E49" s="42" t="n">
        <v>1</v>
      </c>
      <c r="F49" s="41"/>
      <c r="G49" s="41"/>
      <c r="H49" s="42" t="n">
        <v>3</v>
      </c>
      <c r="I49" s="41"/>
      <c r="J49" s="41"/>
      <c r="K49" s="41"/>
      <c r="L49" s="41"/>
      <c r="M49" s="42" t="n">
        <v>2</v>
      </c>
      <c r="N49" s="44" t="n">
        <v>12</v>
      </c>
    </row>
    <row r="50" customFormat="false" ht="15" hidden="false" customHeight="false" outlineLevel="0" collapsed="false">
      <c r="A50" s="38"/>
      <c r="B50" s="39" t="s">
        <v>479</v>
      </c>
      <c r="C50" s="41"/>
      <c r="D50" s="42" t="n">
        <v>1</v>
      </c>
      <c r="E50" s="42" t="n">
        <v>2</v>
      </c>
      <c r="F50" s="42" t="n">
        <v>1</v>
      </c>
      <c r="G50" s="41"/>
      <c r="H50" s="42" t="n">
        <v>2</v>
      </c>
      <c r="I50" s="41"/>
      <c r="J50" s="42" t="n">
        <v>1</v>
      </c>
      <c r="K50" s="41"/>
      <c r="L50" s="41"/>
      <c r="M50" s="42" t="n">
        <v>1</v>
      </c>
      <c r="N50" s="44" t="n">
        <v>8</v>
      </c>
    </row>
    <row r="51" customFormat="false" ht="15" hidden="false" customHeight="false" outlineLevel="0" collapsed="false">
      <c r="A51" s="38"/>
      <c r="B51" s="39" t="s">
        <v>425</v>
      </c>
      <c r="C51" s="41"/>
      <c r="D51" s="41"/>
      <c r="E51" s="42" t="n">
        <v>2</v>
      </c>
      <c r="F51" s="42" t="n">
        <v>4</v>
      </c>
      <c r="G51" s="41"/>
      <c r="H51" s="42" t="n">
        <v>5</v>
      </c>
      <c r="I51" s="41"/>
      <c r="J51" s="41"/>
      <c r="K51" s="41"/>
      <c r="L51" s="41"/>
      <c r="M51" s="41"/>
      <c r="N51" s="44" t="n">
        <v>11</v>
      </c>
    </row>
    <row r="52" customFormat="false" ht="15" hidden="false" customHeight="false" outlineLevel="0" collapsed="false">
      <c r="A52" s="38"/>
      <c r="B52" s="39" t="s">
        <v>652</v>
      </c>
      <c r="C52" s="42" t="n">
        <v>5</v>
      </c>
      <c r="D52" s="41"/>
      <c r="E52" s="42" t="n">
        <v>3</v>
      </c>
      <c r="F52" s="42" t="n">
        <v>5</v>
      </c>
      <c r="G52" s="41"/>
      <c r="H52" s="42" t="n">
        <v>7</v>
      </c>
      <c r="I52" s="41"/>
      <c r="J52" s="42" t="n">
        <v>1</v>
      </c>
      <c r="K52" s="41"/>
      <c r="L52" s="41"/>
      <c r="M52" s="41"/>
      <c r="N52" s="44" t="n">
        <v>21</v>
      </c>
    </row>
    <row r="53" customFormat="false" ht="15" hidden="false" customHeight="false" outlineLevel="0" collapsed="false">
      <c r="A53" s="38"/>
      <c r="B53" s="39" t="s">
        <v>376</v>
      </c>
      <c r="C53" s="42" t="n">
        <v>25</v>
      </c>
      <c r="D53" s="42" t="n">
        <v>2</v>
      </c>
      <c r="E53" s="42" t="n">
        <v>6</v>
      </c>
      <c r="F53" s="42" t="n">
        <v>1</v>
      </c>
      <c r="G53" s="42" t="n">
        <v>7</v>
      </c>
      <c r="H53" s="42" t="n">
        <v>27</v>
      </c>
      <c r="I53" s="41"/>
      <c r="J53" s="42" t="n">
        <v>2</v>
      </c>
      <c r="K53" s="41"/>
      <c r="L53" s="41"/>
      <c r="M53" s="42" t="n">
        <v>16</v>
      </c>
      <c r="N53" s="44" t="n">
        <v>86</v>
      </c>
    </row>
    <row r="54" customFormat="false" ht="15" hidden="false" customHeight="false" outlineLevel="0" collapsed="false">
      <c r="A54" s="38"/>
      <c r="B54" s="39" t="s">
        <v>707</v>
      </c>
      <c r="C54" s="41"/>
      <c r="D54" s="41"/>
      <c r="E54" s="42" t="n">
        <v>3</v>
      </c>
      <c r="F54" s="41"/>
      <c r="G54" s="41"/>
      <c r="H54" s="42" t="n">
        <v>3</v>
      </c>
      <c r="I54" s="41"/>
      <c r="J54" s="41"/>
      <c r="K54" s="41"/>
      <c r="L54" s="41"/>
      <c r="M54" s="42" t="n">
        <v>5</v>
      </c>
      <c r="N54" s="44" t="n">
        <v>11</v>
      </c>
    </row>
    <row r="55" customFormat="false" ht="15" hidden="false" customHeight="false" outlineLevel="0" collapsed="false">
      <c r="A55" s="38"/>
      <c r="B55" s="39" t="s">
        <v>472</v>
      </c>
      <c r="C55" s="42" t="n">
        <v>2</v>
      </c>
      <c r="D55" s="41"/>
      <c r="E55" s="42" t="n">
        <v>3</v>
      </c>
      <c r="F55" s="41"/>
      <c r="G55" s="42" t="n">
        <v>1</v>
      </c>
      <c r="H55" s="42" t="n">
        <v>3</v>
      </c>
      <c r="I55" s="41"/>
      <c r="J55" s="41"/>
      <c r="K55" s="41"/>
      <c r="L55" s="41"/>
      <c r="M55" s="42" t="n">
        <v>1</v>
      </c>
      <c r="N55" s="44" t="n">
        <v>10</v>
      </c>
    </row>
    <row r="56" customFormat="false" ht="15" hidden="false" customHeight="false" outlineLevel="0" collapsed="false">
      <c r="A56" s="29"/>
      <c r="B56" s="30" t="s">
        <v>183</v>
      </c>
      <c r="C56" s="33"/>
      <c r="D56" s="32" t="n">
        <v>1</v>
      </c>
      <c r="E56" s="33"/>
      <c r="F56" s="32" t="n">
        <v>1</v>
      </c>
      <c r="G56" s="33"/>
      <c r="H56" s="32" t="n">
        <v>1</v>
      </c>
      <c r="I56" s="33"/>
      <c r="J56" s="33"/>
      <c r="K56" s="33"/>
      <c r="L56" s="33"/>
      <c r="M56" s="33"/>
      <c r="N56" s="35" t="n">
        <v>3</v>
      </c>
    </row>
    <row r="57" customFormat="false" ht="15" hidden="false" customHeight="false" outlineLevel="0" collapsed="false">
      <c r="A57" s="22" t="s">
        <v>861</v>
      </c>
      <c r="B57" s="23"/>
      <c r="C57" s="36" t="n">
        <v>2</v>
      </c>
      <c r="D57" s="25" t="n">
        <v>1</v>
      </c>
      <c r="E57" s="26"/>
      <c r="F57" s="26"/>
      <c r="G57" s="25" t="n">
        <v>1</v>
      </c>
      <c r="H57" s="25" t="n">
        <v>5</v>
      </c>
      <c r="I57" s="26"/>
      <c r="J57" s="26"/>
      <c r="K57" s="26"/>
      <c r="L57" s="26"/>
      <c r="M57" s="37" t="n">
        <v>4</v>
      </c>
      <c r="N57" s="28" t="n">
        <v>13</v>
      </c>
    </row>
    <row r="58" customFormat="false" ht="15" hidden="false" customHeight="false" outlineLevel="0" collapsed="false">
      <c r="A58" s="29"/>
      <c r="B58" s="30" t="s">
        <v>860</v>
      </c>
      <c r="C58" s="47" t="n">
        <v>2</v>
      </c>
      <c r="D58" s="32" t="n">
        <v>1</v>
      </c>
      <c r="E58" s="33"/>
      <c r="F58" s="33"/>
      <c r="G58" s="32" t="n">
        <v>1</v>
      </c>
      <c r="H58" s="32" t="n">
        <v>5</v>
      </c>
      <c r="I58" s="33"/>
      <c r="J58" s="33"/>
      <c r="K58" s="33"/>
      <c r="L58" s="33"/>
      <c r="M58" s="48" t="n">
        <v>4</v>
      </c>
      <c r="N58" s="35" t="n">
        <v>13</v>
      </c>
    </row>
    <row r="59" customFormat="false" ht="15" hidden="false" customHeight="false" outlineLevel="0" collapsed="false">
      <c r="A59" s="22" t="s">
        <v>200</v>
      </c>
      <c r="B59" s="23"/>
      <c r="C59" s="25" t="n">
        <v>19</v>
      </c>
      <c r="D59" s="25" t="n">
        <v>4</v>
      </c>
      <c r="E59" s="25" t="n">
        <v>11</v>
      </c>
      <c r="F59" s="25" t="n">
        <v>1</v>
      </c>
      <c r="G59" s="25" t="n">
        <v>3</v>
      </c>
      <c r="H59" s="25" t="n">
        <v>13</v>
      </c>
      <c r="I59" s="26"/>
      <c r="J59" s="25" t="n">
        <v>1</v>
      </c>
      <c r="K59" s="26"/>
      <c r="L59" s="26"/>
      <c r="M59" s="25" t="n">
        <v>1</v>
      </c>
      <c r="N59" s="28" t="n">
        <v>53</v>
      </c>
    </row>
    <row r="60" customFormat="false" ht="15" hidden="false" customHeight="false" outlineLevel="0" collapsed="false">
      <c r="A60" s="29"/>
      <c r="B60" s="30" t="s">
        <v>199</v>
      </c>
      <c r="C60" s="32" t="n">
        <v>19</v>
      </c>
      <c r="D60" s="32" t="n">
        <v>4</v>
      </c>
      <c r="E60" s="32" t="n">
        <v>11</v>
      </c>
      <c r="F60" s="32" t="n">
        <v>1</v>
      </c>
      <c r="G60" s="32" t="n">
        <v>3</v>
      </c>
      <c r="H60" s="32" t="n">
        <v>13</v>
      </c>
      <c r="I60" s="33"/>
      <c r="J60" s="32" t="n">
        <v>1</v>
      </c>
      <c r="K60" s="33"/>
      <c r="L60" s="33"/>
      <c r="M60" s="32" t="n">
        <v>1</v>
      </c>
      <c r="N60" s="35" t="n">
        <v>53</v>
      </c>
    </row>
    <row r="61" customFormat="false" ht="15" hidden="false" customHeight="false" outlineLevel="0" collapsed="false">
      <c r="A61" s="22" t="s">
        <v>24</v>
      </c>
      <c r="B61" s="23"/>
      <c r="C61" s="36" t="n">
        <v>68</v>
      </c>
      <c r="D61" s="25" t="n">
        <v>4</v>
      </c>
      <c r="E61" s="25" t="n">
        <v>30</v>
      </c>
      <c r="F61" s="25" t="n">
        <v>51</v>
      </c>
      <c r="G61" s="25" t="n">
        <v>6</v>
      </c>
      <c r="H61" s="25" t="n">
        <v>68</v>
      </c>
      <c r="I61" s="26"/>
      <c r="J61" s="25" t="n">
        <v>16</v>
      </c>
      <c r="K61" s="26"/>
      <c r="L61" s="26"/>
      <c r="M61" s="37" t="n">
        <v>39</v>
      </c>
      <c r="N61" s="28" t="n">
        <v>282</v>
      </c>
    </row>
    <row r="62" customFormat="false" ht="15" hidden="false" customHeight="false" outlineLevel="0" collapsed="false">
      <c r="A62" s="38"/>
      <c r="B62" s="39" t="s">
        <v>448</v>
      </c>
      <c r="C62" s="45" t="n">
        <v>3</v>
      </c>
      <c r="D62" s="41"/>
      <c r="E62" s="42" t="n">
        <v>1</v>
      </c>
      <c r="F62" s="41"/>
      <c r="G62" s="41"/>
      <c r="H62" s="42" t="n">
        <v>1</v>
      </c>
      <c r="I62" s="41"/>
      <c r="J62" s="42" t="n">
        <v>1</v>
      </c>
      <c r="K62" s="41"/>
      <c r="L62" s="41"/>
      <c r="M62" s="46" t="n">
        <v>1</v>
      </c>
      <c r="N62" s="44" t="n">
        <v>7</v>
      </c>
    </row>
    <row r="63" customFormat="false" ht="15" hidden="false" customHeight="false" outlineLevel="0" collapsed="false">
      <c r="A63" s="38"/>
      <c r="B63" s="39" t="s">
        <v>22</v>
      </c>
      <c r="C63" s="45" t="n">
        <v>6</v>
      </c>
      <c r="D63" s="41"/>
      <c r="E63" s="42" t="n">
        <v>2</v>
      </c>
      <c r="F63" s="42" t="n">
        <v>5</v>
      </c>
      <c r="G63" s="41"/>
      <c r="H63" s="42" t="n">
        <v>6</v>
      </c>
      <c r="I63" s="41"/>
      <c r="J63" s="41"/>
      <c r="K63" s="41"/>
      <c r="L63" s="41"/>
      <c r="M63" s="43"/>
      <c r="N63" s="44" t="n">
        <v>19</v>
      </c>
    </row>
    <row r="64" customFormat="false" ht="15" hidden="false" customHeight="false" outlineLevel="0" collapsed="false">
      <c r="A64" s="38"/>
      <c r="B64" s="39" t="s">
        <v>545</v>
      </c>
      <c r="C64" s="45" t="n">
        <v>1</v>
      </c>
      <c r="D64" s="41"/>
      <c r="E64" s="42" t="n">
        <v>5</v>
      </c>
      <c r="F64" s="41"/>
      <c r="G64" s="41"/>
      <c r="H64" s="42" t="n">
        <v>2</v>
      </c>
      <c r="I64" s="41"/>
      <c r="J64" s="41"/>
      <c r="K64" s="41"/>
      <c r="L64" s="41"/>
      <c r="M64" s="46" t="n">
        <v>1</v>
      </c>
      <c r="N64" s="44" t="n">
        <v>9</v>
      </c>
    </row>
    <row r="65" customFormat="false" ht="15" hidden="false" customHeight="false" outlineLevel="0" collapsed="false">
      <c r="A65" s="38"/>
      <c r="B65" s="39" t="s">
        <v>589</v>
      </c>
      <c r="C65" s="45" t="n">
        <v>23</v>
      </c>
      <c r="D65" s="41"/>
      <c r="E65" s="42" t="n">
        <v>1</v>
      </c>
      <c r="F65" s="42" t="n">
        <v>10</v>
      </c>
      <c r="G65" s="41"/>
      <c r="H65" s="42" t="n">
        <v>3</v>
      </c>
      <c r="I65" s="41"/>
      <c r="J65" s="41"/>
      <c r="K65" s="41"/>
      <c r="L65" s="41"/>
      <c r="M65" s="43"/>
      <c r="N65" s="44" t="n">
        <v>37</v>
      </c>
    </row>
    <row r="66" customFormat="false" ht="15" hidden="false" customHeight="false" outlineLevel="0" collapsed="false">
      <c r="A66" s="38"/>
      <c r="B66" s="39" t="s">
        <v>216</v>
      </c>
      <c r="C66" s="40"/>
      <c r="D66" s="42" t="n">
        <v>1</v>
      </c>
      <c r="E66" s="42" t="n">
        <v>1</v>
      </c>
      <c r="F66" s="42" t="n">
        <v>1</v>
      </c>
      <c r="G66" s="42" t="n">
        <v>1</v>
      </c>
      <c r="H66" s="42" t="n">
        <v>10</v>
      </c>
      <c r="I66" s="41"/>
      <c r="J66" s="41"/>
      <c r="K66" s="41"/>
      <c r="L66" s="41"/>
      <c r="M66" s="46" t="n">
        <v>9</v>
      </c>
      <c r="N66" s="44" t="n">
        <v>23</v>
      </c>
    </row>
    <row r="67" customFormat="false" ht="15" hidden="false" customHeight="false" outlineLevel="0" collapsed="false">
      <c r="A67" s="38"/>
      <c r="B67" s="39" t="s">
        <v>612</v>
      </c>
      <c r="C67" s="45" t="n">
        <v>5</v>
      </c>
      <c r="D67" s="41"/>
      <c r="E67" s="41"/>
      <c r="F67" s="41"/>
      <c r="G67" s="41"/>
      <c r="H67" s="42" t="n">
        <v>8</v>
      </c>
      <c r="I67" s="41"/>
      <c r="J67" s="41"/>
      <c r="K67" s="41"/>
      <c r="L67" s="41"/>
      <c r="M67" s="46" t="n">
        <v>7</v>
      </c>
      <c r="N67" s="44" t="n">
        <v>20</v>
      </c>
    </row>
    <row r="68" customFormat="false" ht="15" hidden="false" customHeight="false" outlineLevel="0" collapsed="false">
      <c r="A68" s="38"/>
      <c r="B68" s="39" t="s">
        <v>343</v>
      </c>
      <c r="C68" s="45" t="n">
        <v>1</v>
      </c>
      <c r="D68" s="42" t="n">
        <v>1</v>
      </c>
      <c r="E68" s="42" t="n">
        <v>4</v>
      </c>
      <c r="F68" s="42" t="n">
        <v>1</v>
      </c>
      <c r="G68" s="42" t="n">
        <v>1</v>
      </c>
      <c r="H68" s="42" t="n">
        <v>5</v>
      </c>
      <c r="I68" s="41"/>
      <c r="J68" s="42" t="n">
        <v>1</v>
      </c>
      <c r="K68" s="41"/>
      <c r="L68" s="41"/>
      <c r="M68" s="46" t="n">
        <v>4</v>
      </c>
      <c r="N68" s="44" t="n">
        <v>18</v>
      </c>
    </row>
    <row r="69" customFormat="false" ht="15" hidden="false" customHeight="false" outlineLevel="0" collapsed="false">
      <c r="A69" s="38"/>
      <c r="B69" s="39" t="s">
        <v>44</v>
      </c>
      <c r="C69" s="45" t="n">
        <v>6</v>
      </c>
      <c r="D69" s="41"/>
      <c r="E69" s="42" t="n">
        <v>6</v>
      </c>
      <c r="F69" s="42" t="n">
        <v>4</v>
      </c>
      <c r="G69" s="41"/>
      <c r="H69" s="42" t="n">
        <v>3</v>
      </c>
      <c r="I69" s="41"/>
      <c r="J69" s="42" t="n">
        <v>3</v>
      </c>
      <c r="K69" s="41"/>
      <c r="L69" s="41"/>
      <c r="M69" s="46" t="n">
        <v>4</v>
      </c>
      <c r="N69" s="44" t="n">
        <v>26</v>
      </c>
    </row>
    <row r="70" customFormat="false" ht="15" hidden="false" customHeight="false" outlineLevel="0" collapsed="false">
      <c r="A70" s="38"/>
      <c r="B70" s="39" t="s">
        <v>135</v>
      </c>
      <c r="C70" s="40"/>
      <c r="D70" s="41"/>
      <c r="E70" s="42" t="n">
        <v>2</v>
      </c>
      <c r="F70" s="42" t="n">
        <v>2</v>
      </c>
      <c r="G70" s="41"/>
      <c r="H70" s="41"/>
      <c r="I70" s="41"/>
      <c r="J70" s="42" t="n">
        <v>2</v>
      </c>
      <c r="K70" s="41"/>
      <c r="L70" s="41"/>
      <c r="M70" s="43"/>
      <c r="N70" s="44" t="n">
        <v>6</v>
      </c>
    </row>
    <row r="71" customFormat="false" ht="15" hidden="false" customHeight="false" outlineLevel="0" collapsed="false">
      <c r="A71" s="38"/>
      <c r="B71" s="39" t="s">
        <v>52</v>
      </c>
      <c r="C71" s="40"/>
      <c r="D71" s="41"/>
      <c r="E71" s="42" t="n">
        <v>3</v>
      </c>
      <c r="F71" s="42" t="n">
        <v>6</v>
      </c>
      <c r="G71" s="41"/>
      <c r="H71" s="42" t="n">
        <v>1</v>
      </c>
      <c r="I71" s="41"/>
      <c r="J71" s="42" t="n">
        <v>6</v>
      </c>
      <c r="K71" s="41"/>
      <c r="L71" s="41"/>
      <c r="M71" s="46" t="n">
        <v>3</v>
      </c>
      <c r="N71" s="44" t="n">
        <v>19</v>
      </c>
    </row>
    <row r="72" customFormat="false" ht="15" hidden="false" customHeight="false" outlineLevel="0" collapsed="false">
      <c r="A72" s="38"/>
      <c r="B72" s="39" t="s">
        <v>118</v>
      </c>
      <c r="C72" s="45" t="n">
        <v>6</v>
      </c>
      <c r="D72" s="41"/>
      <c r="E72" s="41"/>
      <c r="F72" s="42" t="n">
        <v>1</v>
      </c>
      <c r="G72" s="41"/>
      <c r="H72" s="42" t="n">
        <v>1</v>
      </c>
      <c r="I72" s="41"/>
      <c r="J72" s="42" t="n">
        <v>1</v>
      </c>
      <c r="K72" s="41"/>
      <c r="L72" s="41"/>
      <c r="M72" s="46" t="n">
        <v>9</v>
      </c>
      <c r="N72" s="44" t="n">
        <v>18</v>
      </c>
    </row>
    <row r="73" customFormat="false" ht="15" hidden="false" customHeight="false" outlineLevel="0" collapsed="false">
      <c r="A73" s="38"/>
      <c r="B73" s="39" t="s">
        <v>191</v>
      </c>
      <c r="C73" s="45" t="n">
        <v>15</v>
      </c>
      <c r="D73" s="42" t="n">
        <v>2</v>
      </c>
      <c r="E73" s="42" t="n">
        <v>4</v>
      </c>
      <c r="F73" s="42" t="n">
        <v>21</v>
      </c>
      <c r="G73" s="42" t="n">
        <v>4</v>
      </c>
      <c r="H73" s="42" t="n">
        <v>27</v>
      </c>
      <c r="I73" s="41"/>
      <c r="J73" s="42" t="n">
        <v>1</v>
      </c>
      <c r="K73" s="41"/>
      <c r="L73" s="41"/>
      <c r="M73" s="43"/>
      <c r="N73" s="44" t="n">
        <v>74</v>
      </c>
    </row>
    <row r="74" customFormat="false" ht="15" hidden="false" customHeight="false" outlineLevel="0" collapsed="false">
      <c r="A74" s="29"/>
      <c r="B74" s="30" t="s">
        <v>240</v>
      </c>
      <c r="C74" s="47" t="n">
        <v>2</v>
      </c>
      <c r="D74" s="33"/>
      <c r="E74" s="32" t="n">
        <v>1</v>
      </c>
      <c r="F74" s="33"/>
      <c r="G74" s="33"/>
      <c r="H74" s="32" t="n">
        <v>1</v>
      </c>
      <c r="I74" s="33"/>
      <c r="J74" s="32" t="n">
        <v>1</v>
      </c>
      <c r="K74" s="33"/>
      <c r="L74" s="33"/>
      <c r="M74" s="48" t="n">
        <v>1</v>
      </c>
      <c r="N74" s="35" t="n">
        <v>6</v>
      </c>
    </row>
    <row r="75" customFormat="false" ht="15" hidden="false" customHeight="false" outlineLevel="0" collapsed="false">
      <c r="A75" s="22" t="s">
        <v>359</v>
      </c>
      <c r="B75" s="23"/>
      <c r="C75" s="25" t="n">
        <v>1</v>
      </c>
      <c r="D75" s="26"/>
      <c r="E75" s="26"/>
      <c r="F75" s="26"/>
      <c r="G75" s="26"/>
      <c r="H75" s="25" t="n">
        <v>2</v>
      </c>
      <c r="I75" s="26"/>
      <c r="J75" s="26"/>
      <c r="K75" s="26"/>
      <c r="L75" s="26"/>
      <c r="M75" s="25" t="n">
        <v>1</v>
      </c>
      <c r="N75" s="28" t="n">
        <v>4</v>
      </c>
    </row>
    <row r="76" customFormat="false" ht="15" hidden="false" customHeight="false" outlineLevel="0" collapsed="false">
      <c r="A76" s="29"/>
      <c r="B76" s="30" t="s">
        <v>358</v>
      </c>
      <c r="C76" s="32" t="n">
        <v>1</v>
      </c>
      <c r="D76" s="33"/>
      <c r="E76" s="33"/>
      <c r="F76" s="33"/>
      <c r="G76" s="33"/>
      <c r="H76" s="32" t="n">
        <v>2</v>
      </c>
      <c r="I76" s="33"/>
      <c r="J76" s="33"/>
      <c r="K76" s="33"/>
      <c r="L76" s="33"/>
      <c r="M76" s="32" t="n">
        <v>1</v>
      </c>
      <c r="N76" s="35" t="n">
        <v>4</v>
      </c>
    </row>
    <row r="77" customFormat="false" ht="15" hidden="false" customHeight="false" outlineLevel="0" collapsed="false">
      <c r="A77" s="22" t="s">
        <v>36</v>
      </c>
      <c r="B77" s="23"/>
      <c r="C77" s="36" t="n">
        <v>2</v>
      </c>
      <c r="D77" s="25" t="n">
        <v>1</v>
      </c>
      <c r="E77" s="25" t="n">
        <v>6</v>
      </c>
      <c r="F77" s="26"/>
      <c r="G77" s="25" t="n">
        <v>5</v>
      </c>
      <c r="H77" s="25" t="n">
        <v>5</v>
      </c>
      <c r="I77" s="26"/>
      <c r="J77" s="25" t="n">
        <v>1</v>
      </c>
      <c r="K77" s="26"/>
      <c r="L77" s="26"/>
      <c r="M77" s="37" t="n">
        <v>6</v>
      </c>
      <c r="N77" s="28" t="n">
        <v>26</v>
      </c>
    </row>
    <row r="78" customFormat="false" ht="15" hidden="false" customHeight="false" outlineLevel="0" collapsed="false">
      <c r="A78" s="38"/>
      <c r="B78" s="39" t="s">
        <v>35</v>
      </c>
      <c r="C78" s="45" t="n">
        <v>2</v>
      </c>
      <c r="D78" s="42" t="n">
        <v>1</v>
      </c>
      <c r="E78" s="42" t="n">
        <v>6</v>
      </c>
      <c r="F78" s="41"/>
      <c r="G78" s="42" t="n">
        <v>5</v>
      </c>
      <c r="H78" s="42" t="n">
        <v>5</v>
      </c>
      <c r="I78" s="41"/>
      <c r="J78" s="42" t="n">
        <v>1</v>
      </c>
      <c r="K78" s="41"/>
      <c r="L78" s="41"/>
      <c r="M78" s="46" t="n">
        <v>5</v>
      </c>
      <c r="N78" s="44" t="n">
        <v>25</v>
      </c>
    </row>
    <row r="79" customFormat="false" ht="15" hidden="false" customHeight="false" outlineLevel="0" collapsed="false">
      <c r="A79" s="29"/>
      <c r="B79" s="30" t="s">
        <v>95</v>
      </c>
      <c r="C79" s="31"/>
      <c r="D79" s="33"/>
      <c r="E79" s="33"/>
      <c r="F79" s="33"/>
      <c r="G79" s="33"/>
      <c r="H79" s="33"/>
      <c r="I79" s="33"/>
      <c r="J79" s="33"/>
      <c r="K79" s="33"/>
      <c r="L79" s="33"/>
      <c r="M79" s="48" t="n">
        <v>1</v>
      </c>
      <c r="N79" s="35" t="n">
        <v>1</v>
      </c>
    </row>
    <row r="80" customFormat="false" ht="15" hidden="false" customHeight="false" outlineLevel="0" collapsed="false">
      <c r="A80" s="22" t="s">
        <v>745</v>
      </c>
      <c r="B80" s="23"/>
      <c r="C80" s="25" t="n">
        <v>2</v>
      </c>
      <c r="D80" s="25" t="n">
        <v>1</v>
      </c>
      <c r="E80" s="25" t="n">
        <v>1</v>
      </c>
      <c r="F80" s="26"/>
      <c r="G80" s="26"/>
      <c r="H80" s="25" t="n">
        <v>2</v>
      </c>
      <c r="I80" s="26"/>
      <c r="J80" s="25" t="n">
        <v>1</v>
      </c>
      <c r="K80" s="26"/>
      <c r="L80" s="26"/>
      <c r="M80" s="25" t="n">
        <v>3</v>
      </c>
      <c r="N80" s="28" t="n">
        <v>10</v>
      </c>
    </row>
    <row r="81" customFormat="false" ht="15" hidden="false" customHeight="false" outlineLevel="0" collapsed="false">
      <c r="A81" s="29"/>
      <c r="B81" s="30" t="s">
        <v>744</v>
      </c>
      <c r="C81" s="32" t="n">
        <v>2</v>
      </c>
      <c r="D81" s="32" t="n">
        <v>1</v>
      </c>
      <c r="E81" s="32" t="n">
        <v>1</v>
      </c>
      <c r="F81" s="33"/>
      <c r="G81" s="33"/>
      <c r="H81" s="32" t="n">
        <v>2</v>
      </c>
      <c r="I81" s="33"/>
      <c r="J81" s="32" t="n">
        <v>1</v>
      </c>
      <c r="K81" s="33"/>
      <c r="L81" s="33"/>
      <c r="M81" s="32" t="n">
        <v>3</v>
      </c>
      <c r="N81" s="35" t="n">
        <v>10</v>
      </c>
    </row>
    <row r="82" customFormat="false" ht="15" hidden="false" customHeight="false" outlineLevel="0" collapsed="false">
      <c r="A82" s="22" t="s">
        <v>127</v>
      </c>
      <c r="B82" s="23"/>
      <c r="C82" s="36" t="n">
        <v>1</v>
      </c>
      <c r="D82" s="25" t="n">
        <v>1</v>
      </c>
      <c r="E82" s="25" t="n">
        <v>3</v>
      </c>
      <c r="F82" s="25" t="n">
        <v>1</v>
      </c>
      <c r="G82" s="25" t="n">
        <v>1</v>
      </c>
      <c r="H82" s="25" t="n">
        <v>1</v>
      </c>
      <c r="I82" s="26"/>
      <c r="J82" s="25" t="n">
        <v>1</v>
      </c>
      <c r="K82" s="26"/>
      <c r="L82" s="26"/>
      <c r="M82" s="27"/>
      <c r="N82" s="28" t="n">
        <v>9</v>
      </c>
    </row>
    <row r="83" customFormat="false" ht="15" hidden="false" customHeight="false" outlineLevel="0" collapsed="false">
      <c r="A83" s="29"/>
      <c r="B83" s="30" t="s">
        <v>126</v>
      </c>
      <c r="C83" s="47" t="n">
        <v>1</v>
      </c>
      <c r="D83" s="32" t="n">
        <v>1</v>
      </c>
      <c r="E83" s="32" t="n">
        <v>3</v>
      </c>
      <c r="F83" s="32" t="n">
        <v>1</v>
      </c>
      <c r="G83" s="32" t="n">
        <v>1</v>
      </c>
      <c r="H83" s="32" t="n">
        <v>1</v>
      </c>
      <c r="I83" s="33"/>
      <c r="J83" s="32" t="n">
        <v>1</v>
      </c>
      <c r="K83" s="33"/>
      <c r="L83" s="33"/>
      <c r="M83" s="34"/>
      <c r="N83" s="35" t="n">
        <v>9</v>
      </c>
    </row>
    <row r="84" customFormat="false" ht="15" hidden="false" customHeight="false" outlineLevel="0" collapsed="false">
      <c r="A84" s="22" t="s">
        <v>77</v>
      </c>
      <c r="B84" s="23"/>
      <c r="C84" s="25" t="n">
        <v>8</v>
      </c>
      <c r="D84" s="25" t="n">
        <v>11</v>
      </c>
      <c r="E84" s="25" t="n">
        <v>11</v>
      </c>
      <c r="F84" s="26"/>
      <c r="G84" s="25" t="n">
        <v>2</v>
      </c>
      <c r="H84" s="25" t="n">
        <v>15</v>
      </c>
      <c r="I84" s="26"/>
      <c r="J84" s="25" t="n">
        <v>4</v>
      </c>
      <c r="K84" s="26"/>
      <c r="L84" s="26"/>
      <c r="M84" s="25" t="n">
        <v>8</v>
      </c>
      <c r="N84" s="28" t="n">
        <v>59</v>
      </c>
    </row>
    <row r="85" customFormat="false" ht="15" hidden="false" customHeight="false" outlineLevel="0" collapsed="false">
      <c r="A85" s="29"/>
      <c r="B85" s="30" t="s">
        <v>76</v>
      </c>
      <c r="C85" s="32" t="n">
        <v>8</v>
      </c>
      <c r="D85" s="32" t="n">
        <v>11</v>
      </c>
      <c r="E85" s="32" t="n">
        <v>11</v>
      </c>
      <c r="F85" s="33"/>
      <c r="G85" s="32" t="n">
        <v>2</v>
      </c>
      <c r="H85" s="32" t="n">
        <v>15</v>
      </c>
      <c r="I85" s="33"/>
      <c r="J85" s="32" t="n">
        <v>4</v>
      </c>
      <c r="K85" s="33"/>
      <c r="L85" s="33"/>
      <c r="M85" s="32" t="n">
        <v>8</v>
      </c>
      <c r="N85" s="35" t="n">
        <v>59</v>
      </c>
    </row>
    <row r="86" customFormat="false" ht="15" hidden="false" customHeight="false" outlineLevel="0" collapsed="false">
      <c r="A86" s="22" t="s">
        <v>61</v>
      </c>
      <c r="B86" s="23"/>
      <c r="C86" s="36" t="n">
        <v>140</v>
      </c>
      <c r="D86" s="25" t="n">
        <v>9</v>
      </c>
      <c r="E86" s="25" t="n">
        <v>91</v>
      </c>
      <c r="F86" s="25" t="n">
        <v>126</v>
      </c>
      <c r="G86" s="25" t="n">
        <v>31</v>
      </c>
      <c r="H86" s="25" t="n">
        <v>194</v>
      </c>
      <c r="I86" s="25" t="n">
        <v>16</v>
      </c>
      <c r="J86" s="25" t="n">
        <v>35</v>
      </c>
      <c r="K86" s="26"/>
      <c r="L86" s="25" t="n">
        <v>1</v>
      </c>
      <c r="M86" s="37" t="n">
        <v>77</v>
      </c>
      <c r="N86" s="28" t="n">
        <v>720</v>
      </c>
    </row>
    <row r="87" customFormat="false" ht="15" hidden="false" customHeight="false" outlineLevel="0" collapsed="false">
      <c r="A87" s="38"/>
      <c r="B87" s="39" t="s">
        <v>917</v>
      </c>
      <c r="C87" s="40"/>
      <c r="D87" s="41"/>
      <c r="E87" s="41"/>
      <c r="F87" s="42" t="n">
        <v>1</v>
      </c>
      <c r="G87" s="42" t="n">
        <v>6</v>
      </c>
      <c r="H87" s="42" t="n">
        <v>1</v>
      </c>
      <c r="I87" s="41"/>
      <c r="J87" s="41"/>
      <c r="K87" s="41"/>
      <c r="L87" s="41"/>
      <c r="M87" s="43"/>
      <c r="N87" s="44" t="n">
        <v>8</v>
      </c>
    </row>
    <row r="88" customFormat="false" ht="15" hidden="false" customHeight="false" outlineLevel="0" collapsed="false">
      <c r="A88" s="38"/>
      <c r="B88" s="39" t="s">
        <v>303</v>
      </c>
      <c r="C88" s="40"/>
      <c r="D88" s="41"/>
      <c r="E88" s="42" t="n">
        <v>2</v>
      </c>
      <c r="F88" s="41"/>
      <c r="G88" s="41"/>
      <c r="H88" s="41"/>
      <c r="I88" s="41"/>
      <c r="J88" s="42" t="n">
        <v>1</v>
      </c>
      <c r="K88" s="41"/>
      <c r="L88" s="41"/>
      <c r="M88" s="46" t="n">
        <v>2</v>
      </c>
      <c r="N88" s="44" t="n">
        <v>5</v>
      </c>
    </row>
    <row r="89" customFormat="false" ht="15" hidden="false" customHeight="false" outlineLevel="0" collapsed="false">
      <c r="A89" s="38"/>
      <c r="B89" s="39" t="s">
        <v>761</v>
      </c>
      <c r="C89" s="45" t="n">
        <v>9</v>
      </c>
      <c r="D89" s="41"/>
      <c r="E89" s="42" t="n">
        <v>8</v>
      </c>
      <c r="F89" s="41"/>
      <c r="G89" s="41"/>
      <c r="H89" s="42" t="n">
        <v>2</v>
      </c>
      <c r="I89" s="42" t="n">
        <v>1</v>
      </c>
      <c r="J89" s="42" t="n">
        <v>6</v>
      </c>
      <c r="K89" s="41"/>
      <c r="L89" s="41"/>
      <c r="M89" s="46" t="n">
        <v>1</v>
      </c>
      <c r="N89" s="44" t="n">
        <v>27</v>
      </c>
    </row>
    <row r="90" customFormat="false" ht="15" hidden="false" customHeight="false" outlineLevel="0" collapsed="false">
      <c r="A90" s="38"/>
      <c r="B90" s="39" t="s">
        <v>248</v>
      </c>
      <c r="C90" s="45" t="n">
        <v>3</v>
      </c>
      <c r="D90" s="41"/>
      <c r="E90" s="42" t="n">
        <v>3</v>
      </c>
      <c r="F90" s="42" t="n">
        <v>1</v>
      </c>
      <c r="G90" s="41"/>
      <c r="H90" s="42" t="n">
        <v>4</v>
      </c>
      <c r="I90" s="42" t="n">
        <v>1</v>
      </c>
      <c r="J90" s="42" t="n">
        <v>1</v>
      </c>
      <c r="K90" s="41"/>
      <c r="L90" s="41"/>
      <c r="M90" s="46" t="n">
        <v>2</v>
      </c>
      <c r="N90" s="44" t="n">
        <v>15</v>
      </c>
    </row>
    <row r="91" customFormat="false" ht="15" hidden="false" customHeight="false" outlineLevel="0" collapsed="false">
      <c r="A91" s="38"/>
      <c r="B91" s="39" t="s">
        <v>208</v>
      </c>
      <c r="C91" s="45" t="n">
        <v>2</v>
      </c>
      <c r="D91" s="41"/>
      <c r="E91" s="42" t="n">
        <v>2</v>
      </c>
      <c r="F91" s="41"/>
      <c r="G91" s="41"/>
      <c r="H91" s="42" t="n">
        <v>3</v>
      </c>
      <c r="I91" s="42" t="n">
        <v>1</v>
      </c>
      <c r="J91" s="41"/>
      <c r="K91" s="41"/>
      <c r="L91" s="41"/>
      <c r="M91" s="43"/>
      <c r="N91" s="44" t="n">
        <v>8</v>
      </c>
    </row>
    <row r="92" customFormat="false" ht="15" hidden="false" customHeight="false" outlineLevel="0" collapsed="false">
      <c r="A92" s="38"/>
      <c r="B92" s="39" t="s">
        <v>769</v>
      </c>
      <c r="C92" s="40"/>
      <c r="D92" s="41"/>
      <c r="E92" s="42" t="n">
        <v>7</v>
      </c>
      <c r="F92" s="41"/>
      <c r="G92" s="41"/>
      <c r="H92" s="41"/>
      <c r="I92" s="41"/>
      <c r="J92" s="41"/>
      <c r="K92" s="41"/>
      <c r="L92" s="41"/>
      <c r="M92" s="43"/>
      <c r="N92" s="44" t="n">
        <v>7</v>
      </c>
    </row>
    <row r="93" customFormat="false" ht="15" hidden="false" customHeight="false" outlineLevel="0" collapsed="false">
      <c r="A93" s="38"/>
      <c r="B93" s="39" t="s">
        <v>335</v>
      </c>
      <c r="C93" s="45" t="n">
        <v>1</v>
      </c>
      <c r="D93" s="41"/>
      <c r="E93" s="41"/>
      <c r="F93" s="42" t="n">
        <v>2</v>
      </c>
      <c r="G93" s="42" t="n">
        <v>3</v>
      </c>
      <c r="H93" s="42" t="n">
        <v>2</v>
      </c>
      <c r="I93" s="41"/>
      <c r="J93" s="41"/>
      <c r="K93" s="41"/>
      <c r="L93" s="41"/>
      <c r="M93" s="46" t="n">
        <v>1</v>
      </c>
      <c r="N93" s="44" t="n">
        <v>9</v>
      </c>
    </row>
    <row r="94" customFormat="false" ht="15" hidden="false" customHeight="false" outlineLevel="0" collapsed="false">
      <c r="A94" s="38"/>
      <c r="B94" s="39" t="s">
        <v>160</v>
      </c>
      <c r="C94" s="45" t="n">
        <v>1</v>
      </c>
      <c r="D94" s="41"/>
      <c r="E94" s="42" t="n">
        <v>1</v>
      </c>
      <c r="F94" s="42" t="n">
        <v>3</v>
      </c>
      <c r="G94" s="41"/>
      <c r="H94" s="42" t="n">
        <v>3</v>
      </c>
      <c r="I94" s="42" t="n">
        <v>1</v>
      </c>
      <c r="J94" s="42" t="n">
        <v>2</v>
      </c>
      <c r="K94" s="41"/>
      <c r="L94" s="41"/>
      <c r="M94" s="43"/>
      <c r="N94" s="44" t="n">
        <v>11</v>
      </c>
    </row>
    <row r="95" customFormat="false" ht="15" hidden="false" customHeight="false" outlineLevel="0" collapsed="false">
      <c r="A95" s="38"/>
      <c r="B95" s="39" t="s">
        <v>495</v>
      </c>
      <c r="C95" s="40"/>
      <c r="D95" s="41"/>
      <c r="E95" s="42" t="n">
        <v>2</v>
      </c>
      <c r="F95" s="42" t="n">
        <v>1</v>
      </c>
      <c r="G95" s="41"/>
      <c r="H95" s="42" t="n">
        <v>1</v>
      </c>
      <c r="I95" s="42" t="n">
        <v>1</v>
      </c>
      <c r="J95" s="42" t="n">
        <v>1</v>
      </c>
      <c r="K95" s="41"/>
      <c r="L95" s="41"/>
      <c r="M95" s="43"/>
      <c r="N95" s="44" t="n">
        <v>6</v>
      </c>
    </row>
    <row r="96" customFormat="false" ht="15" hidden="false" customHeight="false" outlineLevel="0" collapsed="false">
      <c r="A96" s="38"/>
      <c r="B96" s="39" t="s">
        <v>408</v>
      </c>
      <c r="C96" s="40"/>
      <c r="D96" s="41"/>
      <c r="E96" s="41"/>
      <c r="F96" s="42" t="n">
        <v>1</v>
      </c>
      <c r="G96" s="42" t="n">
        <v>1</v>
      </c>
      <c r="H96" s="42" t="n">
        <v>2</v>
      </c>
      <c r="I96" s="41"/>
      <c r="J96" s="41"/>
      <c r="K96" s="41"/>
      <c r="L96" s="41"/>
      <c r="M96" s="43"/>
      <c r="N96" s="44" t="n">
        <v>4</v>
      </c>
    </row>
    <row r="97" customFormat="false" ht="15" hidden="false" customHeight="false" outlineLevel="0" collapsed="false">
      <c r="A97" s="38"/>
      <c r="B97" s="39" t="s">
        <v>167</v>
      </c>
      <c r="C97" s="45" t="n">
        <v>1</v>
      </c>
      <c r="D97" s="42" t="n">
        <v>2</v>
      </c>
      <c r="E97" s="42" t="n">
        <v>3</v>
      </c>
      <c r="F97" s="42" t="n">
        <v>1</v>
      </c>
      <c r="G97" s="41"/>
      <c r="H97" s="42" t="n">
        <v>2</v>
      </c>
      <c r="I97" s="41"/>
      <c r="J97" s="42" t="n">
        <v>3</v>
      </c>
      <c r="K97" s="41"/>
      <c r="L97" s="41"/>
      <c r="M97" s="46" t="n">
        <v>1</v>
      </c>
      <c r="N97" s="44" t="n">
        <v>13</v>
      </c>
    </row>
    <row r="98" customFormat="false" ht="15" hidden="false" customHeight="false" outlineLevel="0" collapsed="false">
      <c r="A98" s="38"/>
      <c r="B98" s="39" t="s">
        <v>555</v>
      </c>
      <c r="C98" s="45" t="n">
        <v>1</v>
      </c>
      <c r="D98" s="41"/>
      <c r="E98" s="42" t="n">
        <v>2</v>
      </c>
      <c r="F98" s="42" t="n">
        <v>13</v>
      </c>
      <c r="G98" s="41"/>
      <c r="H98" s="42" t="n">
        <v>2</v>
      </c>
      <c r="I98" s="41"/>
      <c r="J98" s="42" t="n">
        <v>1</v>
      </c>
      <c r="K98" s="41"/>
      <c r="L98" s="41"/>
      <c r="M98" s="43"/>
      <c r="N98" s="44" t="n">
        <v>19</v>
      </c>
    </row>
    <row r="99" customFormat="false" ht="15" hidden="false" customHeight="false" outlineLevel="0" collapsed="false">
      <c r="A99" s="38"/>
      <c r="B99" s="39" t="s">
        <v>918</v>
      </c>
      <c r="C99" s="40"/>
      <c r="D99" s="41"/>
      <c r="E99" s="41"/>
      <c r="F99" s="41"/>
      <c r="G99" s="41"/>
      <c r="H99" s="42" t="n">
        <v>2</v>
      </c>
      <c r="I99" s="41"/>
      <c r="J99" s="41"/>
      <c r="K99" s="41"/>
      <c r="L99" s="41"/>
      <c r="M99" s="43"/>
      <c r="N99" s="44" t="n">
        <v>2</v>
      </c>
    </row>
    <row r="100" customFormat="false" ht="15" hidden="false" customHeight="false" outlineLevel="0" collapsed="false">
      <c r="A100" s="38"/>
      <c r="B100" s="39" t="s">
        <v>563</v>
      </c>
      <c r="C100" s="45" t="n">
        <v>1</v>
      </c>
      <c r="D100" s="41"/>
      <c r="E100" s="41"/>
      <c r="F100" s="41"/>
      <c r="G100" s="41"/>
      <c r="H100" s="42" t="n">
        <v>2</v>
      </c>
      <c r="I100" s="41"/>
      <c r="J100" s="41"/>
      <c r="K100" s="41"/>
      <c r="L100" s="41"/>
      <c r="M100" s="43"/>
      <c r="N100" s="44" t="n">
        <v>3</v>
      </c>
    </row>
    <row r="101" customFormat="false" ht="15" hidden="false" customHeight="false" outlineLevel="0" collapsed="false">
      <c r="A101" s="38"/>
      <c r="B101" s="39" t="s">
        <v>581</v>
      </c>
      <c r="C101" s="45" t="n">
        <v>2</v>
      </c>
      <c r="D101" s="41"/>
      <c r="E101" s="41"/>
      <c r="F101" s="41"/>
      <c r="G101" s="42" t="n">
        <v>1</v>
      </c>
      <c r="H101" s="42" t="n">
        <v>1</v>
      </c>
      <c r="I101" s="41"/>
      <c r="J101" s="41"/>
      <c r="K101" s="41"/>
      <c r="L101" s="41"/>
      <c r="M101" s="43"/>
      <c r="N101" s="44" t="n">
        <v>4</v>
      </c>
    </row>
    <row r="102" customFormat="false" ht="15" hidden="false" customHeight="false" outlineLevel="0" collapsed="false">
      <c r="A102" s="38"/>
      <c r="B102" s="39" t="s">
        <v>597</v>
      </c>
      <c r="C102" s="45" t="n">
        <v>1</v>
      </c>
      <c r="D102" s="41"/>
      <c r="E102" s="42" t="n">
        <v>1</v>
      </c>
      <c r="F102" s="42" t="n">
        <v>30</v>
      </c>
      <c r="G102" s="41"/>
      <c r="H102" s="42" t="n">
        <v>1</v>
      </c>
      <c r="I102" s="41"/>
      <c r="J102" s="42" t="n">
        <v>1</v>
      </c>
      <c r="K102" s="41"/>
      <c r="L102" s="41"/>
      <c r="M102" s="43"/>
      <c r="N102" s="44" t="n">
        <v>34</v>
      </c>
    </row>
    <row r="103" customFormat="false" ht="15" hidden="false" customHeight="false" outlineLevel="0" collapsed="false">
      <c r="A103" s="38"/>
      <c r="B103" s="39" t="s">
        <v>264</v>
      </c>
      <c r="C103" s="45" t="n">
        <v>3</v>
      </c>
      <c r="D103" s="42" t="n">
        <v>1</v>
      </c>
      <c r="E103" s="42" t="n">
        <v>3</v>
      </c>
      <c r="F103" s="42" t="n">
        <v>1</v>
      </c>
      <c r="G103" s="42" t="n">
        <v>1</v>
      </c>
      <c r="H103" s="42" t="n">
        <v>4</v>
      </c>
      <c r="I103" s="41"/>
      <c r="J103" s="42" t="n">
        <v>2</v>
      </c>
      <c r="K103" s="41"/>
      <c r="L103" s="41"/>
      <c r="M103" s="46" t="n">
        <v>3</v>
      </c>
      <c r="N103" s="44" t="n">
        <v>18</v>
      </c>
    </row>
    <row r="104" customFormat="false" ht="15" hidden="false" customHeight="false" outlineLevel="0" collapsed="false">
      <c r="A104" s="38"/>
      <c r="B104" s="39" t="s">
        <v>605</v>
      </c>
      <c r="C104" s="45" t="n">
        <v>15</v>
      </c>
      <c r="D104" s="41"/>
      <c r="E104" s="42" t="n">
        <v>1</v>
      </c>
      <c r="F104" s="42" t="n">
        <v>19</v>
      </c>
      <c r="G104" s="41"/>
      <c r="H104" s="42" t="n">
        <v>18</v>
      </c>
      <c r="I104" s="41"/>
      <c r="J104" s="42" t="n">
        <v>1</v>
      </c>
      <c r="K104" s="41"/>
      <c r="L104" s="41"/>
      <c r="M104" s="43"/>
      <c r="N104" s="44" t="n">
        <v>54</v>
      </c>
    </row>
    <row r="105" customFormat="false" ht="15" hidden="false" customHeight="false" outlineLevel="0" collapsed="false">
      <c r="A105" s="38"/>
      <c r="B105" s="39" t="s">
        <v>143</v>
      </c>
      <c r="C105" s="40"/>
      <c r="D105" s="41"/>
      <c r="E105" s="42" t="n">
        <v>2</v>
      </c>
      <c r="F105" s="42" t="n">
        <v>1</v>
      </c>
      <c r="G105" s="41"/>
      <c r="H105" s="42" t="n">
        <v>2</v>
      </c>
      <c r="I105" s="42" t="n">
        <v>1</v>
      </c>
      <c r="J105" s="41"/>
      <c r="K105" s="41"/>
      <c r="L105" s="41"/>
      <c r="M105" s="46" t="n">
        <v>1</v>
      </c>
      <c r="N105" s="44" t="n">
        <v>7</v>
      </c>
    </row>
    <row r="106" customFormat="false" ht="15" hidden="false" customHeight="false" outlineLevel="0" collapsed="false">
      <c r="A106" s="38"/>
      <c r="B106" s="39" t="s">
        <v>60</v>
      </c>
      <c r="C106" s="45" t="n">
        <v>16</v>
      </c>
      <c r="D106" s="42" t="n">
        <v>2</v>
      </c>
      <c r="E106" s="42" t="n">
        <v>24</v>
      </c>
      <c r="F106" s="42" t="n">
        <v>8</v>
      </c>
      <c r="G106" s="41"/>
      <c r="H106" s="42" t="n">
        <v>28</v>
      </c>
      <c r="I106" s="42" t="n">
        <v>1</v>
      </c>
      <c r="J106" s="42" t="n">
        <v>2</v>
      </c>
      <c r="K106" s="41"/>
      <c r="L106" s="42" t="n">
        <v>1</v>
      </c>
      <c r="M106" s="46" t="n">
        <v>16</v>
      </c>
      <c r="N106" s="44" t="n">
        <v>98</v>
      </c>
    </row>
    <row r="107" customFormat="false" ht="15" hidden="false" customHeight="false" outlineLevel="0" collapsed="false">
      <c r="A107" s="38"/>
      <c r="B107" s="39" t="s">
        <v>287</v>
      </c>
      <c r="C107" s="45" t="n">
        <v>1</v>
      </c>
      <c r="D107" s="41"/>
      <c r="E107" s="42" t="n">
        <v>1</v>
      </c>
      <c r="F107" s="41"/>
      <c r="G107" s="42" t="n">
        <v>1</v>
      </c>
      <c r="H107" s="42" t="n">
        <v>1</v>
      </c>
      <c r="I107" s="41"/>
      <c r="J107" s="41"/>
      <c r="K107" s="41"/>
      <c r="L107" s="41"/>
      <c r="M107" s="46" t="n">
        <v>1</v>
      </c>
      <c r="N107" s="44" t="n">
        <v>5</v>
      </c>
    </row>
    <row r="108" customFormat="false" ht="15" hidden="false" customHeight="false" outlineLevel="0" collapsed="false">
      <c r="A108" s="38"/>
      <c r="B108" s="39" t="s">
        <v>619</v>
      </c>
      <c r="C108" s="40"/>
      <c r="D108" s="41"/>
      <c r="E108" s="41"/>
      <c r="F108" s="41"/>
      <c r="G108" s="42" t="n">
        <v>2</v>
      </c>
      <c r="H108" s="42" t="n">
        <v>9</v>
      </c>
      <c r="I108" s="41"/>
      <c r="J108" s="41"/>
      <c r="K108" s="41"/>
      <c r="L108" s="41"/>
      <c r="M108" s="46" t="n">
        <v>8</v>
      </c>
      <c r="N108" s="44" t="n">
        <v>19</v>
      </c>
    </row>
    <row r="109" customFormat="false" ht="15" hidden="false" customHeight="false" outlineLevel="0" collapsed="false">
      <c r="A109" s="38"/>
      <c r="B109" s="39" t="s">
        <v>271</v>
      </c>
      <c r="C109" s="45" t="n">
        <v>4</v>
      </c>
      <c r="D109" s="41"/>
      <c r="E109" s="42" t="n">
        <v>1</v>
      </c>
      <c r="F109" s="42" t="n">
        <v>5</v>
      </c>
      <c r="G109" s="42" t="n">
        <v>1</v>
      </c>
      <c r="H109" s="42" t="n">
        <v>3</v>
      </c>
      <c r="I109" s="41"/>
      <c r="J109" s="42" t="n">
        <v>1</v>
      </c>
      <c r="K109" s="41"/>
      <c r="L109" s="41"/>
      <c r="M109" s="43"/>
      <c r="N109" s="44" t="n">
        <v>15</v>
      </c>
    </row>
    <row r="110" customFormat="false" ht="15" hidden="false" customHeight="false" outlineLevel="0" collapsed="false">
      <c r="A110" s="38"/>
      <c r="B110" s="39" t="s">
        <v>509</v>
      </c>
      <c r="C110" s="45" t="n">
        <v>35</v>
      </c>
      <c r="D110" s="42" t="n">
        <v>1</v>
      </c>
      <c r="E110" s="42" t="n">
        <v>1</v>
      </c>
      <c r="F110" s="42" t="n">
        <v>21</v>
      </c>
      <c r="G110" s="42" t="n">
        <v>1</v>
      </c>
      <c r="H110" s="42" t="n">
        <v>22</v>
      </c>
      <c r="I110" s="42" t="n">
        <v>2</v>
      </c>
      <c r="J110" s="41"/>
      <c r="K110" s="41"/>
      <c r="L110" s="41"/>
      <c r="M110" s="43"/>
      <c r="N110" s="44" t="n">
        <v>83</v>
      </c>
    </row>
    <row r="111" customFormat="false" ht="15" hidden="false" customHeight="false" outlineLevel="0" collapsed="false">
      <c r="A111" s="38"/>
      <c r="B111" s="39" t="s">
        <v>103</v>
      </c>
      <c r="C111" s="45" t="n">
        <v>5</v>
      </c>
      <c r="D111" s="41"/>
      <c r="E111" s="42" t="n">
        <v>7</v>
      </c>
      <c r="F111" s="41"/>
      <c r="G111" s="42" t="n">
        <v>1</v>
      </c>
      <c r="H111" s="42" t="n">
        <v>4</v>
      </c>
      <c r="I111" s="41"/>
      <c r="J111" s="41"/>
      <c r="K111" s="41"/>
      <c r="L111" s="41"/>
      <c r="M111" s="46" t="n">
        <v>3</v>
      </c>
      <c r="N111" s="44" t="n">
        <v>20</v>
      </c>
    </row>
    <row r="112" customFormat="false" ht="15" hidden="false" customHeight="false" outlineLevel="0" collapsed="false">
      <c r="A112" s="38"/>
      <c r="B112" s="39" t="s">
        <v>645</v>
      </c>
      <c r="C112" s="45" t="n">
        <v>4</v>
      </c>
      <c r="D112" s="41"/>
      <c r="E112" s="42" t="n">
        <v>4</v>
      </c>
      <c r="F112" s="42" t="n">
        <v>3</v>
      </c>
      <c r="G112" s="42" t="n">
        <v>1</v>
      </c>
      <c r="H112" s="42" t="n">
        <v>4</v>
      </c>
      <c r="I112" s="42" t="n">
        <v>1</v>
      </c>
      <c r="J112" s="42" t="n">
        <v>2</v>
      </c>
      <c r="K112" s="41"/>
      <c r="L112" s="41"/>
      <c r="M112" s="43"/>
      <c r="N112" s="44" t="n">
        <v>19</v>
      </c>
    </row>
    <row r="113" customFormat="false" ht="15" hidden="false" customHeight="false" outlineLevel="0" collapsed="false">
      <c r="A113" s="38"/>
      <c r="B113" s="39" t="s">
        <v>796</v>
      </c>
      <c r="C113" s="45" t="n">
        <v>16</v>
      </c>
      <c r="D113" s="41"/>
      <c r="E113" s="41"/>
      <c r="F113" s="41"/>
      <c r="G113" s="41"/>
      <c r="H113" s="42" t="n">
        <v>17</v>
      </c>
      <c r="I113" s="41"/>
      <c r="J113" s="41"/>
      <c r="K113" s="41"/>
      <c r="L113" s="41"/>
      <c r="M113" s="46" t="n">
        <v>16</v>
      </c>
      <c r="N113" s="44" t="n">
        <v>49</v>
      </c>
    </row>
    <row r="114" customFormat="false" ht="15" hidden="false" customHeight="false" outlineLevel="0" collapsed="false">
      <c r="A114" s="38"/>
      <c r="B114" s="39" t="s">
        <v>279</v>
      </c>
      <c r="C114" s="45" t="n">
        <v>7</v>
      </c>
      <c r="D114" s="41"/>
      <c r="E114" s="41"/>
      <c r="F114" s="41"/>
      <c r="G114" s="41"/>
      <c r="H114" s="42" t="n">
        <v>2</v>
      </c>
      <c r="I114" s="41"/>
      <c r="J114" s="41"/>
      <c r="K114" s="41"/>
      <c r="L114" s="41"/>
      <c r="M114" s="43"/>
      <c r="N114" s="44" t="n">
        <v>9</v>
      </c>
    </row>
    <row r="115" customFormat="false" ht="15" hidden="false" customHeight="false" outlineLevel="0" collapsed="false">
      <c r="A115" s="38"/>
      <c r="B115" s="39" t="s">
        <v>668</v>
      </c>
      <c r="C115" s="45" t="n">
        <v>1</v>
      </c>
      <c r="D115" s="41"/>
      <c r="E115" s="42" t="n">
        <v>3</v>
      </c>
      <c r="F115" s="42" t="n">
        <v>2</v>
      </c>
      <c r="G115" s="42" t="n">
        <v>2</v>
      </c>
      <c r="H115" s="42" t="n">
        <v>4</v>
      </c>
      <c r="I115" s="42" t="n">
        <v>1</v>
      </c>
      <c r="J115" s="42" t="n">
        <v>2</v>
      </c>
      <c r="K115" s="41"/>
      <c r="L115" s="41"/>
      <c r="M115" s="46" t="n">
        <v>3</v>
      </c>
      <c r="N115" s="44" t="n">
        <v>18</v>
      </c>
    </row>
    <row r="116" customFormat="false" ht="15" hidden="false" customHeight="false" outlineLevel="0" collapsed="false">
      <c r="A116" s="38"/>
      <c r="B116" s="39" t="s">
        <v>503</v>
      </c>
      <c r="C116" s="40"/>
      <c r="D116" s="42" t="n">
        <v>1</v>
      </c>
      <c r="E116" s="42" t="n">
        <v>1</v>
      </c>
      <c r="F116" s="42" t="n">
        <v>1</v>
      </c>
      <c r="G116" s="42" t="n">
        <v>1</v>
      </c>
      <c r="H116" s="42" t="n">
        <v>2</v>
      </c>
      <c r="I116" s="42" t="n">
        <v>1</v>
      </c>
      <c r="J116" s="41"/>
      <c r="K116" s="41"/>
      <c r="L116" s="41"/>
      <c r="M116" s="43"/>
      <c r="N116" s="44" t="n">
        <v>7</v>
      </c>
    </row>
    <row r="117" customFormat="false" ht="15" hidden="false" customHeight="false" outlineLevel="0" collapsed="false">
      <c r="A117" s="38"/>
      <c r="B117" s="39" t="s">
        <v>384</v>
      </c>
      <c r="C117" s="45" t="n">
        <v>1</v>
      </c>
      <c r="D117" s="42" t="n">
        <v>2</v>
      </c>
      <c r="E117" s="42" t="n">
        <v>2</v>
      </c>
      <c r="F117" s="42" t="n">
        <v>3</v>
      </c>
      <c r="G117" s="41"/>
      <c r="H117" s="41"/>
      <c r="I117" s="42" t="n">
        <v>1</v>
      </c>
      <c r="J117" s="42" t="n">
        <v>1</v>
      </c>
      <c r="K117" s="41"/>
      <c r="L117" s="41"/>
      <c r="M117" s="46" t="n">
        <v>1</v>
      </c>
      <c r="N117" s="44" t="n">
        <v>11</v>
      </c>
    </row>
    <row r="118" customFormat="false" ht="15" hidden="false" customHeight="false" outlineLevel="0" collapsed="false">
      <c r="A118" s="38"/>
      <c r="B118" s="39" t="s">
        <v>517</v>
      </c>
      <c r="C118" s="45" t="n">
        <v>2</v>
      </c>
      <c r="D118" s="41"/>
      <c r="E118" s="42" t="n">
        <v>1</v>
      </c>
      <c r="F118" s="41"/>
      <c r="G118" s="42" t="n">
        <v>1</v>
      </c>
      <c r="H118" s="42" t="n">
        <v>6</v>
      </c>
      <c r="I118" s="42" t="n">
        <v>2</v>
      </c>
      <c r="J118" s="41"/>
      <c r="K118" s="41"/>
      <c r="L118" s="41"/>
      <c r="M118" s="46" t="n">
        <v>2</v>
      </c>
      <c r="N118" s="44" t="n">
        <v>14</v>
      </c>
    </row>
    <row r="119" customFormat="false" ht="15" hidden="false" customHeight="false" outlineLevel="0" collapsed="false">
      <c r="A119" s="38"/>
      <c r="B119" s="39" t="s">
        <v>232</v>
      </c>
      <c r="C119" s="45" t="n">
        <v>7</v>
      </c>
      <c r="D119" s="41"/>
      <c r="E119" s="42" t="n">
        <v>4</v>
      </c>
      <c r="F119" s="42" t="n">
        <v>2</v>
      </c>
      <c r="G119" s="41"/>
      <c r="H119" s="42" t="n">
        <v>11</v>
      </c>
      <c r="I119" s="42" t="n">
        <v>1</v>
      </c>
      <c r="J119" s="42" t="n">
        <v>4</v>
      </c>
      <c r="K119" s="41"/>
      <c r="L119" s="41"/>
      <c r="M119" s="46" t="n">
        <v>5</v>
      </c>
      <c r="N119" s="44" t="n">
        <v>34</v>
      </c>
    </row>
    <row r="120" customFormat="false" ht="15" hidden="false" customHeight="false" outlineLevel="0" collapsed="false">
      <c r="A120" s="38"/>
      <c r="B120" s="39" t="s">
        <v>69</v>
      </c>
      <c r="C120" s="40"/>
      <c r="D120" s="41"/>
      <c r="E120" s="41"/>
      <c r="F120" s="41"/>
      <c r="G120" s="42" t="n">
        <v>5</v>
      </c>
      <c r="H120" s="42" t="n">
        <v>4</v>
      </c>
      <c r="I120" s="41"/>
      <c r="J120" s="41"/>
      <c r="K120" s="41"/>
      <c r="L120" s="41"/>
      <c r="M120" s="43"/>
      <c r="N120" s="44" t="n">
        <v>9</v>
      </c>
    </row>
    <row r="121" customFormat="false" ht="15" hidden="false" customHeight="false" outlineLevel="0" collapsed="false">
      <c r="A121" s="38"/>
      <c r="B121" s="39" t="s">
        <v>256</v>
      </c>
      <c r="C121" s="40"/>
      <c r="D121" s="41"/>
      <c r="E121" s="41"/>
      <c r="F121" s="42" t="n">
        <v>4</v>
      </c>
      <c r="G121" s="41"/>
      <c r="H121" s="42" t="n">
        <v>5</v>
      </c>
      <c r="I121" s="41"/>
      <c r="J121" s="42" t="n">
        <v>1</v>
      </c>
      <c r="K121" s="41"/>
      <c r="L121" s="41"/>
      <c r="M121" s="43"/>
      <c r="N121" s="44" t="n">
        <v>10</v>
      </c>
    </row>
    <row r="122" customFormat="false" ht="15" hidden="false" customHeight="false" outlineLevel="0" collapsed="false">
      <c r="A122" s="38"/>
      <c r="B122" s="39" t="s">
        <v>893</v>
      </c>
      <c r="C122" s="40"/>
      <c r="D122" s="41"/>
      <c r="E122" s="42" t="n">
        <v>3</v>
      </c>
      <c r="F122" s="41"/>
      <c r="G122" s="41"/>
      <c r="H122" s="42" t="n">
        <v>3</v>
      </c>
      <c r="I122" s="41"/>
      <c r="J122" s="42" t="n">
        <v>1</v>
      </c>
      <c r="K122" s="41"/>
      <c r="L122" s="41"/>
      <c r="M122" s="43"/>
      <c r="N122" s="44" t="n">
        <v>7</v>
      </c>
    </row>
    <row r="123" customFormat="false" ht="15" hidden="false" customHeight="false" outlineLevel="0" collapsed="false">
      <c r="A123" s="38"/>
      <c r="B123" s="39" t="s">
        <v>224</v>
      </c>
      <c r="C123" s="45" t="n">
        <v>1</v>
      </c>
      <c r="D123" s="41"/>
      <c r="E123" s="42" t="n">
        <v>1</v>
      </c>
      <c r="F123" s="42" t="n">
        <v>1</v>
      </c>
      <c r="G123" s="42" t="n">
        <v>1</v>
      </c>
      <c r="H123" s="42" t="n">
        <v>3</v>
      </c>
      <c r="I123" s="41"/>
      <c r="J123" s="42" t="n">
        <v>1</v>
      </c>
      <c r="K123" s="41"/>
      <c r="L123" s="41"/>
      <c r="M123" s="46" t="n">
        <v>2</v>
      </c>
      <c r="N123" s="44" t="n">
        <v>10</v>
      </c>
    </row>
    <row r="124" customFormat="false" ht="15" hidden="false" customHeight="false" outlineLevel="0" collapsed="false">
      <c r="A124" s="29"/>
      <c r="B124" s="30" t="s">
        <v>295</v>
      </c>
      <c r="C124" s="31"/>
      <c r="D124" s="33"/>
      <c r="E124" s="32" t="n">
        <v>1</v>
      </c>
      <c r="F124" s="32" t="n">
        <v>2</v>
      </c>
      <c r="G124" s="32" t="n">
        <v>2</v>
      </c>
      <c r="H124" s="32" t="n">
        <v>14</v>
      </c>
      <c r="I124" s="33"/>
      <c r="J124" s="32" t="n">
        <v>1</v>
      </c>
      <c r="K124" s="33"/>
      <c r="L124" s="33"/>
      <c r="M124" s="48" t="n">
        <v>9</v>
      </c>
      <c r="N124" s="35" t="n">
        <v>29</v>
      </c>
    </row>
    <row r="125" customFormat="false" ht="15" hidden="false" customHeight="false" outlineLevel="0" collapsed="false">
      <c r="A125" s="22" t="s">
        <v>913</v>
      </c>
      <c r="B125" s="23"/>
      <c r="C125" s="26"/>
      <c r="D125" s="26"/>
      <c r="E125" s="26"/>
      <c r="F125" s="26"/>
      <c r="G125" s="26"/>
      <c r="H125" s="26"/>
      <c r="I125" s="26"/>
      <c r="J125" s="26"/>
      <c r="K125" s="25" t="n">
        <v>1865</v>
      </c>
      <c r="L125" s="26"/>
      <c r="M125" s="26"/>
      <c r="N125" s="28" t="n">
        <v>1865</v>
      </c>
    </row>
    <row r="126" customFormat="false" ht="15" hidden="false" customHeight="false" outlineLevel="0" collapsed="false">
      <c r="A126" s="29"/>
      <c r="B126" s="30" t="s">
        <v>913</v>
      </c>
      <c r="C126" s="33"/>
      <c r="D126" s="33"/>
      <c r="E126" s="33"/>
      <c r="F126" s="33"/>
      <c r="G126" s="33"/>
      <c r="H126" s="33"/>
      <c r="I126" s="33"/>
      <c r="J126" s="33"/>
      <c r="K126" s="32" t="n">
        <v>1865</v>
      </c>
      <c r="L126" s="33"/>
      <c r="M126" s="33"/>
      <c r="N126" s="35" t="n">
        <v>1865</v>
      </c>
    </row>
    <row r="127" customFormat="false" ht="15" hidden="false" customHeight="false" outlineLevel="0" collapsed="false">
      <c r="A127" s="49" t="s">
        <v>914</v>
      </c>
      <c r="B127" s="50"/>
      <c r="C127" s="51" t="n">
        <v>360</v>
      </c>
      <c r="D127" s="52" t="n">
        <v>54</v>
      </c>
      <c r="E127" s="52" t="n">
        <v>279</v>
      </c>
      <c r="F127" s="52" t="n">
        <v>242</v>
      </c>
      <c r="G127" s="52" t="n">
        <v>89</v>
      </c>
      <c r="H127" s="52" t="n">
        <v>453</v>
      </c>
      <c r="I127" s="52" t="n">
        <v>17</v>
      </c>
      <c r="J127" s="52" t="n">
        <v>131</v>
      </c>
      <c r="K127" s="52" t="n">
        <v>1865</v>
      </c>
      <c r="L127" s="52" t="n">
        <v>2</v>
      </c>
      <c r="M127" s="53" t="n">
        <v>238</v>
      </c>
      <c r="N127" s="54" t="n">
        <v>3730</v>
      </c>
    </row>
    <row r="133" customFormat="false" ht="15" hidden="false" customHeight="false" outlineLevel="0" collapsed="false">
      <c r="E133" s="55" t="n">
        <v>46125</v>
      </c>
      <c r="F133" s="56" t="n">
        <f aca="false">850/1865</f>
        <v>0.455764075067024</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T6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64" activePane="bottomLeft" state="frozen"/>
      <selection pane="topLeft" activeCell="A1" activeCellId="0" sqref="A1"/>
      <selection pane="bottomLeft" activeCell="G653" activeCellId="0" sqref="G653"/>
    </sheetView>
  </sheetViews>
  <sheetFormatPr defaultColWidth="9.14453125" defaultRowHeight="15" zeroHeight="false" outlineLevelRow="1" outlineLevelCol="0"/>
  <cols>
    <col collapsed="false" customWidth="false" hidden="false" outlineLevel="0" max="1" min="1" style="57" width="9.14"/>
    <col collapsed="false" customWidth="true" hidden="false" outlineLevel="0" max="2" min="2" style="57" width="12.14"/>
    <col collapsed="false" customWidth="true" hidden="false" outlineLevel="0" max="3" min="3" style="57" width="7.14"/>
    <col collapsed="false" customWidth="true" hidden="false" outlineLevel="0" max="4" min="4" style="57" width="9.43"/>
    <col collapsed="false" customWidth="true" hidden="false" outlineLevel="0" max="5" min="5" style="57" width="74"/>
    <col collapsed="false" customWidth="true" hidden="false" outlineLevel="0" max="6" min="6" style="58" width="90.29"/>
    <col collapsed="false" customWidth="true" hidden="false" outlineLevel="0" max="7" min="7" style="59" width="13.43"/>
    <col collapsed="false" customWidth="true" hidden="false" outlineLevel="0" max="8" min="8" style="57" width="17.43"/>
    <col collapsed="false" customWidth="true" hidden="true" outlineLevel="0" max="9" min="9" style="60" width="35.85"/>
    <col collapsed="false" customWidth="true" hidden="true" outlineLevel="0" max="10" min="10" style="111" width="36.14"/>
    <col collapsed="false" customWidth="true" hidden="true" outlineLevel="0" max="11" min="11" style="57" width="73.71"/>
    <col collapsed="false" customWidth="true" hidden="true" outlineLevel="0" max="12" min="12" style="57" width="31.29"/>
    <col collapsed="false" customWidth="true" hidden="false" outlineLevel="0" max="13" min="13" style="57" width="53.43"/>
    <col collapsed="false" customWidth="true" hidden="false" outlineLevel="0" max="14" min="14" style="62" width="12.28"/>
    <col collapsed="false" customWidth="true" hidden="false" outlineLevel="0" max="15" min="15" style="57" width="33.28"/>
    <col collapsed="false" customWidth="true" hidden="false" outlineLevel="0" max="17" min="16" style="57" width="17.85"/>
    <col collapsed="false" customWidth="true" hidden="false" outlineLevel="0" max="18" min="18" style="57" width="20.85"/>
    <col collapsed="false" customWidth="true" hidden="false" outlineLevel="0" max="19" min="19" style="57" width="22.15"/>
    <col collapsed="false" customWidth="true" hidden="false" outlineLevel="0" max="20" min="20" style="57" width="93"/>
    <col collapsed="false" customWidth="false" hidden="false" outlineLevel="0" max="1024" min="21" style="57" width="9.14"/>
  </cols>
  <sheetData>
    <row r="2" s="63" customFormat="true" ht="36" hidden="false" customHeight="true" outlineLevel="0" collapsed="false">
      <c r="B2" s="112" t="s">
        <v>1</v>
      </c>
      <c r="C2" s="113" t="s">
        <v>753</v>
      </c>
      <c r="D2" s="112" t="s">
        <v>4</v>
      </c>
      <c r="E2" s="112" t="s">
        <v>6</v>
      </c>
      <c r="F2" s="112" t="s">
        <v>5</v>
      </c>
      <c r="G2" s="114" t="s">
        <v>7</v>
      </c>
      <c r="H2" s="112" t="s">
        <v>8</v>
      </c>
      <c r="I2" s="112" t="s">
        <v>9</v>
      </c>
      <c r="J2" s="112" t="s">
        <v>10</v>
      </c>
      <c r="K2" s="112" t="s">
        <v>11</v>
      </c>
      <c r="L2" s="112" t="s">
        <v>12</v>
      </c>
      <c r="M2" s="113" t="s">
        <v>13</v>
      </c>
      <c r="N2" s="112" t="s">
        <v>14</v>
      </c>
      <c r="O2" s="115" t="s">
        <v>16</v>
      </c>
      <c r="P2" s="112" t="s">
        <v>17</v>
      </c>
      <c r="Q2" s="112" t="s">
        <v>18</v>
      </c>
      <c r="R2" s="116" t="s">
        <v>19</v>
      </c>
      <c r="S2" s="116" t="s">
        <v>20</v>
      </c>
      <c r="T2" s="63" t="s">
        <v>919</v>
      </c>
    </row>
    <row r="3" s="117" customFormat="true" ht="15" hidden="false" customHeight="false" outlineLevel="0" collapsed="false">
      <c r="B3" s="118"/>
      <c r="C3" s="118"/>
      <c r="D3" s="118"/>
      <c r="E3" s="72" t="s">
        <v>1297</v>
      </c>
      <c r="F3" s="72"/>
      <c r="G3" s="119" t="n">
        <f aca="false">SUM(G4:G29)</f>
        <v>44</v>
      </c>
      <c r="H3" s="72"/>
      <c r="I3" s="120"/>
      <c r="J3" s="121"/>
      <c r="K3" s="118"/>
      <c r="L3" s="118"/>
      <c r="M3" s="118"/>
      <c r="N3" s="122"/>
      <c r="O3" s="103"/>
      <c r="P3" s="72"/>
      <c r="Q3" s="72"/>
      <c r="R3" s="74" t="s">
        <v>932</v>
      </c>
      <c r="S3" s="74"/>
    </row>
    <row r="4" s="77" customFormat="true" ht="15" hidden="false" customHeight="false" outlineLevel="1" collapsed="false">
      <c r="B4" s="78"/>
      <c r="C4" s="80" t="n">
        <v>1</v>
      </c>
      <c r="D4" s="80" t="s">
        <v>51</v>
      </c>
      <c r="E4" s="81" t="s">
        <v>1297</v>
      </c>
      <c r="F4" s="78" t="s">
        <v>52</v>
      </c>
      <c r="G4" s="88" t="n">
        <v>1</v>
      </c>
      <c r="H4" s="84" t="s">
        <v>24</v>
      </c>
      <c r="I4" s="80" t="s">
        <v>53</v>
      </c>
      <c r="J4" s="80" t="s">
        <v>54</v>
      </c>
      <c r="K4" s="80" t="s">
        <v>55</v>
      </c>
      <c r="L4" s="80" t="s">
        <v>56</v>
      </c>
      <c r="M4" s="80" t="s">
        <v>57</v>
      </c>
      <c r="N4" s="80" t="s">
        <v>58</v>
      </c>
      <c r="O4" s="101" t="n">
        <v>46139</v>
      </c>
      <c r="P4" s="84"/>
      <c r="Q4" s="84"/>
      <c r="R4" s="87" t="s">
        <v>932</v>
      </c>
      <c r="S4" s="87" t="s">
        <v>31</v>
      </c>
    </row>
    <row r="5" s="77" customFormat="true" ht="15" hidden="false" customHeight="false" outlineLevel="1" collapsed="false">
      <c r="B5" s="78"/>
      <c r="C5" s="80" t="n">
        <v>2</v>
      </c>
      <c r="D5" s="80" t="s">
        <v>59</v>
      </c>
      <c r="E5" s="81" t="s">
        <v>1297</v>
      </c>
      <c r="F5" s="78" t="s">
        <v>60</v>
      </c>
      <c r="G5" s="88" t="n">
        <v>4</v>
      </c>
      <c r="H5" s="84" t="s">
        <v>61</v>
      </c>
      <c r="I5" s="80" t="s">
        <v>62</v>
      </c>
      <c r="J5" s="80" t="s">
        <v>63</v>
      </c>
      <c r="K5" s="80" t="s">
        <v>64</v>
      </c>
      <c r="L5" s="80" t="s">
        <v>65</v>
      </c>
      <c r="M5" s="80" t="s">
        <v>66</v>
      </c>
      <c r="N5" s="80" t="s">
        <v>67</v>
      </c>
      <c r="O5" s="101" t="n">
        <v>46139</v>
      </c>
      <c r="P5" s="84"/>
      <c r="Q5" s="84"/>
      <c r="R5" s="87" t="s">
        <v>932</v>
      </c>
      <c r="S5" s="87" t="s">
        <v>31</v>
      </c>
    </row>
    <row r="6" s="77" customFormat="true" ht="54" hidden="false" customHeight="true" outlineLevel="1" collapsed="false">
      <c r="B6" s="78"/>
      <c r="C6" s="80" t="s">
        <v>1298</v>
      </c>
      <c r="D6" s="80" t="s">
        <v>68</v>
      </c>
      <c r="E6" s="81" t="s">
        <v>1297</v>
      </c>
      <c r="F6" s="78" t="s">
        <v>69</v>
      </c>
      <c r="G6" s="91" t="n">
        <v>4</v>
      </c>
      <c r="H6" s="84" t="s">
        <v>61</v>
      </c>
      <c r="I6" s="80" t="s">
        <v>1299</v>
      </c>
      <c r="J6" s="80" t="s">
        <v>1300</v>
      </c>
      <c r="K6" s="80" t="s">
        <v>1301</v>
      </c>
      <c r="L6" s="80" t="s">
        <v>73</v>
      </c>
      <c r="M6" s="80" t="s">
        <v>1302</v>
      </c>
      <c r="N6" s="80" t="s">
        <v>74</v>
      </c>
      <c r="O6" s="101" t="n">
        <v>46139</v>
      </c>
      <c r="P6" s="84"/>
      <c r="Q6" s="84"/>
      <c r="R6" s="87" t="s">
        <v>932</v>
      </c>
      <c r="S6" s="87" t="s">
        <v>31</v>
      </c>
    </row>
    <row r="7" s="77" customFormat="true" ht="72" hidden="false" customHeight="true" outlineLevel="1" collapsed="false">
      <c r="B7" s="78"/>
      <c r="C7" s="80" t="s">
        <v>1303</v>
      </c>
      <c r="D7" s="80" t="s">
        <v>75</v>
      </c>
      <c r="E7" s="81" t="s">
        <v>1297</v>
      </c>
      <c r="F7" s="78" t="s">
        <v>76</v>
      </c>
      <c r="G7" s="88" t="n">
        <v>4</v>
      </c>
      <c r="H7" s="84" t="s">
        <v>77</v>
      </c>
      <c r="I7" s="80" t="s">
        <v>1304</v>
      </c>
      <c r="J7" s="80" t="s">
        <v>1305</v>
      </c>
      <c r="K7" s="80" t="s">
        <v>1306</v>
      </c>
      <c r="L7" s="80" t="s">
        <v>81</v>
      </c>
      <c r="M7" s="80" t="s">
        <v>1307</v>
      </c>
      <c r="N7" s="80" t="s">
        <v>83</v>
      </c>
      <c r="O7" s="101" t="n">
        <v>46139</v>
      </c>
      <c r="P7" s="84"/>
      <c r="Q7" s="84"/>
      <c r="R7" s="87" t="s">
        <v>932</v>
      </c>
      <c r="S7" s="87" t="s">
        <v>84</v>
      </c>
    </row>
    <row r="8" s="77" customFormat="true" ht="15" hidden="false" customHeight="false" outlineLevel="1" collapsed="false">
      <c r="B8" s="78"/>
      <c r="C8" s="80" t="n">
        <v>5</v>
      </c>
      <c r="D8" s="80" t="s">
        <v>626</v>
      </c>
      <c r="E8" s="81" t="s">
        <v>1297</v>
      </c>
      <c r="F8" s="78" t="s">
        <v>627</v>
      </c>
      <c r="G8" s="88" t="n">
        <v>2</v>
      </c>
      <c r="H8" s="84" t="s">
        <v>152</v>
      </c>
      <c r="I8" s="80" t="s">
        <v>628</v>
      </c>
      <c r="J8" s="80" t="s">
        <v>629</v>
      </c>
      <c r="K8" s="80" t="s">
        <v>630</v>
      </c>
      <c r="L8" s="80" t="s">
        <v>631</v>
      </c>
      <c r="M8" s="80" t="s">
        <v>1308</v>
      </c>
      <c r="N8" s="80" t="s">
        <v>633</v>
      </c>
      <c r="O8" s="101" t="n">
        <v>46139</v>
      </c>
      <c r="P8" s="84"/>
      <c r="Q8" s="84"/>
      <c r="R8" s="87" t="s">
        <v>932</v>
      </c>
      <c r="S8" s="87" t="s">
        <v>84</v>
      </c>
    </row>
    <row r="9" s="77" customFormat="true" ht="15" hidden="false" customHeight="false" outlineLevel="1" collapsed="false">
      <c r="B9" s="78"/>
      <c r="C9" s="80" t="n">
        <v>6</v>
      </c>
      <c r="D9" s="80" t="s">
        <v>618</v>
      </c>
      <c r="E9" s="81" t="s">
        <v>1297</v>
      </c>
      <c r="F9" s="78" t="s">
        <v>619</v>
      </c>
      <c r="G9" s="91" t="n">
        <v>1</v>
      </c>
      <c r="H9" s="84" t="s">
        <v>61</v>
      </c>
      <c r="I9" s="80" t="s">
        <v>620</v>
      </c>
      <c r="J9" s="80" t="s">
        <v>621</v>
      </c>
      <c r="K9" s="80" t="s">
        <v>622</v>
      </c>
      <c r="L9" s="80" t="s">
        <v>623</v>
      </c>
      <c r="M9" s="80" t="s">
        <v>624</v>
      </c>
      <c r="N9" s="80" t="s">
        <v>625</v>
      </c>
      <c r="O9" s="101" t="n">
        <v>46139</v>
      </c>
      <c r="P9" s="84"/>
      <c r="Q9" s="84"/>
      <c r="R9" s="87" t="s">
        <v>932</v>
      </c>
      <c r="S9" s="87" t="s">
        <v>31</v>
      </c>
    </row>
    <row r="10" s="77" customFormat="true" ht="15" hidden="false" customHeight="false" outlineLevel="1" collapsed="false">
      <c r="B10" s="78"/>
      <c r="C10" s="80" t="n">
        <v>7</v>
      </c>
      <c r="D10" s="80" t="s">
        <v>554</v>
      </c>
      <c r="E10" s="81" t="s">
        <v>1297</v>
      </c>
      <c r="F10" s="78" t="s">
        <v>555</v>
      </c>
      <c r="G10" s="88" t="n">
        <v>1</v>
      </c>
      <c r="H10" s="84" t="s">
        <v>61</v>
      </c>
      <c r="I10" s="80" t="s">
        <v>1309</v>
      </c>
      <c r="J10" s="80" t="s">
        <v>1310</v>
      </c>
      <c r="K10" s="80" t="s">
        <v>1311</v>
      </c>
      <c r="L10" s="80" t="s">
        <v>559</v>
      </c>
      <c r="M10" s="80" t="s">
        <v>1312</v>
      </c>
      <c r="N10" s="80" t="s">
        <v>561</v>
      </c>
      <c r="O10" s="101" t="n">
        <v>46139</v>
      </c>
      <c r="P10" s="84"/>
      <c r="Q10" s="84"/>
      <c r="R10" s="87" t="s">
        <v>932</v>
      </c>
      <c r="S10" s="87" t="s">
        <v>31</v>
      </c>
    </row>
    <row r="11" s="77" customFormat="true" ht="15" hidden="false" customHeight="false" outlineLevel="1" collapsed="false">
      <c r="B11" s="78"/>
      <c r="C11" s="80" t="n">
        <v>8</v>
      </c>
      <c r="D11" s="80" t="s">
        <v>142</v>
      </c>
      <c r="E11" s="81" t="s">
        <v>1297</v>
      </c>
      <c r="F11" s="78" t="s">
        <v>143</v>
      </c>
      <c r="G11" s="88" t="n">
        <v>1</v>
      </c>
      <c r="H11" s="84" t="s">
        <v>61</v>
      </c>
      <c r="I11" s="80" t="s">
        <v>144</v>
      </c>
      <c r="J11" s="80" t="s">
        <v>145</v>
      </c>
      <c r="K11" s="80" t="s">
        <v>146</v>
      </c>
      <c r="L11" s="80" t="s">
        <v>147</v>
      </c>
      <c r="M11" s="80" t="s">
        <v>148</v>
      </c>
      <c r="N11" s="80" t="s">
        <v>149</v>
      </c>
      <c r="O11" s="101" t="n">
        <v>46139</v>
      </c>
      <c r="P11" s="84"/>
      <c r="Q11" s="84"/>
      <c r="R11" s="87" t="s">
        <v>932</v>
      </c>
      <c r="S11" s="87" t="s">
        <v>84</v>
      </c>
    </row>
    <row r="12" s="77" customFormat="true" ht="15" hidden="false" customHeight="false" outlineLevel="1" collapsed="false">
      <c r="B12" s="78"/>
      <c r="C12" s="80" t="n">
        <v>9</v>
      </c>
      <c r="D12" s="80" t="s">
        <v>182</v>
      </c>
      <c r="E12" s="81" t="s">
        <v>1297</v>
      </c>
      <c r="F12" s="78" t="s">
        <v>183</v>
      </c>
      <c r="G12" s="88" t="n">
        <v>1</v>
      </c>
      <c r="H12" s="84" t="s">
        <v>111</v>
      </c>
      <c r="I12" s="80" t="s">
        <v>184</v>
      </c>
      <c r="J12" s="80" t="s">
        <v>185</v>
      </c>
      <c r="K12" s="80" t="s">
        <v>186</v>
      </c>
      <c r="L12" s="80" t="s">
        <v>187</v>
      </c>
      <c r="M12" s="80" t="s">
        <v>188</v>
      </c>
      <c r="N12" s="80" t="s">
        <v>189</v>
      </c>
      <c r="O12" s="101" t="n">
        <v>46139</v>
      </c>
      <c r="P12" s="84"/>
      <c r="Q12" s="84"/>
      <c r="R12" s="87" t="s">
        <v>932</v>
      </c>
      <c r="S12" s="87" t="s">
        <v>84</v>
      </c>
    </row>
    <row r="13" s="77" customFormat="true" ht="36" hidden="false" customHeight="true" outlineLevel="1" collapsed="false">
      <c r="B13" s="78"/>
      <c r="C13" s="80" t="s">
        <v>1313</v>
      </c>
      <c r="D13" s="80" t="s">
        <v>190</v>
      </c>
      <c r="E13" s="81" t="s">
        <v>1297</v>
      </c>
      <c r="F13" s="78" t="s">
        <v>191</v>
      </c>
      <c r="G13" s="91" t="n">
        <v>2</v>
      </c>
      <c r="H13" s="84" t="s">
        <v>24</v>
      </c>
      <c r="I13" s="80" t="s">
        <v>1314</v>
      </c>
      <c r="J13" s="80" t="s">
        <v>1315</v>
      </c>
      <c r="K13" s="80" t="s">
        <v>1316</v>
      </c>
      <c r="L13" s="80" t="s">
        <v>195</v>
      </c>
      <c r="M13" s="80" t="s">
        <v>1317</v>
      </c>
      <c r="N13" s="80" t="s">
        <v>197</v>
      </c>
      <c r="O13" s="101" t="n">
        <v>46139</v>
      </c>
      <c r="P13" s="84"/>
      <c r="Q13" s="84"/>
      <c r="R13" s="87" t="s">
        <v>932</v>
      </c>
      <c r="S13" s="87" t="s">
        <v>31</v>
      </c>
    </row>
    <row r="14" s="77" customFormat="true" ht="15" hidden="false" customHeight="false" outlineLevel="1" collapsed="false">
      <c r="B14" s="78"/>
      <c r="C14" s="80" t="n">
        <v>11</v>
      </c>
      <c r="D14" s="80" t="s">
        <v>198</v>
      </c>
      <c r="E14" s="81" t="s">
        <v>1297</v>
      </c>
      <c r="F14" s="78" t="s">
        <v>199</v>
      </c>
      <c r="G14" s="88" t="n">
        <v>1</v>
      </c>
      <c r="H14" s="84" t="s">
        <v>200</v>
      </c>
      <c r="I14" s="80" t="s">
        <v>201</v>
      </c>
      <c r="J14" s="80" t="s">
        <v>202</v>
      </c>
      <c r="K14" s="80" t="s">
        <v>203</v>
      </c>
      <c r="L14" s="80" t="s">
        <v>204</v>
      </c>
      <c r="M14" s="80" t="s">
        <v>205</v>
      </c>
      <c r="N14" s="80" t="s">
        <v>206</v>
      </c>
      <c r="O14" s="101" t="n">
        <v>46139</v>
      </c>
      <c r="P14" s="84"/>
      <c r="Q14" s="84"/>
      <c r="R14" s="87" t="s">
        <v>932</v>
      </c>
      <c r="S14" s="87" t="s">
        <v>84</v>
      </c>
    </row>
    <row r="15" s="77" customFormat="true" ht="15" hidden="false" customHeight="false" outlineLevel="1" collapsed="false">
      <c r="B15" s="78"/>
      <c r="C15" s="80" t="n">
        <v>12</v>
      </c>
      <c r="D15" s="80" t="s">
        <v>215</v>
      </c>
      <c r="E15" s="81" t="s">
        <v>1297</v>
      </c>
      <c r="F15" s="78" t="s">
        <v>216</v>
      </c>
      <c r="G15" s="91" t="n">
        <v>1</v>
      </c>
      <c r="H15" s="84" t="s">
        <v>24</v>
      </c>
      <c r="I15" s="80" t="s">
        <v>217</v>
      </c>
      <c r="J15" s="80" t="s">
        <v>218</v>
      </c>
      <c r="K15" s="80" t="s">
        <v>219</v>
      </c>
      <c r="L15" s="80" t="s">
        <v>220</v>
      </c>
      <c r="M15" s="80" t="s">
        <v>221</v>
      </c>
      <c r="N15" s="80" t="s">
        <v>222</v>
      </c>
      <c r="O15" s="101" t="n">
        <v>46139</v>
      </c>
      <c r="P15" s="84"/>
      <c r="Q15" s="84"/>
      <c r="R15" s="87" t="s">
        <v>932</v>
      </c>
      <c r="S15" s="87" t="s">
        <v>31</v>
      </c>
    </row>
    <row r="16" s="77" customFormat="true" ht="15" hidden="false" customHeight="false" outlineLevel="1" collapsed="false">
      <c r="B16" s="78"/>
      <c r="C16" s="80" t="n">
        <v>13</v>
      </c>
      <c r="D16" s="80" t="s">
        <v>223</v>
      </c>
      <c r="E16" s="81" t="s">
        <v>1297</v>
      </c>
      <c r="F16" s="78" t="s">
        <v>224</v>
      </c>
      <c r="G16" s="88" t="n">
        <v>1</v>
      </c>
      <c r="H16" s="84" t="s">
        <v>61</v>
      </c>
      <c r="I16" s="80" t="s">
        <v>225</v>
      </c>
      <c r="J16" s="80" t="s">
        <v>226</v>
      </c>
      <c r="K16" s="80" t="s">
        <v>227</v>
      </c>
      <c r="L16" s="80" t="s">
        <v>228</v>
      </c>
      <c r="M16" s="80" t="s">
        <v>229</v>
      </c>
      <c r="N16" s="80" t="s">
        <v>230</v>
      </c>
      <c r="O16" s="101" t="n">
        <v>46139</v>
      </c>
      <c r="P16" s="84"/>
      <c r="Q16" s="84"/>
      <c r="R16" s="87" t="s">
        <v>932</v>
      </c>
      <c r="S16" s="87" t="s">
        <v>31</v>
      </c>
    </row>
    <row r="17" s="77" customFormat="true" ht="30" hidden="false" customHeight="true" outlineLevel="1" collapsed="false">
      <c r="B17" s="78"/>
      <c r="C17" s="80" t="n">
        <v>14</v>
      </c>
      <c r="D17" s="80" t="s">
        <v>247</v>
      </c>
      <c r="E17" s="81" t="s">
        <v>1297</v>
      </c>
      <c r="F17" s="78" t="s">
        <v>248</v>
      </c>
      <c r="G17" s="88" t="n">
        <v>1</v>
      </c>
      <c r="H17" s="84" t="s">
        <v>61</v>
      </c>
      <c r="I17" s="80" t="s">
        <v>528</v>
      </c>
      <c r="J17" s="80" t="s">
        <v>1066</v>
      </c>
      <c r="K17" s="97" t="s">
        <v>530</v>
      </c>
      <c r="L17" s="80" t="s">
        <v>252</v>
      </c>
      <c r="M17" s="80" t="s">
        <v>531</v>
      </c>
      <c r="N17" s="80" t="s">
        <v>254</v>
      </c>
      <c r="O17" s="101" t="n">
        <v>46139</v>
      </c>
      <c r="P17" s="84"/>
      <c r="Q17" s="84"/>
      <c r="R17" s="87" t="s">
        <v>932</v>
      </c>
      <c r="S17" s="87" t="s">
        <v>84</v>
      </c>
    </row>
    <row r="18" s="77" customFormat="true" ht="15" hidden="false" customHeight="false" outlineLevel="1" collapsed="false">
      <c r="B18" s="78"/>
      <c r="C18" s="80" t="n">
        <v>15</v>
      </c>
      <c r="D18" s="80" t="s">
        <v>715</v>
      </c>
      <c r="E18" s="81" t="s">
        <v>1297</v>
      </c>
      <c r="F18" s="78" t="s">
        <v>716</v>
      </c>
      <c r="G18" s="88" t="n">
        <v>1</v>
      </c>
      <c r="H18" s="84" t="s">
        <v>717</v>
      </c>
      <c r="I18" s="80" t="s">
        <v>718</v>
      </c>
      <c r="J18" s="80" t="s">
        <v>719</v>
      </c>
      <c r="K18" s="80" t="s">
        <v>720</v>
      </c>
      <c r="L18" s="80" t="s">
        <v>721</v>
      </c>
      <c r="M18" s="80" t="s">
        <v>722</v>
      </c>
      <c r="N18" s="80" t="s">
        <v>723</v>
      </c>
      <c r="O18" s="101" t="n">
        <v>46139</v>
      </c>
      <c r="P18" s="84"/>
      <c r="Q18" s="84"/>
      <c r="R18" s="87" t="s">
        <v>932</v>
      </c>
      <c r="S18" s="87" t="s">
        <v>31</v>
      </c>
    </row>
    <row r="19" s="77" customFormat="true" ht="30" hidden="false" customHeight="true" outlineLevel="1" collapsed="false">
      <c r="B19" s="78"/>
      <c r="C19" s="80" t="n">
        <v>16</v>
      </c>
      <c r="D19" s="80" t="s">
        <v>255</v>
      </c>
      <c r="E19" s="81" t="s">
        <v>1297</v>
      </c>
      <c r="F19" s="78" t="s">
        <v>256</v>
      </c>
      <c r="G19" s="88" t="n">
        <v>1</v>
      </c>
      <c r="H19" s="84" t="s">
        <v>61</v>
      </c>
      <c r="I19" s="80" t="s">
        <v>257</v>
      </c>
      <c r="J19" s="80" t="s">
        <v>258</v>
      </c>
      <c r="K19" s="80" t="s">
        <v>259</v>
      </c>
      <c r="L19" s="80" t="s">
        <v>260</v>
      </c>
      <c r="M19" s="80" t="s">
        <v>847</v>
      </c>
      <c r="N19" s="80" t="s">
        <v>262</v>
      </c>
      <c r="O19" s="101" t="n">
        <v>46139</v>
      </c>
      <c r="P19" s="84"/>
      <c r="Q19" s="84"/>
      <c r="R19" s="87" t="s">
        <v>932</v>
      </c>
      <c r="S19" s="87" t="s">
        <v>84</v>
      </c>
    </row>
    <row r="20" s="77" customFormat="true" ht="15" hidden="false" customHeight="false" outlineLevel="1" collapsed="false">
      <c r="B20" s="78"/>
      <c r="C20" s="80" t="n">
        <v>17</v>
      </c>
      <c r="D20" s="80" t="s">
        <v>270</v>
      </c>
      <c r="E20" s="81" t="s">
        <v>1297</v>
      </c>
      <c r="F20" s="78" t="s">
        <v>271</v>
      </c>
      <c r="G20" s="88" t="n">
        <v>1</v>
      </c>
      <c r="H20" s="84" t="s">
        <v>61</v>
      </c>
      <c r="I20" s="80" t="s">
        <v>272</v>
      </c>
      <c r="J20" s="80" t="s">
        <v>273</v>
      </c>
      <c r="K20" s="80" t="s">
        <v>274</v>
      </c>
      <c r="L20" s="80" t="s">
        <v>275</v>
      </c>
      <c r="M20" s="80" t="s">
        <v>275</v>
      </c>
      <c r="N20" s="80" t="s">
        <v>277</v>
      </c>
      <c r="O20" s="101" t="n">
        <v>46139</v>
      </c>
      <c r="P20" s="84"/>
      <c r="Q20" s="84"/>
      <c r="R20" s="87" t="s">
        <v>932</v>
      </c>
      <c r="S20" s="87" t="s">
        <v>31</v>
      </c>
    </row>
    <row r="21" s="77" customFormat="true" ht="15" hidden="false" customHeight="false" outlineLevel="1" collapsed="false">
      <c r="B21" s="78"/>
      <c r="C21" s="80" t="n">
        <v>18</v>
      </c>
      <c r="D21" s="80" t="s">
        <v>318</v>
      </c>
      <c r="E21" s="81" t="s">
        <v>1297</v>
      </c>
      <c r="F21" s="78" t="s">
        <v>319</v>
      </c>
      <c r="G21" s="91" t="n">
        <v>1</v>
      </c>
      <c r="H21" s="84" t="s">
        <v>111</v>
      </c>
      <c r="I21" s="80" t="s">
        <v>320</v>
      </c>
      <c r="J21" s="80" t="s">
        <v>321</v>
      </c>
      <c r="K21" s="80" t="s">
        <v>322</v>
      </c>
      <c r="L21" s="80" t="s">
        <v>323</v>
      </c>
      <c r="M21" s="80" t="s">
        <v>324</v>
      </c>
      <c r="N21" s="80" t="s">
        <v>325</v>
      </c>
      <c r="O21" s="101" t="n">
        <v>46139</v>
      </c>
      <c r="P21" s="84"/>
      <c r="Q21" s="84"/>
      <c r="R21" s="87" t="s">
        <v>932</v>
      </c>
      <c r="S21" s="87" t="s">
        <v>84</v>
      </c>
    </row>
    <row r="22" s="77" customFormat="true" ht="15" hidden="false" customHeight="false" outlineLevel="1" collapsed="false">
      <c r="B22" s="78"/>
      <c r="C22" s="80" t="n">
        <v>19</v>
      </c>
      <c r="D22" s="80" t="s">
        <v>334</v>
      </c>
      <c r="E22" s="81" t="s">
        <v>1297</v>
      </c>
      <c r="F22" s="78" t="s">
        <v>335</v>
      </c>
      <c r="G22" s="88" t="n">
        <v>1</v>
      </c>
      <c r="H22" s="84" t="s">
        <v>61</v>
      </c>
      <c r="I22" s="80" t="s">
        <v>336</v>
      </c>
      <c r="J22" s="80" t="s">
        <v>337</v>
      </c>
      <c r="K22" s="80" t="s">
        <v>338</v>
      </c>
      <c r="L22" s="80" t="s">
        <v>339</v>
      </c>
      <c r="M22" s="80" t="s">
        <v>543</v>
      </c>
      <c r="N22" s="80" t="s">
        <v>341</v>
      </c>
      <c r="O22" s="101" t="n">
        <v>46139</v>
      </c>
      <c r="P22" s="84"/>
      <c r="Q22" s="84"/>
      <c r="R22" s="87" t="s">
        <v>932</v>
      </c>
      <c r="S22" s="87" t="s">
        <v>84</v>
      </c>
    </row>
    <row r="23" s="77" customFormat="true" ht="36" hidden="false" customHeight="true" outlineLevel="1" collapsed="false">
      <c r="B23" s="78"/>
      <c r="C23" s="80" t="s">
        <v>1318</v>
      </c>
      <c r="D23" s="80" t="s">
        <v>802</v>
      </c>
      <c r="E23" s="81" t="s">
        <v>1297</v>
      </c>
      <c r="F23" s="78" t="s">
        <v>803</v>
      </c>
      <c r="G23" s="88" t="n">
        <v>4</v>
      </c>
      <c r="H23" s="84" t="s">
        <v>804</v>
      </c>
      <c r="I23" s="80" t="s">
        <v>874</v>
      </c>
      <c r="J23" s="80" t="s">
        <v>875</v>
      </c>
      <c r="K23" s="80" t="s">
        <v>876</v>
      </c>
      <c r="L23" s="80" t="s">
        <v>808</v>
      </c>
      <c r="M23" s="80" t="s">
        <v>1319</v>
      </c>
      <c r="N23" s="80" t="s">
        <v>810</v>
      </c>
      <c r="O23" s="101" t="n">
        <v>46139</v>
      </c>
      <c r="P23" s="84"/>
      <c r="Q23" s="84"/>
      <c r="R23" s="87" t="s">
        <v>932</v>
      </c>
      <c r="S23" s="87" t="s">
        <v>84</v>
      </c>
    </row>
    <row r="24" s="77" customFormat="true" ht="36" hidden="false" customHeight="true" outlineLevel="1" collapsed="false">
      <c r="B24" s="78"/>
      <c r="C24" s="80" t="s">
        <v>1320</v>
      </c>
      <c r="D24" s="80" t="s">
        <v>366</v>
      </c>
      <c r="E24" s="81" t="s">
        <v>1297</v>
      </c>
      <c r="F24" s="78" t="s">
        <v>367</v>
      </c>
      <c r="G24" s="88" t="n">
        <v>2</v>
      </c>
      <c r="H24" s="84" t="s">
        <v>368</v>
      </c>
      <c r="I24" s="80" t="s">
        <v>369</v>
      </c>
      <c r="J24" s="80" t="s">
        <v>370</v>
      </c>
      <c r="K24" s="80" t="s">
        <v>371</v>
      </c>
      <c r="L24" s="80" t="s">
        <v>372</v>
      </c>
      <c r="M24" s="80" t="s">
        <v>1321</v>
      </c>
      <c r="N24" s="80" t="s">
        <v>374</v>
      </c>
      <c r="O24" s="101" t="n">
        <v>46139</v>
      </c>
      <c r="P24" s="84"/>
      <c r="Q24" s="84"/>
      <c r="R24" s="87" t="s">
        <v>932</v>
      </c>
      <c r="S24" s="87" t="s">
        <v>84</v>
      </c>
    </row>
    <row r="25" s="77" customFormat="true" ht="15" hidden="false" customHeight="false" outlineLevel="1" collapsed="false">
      <c r="B25" s="78"/>
      <c r="C25" s="80" t="n">
        <v>22</v>
      </c>
      <c r="D25" s="80" t="s">
        <v>391</v>
      </c>
      <c r="E25" s="81" t="s">
        <v>1297</v>
      </c>
      <c r="F25" s="78" t="s">
        <v>392</v>
      </c>
      <c r="G25" s="88" t="n">
        <v>1</v>
      </c>
      <c r="H25" s="84" t="s">
        <v>111</v>
      </c>
      <c r="I25" s="80" t="s">
        <v>393</v>
      </c>
      <c r="J25" s="80" t="s">
        <v>394</v>
      </c>
      <c r="K25" s="80" t="s">
        <v>395</v>
      </c>
      <c r="L25" s="80" t="s">
        <v>396</v>
      </c>
      <c r="M25" s="80" t="s">
        <v>397</v>
      </c>
      <c r="N25" s="80" t="s">
        <v>398</v>
      </c>
      <c r="O25" s="101" t="n">
        <v>46139</v>
      </c>
      <c r="P25" s="84"/>
      <c r="Q25" s="84"/>
      <c r="R25" s="87" t="s">
        <v>932</v>
      </c>
      <c r="S25" s="87" t="s">
        <v>84</v>
      </c>
    </row>
    <row r="26" s="77" customFormat="true" ht="15" hidden="false" customHeight="false" outlineLevel="1" collapsed="false">
      <c r="B26" s="78"/>
      <c r="C26" s="80" t="n">
        <v>23</v>
      </c>
      <c r="D26" s="80" t="s">
        <v>407</v>
      </c>
      <c r="E26" s="81" t="s">
        <v>1297</v>
      </c>
      <c r="F26" s="78" t="s">
        <v>408</v>
      </c>
      <c r="G26" s="91" t="n">
        <v>1</v>
      </c>
      <c r="H26" s="84" t="s">
        <v>61</v>
      </c>
      <c r="I26" s="80" t="s">
        <v>409</v>
      </c>
      <c r="J26" s="80" t="s">
        <v>410</v>
      </c>
      <c r="K26" s="80" t="s">
        <v>411</v>
      </c>
      <c r="L26" s="80" t="s">
        <v>412</v>
      </c>
      <c r="M26" s="80" t="s">
        <v>552</v>
      </c>
      <c r="N26" s="80" t="s">
        <v>414</v>
      </c>
      <c r="O26" s="101" t="n">
        <v>46139</v>
      </c>
      <c r="P26" s="84"/>
      <c r="Q26" s="84"/>
      <c r="R26" s="87" t="s">
        <v>932</v>
      </c>
      <c r="S26" s="87" t="s">
        <v>84</v>
      </c>
    </row>
    <row r="27" s="77" customFormat="true" ht="54" hidden="false" customHeight="true" outlineLevel="1" collapsed="false">
      <c r="B27" s="78"/>
      <c r="C27" s="80" t="s">
        <v>1322</v>
      </c>
      <c r="D27" s="80" t="s">
        <v>892</v>
      </c>
      <c r="E27" s="81" t="s">
        <v>1297</v>
      </c>
      <c r="F27" s="78" t="s">
        <v>893</v>
      </c>
      <c r="G27" s="88" t="n">
        <v>3</v>
      </c>
      <c r="H27" s="84" t="s">
        <v>61</v>
      </c>
      <c r="I27" s="80" t="s">
        <v>1252</v>
      </c>
      <c r="J27" s="80" t="s">
        <v>1253</v>
      </c>
      <c r="K27" s="80" t="s">
        <v>1254</v>
      </c>
      <c r="L27" s="80" t="s">
        <v>989</v>
      </c>
      <c r="M27" s="80" t="s">
        <v>1323</v>
      </c>
      <c r="N27" s="80" t="s">
        <v>898</v>
      </c>
      <c r="O27" s="101" t="n">
        <v>46139</v>
      </c>
      <c r="P27" s="84"/>
      <c r="Q27" s="84"/>
      <c r="R27" s="87" t="s">
        <v>932</v>
      </c>
      <c r="S27" s="87" t="s">
        <v>84</v>
      </c>
    </row>
    <row r="28" s="77" customFormat="true" ht="15" hidden="false" customHeight="false" outlineLevel="1" collapsed="false">
      <c r="B28" s="78"/>
      <c r="C28" s="80" t="n">
        <v>25</v>
      </c>
      <c r="D28" s="80" t="s">
        <v>494</v>
      </c>
      <c r="E28" s="81" t="s">
        <v>1297</v>
      </c>
      <c r="F28" s="78" t="s">
        <v>495</v>
      </c>
      <c r="G28" s="88" t="n">
        <v>1</v>
      </c>
      <c r="H28" s="84" t="s">
        <v>61</v>
      </c>
      <c r="I28" s="80" t="s">
        <v>496</v>
      </c>
      <c r="J28" s="80" t="s">
        <v>497</v>
      </c>
      <c r="K28" s="80" t="s">
        <v>498</v>
      </c>
      <c r="L28" s="80" t="s">
        <v>499</v>
      </c>
      <c r="M28" s="80" t="s">
        <v>500</v>
      </c>
      <c r="N28" s="80" t="s">
        <v>501</v>
      </c>
      <c r="O28" s="101" t="n">
        <v>46139</v>
      </c>
      <c r="P28" s="84"/>
      <c r="Q28" s="84"/>
      <c r="R28" s="87" t="s">
        <v>932</v>
      </c>
      <c r="S28" s="87" t="s">
        <v>84</v>
      </c>
    </row>
    <row r="29" s="77" customFormat="true" ht="15" hidden="false" customHeight="false" outlineLevel="1" collapsed="false">
      <c r="B29" s="78"/>
      <c r="C29" s="80" t="n">
        <v>26</v>
      </c>
      <c r="D29" s="80" t="s">
        <v>508</v>
      </c>
      <c r="E29" s="81" t="s">
        <v>1297</v>
      </c>
      <c r="F29" s="78" t="s">
        <v>509</v>
      </c>
      <c r="G29" s="88" t="n">
        <v>2</v>
      </c>
      <c r="H29" s="84" t="s">
        <v>61</v>
      </c>
      <c r="I29" s="80" t="s">
        <v>510</v>
      </c>
      <c r="J29" s="80" t="s">
        <v>511</v>
      </c>
      <c r="K29" s="80" t="s">
        <v>512</v>
      </c>
      <c r="L29" s="80" t="s">
        <v>513</v>
      </c>
      <c r="M29" s="80" t="s">
        <v>514</v>
      </c>
      <c r="N29" s="80" t="s">
        <v>515</v>
      </c>
      <c r="O29" s="101" t="n">
        <v>46139</v>
      </c>
      <c r="P29" s="84"/>
      <c r="Q29" s="84"/>
      <c r="R29" s="87" t="s">
        <v>932</v>
      </c>
      <c r="S29" s="87" t="s">
        <v>31</v>
      </c>
    </row>
    <row r="30" s="117" customFormat="true" ht="15" hidden="false" customHeight="false" outlineLevel="0" collapsed="false">
      <c r="B30" s="118"/>
      <c r="C30" s="122"/>
      <c r="D30" s="118"/>
      <c r="E30" s="72" t="s">
        <v>1324</v>
      </c>
      <c r="F30" s="72"/>
      <c r="G30" s="119" t="n">
        <f aca="false">SUM(G31:G71)</f>
        <v>68</v>
      </c>
      <c r="H30" s="120"/>
      <c r="I30" s="121"/>
      <c r="J30" s="118"/>
      <c r="K30" s="118"/>
      <c r="L30" s="118"/>
      <c r="M30" s="122"/>
      <c r="N30" s="103"/>
      <c r="O30" s="72"/>
      <c r="P30" s="72"/>
      <c r="Q30" s="122"/>
      <c r="R30" s="74" t="s">
        <v>84</v>
      </c>
      <c r="S30" s="118"/>
    </row>
    <row r="31" s="77" customFormat="true" ht="15" hidden="false" customHeight="false" outlineLevel="1" collapsed="false">
      <c r="B31" s="78"/>
      <c r="C31" s="80" t="n">
        <v>27</v>
      </c>
      <c r="D31" s="80" t="s">
        <v>21</v>
      </c>
      <c r="E31" s="81" t="s">
        <v>1324</v>
      </c>
      <c r="F31" s="78" t="s">
        <v>22</v>
      </c>
      <c r="G31" s="88" t="n">
        <v>1</v>
      </c>
      <c r="H31" s="84" t="s">
        <v>24</v>
      </c>
      <c r="I31" s="80" t="s">
        <v>25</v>
      </c>
      <c r="J31" s="80" t="s">
        <v>26</v>
      </c>
      <c r="K31" s="80" t="s">
        <v>27</v>
      </c>
      <c r="L31" s="80" t="s">
        <v>28</v>
      </c>
      <c r="M31" s="80" t="s">
        <v>29</v>
      </c>
      <c r="N31" s="80" t="s">
        <v>30</v>
      </c>
      <c r="O31" s="101" t="n">
        <v>46139</v>
      </c>
      <c r="P31" s="84"/>
      <c r="Q31" s="84"/>
      <c r="R31" s="87" t="s">
        <v>84</v>
      </c>
      <c r="S31" s="87" t="s">
        <v>31</v>
      </c>
    </row>
    <row r="32" s="77" customFormat="true" ht="72" hidden="false" customHeight="true" outlineLevel="1" collapsed="false">
      <c r="B32" s="78"/>
      <c r="C32" s="80" t="s">
        <v>1325</v>
      </c>
      <c r="D32" s="80" t="s">
        <v>811</v>
      </c>
      <c r="E32" s="81" t="s">
        <v>1324</v>
      </c>
      <c r="F32" s="78" t="s">
        <v>812</v>
      </c>
      <c r="G32" s="88" t="n">
        <v>6</v>
      </c>
      <c r="H32" s="84" t="s">
        <v>813</v>
      </c>
      <c r="I32" s="80" t="s">
        <v>814</v>
      </c>
      <c r="J32" s="80" t="s">
        <v>815</v>
      </c>
      <c r="K32" s="80" t="s">
        <v>816</v>
      </c>
      <c r="L32" s="80" t="s">
        <v>817</v>
      </c>
      <c r="M32" s="80" t="s">
        <v>1326</v>
      </c>
      <c r="N32" s="80" t="s">
        <v>819</v>
      </c>
      <c r="O32" s="101" t="n">
        <v>46153</v>
      </c>
      <c r="P32" s="84"/>
      <c r="Q32" s="84"/>
      <c r="R32" s="87" t="s">
        <v>84</v>
      </c>
      <c r="S32" s="87" t="s">
        <v>84</v>
      </c>
    </row>
    <row r="33" s="77" customFormat="true" ht="15" hidden="false" customHeight="false" outlineLevel="1" collapsed="false">
      <c r="B33" s="78"/>
      <c r="C33" s="80" t="n">
        <v>29</v>
      </c>
      <c r="D33" s="80" t="s">
        <v>43</v>
      </c>
      <c r="E33" s="81" t="s">
        <v>1324</v>
      </c>
      <c r="F33" s="78" t="s">
        <v>44</v>
      </c>
      <c r="G33" s="88" t="n">
        <v>1</v>
      </c>
      <c r="H33" s="84" t="s">
        <v>24</v>
      </c>
      <c r="I33" s="80" t="s">
        <v>45</v>
      </c>
      <c r="J33" s="80" t="s">
        <v>46</v>
      </c>
      <c r="K33" s="80" t="s">
        <v>47</v>
      </c>
      <c r="L33" s="80" t="s">
        <v>48</v>
      </c>
      <c r="M33" s="80" t="s">
        <v>49</v>
      </c>
      <c r="N33" s="80" t="s">
        <v>50</v>
      </c>
      <c r="O33" s="101" t="n">
        <v>46139</v>
      </c>
      <c r="P33" s="84"/>
      <c r="Q33" s="84"/>
      <c r="R33" s="87" t="s">
        <v>84</v>
      </c>
      <c r="S33" s="87" t="s">
        <v>31</v>
      </c>
    </row>
    <row r="34" s="77" customFormat="true" ht="30" hidden="false" customHeight="true" outlineLevel="1" collapsed="false">
      <c r="B34" s="78"/>
      <c r="C34" s="80" t="n">
        <v>30</v>
      </c>
      <c r="D34" s="80" t="s">
        <v>1077</v>
      </c>
      <c r="E34" s="81" t="s">
        <v>1324</v>
      </c>
      <c r="F34" s="78" t="s">
        <v>916</v>
      </c>
      <c r="G34" s="88" t="n">
        <v>1</v>
      </c>
      <c r="H34" s="84" t="s">
        <v>152</v>
      </c>
      <c r="I34" s="80" t="s">
        <v>1078</v>
      </c>
      <c r="J34" s="80" t="s">
        <v>1079</v>
      </c>
      <c r="K34" s="80" t="s">
        <v>1080</v>
      </c>
      <c r="L34" s="80" t="s">
        <v>1081</v>
      </c>
      <c r="M34" s="80" t="s">
        <v>1082</v>
      </c>
      <c r="N34" s="80" t="s">
        <v>1083</v>
      </c>
      <c r="O34" s="101" t="n">
        <v>46139</v>
      </c>
      <c r="P34" s="84"/>
      <c r="Q34" s="84"/>
      <c r="R34" s="87" t="s">
        <v>84</v>
      </c>
      <c r="S34" s="87" t="s">
        <v>84</v>
      </c>
    </row>
    <row r="35" s="77" customFormat="true" ht="36" hidden="false" customHeight="true" outlineLevel="1" collapsed="false">
      <c r="B35" s="78"/>
      <c r="C35" s="80" t="s">
        <v>1327</v>
      </c>
      <c r="D35" s="80" t="s">
        <v>75</v>
      </c>
      <c r="E35" s="81" t="s">
        <v>1324</v>
      </c>
      <c r="F35" s="78" t="s">
        <v>76</v>
      </c>
      <c r="G35" s="88" t="n">
        <v>3</v>
      </c>
      <c r="H35" s="84" t="s">
        <v>77</v>
      </c>
      <c r="I35" s="80" t="s">
        <v>1328</v>
      </c>
      <c r="J35" s="80" t="s">
        <v>1305</v>
      </c>
      <c r="K35" s="80" t="s">
        <v>1306</v>
      </c>
      <c r="L35" s="80" t="s">
        <v>81</v>
      </c>
      <c r="M35" s="80" t="s">
        <v>1329</v>
      </c>
      <c r="N35" s="80" t="s">
        <v>83</v>
      </c>
      <c r="O35" s="101" t="n">
        <v>46139</v>
      </c>
      <c r="P35" s="84"/>
      <c r="Q35" s="84"/>
      <c r="R35" s="87" t="s">
        <v>84</v>
      </c>
      <c r="S35" s="87" t="s">
        <v>84</v>
      </c>
    </row>
    <row r="36" s="77" customFormat="true" ht="15" hidden="false" customHeight="false" outlineLevel="1" collapsed="false">
      <c r="B36" s="78"/>
      <c r="C36" s="80" t="n">
        <v>32</v>
      </c>
      <c r="D36" s="80" t="s">
        <v>85</v>
      </c>
      <c r="E36" s="81" t="s">
        <v>1324</v>
      </c>
      <c r="F36" s="78" t="s">
        <v>86</v>
      </c>
      <c r="G36" s="88" t="n">
        <v>1</v>
      </c>
      <c r="H36" s="84" t="s">
        <v>87</v>
      </c>
      <c r="I36" s="80" t="s">
        <v>88</v>
      </c>
      <c r="J36" s="80" t="s">
        <v>89</v>
      </c>
      <c r="K36" s="80" t="s">
        <v>90</v>
      </c>
      <c r="L36" s="80" t="s">
        <v>91</v>
      </c>
      <c r="M36" s="80" t="s">
        <v>92</v>
      </c>
      <c r="N36" s="80" t="s">
        <v>93</v>
      </c>
      <c r="O36" s="101" t="n">
        <v>46139</v>
      </c>
      <c r="P36" s="84"/>
      <c r="Q36" s="84"/>
      <c r="R36" s="87" t="s">
        <v>84</v>
      </c>
      <c r="S36" s="87" t="s">
        <v>84</v>
      </c>
    </row>
    <row r="37" s="77" customFormat="true" ht="15" hidden="false" customHeight="false" outlineLevel="1" collapsed="false">
      <c r="B37" s="78"/>
      <c r="C37" s="80" t="n">
        <v>33</v>
      </c>
      <c r="D37" s="80" t="s">
        <v>109</v>
      </c>
      <c r="E37" s="81" t="s">
        <v>1324</v>
      </c>
      <c r="F37" s="78" t="s">
        <v>110</v>
      </c>
      <c r="G37" s="88" t="n">
        <v>1</v>
      </c>
      <c r="H37" s="84" t="s">
        <v>111</v>
      </c>
      <c r="I37" s="80" t="s">
        <v>112</v>
      </c>
      <c r="J37" s="80" t="s">
        <v>113</v>
      </c>
      <c r="K37" s="80" t="s">
        <v>114</v>
      </c>
      <c r="L37" s="80" t="s">
        <v>115</v>
      </c>
      <c r="M37" s="80" t="s">
        <v>115</v>
      </c>
      <c r="N37" s="80" t="s">
        <v>116</v>
      </c>
      <c r="O37" s="101" t="n">
        <v>46139</v>
      </c>
      <c r="P37" s="84"/>
      <c r="Q37" s="84"/>
      <c r="R37" s="87" t="s">
        <v>84</v>
      </c>
      <c r="S37" s="87" t="s">
        <v>84</v>
      </c>
    </row>
    <row r="38" s="77" customFormat="true" ht="36" hidden="false" customHeight="true" outlineLevel="1" collapsed="false">
      <c r="B38" s="78"/>
      <c r="C38" s="80" t="s">
        <v>1330</v>
      </c>
      <c r="D38" s="80" t="s">
        <v>945</v>
      </c>
      <c r="E38" s="81" t="s">
        <v>1324</v>
      </c>
      <c r="F38" s="78" t="s">
        <v>918</v>
      </c>
      <c r="G38" s="88" t="n">
        <v>2</v>
      </c>
      <c r="H38" s="84" t="s">
        <v>61</v>
      </c>
      <c r="I38" s="80" t="s">
        <v>946</v>
      </c>
      <c r="J38" s="80" t="s">
        <v>947</v>
      </c>
      <c r="K38" s="80" t="s">
        <v>948</v>
      </c>
      <c r="L38" s="80" t="s">
        <v>949</v>
      </c>
      <c r="M38" s="80" t="s">
        <v>1331</v>
      </c>
      <c r="N38" s="80" t="s">
        <v>951</v>
      </c>
      <c r="O38" s="101" t="n">
        <v>46139</v>
      </c>
      <c r="P38" s="84"/>
      <c r="Q38" s="84"/>
      <c r="R38" s="87" t="s">
        <v>84</v>
      </c>
      <c r="S38" s="87" t="s">
        <v>31</v>
      </c>
    </row>
    <row r="39" s="77" customFormat="true" ht="15" hidden="false" customHeight="false" outlineLevel="1" collapsed="false">
      <c r="B39" s="78"/>
      <c r="C39" s="80" t="n">
        <v>35</v>
      </c>
      <c r="D39" s="80" t="s">
        <v>142</v>
      </c>
      <c r="E39" s="81" t="s">
        <v>1324</v>
      </c>
      <c r="F39" s="78" t="s">
        <v>143</v>
      </c>
      <c r="G39" s="88" t="n">
        <v>1</v>
      </c>
      <c r="H39" s="84" t="s">
        <v>61</v>
      </c>
      <c r="I39" s="80" t="s">
        <v>144</v>
      </c>
      <c r="J39" s="80" t="s">
        <v>145</v>
      </c>
      <c r="K39" s="80" t="s">
        <v>146</v>
      </c>
      <c r="L39" s="80" t="s">
        <v>147</v>
      </c>
      <c r="M39" s="80" t="s">
        <v>148</v>
      </c>
      <c r="N39" s="80" t="s">
        <v>149</v>
      </c>
      <c r="O39" s="101" t="n">
        <v>46139</v>
      </c>
      <c r="P39" s="84"/>
      <c r="Q39" s="84"/>
      <c r="R39" s="87" t="s">
        <v>84</v>
      </c>
      <c r="S39" s="87" t="s">
        <v>84</v>
      </c>
    </row>
    <row r="40" s="77" customFormat="true" ht="15" hidden="false" customHeight="false" outlineLevel="1" collapsed="false">
      <c r="B40" s="78"/>
      <c r="C40" s="80" t="n">
        <v>36</v>
      </c>
      <c r="D40" s="80" t="s">
        <v>536</v>
      </c>
      <c r="E40" s="81" t="s">
        <v>1324</v>
      </c>
      <c r="F40" s="78" t="s">
        <v>537</v>
      </c>
      <c r="G40" s="88" t="n">
        <v>1</v>
      </c>
      <c r="H40" s="84" t="s">
        <v>111</v>
      </c>
      <c r="I40" s="80" t="s">
        <v>538</v>
      </c>
      <c r="J40" s="80" t="s">
        <v>539</v>
      </c>
      <c r="K40" s="80" t="s">
        <v>540</v>
      </c>
      <c r="L40" s="80" t="s">
        <v>541</v>
      </c>
      <c r="M40" s="80" t="s">
        <v>541</v>
      </c>
      <c r="N40" s="80" t="s">
        <v>542</v>
      </c>
      <c r="O40" s="101" t="n">
        <v>46139</v>
      </c>
      <c r="P40" s="84"/>
      <c r="Q40" s="84"/>
      <c r="R40" s="87" t="s">
        <v>84</v>
      </c>
      <c r="S40" s="87" t="s">
        <v>84</v>
      </c>
    </row>
    <row r="41" s="77" customFormat="true" ht="15" hidden="false" customHeight="false" outlineLevel="1" collapsed="false">
      <c r="B41" s="78"/>
      <c r="C41" s="80" t="n">
        <v>37</v>
      </c>
      <c r="D41" s="80" t="s">
        <v>150</v>
      </c>
      <c r="E41" s="81" t="s">
        <v>1324</v>
      </c>
      <c r="F41" s="78" t="s">
        <v>151</v>
      </c>
      <c r="G41" s="88" t="n">
        <v>2</v>
      </c>
      <c r="H41" s="84" t="s">
        <v>152</v>
      </c>
      <c r="I41" s="80" t="s">
        <v>153</v>
      </c>
      <c r="J41" s="80" t="s">
        <v>154</v>
      </c>
      <c r="K41" s="80" t="s">
        <v>155</v>
      </c>
      <c r="L41" s="80" t="s">
        <v>156</v>
      </c>
      <c r="M41" s="80" t="s">
        <v>440</v>
      </c>
      <c r="N41" s="80" t="s">
        <v>158</v>
      </c>
      <c r="O41" s="101" t="n">
        <v>46139</v>
      </c>
      <c r="P41" s="84"/>
      <c r="Q41" s="84"/>
      <c r="R41" s="87" t="s">
        <v>84</v>
      </c>
      <c r="S41" s="87" t="s">
        <v>84</v>
      </c>
    </row>
    <row r="42" s="77" customFormat="true" ht="15" hidden="false" customHeight="false" outlineLevel="1" collapsed="false">
      <c r="B42" s="78"/>
      <c r="C42" s="80" t="n">
        <v>38</v>
      </c>
      <c r="D42" s="80" t="s">
        <v>667</v>
      </c>
      <c r="E42" s="81" t="s">
        <v>1324</v>
      </c>
      <c r="F42" s="78" t="s">
        <v>668</v>
      </c>
      <c r="G42" s="88" t="n">
        <v>1</v>
      </c>
      <c r="H42" s="84" t="s">
        <v>61</v>
      </c>
      <c r="I42" s="80" t="s">
        <v>669</v>
      </c>
      <c r="J42" s="80" t="s">
        <v>670</v>
      </c>
      <c r="K42" s="93" t="s">
        <v>671</v>
      </c>
      <c r="L42" s="80" t="s">
        <v>672</v>
      </c>
      <c r="M42" s="80" t="s">
        <v>672</v>
      </c>
      <c r="N42" s="80" t="s">
        <v>673</v>
      </c>
      <c r="O42" s="101" t="n">
        <v>46139</v>
      </c>
      <c r="P42" s="84"/>
      <c r="Q42" s="84"/>
      <c r="R42" s="87" t="s">
        <v>84</v>
      </c>
      <c r="S42" s="87" t="s">
        <v>84</v>
      </c>
    </row>
    <row r="43" s="77" customFormat="true" ht="54" hidden="false" customHeight="true" outlineLevel="1" collapsed="false">
      <c r="B43" s="78"/>
      <c r="C43" s="80" t="s">
        <v>1332</v>
      </c>
      <c r="D43" s="80" t="s">
        <v>190</v>
      </c>
      <c r="E43" s="81" t="s">
        <v>1324</v>
      </c>
      <c r="F43" s="78" t="s">
        <v>191</v>
      </c>
      <c r="G43" s="88" t="n">
        <v>3</v>
      </c>
      <c r="H43" s="84" t="s">
        <v>24</v>
      </c>
      <c r="I43" s="80" t="s">
        <v>1333</v>
      </c>
      <c r="J43" s="80" t="s">
        <v>1334</v>
      </c>
      <c r="K43" s="80" t="s">
        <v>1335</v>
      </c>
      <c r="L43" s="80" t="s">
        <v>195</v>
      </c>
      <c r="M43" s="80" t="s">
        <v>1336</v>
      </c>
      <c r="N43" s="80" t="s">
        <v>197</v>
      </c>
      <c r="O43" s="101" t="n">
        <v>46139</v>
      </c>
      <c r="P43" s="84"/>
      <c r="Q43" s="84"/>
      <c r="R43" s="87" t="s">
        <v>84</v>
      </c>
      <c r="S43" s="87" t="s">
        <v>31</v>
      </c>
    </row>
    <row r="44" s="77" customFormat="true" ht="15" hidden="false" customHeight="false" outlineLevel="1" collapsed="false">
      <c r="B44" s="78"/>
      <c r="C44" s="80" t="n">
        <v>40</v>
      </c>
      <c r="D44" s="80" t="s">
        <v>635</v>
      </c>
      <c r="E44" s="81" t="s">
        <v>1324</v>
      </c>
      <c r="F44" s="78" t="s">
        <v>636</v>
      </c>
      <c r="G44" s="88" t="n">
        <v>1</v>
      </c>
      <c r="H44" s="84" t="s">
        <v>637</v>
      </c>
      <c r="I44" s="80" t="s">
        <v>638</v>
      </c>
      <c r="J44" s="80" t="s">
        <v>639</v>
      </c>
      <c r="K44" s="80" t="s">
        <v>640</v>
      </c>
      <c r="L44" s="80" t="s">
        <v>641</v>
      </c>
      <c r="M44" s="80" t="s">
        <v>1337</v>
      </c>
      <c r="N44" s="80" t="s">
        <v>643</v>
      </c>
      <c r="O44" s="101" t="n">
        <v>46139</v>
      </c>
      <c r="P44" s="84"/>
      <c r="Q44" s="84"/>
      <c r="R44" s="87" t="s">
        <v>84</v>
      </c>
      <c r="S44" s="87" t="s">
        <v>31</v>
      </c>
    </row>
    <row r="45" s="77" customFormat="true" ht="15" hidden="false" customHeight="false" outlineLevel="1" collapsed="false">
      <c r="B45" s="78"/>
      <c r="C45" s="80" t="n">
        <v>41</v>
      </c>
      <c r="D45" s="80" t="s">
        <v>198</v>
      </c>
      <c r="E45" s="81" t="s">
        <v>1324</v>
      </c>
      <c r="F45" s="78" t="s">
        <v>199</v>
      </c>
      <c r="G45" s="88" t="n">
        <v>1</v>
      </c>
      <c r="H45" s="84" t="s">
        <v>200</v>
      </c>
      <c r="I45" s="80" t="s">
        <v>201</v>
      </c>
      <c r="J45" s="80" t="s">
        <v>202</v>
      </c>
      <c r="K45" s="80" t="s">
        <v>203</v>
      </c>
      <c r="L45" s="80" t="s">
        <v>204</v>
      </c>
      <c r="M45" s="80" t="s">
        <v>205</v>
      </c>
      <c r="N45" s="80" t="s">
        <v>206</v>
      </c>
      <c r="O45" s="101" t="n">
        <v>46139</v>
      </c>
      <c r="P45" s="84"/>
      <c r="Q45" s="84"/>
      <c r="R45" s="87" t="s">
        <v>84</v>
      </c>
      <c r="S45" s="87" t="s">
        <v>84</v>
      </c>
    </row>
    <row r="46" s="77" customFormat="true" ht="15" hidden="false" customHeight="false" outlineLevel="1" collapsed="false">
      <c r="B46" s="78"/>
      <c r="C46" s="80" t="n">
        <v>42</v>
      </c>
      <c r="D46" s="80" t="s">
        <v>207</v>
      </c>
      <c r="E46" s="81" t="s">
        <v>1324</v>
      </c>
      <c r="F46" s="78" t="s">
        <v>208</v>
      </c>
      <c r="G46" s="88" t="n">
        <v>1</v>
      </c>
      <c r="H46" s="84" t="s">
        <v>61</v>
      </c>
      <c r="I46" s="80" t="s">
        <v>209</v>
      </c>
      <c r="J46" s="80" t="s">
        <v>210</v>
      </c>
      <c r="K46" s="80" t="s">
        <v>211</v>
      </c>
      <c r="L46" s="80" t="s">
        <v>212</v>
      </c>
      <c r="M46" s="80" t="s">
        <v>213</v>
      </c>
      <c r="N46" s="80" t="s">
        <v>214</v>
      </c>
      <c r="O46" s="101" t="n">
        <v>46139</v>
      </c>
      <c r="P46" s="84"/>
      <c r="Q46" s="84"/>
      <c r="R46" s="87" t="s">
        <v>84</v>
      </c>
      <c r="S46" s="87" t="s">
        <v>31</v>
      </c>
    </row>
    <row r="47" s="77" customFormat="true" ht="15" hidden="false" customHeight="false" outlineLevel="1" collapsed="false">
      <c r="B47" s="78"/>
      <c r="C47" s="80" t="n">
        <v>43</v>
      </c>
      <c r="D47" s="80" t="s">
        <v>223</v>
      </c>
      <c r="E47" s="81" t="s">
        <v>1324</v>
      </c>
      <c r="F47" s="78" t="s">
        <v>224</v>
      </c>
      <c r="G47" s="88" t="n">
        <v>1</v>
      </c>
      <c r="H47" s="84" t="s">
        <v>61</v>
      </c>
      <c r="I47" s="80" t="s">
        <v>225</v>
      </c>
      <c r="J47" s="80" t="s">
        <v>226</v>
      </c>
      <c r="K47" s="80" t="s">
        <v>227</v>
      </c>
      <c r="L47" s="80" t="s">
        <v>228</v>
      </c>
      <c r="M47" s="80" t="s">
        <v>229</v>
      </c>
      <c r="N47" s="80" t="s">
        <v>230</v>
      </c>
      <c r="O47" s="101" t="n">
        <v>46139</v>
      </c>
      <c r="P47" s="84"/>
      <c r="Q47" s="84"/>
      <c r="R47" s="87" t="s">
        <v>84</v>
      </c>
      <c r="S47" s="87" t="s">
        <v>31</v>
      </c>
    </row>
    <row r="48" s="77" customFormat="true" ht="15" hidden="false" customHeight="false" outlineLevel="1" collapsed="false">
      <c r="B48" s="78"/>
      <c r="C48" s="80" t="n">
        <v>44</v>
      </c>
      <c r="D48" s="80" t="s">
        <v>263</v>
      </c>
      <c r="E48" s="81" t="s">
        <v>1324</v>
      </c>
      <c r="F48" s="78" t="s">
        <v>264</v>
      </c>
      <c r="G48" s="88" t="n">
        <v>1</v>
      </c>
      <c r="H48" s="84" t="s">
        <v>61</v>
      </c>
      <c r="I48" s="80" t="s">
        <v>265</v>
      </c>
      <c r="J48" s="80" t="s">
        <v>266</v>
      </c>
      <c r="K48" s="80" t="s">
        <v>267</v>
      </c>
      <c r="L48" s="80" t="s">
        <v>252</v>
      </c>
      <c r="M48" s="80" t="s">
        <v>268</v>
      </c>
      <c r="N48" s="80" t="s">
        <v>269</v>
      </c>
      <c r="O48" s="101" t="n">
        <v>46139</v>
      </c>
      <c r="P48" s="84"/>
      <c r="Q48" s="84"/>
      <c r="R48" s="87" t="s">
        <v>84</v>
      </c>
      <c r="S48" s="87" t="s">
        <v>31</v>
      </c>
    </row>
    <row r="49" s="77" customFormat="true" ht="15" hidden="false" customHeight="false" outlineLevel="1" collapsed="false">
      <c r="B49" s="78"/>
      <c r="C49" s="80" t="n">
        <v>45</v>
      </c>
      <c r="D49" s="80" t="s">
        <v>706</v>
      </c>
      <c r="E49" s="81" t="s">
        <v>1324</v>
      </c>
      <c r="F49" s="78" t="s">
        <v>707</v>
      </c>
      <c r="G49" s="88" t="n">
        <v>1</v>
      </c>
      <c r="H49" s="84" t="s">
        <v>111</v>
      </c>
      <c r="I49" s="80" t="s">
        <v>708</v>
      </c>
      <c r="J49" s="80" t="s">
        <v>709</v>
      </c>
      <c r="K49" s="80" t="s">
        <v>710</v>
      </c>
      <c r="L49" s="80" t="s">
        <v>711</v>
      </c>
      <c r="M49" s="80" t="s">
        <v>712</v>
      </c>
      <c r="N49" s="80" t="s">
        <v>713</v>
      </c>
      <c r="O49" s="101" t="n">
        <v>46139</v>
      </c>
      <c r="P49" s="84"/>
      <c r="Q49" s="84"/>
      <c r="R49" s="87" t="s">
        <v>84</v>
      </c>
      <c r="S49" s="87" t="s">
        <v>84</v>
      </c>
    </row>
    <row r="50" s="77" customFormat="true" ht="15" hidden="false" customHeight="false" outlineLevel="1" collapsed="false">
      <c r="B50" s="78"/>
      <c r="C50" s="80" t="n">
        <v>46</v>
      </c>
      <c r="D50" s="80" t="s">
        <v>278</v>
      </c>
      <c r="E50" s="81" t="s">
        <v>1324</v>
      </c>
      <c r="F50" s="78" t="s">
        <v>279</v>
      </c>
      <c r="G50" s="88" t="n">
        <v>1</v>
      </c>
      <c r="H50" s="84" t="s">
        <v>61</v>
      </c>
      <c r="I50" s="80" t="s">
        <v>280</v>
      </c>
      <c r="J50" s="80" t="s">
        <v>281</v>
      </c>
      <c r="K50" s="80" t="s">
        <v>282</v>
      </c>
      <c r="L50" s="80" t="s">
        <v>283</v>
      </c>
      <c r="M50" s="80" t="s">
        <v>284</v>
      </c>
      <c r="N50" s="80" t="s">
        <v>285</v>
      </c>
      <c r="O50" s="101" t="n">
        <v>46139</v>
      </c>
      <c r="P50" s="84"/>
      <c r="Q50" s="84"/>
      <c r="R50" s="87" t="s">
        <v>84</v>
      </c>
      <c r="S50" s="87" t="s">
        <v>31</v>
      </c>
    </row>
    <row r="51" s="77" customFormat="true" ht="15" hidden="false" customHeight="false" outlineLevel="1" collapsed="false">
      <c r="B51" s="78"/>
      <c r="C51" s="80" t="n">
        <v>47</v>
      </c>
      <c r="D51" s="80" t="s">
        <v>294</v>
      </c>
      <c r="E51" s="81" t="s">
        <v>1324</v>
      </c>
      <c r="F51" s="78" t="s">
        <v>295</v>
      </c>
      <c r="G51" s="88" t="n">
        <v>2</v>
      </c>
      <c r="H51" s="84" t="s">
        <v>61</v>
      </c>
      <c r="I51" s="80" t="s">
        <v>908</v>
      </c>
      <c r="J51" s="80" t="s">
        <v>909</v>
      </c>
      <c r="K51" s="80" t="s">
        <v>910</v>
      </c>
      <c r="L51" s="80" t="s">
        <v>299</v>
      </c>
      <c r="M51" s="80" t="s">
        <v>300</v>
      </c>
      <c r="N51" s="80" t="s">
        <v>301</v>
      </c>
      <c r="O51" s="101" t="n">
        <v>46139</v>
      </c>
      <c r="P51" s="84"/>
      <c r="Q51" s="84"/>
      <c r="R51" s="87" t="s">
        <v>84</v>
      </c>
      <c r="S51" s="87" t="s">
        <v>31</v>
      </c>
    </row>
    <row r="52" s="77" customFormat="true" ht="15" hidden="false" customHeight="false" outlineLevel="1" collapsed="false">
      <c r="B52" s="78"/>
      <c r="C52" s="80" t="n">
        <v>48</v>
      </c>
      <c r="D52" s="80" t="s">
        <v>326</v>
      </c>
      <c r="E52" s="81" t="s">
        <v>1324</v>
      </c>
      <c r="F52" s="78" t="s">
        <v>327</v>
      </c>
      <c r="G52" s="88" t="n">
        <v>1</v>
      </c>
      <c r="H52" s="84" t="s">
        <v>152</v>
      </c>
      <c r="I52" s="80" t="s">
        <v>328</v>
      </c>
      <c r="J52" s="80" t="s">
        <v>329</v>
      </c>
      <c r="K52" s="80" t="s">
        <v>330</v>
      </c>
      <c r="L52" s="80" t="s">
        <v>331</v>
      </c>
      <c r="M52" s="80" t="s">
        <v>332</v>
      </c>
      <c r="N52" s="80" t="s">
        <v>333</v>
      </c>
      <c r="O52" s="101" t="n">
        <v>46139</v>
      </c>
      <c r="P52" s="84"/>
      <c r="Q52" s="84"/>
      <c r="R52" s="87" t="s">
        <v>84</v>
      </c>
      <c r="S52" s="87" t="s">
        <v>31</v>
      </c>
    </row>
    <row r="53" s="77" customFormat="true" ht="15" hidden="false" customHeight="false" outlineLevel="1" collapsed="false">
      <c r="B53" s="78"/>
      <c r="C53" s="80" t="n">
        <v>49</v>
      </c>
      <c r="D53" s="80" t="s">
        <v>342</v>
      </c>
      <c r="E53" s="81" t="s">
        <v>1324</v>
      </c>
      <c r="F53" s="78" t="s">
        <v>343</v>
      </c>
      <c r="G53" s="88" t="n">
        <v>1</v>
      </c>
      <c r="H53" s="84" t="s">
        <v>24</v>
      </c>
      <c r="I53" s="80" t="s">
        <v>344</v>
      </c>
      <c r="J53" s="80" t="s">
        <v>345</v>
      </c>
      <c r="K53" s="80" t="s">
        <v>346</v>
      </c>
      <c r="L53" s="80" t="s">
        <v>348</v>
      </c>
      <c r="M53" s="80" t="s">
        <v>347</v>
      </c>
      <c r="N53" s="80" t="s">
        <v>349</v>
      </c>
      <c r="O53" s="101" t="n">
        <v>46139</v>
      </c>
      <c r="P53" s="84"/>
      <c r="Q53" s="84"/>
      <c r="R53" s="87" t="s">
        <v>84</v>
      </c>
      <c r="S53" s="87" t="s">
        <v>31</v>
      </c>
    </row>
    <row r="54" s="77" customFormat="true" ht="15" hidden="false" customHeight="false" outlineLevel="1" collapsed="false">
      <c r="B54" s="78"/>
      <c r="C54" s="80" t="n">
        <v>50</v>
      </c>
      <c r="D54" s="80" t="s">
        <v>961</v>
      </c>
      <c r="E54" s="81" t="s">
        <v>1324</v>
      </c>
      <c r="F54" s="78" t="s">
        <v>915</v>
      </c>
      <c r="G54" s="88" t="n">
        <v>1</v>
      </c>
      <c r="H54" s="84" t="s">
        <v>152</v>
      </c>
      <c r="I54" s="80" t="s">
        <v>962</v>
      </c>
      <c r="J54" s="80" t="s">
        <v>963</v>
      </c>
      <c r="K54" s="80" t="s">
        <v>964</v>
      </c>
      <c r="L54" s="80" t="s">
        <v>965</v>
      </c>
      <c r="M54" s="80" t="s">
        <v>966</v>
      </c>
      <c r="N54" s="80" t="s">
        <v>967</v>
      </c>
      <c r="O54" s="101" t="n">
        <v>46139</v>
      </c>
      <c r="P54" s="84"/>
      <c r="Q54" s="84"/>
      <c r="R54" s="87" t="s">
        <v>84</v>
      </c>
      <c r="S54" s="87" t="s">
        <v>84</v>
      </c>
    </row>
    <row r="55" s="77" customFormat="true" ht="15" hidden="false" customHeight="false" outlineLevel="1" collapsed="false">
      <c r="B55" s="78"/>
      <c r="C55" s="80" t="n">
        <v>51</v>
      </c>
      <c r="D55" s="80" t="s">
        <v>357</v>
      </c>
      <c r="E55" s="81" t="s">
        <v>1324</v>
      </c>
      <c r="F55" s="78" t="s">
        <v>358</v>
      </c>
      <c r="G55" s="88" t="n">
        <v>2</v>
      </c>
      <c r="H55" s="84" t="s">
        <v>359</v>
      </c>
      <c r="I55" s="80" t="s">
        <v>360</v>
      </c>
      <c r="J55" s="80" t="s">
        <v>361</v>
      </c>
      <c r="K55" s="80" t="s">
        <v>362</v>
      </c>
      <c r="L55" s="80" t="s">
        <v>363</v>
      </c>
      <c r="M55" s="80" t="s">
        <v>364</v>
      </c>
      <c r="N55" s="80" t="s">
        <v>365</v>
      </c>
      <c r="O55" s="101" t="n">
        <v>46139</v>
      </c>
      <c r="P55" s="84"/>
      <c r="Q55" s="84"/>
      <c r="R55" s="87" t="s">
        <v>84</v>
      </c>
      <c r="S55" s="87" t="s">
        <v>84</v>
      </c>
    </row>
    <row r="56" s="77" customFormat="true" ht="15" hidden="false" customHeight="false" outlineLevel="1" collapsed="false">
      <c r="B56" s="78"/>
      <c r="C56" s="80" t="n">
        <v>52</v>
      </c>
      <c r="D56" s="80" t="s">
        <v>366</v>
      </c>
      <c r="E56" s="81" t="s">
        <v>1324</v>
      </c>
      <c r="F56" s="78" t="s">
        <v>367</v>
      </c>
      <c r="G56" s="88" t="n">
        <v>1</v>
      </c>
      <c r="H56" s="84" t="s">
        <v>368</v>
      </c>
      <c r="I56" s="80" t="s">
        <v>369</v>
      </c>
      <c r="J56" s="80" t="s">
        <v>370</v>
      </c>
      <c r="K56" s="80" t="s">
        <v>371</v>
      </c>
      <c r="L56" s="80" t="s">
        <v>372</v>
      </c>
      <c r="M56" s="80" t="s">
        <v>373</v>
      </c>
      <c r="N56" s="80" t="s">
        <v>374</v>
      </c>
      <c r="O56" s="101" t="n">
        <v>46139</v>
      </c>
      <c r="P56" s="84"/>
      <c r="Q56" s="84"/>
      <c r="R56" s="87" t="s">
        <v>84</v>
      </c>
      <c r="S56" s="87" t="s">
        <v>84</v>
      </c>
    </row>
    <row r="57" s="77" customFormat="true" ht="15" hidden="false" customHeight="false" outlineLevel="1" collapsed="false">
      <c r="B57" s="78"/>
      <c r="C57" s="80" t="n">
        <v>53</v>
      </c>
      <c r="D57" s="80" t="s">
        <v>734</v>
      </c>
      <c r="E57" s="81" t="s">
        <v>1324</v>
      </c>
      <c r="F57" s="78" t="s">
        <v>735</v>
      </c>
      <c r="G57" s="88" t="n">
        <v>1</v>
      </c>
      <c r="H57" s="84" t="s">
        <v>736</v>
      </c>
      <c r="I57" s="80" t="s">
        <v>737</v>
      </c>
      <c r="J57" s="80" t="s">
        <v>738</v>
      </c>
      <c r="K57" s="80" t="s">
        <v>739</v>
      </c>
      <c r="L57" s="80" t="s">
        <v>740</v>
      </c>
      <c r="M57" s="80" t="s">
        <v>741</v>
      </c>
      <c r="N57" s="80" t="s">
        <v>742</v>
      </c>
      <c r="O57" s="101" t="n">
        <v>46139</v>
      </c>
      <c r="P57" s="84"/>
      <c r="Q57" s="84"/>
      <c r="R57" s="87" t="s">
        <v>84</v>
      </c>
      <c r="S57" s="87" t="s">
        <v>84</v>
      </c>
    </row>
    <row r="58" s="77" customFormat="true" ht="54" hidden="false" customHeight="true" outlineLevel="1" collapsed="false">
      <c r="B58" s="78"/>
      <c r="C58" s="80" t="s">
        <v>1338</v>
      </c>
      <c r="D58" s="80" t="s">
        <v>375</v>
      </c>
      <c r="E58" s="81" t="s">
        <v>1324</v>
      </c>
      <c r="F58" s="78" t="s">
        <v>376</v>
      </c>
      <c r="G58" s="88" t="n">
        <v>8</v>
      </c>
      <c r="H58" s="84" t="s">
        <v>111</v>
      </c>
      <c r="I58" s="80" t="s">
        <v>1339</v>
      </c>
      <c r="J58" s="80" t="s">
        <v>1340</v>
      </c>
      <c r="K58" s="80" t="s">
        <v>1341</v>
      </c>
      <c r="L58" s="80" t="s">
        <v>380</v>
      </c>
      <c r="M58" s="80" t="s">
        <v>1342</v>
      </c>
      <c r="N58" s="80" t="s">
        <v>382</v>
      </c>
      <c r="O58" s="101" t="n">
        <v>46139</v>
      </c>
      <c r="P58" s="84"/>
      <c r="Q58" s="84"/>
      <c r="R58" s="87" t="s">
        <v>84</v>
      </c>
      <c r="S58" s="87" t="s">
        <v>31</v>
      </c>
    </row>
    <row r="59" s="77" customFormat="true" ht="15" hidden="false" customHeight="false" outlineLevel="1" collapsed="false">
      <c r="B59" s="78"/>
      <c r="C59" s="80" t="n">
        <v>55</v>
      </c>
      <c r="D59" s="80" t="s">
        <v>399</v>
      </c>
      <c r="E59" s="81" t="s">
        <v>1324</v>
      </c>
      <c r="F59" s="78" t="s">
        <v>400</v>
      </c>
      <c r="G59" s="88" t="n">
        <v>1</v>
      </c>
      <c r="H59" s="84" t="s">
        <v>152</v>
      </c>
      <c r="I59" s="80" t="s">
        <v>401</v>
      </c>
      <c r="J59" s="80" t="s">
        <v>402</v>
      </c>
      <c r="K59" s="80" t="s">
        <v>403</v>
      </c>
      <c r="L59" s="80" t="s">
        <v>404</v>
      </c>
      <c r="M59" s="80" t="s">
        <v>791</v>
      </c>
      <c r="N59" s="80" t="s">
        <v>406</v>
      </c>
      <c r="O59" s="101" t="n">
        <v>46139</v>
      </c>
      <c r="P59" s="84"/>
      <c r="Q59" s="84"/>
      <c r="R59" s="87" t="s">
        <v>84</v>
      </c>
      <c r="S59" s="87" t="s">
        <v>84</v>
      </c>
    </row>
    <row r="60" s="77" customFormat="true" ht="15" hidden="false" customHeight="false" outlineLevel="1" collapsed="false">
      <c r="B60" s="78"/>
      <c r="C60" s="80" t="n">
        <v>56</v>
      </c>
      <c r="D60" s="80" t="s">
        <v>1014</v>
      </c>
      <c r="E60" s="81" t="s">
        <v>1324</v>
      </c>
      <c r="F60" s="78" t="s">
        <v>917</v>
      </c>
      <c r="G60" s="88" t="n">
        <v>1</v>
      </c>
      <c r="H60" s="84" t="s">
        <v>61</v>
      </c>
      <c r="I60" s="80" t="s">
        <v>1015</v>
      </c>
      <c r="J60" s="80" t="s">
        <v>1016</v>
      </c>
      <c r="K60" s="80" t="s">
        <v>1017</v>
      </c>
      <c r="L60" s="80" t="s">
        <v>1018</v>
      </c>
      <c r="M60" s="80" t="s">
        <v>1258</v>
      </c>
      <c r="N60" s="80" t="s">
        <v>1020</v>
      </c>
      <c r="O60" s="101" t="n">
        <v>46139</v>
      </c>
      <c r="P60" s="84"/>
      <c r="Q60" s="84"/>
      <c r="R60" s="87" t="s">
        <v>84</v>
      </c>
      <c r="S60" s="87" t="s">
        <v>31</v>
      </c>
    </row>
    <row r="61" s="77" customFormat="true" ht="15" hidden="false" customHeight="false" outlineLevel="1" collapsed="false">
      <c r="B61" s="78"/>
      <c r="C61" s="80" t="n">
        <v>57</v>
      </c>
      <c r="D61" s="80" t="s">
        <v>424</v>
      </c>
      <c r="E61" s="81" t="s">
        <v>1324</v>
      </c>
      <c r="F61" s="78" t="s">
        <v>425</v>
      </c>
      <c r="G61" s="88" t="n">
        <v>1</v>
      </c>
      <c r="H61" s="84" t="s">
        <v>111</v>
      </c>
      <c r="I61" s="80" t="s">
        <v>426</v>
      </c>
      <c r="J61" s="80" t="s">
        <v>427</v>
      </c>
      <c r="K61" s="80" t="s">
        <v>428</v>
      </c>
      <c r="L61" s="80" t="s">
        <v>429</v>
      </c>
      <c r="M61" s="80" t="s">
        <v>429</v>
      </c>
      <c r="N61" s="80" t="s">
        <v>430</v>
      </c>
      <c r="O61" s="101" t="n">
        <v>46139</v>
      </c>
      <c r="P61" s="84"/>
      <c r="Q61" s="84"/>
      <c r="R61" s="87" t="s">
        <v>84</v>
      </c>
      <c r="S61" s="87" t="s">
        <v>84</v>
      </c>
    </row>
    <row r="62" s="77" customFormat="true" ht="30" hidden="false" customHeight="true" outlineLevel="1" collapsed="false">
      <c r="B62" s="78"/>
      <c r="C62" s="80" t="s">
        <v>1343</v>
      </c>
      <c r="D62" s="80" t="s">
        <v>431</v>
      </c>
      <c r="E62" s="81" t="s">
        <v>1324</v>
      </c>
      <c r="F62" s="78" t="s">
        <v>432</v>
      </c>
      <c r="G62" s="88" t="n">
        <v>4</v>
      </c>
      <c r="H62" s="84" t="s">
        <v>152</v>
      </c>
      <c r="I62" s="80" t="s">
        <v>1344</v>
      </c>
      <c r="J62" s="80" t="s">
        <v>1345</v>
      </c>
      <c r="K62" s="80" t="s">
        <v>1346</v>
      </c>
      <c r="L62" s="80" t="s">
        <v>436</v>
      </c>
      <c r="M62" s="80" t="s">
        <v>1347</v>
      </c>
      <c r="N62" s="80" t="s">
        <v>438</v>
      </c>
      <c r="O62" s="101" t="n">
        <v>46139</v>
      </c>
      <c r="P62" s="84"/>
      <c r="Q62" s="84"/>
      <c r="R62" s="87" t="s">
        <v>84</v>
      </c>
      <c r="S62" s="87" t="s">
        <v>31</v>
      </c>
    </row>
    <row r="63" s="77" customFormat="true" ht="30" hidden="false" customHeight="true" outlineLevel="1" collapsed="false">
      <c r="B63" s="78"/>
      <c r="C63" s="80" t="n">
        <v>59</v>
      </c>
      <c r="D63" s="80" t="s">
        <v>439</v>
      </c>
      <c r="E63" s="81" t="s">
        <v>1324</v>
      </c>
      <c r="F63" s="78" t="s">
        <v>440</v>
      </c>
      <c r="G63" s="88" t="n">
        <v>2</v>
      </c>
      <c r="H63" s="84" t="s">
        <v>152</v>
      </c>
      <c r="I63" s="80" t="s">
        <v>441</v>
      </c>
      <c r="J63" s="80" t="s">
        <v>442</v>
      </c>
      <c r="K63" s="80" t="s">
        <v>443</v>
      </c>
      <c r="L63" s="80" t="s">
        <v>444</v>
      </c>
      <c r="M63" s="80" t="s">
        <v>570</v>
      </c>
      <c r="N63" s="80" t="s">
        <v>446</v>
      </c>
      <c r="O63" s="101" t="n">
        <v>46139</v>
      </c>
      <c r="P63" s="84"/>
      <c r="Q63" s="84"/>
      <c r="R63" s="87" t="s">
        <v>84</v>
      </c>
      <c r="S63" s="87" t="s">
        <v>31</v>
      </c>
    </row>
    <row r="64" s="77" customFormat="true" ht="15" hidden="false" customHeight="false" outlineLevel="1" collapsed="false">
      <c r="B64" s="78"/>
      <c r="C64" s="80" t="n">
        <v>60</v>
      </c>
      <c r="D64" s="80" t="s">
        <v>455</v>
      </c>
      <c r="E64" s="81" t="s">
        <v>1324</v>
      </c>
      <c r="F64" s="78" t="s">
        <v>456</v>
      </c>
      <c r="G64" s="88" t="n">
        <v>1</v>
      </c>
      <c r="H64" s="84" t="s">
        <v>111</v>
      </c>
      <c r="I64" s="80" t="s">
        <v>678</v>
      </c>
      <c r="J64" s="80" t="n">
        <v>385913568984</v>
      </c>
      <c r="K64" s="80" t="s">
        <v>680</v>
      </c>
      <c r="L64" s="80" t="s">
        <v>460</v>
      </c>
      <c r="M64" s="80" t="s">
        <v>1348</v>
      </c>
      <c r="N64" s="80" t="s">
        <v>462</v>
      </c>
      <c r="O64" s="101" t="n">
        <v>46139</v>
      </c>
      <c r="P64" s="84"/>
      <c r="Q64" s="84"/>
      <c r="R64" s="87" t="s">
        <v>84</v>
      </c>
      <c r="S64" s="87" t="s">
        <v>84</v>
      </c>
    </row>
    <row r="65" s="77" customFormat="true" ht="15" hidden="false" customHeight="false" outlineLevel="1" collapsed="false">
      <c r="B65" s="78"/>
      <c r="C65" s="80" t="n">
        <v>61</v>
      </c>
      <c r="D65" s="80" t="s">
        <v>463</v>
      </c>
      <c r="E65" s="81" t="s">
        <v>1324</v>
      </c>
      <c r="F65" s="78" t="s">
        <v>464</v>
      </c>
      <c r="G65" s="88" t="n">
        <v>1</v>
      </c>
      <c r="H65" s="84" t="s">
        <v>152</v>
      </c>
      <c r="I65" s="80" t="s">
        <v>465</v>
      </c>
      <c r="J65" s="80" t="s">
        <v>466</v>
      </c>
      <c r="K65" s="80" t="s">
        <v>467</v>
      </c>
      <c r="L65" s="80" t="s">
        <v>468</v>
      </c>
      <c r="M65" s="80" t="s">
        <v>1133</v>
      </c>
      <c r="N65" s="80" t="s">
        <v>470</v>
      </c>
      <c r="O65" s="101" t="n">
        <v>46139</v>
      </c>
      <c r="P65" s="84"/>
      <c r="Q65" s="84"/>
      <c r="R65" s="87" t="s">
        <v>84</v>
      </c>
      <c r="S65" s="87" t="s">
        <v>31</v>
      </c>
    </row>
    <row r="66" s="77" customFormat="true" ht="15" hidden="false" customHeight="false" outlineLevel="1" collapsed="false">
      <c r="B66" s="78"/>
      <c r="C66" s="80" t="n">
        <v>62</v>
      </c>
      <c r="D66" s="80" t="s">
        <v>760</v>
      </c>
      <c r="E66" s="81" t="s">
        <v>1324</v>
      </c>
      <c r="F66" s="78" t="s">
        <v>761</v>
      </c>
      <c r="G66" s="88" t="n">
        <v>1</v>
      </c>
      <c r="H66" s="84" t="s">
        <v>61</v>
      </c>
      <c r="I66" s="80" t="s">
        <v>762</v>
      </c>
      <c r="J66" s="80" t="s">
        <v>763</v>
      </c>
      <c r="K66" s="80" t="s">
        <v>764</v>
      </c>
      <c r="L66" s="80" t="s">
        <v>765</v>
      </c>
      <c r="M66" s="80" t="s">
        <v>765</v>
      </c>
      <c r="N66" s="80" t="s">
        <v>766</v>
      </c>
      <c r="O66" s="101" t="n">
        <v>46139</v>
      </c>
      <c r="P66" s="84"/>
      <c r="Q66" s="84"/>
      <c r="R66" s="87" t="s">
        <v>84</v>
      </c>
      <c r="S66" s="87" t="s">
        <v>84</v>
      </c>
    </row>
    <row r="67" s="77" customFormat="true" ht="15" hidden="false" customHeight="false" outlineLevel="1" collapsed="false">
      <c r="B67" s="78"/>
      <c r="C67" s="80" t="n">
        <v>63</v>
      </c>
      <c r="D67" s="80" t="s">
        <v>659</v>
      </c>
      <c r="E67" s="81" t="s">
        <v>1324</v>
      </c>
      <c r="F67" s="78" t="s">
        <v>660</v>
      </c>
      <c r="G67" s="88" t="n">
        <v>3</v>
      </c>
      <c r="H67" s="84" t="s">
        <v>152</v>
      </c>
      <c r="I67" s="80" t="s">
        <v>661</v>
      </c>
      <c r="J67" s="80" t="s">
        <v>662</v>
      </c>
      <c r="K67" s="80" t="s">
        <v>663</v>
      </c>
      <c r="L67" s="80" t="s">
        <v>664</v>
      </c>
      <c r="M67" s="80" t="s">
        <v>665</v>
      </c>
      <c r="N67" s="80" t="s">
        <v>666</v>
      </c>
      <c r="O67" s="101" t="n">
        <v>46139</v>
      </c>
      <c r="P67" s="84"/>
      <c r="Q67" s="84"/>
      <c r="R67" s="87" t="s">
        <v>84</v>
      </c>
      <c r="S67" s="87" t="s">
        <v>31</v>
      </c>
    </row>
    <row r="68" s="77" customFormat="true" ht="15" hidden="false" customHeight="false" outlineLevel="1" collapsed="false">
      <c r="B68" s="78"/>
      <c r="C68" s="80" t="n">
        <v>64</v>
      </c>
      <c r="D68" s="80" t="s">
        <v>471</v>
      </c>
      <c r="E68" s="81" t="s">
        <v>1324</v>
      </c>
      <c r="F68" s="78" t="s">
        <v>472</v>
      </c>
      <c r="G68" s="88" t="n">
        <v>1</v>
      </c>
      <c r="H68" s="84" t="s">
        <v>111</v>
      </c>
      <c r="I68" s="80" t="s">
        <v>473</v>
      </c>
      <c r="J68" s="80" t="s">
        <v>474</v>
      </c>
      <c r="K68" s="80" t="s">
        <v>475</v>
      </c>
      <c r="L68" s="80" t="s">
        <v>476</v>
      </c>
      <c r="M68" s="80" t="s">
        <v>476</v>
      </c>
      <c r="N68" s="80" t="s">
        <v>477</v>
      </c>
      <c r="O68" s="101" t="n">
        <v>46139</v>
      </c>
      <c r="P68" s="84"/>
      <c r="Q68" s="84"/>
      <c r="R68" s="87" t="s">
        <v>84</v>
      </c>
      <c r="S68" s="87" t="s">
        <v>84</v>
      </c>
    </row>
    <row r="69" s="77" customFormat="true" ht="15" hidden="false" customHeight="false" outlineLevel="1" collapsed="false">
      <c r="B69" s="78"/>
      <c r="C69" s="80" t="n">
        <v>65</v>
      </c>
      <c r="D69" s="80" t="s">
        <v>486</v>
      </c>
      <c r="E69" s="81" t="s">
        <v>1324</v>
      </c>
      <c r="F69" s="78" t="s">
        <v>487</v>
      </c>
      <c r="G69" s="88" t="n">
        <v>1</v>
      </c>
      <c r="H69" s="84" t="s">
        <v>152</v>
      </c>
      <c r="I69" s="80" t="s">
        <v>488</v>
      </c>
      <c r="J69" s="80" t="s">
        <v>489</v>
      </c>
      <c r="K69" s="80" t="s">
        <v>490</v>
      </c>
      <c r="L69" s="80" t="s">
        <v>491</v>
      </c>
      <c r="M69" s="80" t="s">
        <v>492</v>
      </c>
      <c r="N69" s="80" t="s">
        <v>493</v>
      </c>
      <c r="O69" s="101" t="n">
        <v>46139</v>
      </c>
      <c r="P69" s="84"/>
      <c r="Q69" s="84"/>
      <c r="R69" s="87" t="s">
        <v>84</v>
      </c>
      <c r="S69" s="87" t="s">
        <v>84</v>
      </c>
    </row>
    <row r="70" s="77" customFormat="true" ht="15" hidden="false" customHeight="false" outlineLevel="1" collapsed="false">
      <c r="B70" s="78"/>
      <c r="C70" s="80" t="n">
        <v>66</v>
      </c>
      <c r="D70" s="80" t="s">
        <v>611</v>
      </c>
      <c r="E70" s="81" t="s">
        <v>1324</v>
      </c>
      <c r="F70" s="78" t="s">
        <v>612</v>
      </c>
      <c r="G70" s="88" t="n">
        <v>1</v>
      </c>
      <c r="H70" s="84" t="s">
        <v>24</v>
      </c>
      <c r="I70" s="80" t="s">
        <v>613</v>
      </c>
      <c r="J70" s="80" t="s">
        <v>614</v>
      </c>
      <c r="K70" s="80" t="s">
        <v>615</v>
      </c>
      <c r="L70" s="80" t="s">
        <v>616</v>
      </c>
      <c r="M70" s="80" t="s">
        <v>616</v>
      </c>
      <c r="N70" s="80" t="s">
        <v>617</v>
      </c>
      <c r="O70" s="101" t="n">
        <v>46139</v>
      </c>
      <c r="P70" s="84"/>
      <c r="Q70" s="84"/>
      <c r="R70" s="87" t="s">
        <v>84</v>
      </c>
      <c r="S70" s="87" t="s">
        <v>31</v>
      </c>
    </row>
    <row r="71" s="77" customFormat="true" ht="15" hidden="false" customHeight="false" outlineLevel="1" collapsed="false">
      <c r="B71" s="78"/>
      <c r="C71" s="80" t="n">
        <v>67</v>
      </c>
      <c r="D71" s="80" t="s">
        <v>516</v>
      </c>
      <c r="E71" s="81" t="s">
        <v>1324</v>
      </c>
      <c r="F71" s="92" t="s">
        <v>517</v>
      </c>
      <c r="G71" s="88" t="n">
        <v>2</v>
      </c>
      <c r="H71" s="84" t="s">
        <v>61</v>
      </c>
      <c r="I71" s="80" t="s">
        <v>518</v>
      </c>
      <c r="J71" s="80" t="s">
        <v>519</v>
      </c>
      <c r="K71" s="80" t="s">
        <v>520</v>
      </c>
      <c r="L71" s="80" t="s">
        <v>521</v>
      </c>
      <c r="M71" s="80" t="s">
        <v>522</v>
      </c>
      <c r="N71" s="80" t="s">
        <v>523</v>
      </c>
      <c r="O71" s="101" t="n">
        <v>46139</v>
      </c>
      <c r="P71" s="84"/>
      <c r="Q71" s="84"/>
      <c r="R71" s="87" t="s">
        <v>84</v>
      </c>
      <c r="S71" s="87" t="s">
        <v>31</v>
      </c>
    </row>
    <row r="72" s="68" customFormat="true" ht="15" hidden="false" customHeight="false" outlineLevel="0" collapsed="false">
      <c r="B72" s="69"/>
      <c r="C72" s="69"/>
      <c r="D72" s="69"/>
      <c r="E72" s="72" t="s">
        <v>1349</v>
      </c>
      <c r="F72" s="72"/>
      <c r="G72" s="119" t="n">
        <f aca="false">SUM(G73:G108)</f>
        <v>79</v>
      </c>
      <c r="H72" s="89"/>
      <c r="I72" s="123"/>
      <c r="J72" s="124"/>
      <c r="K72" s="125"/>
      <c r="L72" s="69"/>
      <c r="M72" s="69"/>
      <c r="N72" s="90"/>
      <c r="O72" s="89"/>
      <c r="P72" s="76"/>
      <c r="Q72" s="76"/>
      <c r="R72" s="74" t="s">
        <v>932</v>
      </c>
      <c r="S72" s="74"/>
    </row>
    <row r="73" s="77" customFormat="true" ht="54" hidden="false" customHeight="true" outlineLevel="1" collapsed="false">
      <c r="B73" s="78"/>
      <c r="C73" s="80" t="s">
        <v>1350</v>
      </c>
      <c r="D73" s="80" t="s">
        <v>811</v>
      </c>
      <c r="E73" s="81" t="s">
        <v>1349</v>
      </c>
      <c r="F73" s="78" t="s">
        <v>812</v>
      </c>
      <c r="G73" s="88" t="n">
        <v>3</v>
      </c>
      <c r="H73" s="84" t="s">
        <v>813</v>
      </c>
      <c r="I73" s="80" t="s">
        <v>814</v>
      </c>
      <c r="J73" s="80" t="s">
        <v>815</v>
      </c>
      <c r="K73" s="80" t="s">
        <v>816</v>
      </c>
      <c r="L73" s="80" t="s">
        <v>817</v>
      </c>
      <c r="M73" s="80" t="s">
        <v>1351</v>
      </c>
      <c r="N73" s="80" t="s">
        <v>819</v>
      </c>
      <c r="O73" s="101" t="n">
        <v>46139</v>
      </c>
      <c r="P73" s="84"/>
      <c r="Q73" s="84"/>
      <c r="R73" s="87" t="s">
        <v>932</v>
      </c>
      <c r="S73" s="87" t="s">
        <v>84</v>
      </c>
    </row>
    <row r="74" s="77" customFormat="true" ht="15" hidden="false" customHeight="false" outlineLevel="1" collapsed="false">
      <c r="B74" s="78"/>
      <c r="C74" s="80" t="n">
        <v>69</v>
      </c>
      <c r="D74" s="80" t="s">
        <v>562</v>
      </c>
      <c r="E74" s="81" t="s">
        <v>1349</v>
      </c>
      <c r="F74" s="78" t="s">
        <v>563</v>
      </c>
      <c r="G74" s="88" t="n">
        <v>2</v>
      </c>
      <c r="H74" s="84" t="s">
        <v>61</v>
      </c>
      <c r="I74" s="80" t="s">
        <v>564</v>
      </c>
      <c r="J74" s="80" t="s">
        <v>565</v>
      </c>
      <c r="K74" s="80" t="s">
        <v>566</v>
      </c>
      <c r="L74" s="80" t="s">
        <v>567</v>
      </c>
      <c r="M74" s="80" t="s">
        <v>568</v>
      </c>
      <c r="N74" s="80" t="s">
        <v>569</v>
      </c>
      <c r="O74" s="101" t="n">
        <v>46139</v>
      </c>
      <c r="P74" s="84"/>
      <c r="Q74" s="84"/>
      <c r="R74" s="87" t="s">
        <v>932</v>
      </c>
      <c r="S74" s="87" t="s">
        <v>31</v>
      </c>
    </row>
    <row r="75" s="77" customFormat="true" ht="15" hidden="false" customHeight="false" outlineLevel="1" collapsed="false">
      <c r="B75" s="78"/>
      <c r="C75" s="80" t="n">
        <v>70</v>
      </c>
      <c r="D75" s="80" t="s">
        <v>59</v>
      </c>
      <c r="E75" s="81" t="s">
        <v>1349</v>
      </c>
      <c r="F75" s="78" t="s">
        <v>60</v>
      </c>
      <c r="G75" s="88" t="n">
        <v>8</v>
      </c>
      <c r="H75" s="84" t="s">
        <v>61</v>
      </c>
      <c r="I75" s="80" t="s">
        <v>62</v>
      </c>
      <c r="J75" s="80" t="s">
        <v>63</v>
      </c>
      <c r="K75" s="80" t="s">
        <v>64</v>
      </c>
      <c r="L75" s="80" t="s">
        <v>65</v>
      </c>
      <c r="M75" s="80" t="s">
        <v>66</v>
      </c>
      <c r="N75" s="80" t="s">
        <v>67</v>
      </c>
      <c r="O75" s="101" t="n">
        <v>46139</v>
      </c>
      <c r="P75" s="84"/>
      <c r="Q75" s="84"/>
      <c r="R75" s="87" t="s">
        <v>932</v>
      </c>
      <c r="S75" s="87" t="s">
        <v>31</v>
      </c>
    </row>
    <row r="76" s="77" customFormat="true" ht="15" hidden="false" customHeight="false" outlineLevel="1" collapsed="false">
      <c r="B76" s="78"/>
      <c r="C76" s="80" t="n">
        <v>71</v>
      </c>
      <c r="D76" s="80" t="s">
        <v>580</v>
      </c>
      <c r="E76" s="81" t="s">
        <v>1349</v>
      </c>
      <c r="F76" s="78" t="s">
        <v>581</v>
      </c>
      <c r="G76" s="88" t="n">
        <v>1</v>
      </c>
      <c r="H76" s="84" t="s">
        <v>61</v>
      </c>
      <c r="I76" s="80" t="s">
        <v>582</v>
      </c>
      <c r="J76" s="80" t="s">
        <v>583</v>
      </c>
      <c r="K76" s="80" t="s">
        <v>584</v>
      </c>
      <c r="L76" s="80" t="s">
        <v>585</v>
      </c>
      <c r="M76" s="80" t="s">
        <v>586</v>
      </c>
      <c r="N76" s="80" t="s">
        <v>587</v>
      </c>
      <c r="O76" s="101" t="n">
        <v>46139</v>
      </c>
      <c r="P76" s="84"/>
      <c r="Q76" s="84"/>
      <c r="R76" s="87" t="s">
        <v>932</v>
      </c>
      <c r="S76" s="87" t="s">
        <v>84</v>
      </c>
    </row>
    <row r="77" s="77" customFormat="true" ht="36" hidden="false" customHeight="true" outlineLevel="1" collapsed="false">
      <c r="B77" s="78"/>
      <c r="C77" s="80" t="n">
        <v>72</v>
      </c>
      <c r="D77" s="80" t="s">
        <v>725</v>
      </c>
      <c r="E77" s="81" t="s">
        <v>1349</v>
      </c>
      <c r="F77" s="78" t="s">
        <v>726</v>
      </c>
      <c r="G77" s="88" t="n">
        <v>1</v>
      </c>
      <c r="H77" s="84" t="s">
        <v>727</v>
      </c>
      <c r="I77" s="80" t="s">
        <v>1352</v>
      </c>
      <c r="J77" s="80" t="s">
        <v>1353</v>
      </c>
      <c r="K77" s="97" t="s">
        <v>1354</v>
      </c>
      <c r="L77" s="80" t="s">
        <v>731</v>
      </c>
      <c r="M77" s="80" t="s">
        <v>732</v>
      </c>
      <c r="N77" s="80" t="s">
        <v>733</v>
      </c>
      <c r="O77" s="101" t="n">
        <v>46139</v>
      </c>
      <c r="P77" s="84"/>
      <c r="Q77" s="84"/>
      <c r="R77" s="87" t="s">
        <v>932</v>
      </c>
      <c r="S77" s="87" t="s">
        <v>31</v>
      </c>
    </row>
    <row r="78" s="77" customFormat="true" ht="15" hidden="false" customHeight="false" outlineLevel="1" collapsed="false">
      <c r="B78" s="78"/>
      <c r="C78" s="80" t="n">
        <v>73</v>
      </c>
      <c r="D78" s="80" t="s">
        <v>102</v>
      </c>
      <c r="E78" s="81" t="s">
        <v>1349</v>
      </c>
      <c r="F78" s="78" t="s">
        <v>103</v>
      </c>
      <c r="G78" s="88" t="n">
        <v>1</v>
      </c>
      <c r="H78" s="84" t="s">
        <v>61</v>
      </c>
      <c r="I78" s="80" t="s">
        <v>104</v>
      </c>
      <c r="J78" s="80" t="s">
        <v>105</v>
      </c>
      <c r="K78" s="80" t="s">
        <v>106</v>
      </c>
      <c r="L78" s="80" t="s">
        <v>107</v>
      </c>
      <c r="M78" s="80" t="s">
        <v>107</v>
      </c>
      <c r="N78" s="80" t="s">
        <v>108</v>
      </c>
      <c r="O78" s="101" t="n">
        <v>46139</v>
      </c>
      <c r="P78" s="84"/>
      <c r="Q78" s="84"/>
      <c r="R78" s="87" t="s">
        <v>932</v>
      </c>
      <c r="S78" s="87" t="s">
        <v>84</v>
      </c>
    </row>
    <row r="79" s="77" customFormat="true" ht="15" hidden="false" customHeight="false" outlineLevel="1" collapsed="false">
      <c r="B79" s="78"/>
      <c r="C79" s="80" t="n">
        <v>74</v>
      </c>
      <c r="D79" s="80" t="s">
        <v>117</v>
      </c>
      <c r="E79" s="81" t="s">
        <v>1349</v>
      </c>
      <c r="F79" s="78" t="s">
        <v>118</v>
      </c>
      <c r="G79" s="88" t="n">
        <v>1</v>
      </c>
      <c r="H79" s="84" t="s">
        <v>24</v>
      </c>
      <c r="I79" s="80" t="s">
        <v>119</v>
      </c>
      <c r="J79" s="80" t="s">
        <v>120</v>
      </c>
      <c r="K79" s="80" t="s">
        <v>121</v>
      </c>
      <c r="L79" s="80" t="s">
        <v>122</v>
      </c>
      <c r="M79" s="80" t="s">
        <v>123</v>
      </c>
      <c r="N79" s="80" t="s">
        <v>124</v>
      </c>
      <c r="O79" s="101" t="n">
        <v>46139</v>
      </c>
      <c r="P79" s="84"/>
      <c r="Q79" s="84"/>
      <c r="R79" s="87" t="s">
        <v>932</v>
      </c>
      <c r="S79" s="87" t="s">
        <v>31</v>
      </c>
    </row>
    <row r="80" s="77" customFormat="true" ht="15" hidden="false" customHeight="false" outlineLevel="1" collapsed="false">
      <c r="B80" s="78"/>
      <c r="C80" s="80" t="n">
        <v>75</v>
      </c>
      <c r="D80" s="80" t="s">
        <v>554</v>
      </c>
      <c r="E80" s="81" t="s">
        <v>1349</v>
      </c>
      <c r="F80" s="78" t="s">
        <v>555</v>
      </c>
      <c r="G80" s="88" t="n">
        <v>1</v>
      </c>
      <c r="H80" s="84" t="s">
        <v>61</v>
      </c>
      <c r="I80" s="80" t="s">
        <v>556</v>
      </c>
      <c r="J80" s="80" t="s">
        <v>557</v>
      </c>
      <c r="K80" s="80" t="s">
        <v>558</v>
      </c>
      <c r="L80" s="80" t="s">
        <v>559</v>
      </c>
      <c r="M80" s="80" t="s">
        <v>1355</v>
      </c>
      <c r="N80" s="80" t="s">
        <v>561</v>
      </c>
      <c r="O80" s="101" t="n">
        <v>46139</v>
      </c>
      <c r="P80" s="84"/>
      <c r="Q80" s="84"/>
      <c r="R80" s="87" t="s">
        <v>932</v>
      </c>
      <c r="S80" s="87" t="s">
        <v>31</v>
      </c>
    </row>
    <row r="81" s="77" customFormat="true" ht="15" hidden="false" customHeight="false" outlineLevel="1" collapsed="false">
      <c r="B81" s="78"/>
      <c r="C81" s="80" t="n">
        <v>76</v>
      </c>
      <c r="D81" s="80" t="s">
        <v>159</v>
      </c>
      <c r="E81" s="81" t="s">
        <v>1349</v>
      </c>
      <c r="F81" s="78" t="s">
        <v>160</v>
      </c>
      <c r="G81" s="88" t="n">
        <v>1</v>
      </c>
      <c r="H81" s="84" t="s">
        <v>61</v>
      </c>
      <c r="I81" s="80" t="s">
        <v>161</v>
      </c>
      <c r="J81" s="80" t="s">
        <v>162</v>
      </c>
      <c r="K81" s="80" t="s">
        <v>163</v>
      </c>
      <c r="L81" s="80" t="s">
        <v>164</v>
      </c>
      <c r="M81" s="80" t="s">
        <v>164</v>
      </c>
      <c r="N81" s="80" t="s">
        <v>165</v>
      </c>
      <c r="O81" s="101" t="n">
        <v>46139</v>
      </c>
      <c r="P81" s="84"/>
      <c r="Q81" s="84"/>
      <c r="R81" s="87" t="s">
        <v>932</v>
      </c>
      <c r="S81" s="87" t="s">
        <v>31</v>
      </c>
    </row>
    <row r="82" s="77" customFormat="true" ht="15" hidden="false" customHeight="false" outlineLevel="1" collapsed="false">
      <c r="B82" s="78"/>
      <c r="C82" s="80" t="n">
        <v>77</v>
      </c>
      <c r="D82" s="80" t="s">
        <v>166</v>
      </c>
      <c r="E82" s="81" t="s">
        <v>1349</v>
      </c>
      <c r="F82" s="78" t="s">
        <v>167</v>
      </c>
      <c r="G82" s="88" t="n">
        <v>1</v>
      </c>
      <c r="H82" s="84" t="s">
        <v>61</v>
      </c>
      <c r="I82" s="80" t="s">
        <v>168</v>
      </c>
      <c r="J82" s="80" t="s">
        <v>169</v>
      </c>
      <c r="K82" s="80" t="s">
        <v>170</v>
      </c>
      <c r="L82" s="80" t="s">
        <v>171</v>
      </c>
      <c r="M82" s="80" t="s">
        <v>172</v>
      </c>
      <c r="N82" s="80" t="s">
        <v>173</v>
      </c>
      <c r="O82" s="101" t="n">
        <v>46139</v>
      </c>
      <c r="P82" s="84"/>
      <c r="Q82" s="84"/>
      <c r="R82" s="87" t="s">
        <v>932</v>
      </c>
      <c r="S82" s="87" t="s">
        <v>84</v>
      </c>
    </row>
    <row r="83" s="77" customFormat="true" ht="30" hidden="false" customHeight="true" outlineLevel="1" collapsed="false">
      <c r="B83" s="78"/>
      <c r="C83" s="80" t="n">
        <v>78</v>
      </c>
      <c r="D83" s="80" t="s">
        <v>667</v>
      </c>
      <c r="E83" s="81" t="s">
        <v>1349</v>
      </c>
      <c r="F83" s="78" t="s">
        <v>668</v>
      </c>
      <c r="G83" s="88" t="n">
        <v>1</v>
      </c>
      <c r="H83" s="84" t="s">
        <v>61</v>
      </c>
      <c r="I83" s="80" t="s">
        <v>1356</v>
      </c>
      <c r="J83" s="80" t="s">
        <v>1357</v>
      </c>
      <c r="K83" s="93" t="s">
        <v>1358</v>
      </c>
      <c r="L83" s="80" t="s">
        <v>672</v>
      </c>
      <c r="M83" s="80" t="s">
        <v>1359</v>
      </c>
      <c r="N83" s="80" t="s">
        <v>673</v>
      </c>
      <c r="O83" s="101" t="n">
        <v>46139</v>
      </c>
      <c r="P83" s="84"/>
      <c r="Q83" s="84"/>
      <c r="R83" s="87" t="s">
        <v>932</v>
      </c>
      <c r="S83" s="87" t="s">
        <v>84</v>
      </c>
    </row>
    <row r="84" s="77" customFormat="true" ht="54" hidden="false" customHeight="true" outlineLevel="1" collapsed="false">
      <c r="B84" s="78"/>
      <c r="C84" s="80" t="s">
        <v>1360</v>
      </c>
      <c r="D84" s="80" t="s">
        <v>190</v>
      </c>
      <c r="E84" s="81" t="s">
        <v>1349</v>
      </c>
      <c r="F84" s="78" t="s">
        <v>191</v>
      </c>
      <c r="G84" s="88" t="n">
        <v>3</v>
      </c>
      <c r="H84" s="84" t="s">
        <v>24</v>
      </c>
      <c r="I84" s="80" t="s">
        <v>1361</v>
      </c>
      <c r="J84" s="80" t="s">
        <v>1362</v>
      </c>
      <c r="K84" s="80" t="s">
        <v>1363</v>
      </c>
      <c r="L84" s="80" t="s">
        <v>195</v>
      </c>
      <c r="M84" s="80" t="s">
        <v>1364</v>
      </c>
      <c r="N84" s="80" t="s">
        <v>197</v>
      </c>
      <c r="O84" s="101" t="n">
        <v>46139</v>
      </c>
      <c r="P84" s="84"/>
      <c r="Q84" s="84"/>
      <c r="R84" s="87" t="s">
        <v>932</v>
      </c>
      <c r="S84" s="87" t="s">
        <v>31</v>
      </c>
    </row>
    <row r="85" s="77" customFormat="true" ht="15" hidden="false" customHeight="false" outlineLevel="1" collapsed="false">
      <c r="B85" s="78"/>
      <c r="C85" s="80" t="n">
        <v>80</v>
      </c>
      <c r="D85" s="80" t="s">
        <v>635</v>
      </c>
      <c r="E85" s="81" t="s">
        <v>1349</v>
      </c>
      <c r="F85" s="78" t="s">
        <v>636</v>
      </c>
      <c r="G85" s="88" t="n">
        <v>2</v>
      </c>
      <c r="H85" s="84" t="s">
        <v>637</v>
      </c>
      <c r="I85" s="80" t="s">
        <v>638</v>
      </c>
      <c r="J85" s="80" t="s">
        <v>639</v>
      </c>
      <c r="K85" s="80" t="s">
        <v>640</v>
      </c>
      <c r="L85" s="80" t="s">
        <v>641</v>
      </c>
      <c r="M85" s="80" t="s">
        <v>642</v>
      </c>
      <c r="N85" s="80" t="s">
        <v>643</v>
      </c>
      <c r="O85" s="101" t="n">
        <v>46139</v>
      </c>
      <c r="P85" s="84"/>
      <c r="Q85" s="84"/>
      <c r="R85" s="87" t="s">
        <v>932</v>
      </c>
      <c r="S85" s="87" t="s">
        <v>31</v>
      </c>
    </row>
    <row r="86" s="77" customFormat="true" ht="15" hidden="false" customHeight="false" outlineLevel="1" collapsed="false">
      <c r="B86" s="78"/>
      <c r="C86" s="80" t="n">
        <v>81</v>
      </c>
      <c r="D86" s="80" t="s">
        <v>198</v>
      </c>
      <c r="E86" s="81" t="s">
        <v>1349</v>
      </c>
      <c r="F86" s="78" t="s">
        <v>199</v>
      </c>
      <c r="G86" s="88" t="n">
        <v>10</v>
      </c>
      <c r="H86" s="84" t="s">
        <v>200</v>
      </c>
      <c r="I86" s="80" t="s">
        <v>201</v>
      </c>
      <c r="J86" s="80" t="s">
        <v>202</v>
      </c>
      <c r="K86" s="80" t="s">
        <v>203</v>
      </c>
      <c r="L86" s="80" t="s">
        <v>204</v>
      </c>
      <c r="M86" s="80" t="s">
        <v>1013</v>
      </c>
      <c r="N86" s="80" t="s">
        <v>206</v>
      </c>
      <c r="O86" s="101" t="n">
        <v>46139</v>
      </c>
      <c r="P86" s="84"/>
      <c r="Q86" s="84"/>
      <c r="R86" s="87" t="s">
        <v>932</v>
      </c>
      <c r="S86" s="87" t="s">
        <v>84</v>
      </c>
    </row>
    <row r="87" s="77" customFormat="true" ht="15" hidden="false" customHeight="false" outlineLevel="1" collapsed="false">
      <c r="B87" s="78"/>
      <c r="C87" s="80" t="n">
        <v>82</v>
      </c>
      <c r="D87" s="80" t="s">
        <v>207</v>
      </c>
      <c r="E87" s="81" t="s">
        <v>1349</v>
      </c>
      <c r="F87" s="78" t="s">
        <v>208</v>
      </c>
      <c r="G87" s="88" t="n">
        <v>2</v>
      </c>
      <c r="H87" s="84" t="s">
        <v>61</v>
      </c>
      <c r="I87" s="80" t="s">
        <v>209</v>
      </c>
      <c r="J87" s="80" t="s">
        <v>210</v>
      </c>
      <c r="K87" s="80" t="s">
        <v>211</v>
      </c>
      <c r="L87" s="80" t="s">
        <v>212</v>
      </c>
      <c r="M87" s="80" t="s">
        <v>213</v>
      </c>
      <c r="N87" s="80" t="s">
        <v>214</v>
      </c>
      <c r="O87" s="101" t="n">
        <v>46139</v>
      </c>
      <c r="P87" s="84"/>
      <c r="Q87" s="84"/>
      <c r="R87" s="87" t="s">
        <v>932</v>
      </c>
      <c r="S87" s="87" t="s">
        <v>31</v>
      </c>
    </row>
    <row r="88" s="77" customFormat="true" ht="36" hidden="false" customHeight="true" outlineLevel="1" collapsed="false">
      <c r="B88" s="78"/>
      <c r="C88" s="80" t="s">
        <v>1365</v>
      </c>
      <c r="D88" s="80" t="s">
        <v>795</v>
      </c>
      <c r="E88" s="81" t="s">
        <v>1349</v>
      </c>
      <c r="F88" s="78" t="s">
        <v>796</v>
      </c>
      <c r="G88" s="88" t="n">
        <v>1</v>
      </c>
      <c r="H88" s="84" t="s">
        <v>61</v>
      </c>
      <c r="I88" s="80" t="s">
        <v>797</v>
      </c>
      <c r="J88" s="80" t="s">
        <v>798</v>
      </c>
      <c r="K88" s="96" t="s">
        <v>799</v>
      </c>
      <c r="L88" s="80" t="s">
        <v>236</v>
      </c>
      <c r="M88" s="80" t="s">
        <v>1366</v>
      </c>
      <c r="N88" s="80" t="s">
        <v>801</v>
      </c>
      <c r="O88" s="101" t="n">
        <v>46139</v>
      </c>
      <c r="P88" s="84"/>
      <c r="Q88" s="84"/>
      <c r="R88" s="87" t="s">
        <v>932</v>
      </c>
      <c r="S88" s="87" t="s">
        <v>84</v>
      </c>
    </row>
    <row r="89" s="77" customFormat="true" ht="15" hidden="false" customHeight="false" outlineLevel="1" collapsed="false">
      <c r="B89" s="78"/>
      <c r="C89" s="80" t="n">
        <v>84</v>
      </c>
      <c r="D89" s="80" t="s">
        <v>651</v>
      </c>
      <c r="E89" s="81" t="s">
        <v>1349</v>
      </c>
      <c r="F89" s="78" t="s">
        <v>652</v>
      </c>
      <c r="G89" s="88" t="n">
        <v>2</v>
      </c>
      <c r="H89" s="84" t="s">
        <v>111</v>
      </c>
      <c r="I89" s="80" t="s">
        <v>653</v>
      </c>
      <c r="J89" s="80" t="s">
        <v>654</v>
      </c>
      <c r="K89" s="80" t="s">
        <v>655</v>
      </c>
      <c r="L89" s="80" t="s">
        <v>656</v>
      </c>
      <c r="M89" s="80" t="s">
        <v>657</v>
      </c>
      <c r="N89" s="80" t="s">
        <v>658</v>
      </c>
      <c r="O89" s="101" t="n">
        <v>46139</v>
      </c>
      <c r="P89" s="84"/>
      <c r="Q89" s="84"/>
      <c r="R89" s="87" t="s">
        <v>932</v>
      </c>
      <c r="S89" s="87" t="s">
        <v>31</v>
      </c>
    </row>
    <row r="90" s="77" customFormat="true" ht="15" hidden="false" customHeight="false" outlineLevel="1" collapsed="false">
      <c r="B90" s="78"/>
      <c r="C90" s="80" t="n">
        <v>85</v>
      </c>
      <c r="D90" s="80" t="s">
        <v>270</v>
      </c>
      <c r="E90" s="81" t="s">
        <v>1349</v>
      </c>
      <c r="F90" s="78" t="s">
        <v>271</v>
      </c>
      <c r="G90" s="88" t="n">
        <v>1</v>
      </c>
      <c r="H90" s="84" t="s">
        <v>61</v>
      </c>
      <c r="I90" s="80" t="s">
        <v>272</v>
      </c>
      <c r="J90" s="80" t="s">
        <v>273</v>
      </c>
      <c r="K90" s="80" t="s">
        <v>274</v>
      </c>
      <c r="L90" s="80" t="s">
        <v>1367</v>
      </c>
      <c r="M90" s="80" t="s">
        <v>1367</v>
      </c>
      <c r="N90" s="80" t="s">
        <v>277</v>
      </c>
      <c r="O90" s="101" t="n">
        <v>46139</v>
      </c>
      <c r="P90" s="84"/>
      <c r="Q90" s="84"/>
      <c r="R90" s="87" t="s">
        <v>932</v>
      </c>
      <c r="S90" s="87" t="s">
        <v>31</v>
      </c>
    </row>
    <row r="91" s="77" customFormat="true" ht="15" hidden="false" customHeight="false" outlineLevel="1" collapsed="false">
      <c r="B91" s="78"/>
      <c r="C91" s="80" t="n">
        <v>86</v>
      </c>
      <c r="D91" s="80" t="s">
        <v>278</v>
      </c>
      <c r="E91" s="81" t="s">
        <v>1349</v>
      </c>
      <c r="F91" s="78" t="s">
        <v>279</v>
      </c>
      <c r="G91" s="88" t="n">
        <v>1</v>
      </c>
      <c r="H91" s="84" t="s">
        <v>61</v>
      </c>
      <c r="I91" s="80" t="s">
        <v>280</v>
      </c>
      <c r="J91" s="80" t="s">
        <v>281</v>
      </c>
      <c r="K91" s="80" t="s">
        <v>282</v>
      </c>
      <c r="L91" s="80" t="s">
        <v>283</v>
      </c>
      <c r="M91" s="80" t="s">
        <v>284</v>
      </c>
      <c r="N91" s="80" t="s">
        <v>285</v>
      </c>
      <c r="O91" s="101" t="n">
        <v>46139</v>
      </c>
      <c r="P91" s="84"/>
      <c r="Q91" s="84"/>
      <c r="R91" s="87" t="s">
        <v>932</v>
      </c>
      <c r="S91" s="87" t="s">
        <v>31</v>
      </c>
    </row>
    <row r="92" s="77" customFormat="true" ht="15" hidden="false" customHeight="false" outlineLevel="1" collapsed="false">
      <c r="B92" s="78"/>
      <c r="C92" s="80" t="n">
        <v>87</v>
      </c>
      <c r="D92" s="80" t="s">
        <v>859</v>
      </c>
      <c r="E92" s="81" t="s">
        <v>1349</v>
      </c>
      <c r="F92" s="78" t="s">
        <v>860</v>
      </c>
      <c r="G92" s="88" t="n">
        <v>1</v>
      </c>
      <c r="H92" s="84" t="s">
        <v>861</v>
      </c>
      <c r="I92" s="80" t="s">
        <v>862</v>
      </c>
      <c r="J92" s="80" t="s">
        <v>863</v>
      </c>
      <c r="K92" s="80" t="s">
        <v>864</v>
      </c>
      <c r="L92" s="80" t="s">
        <v>865</v>
      </c>
      <c r="M92" s="80" t="s">
        <v>866</v>
      </c>
      <c r="N92" s="80" t="s">
        <v>867</v>
      </c>
      <c r="O92" s="101" t="n">
        <v>46139</v>
      </c>
      <c r="P92" s="84"/>
      <c r="Q92" s="84"/>
      <c r="R92" s="87" t="s">
        <v>932</v>
      </c>
      <c r="S92" s="87" t="s">
        <v>31</v>
      </c>
    </row>
    <row r="93" s="77" customFormat="true" ht="45" hidden="false" customHeight="true" outlineLevel="1" collapsed="false">
      <c r="B93" s="78"/>
      <c r="C93" s="80" t="s">
        <v>1368</v>
      </c>
      <c r="D93" s="80" t="s">
        <v>294</v>
      </c>
      <c r="E93" s="81" t="s">
        <v>1349</v>
      </c>
      <c r="F93" s="78" t="s">
        <v>295</v>
      </c>
      <c r="G93" s="88" t="n">
        <v>3</v>
      </c>
      <c r="H93" s="84" t="s">
        <v>61</v>
      </c>
      <c r="I93" s="80" t="s">
        <v>908</v>
      </c>
      <c r="J93" s="80" t="s">
        <v>909</v>
      </c>
      <c r="K93" s="80" t="s">
        <v>910</v>
      </c>
      <c r="L93" s="80" t="s">
        <v>299</v>
      </c>
      <c r="M93" s="80" t="s">
        <v>1369</v>
      </c>
      <c r="N93" s="80" t="s">
        <v>301</v>
      </c>
      <c r="O93" s="101" t="n">
        <v>46139</v>
      </c>
      <c r="P93" s="84"/>
      <c r="Q93" s="84"/>
      <c r="R93" s="87" t="s">
        <v>932</v>
      </c>
      <c r="S93" s="87" t="s">
        <v>31</v>
      </c>
    </row>
    <row r="94" s="77" customFormat="true" ht="15" hidden="false" customHeight="false" outlineLevel="1" collapsed="false">
      <c r="B94" s="78"/>
      <c r="C94" s="80" t="n">
        <v>89</v>
      </c>
      <c r="D94" s="80" t="s">
        <v>310</v>
      </c>
      <c r="E94" s="81" t="s">
        <v>1349</v>
      </c>
      <c r="F94" s="78" t="s">
        <v>311</v>
      </c>
      <c r="G94" s="88" t="n">
        <v>1</v>
      </c>
      <c r="H94" s="84" t="s">
        <v>152</v>
      </c>
      <c r="I94" s="80" t="s">
        <v>312</v>
      </c>
      <c r="J94" s="80" t="s">
        <v>313</v>
      </c>
      <c r="K94" s="80" t="s">
        <v>314</v>
      </c>
      <c r="L94" s="80" t="s">
        <v>315</v>
      </c>
      <c r="M94" s="80" t="s">
        <v>316</v>
      </c>
      <c r="N94" s="80" t="s">
        <v>317</v>
      </c>
      <c r="O94" s="101" t="n">
        <v>46139</v>
      </c>
      <c r="P94" s="84"/>
      <c r="Q94" s="84"/>
      <c r="R94" s="87" t="s">
        <v>932</v>
      </c>
      <c r="S94" s="87" t="s">
        <v>31</v>
      </c>
    </row>
    <row r="95" s="77" customFormat="true" ht="15" hidden="false" customHeight="false" outlineLevel="1" collapsed="false">
      <c r="B95" s="78"/>
      <c r="C95" s="80" t="n">
        <v>90</v>
      </c>
      <c r="D95" s="80" t="s">
        <v>350</v>
      </c>
      <c r="E95" s="81" t="s">
        <v>1349</v>
      </c>
      <c r="F95" s="78" t="s">
        <v>351</v>
      </c>
      <c r="G95" s="88" t="n">
        <v>1</v>
      </c>
      <c r="H95" s="84" t="s">
        <v>152</v>
      </c>
      <c r="I95" s="80" t="s">
        <v>352</v>
      </c>
      <c r="J95" s="80" t="s">
        <v>353</v>
      </c>
      <c r="K95" s="80" t="s">
        <v>354</v>
      </c>
      <c r="L95" s="80" t="s">
        <v>355</v>
      </c>
      <c r="M95" s="80" t="s">
        <v>355</v>
      </c>
      <c r="N95" s="80" t="s">
        <v>356</v>
      </c>
      <c r="O95" s="101" t="n">
        <v>46139</v>
      </c>
      <c r="P95" s="84"/>
      <c r="Q95" s="84"/>
      <c r="R95" s="87" t="s">
        <v>932</v>
      </c>
      <c r="S95" s="87" t="s">
        <v>84</v>
      </c>
    </row>
    <row r="96" s="77" customFormat="true" ht="15" hidden="false" customHeight="false" outlineLevel="1" collapsed="false">
      <c r="B96" s="78"/>
      <c r="C96" s="80" t="n">
        <v>91</v>
      </c>
      <c r="D96" s="80" t="s">
        <v>961</v>
      </c>
      <c r="E96" s="81" t="s">
        <v>1349</v>
      </c>
      <c r="F96" s="78" t="s">
        <v>915</v>
      </c>
      <c r="G96" s="88" t="n">
        <v>1</v>
      </c>
      <c r="H96" s="84" t="s">
        <v>152</v>
      </c>
      <c r="I96" s="80" t="s">
        <v>962</v>
      </c>
      <c r="J96" s="80" t="s">
        <v>963</v>
      </c>
      <c r="K96" s="80" t="s">
        <v>964</v>
      </c>
      <c r="L96" s="80" t="s">
        <v>965</v>
      </c>
      <c r="M96" s="80" t="s">
        <v>983</v>
      </c>
      <c r="N96" s="80" t="s">
        <v>967</v>
      </c>
      <c r="O96" s="101" t="n">
        <v>46139</v>
      </c>
      <c r="P96" s="84"/>
      <c r="Q96" s="84"/>
      <c r="R96" s="87" t="s">
        <v>932</v>
      </c>
      <c r="S96" s="87" t="s">
        <v>84</v>
      </c>
    </row>
    <row r="97" s="77" customFormat="true" ht="54" hidden="false" customHeight="true" outlineLevel="1" collapsed="false">
      <c r="B97" s="78"/>
      <c r="C97" s="80" t="s">
        <v>1370</v>
      </c>
      <c r="D97" s="80" t="s">
        <v>366</v>
      </c>
      <c r="E97" s="81" t="s">
        <v>1349</v>
      </c>
      <c r="F97" s="78" t="s">
        <v>367</v>
      </c>
      <c r="G97" s="88" t="n">
        <v>6</v>
      </c>
      <c r="H97" s="84" t="s">
        <v>368</v>
      </c>
      <c r="I97" s="80" t="s">
        <v>369</v>
      </c>
      <c r="J97" s="80" t="s">
        <v>370</v>
      </c>
      <c r="K97" s="80" t="s">
        <v>371</v>
      </c>
      <c r="L97" s="80" t="s">
        <v>372</v>
      </c>
      <c r="M97" s="80" t="s">
        <v>1371</v>
      </c>
      <c r="N97" s="80" t="s">
        <v>374</v>
      </c>
      <c r="O97" s="101" t="n">
        <v>46139</v>
      </c>
      <c r="P97" s="84"/>
      <c r="Q97" s="84"/>
      <c r="R97" s="87" t="s">
        <v>932</v>
      </c>
      <c r="S97" s="87" t="s">
        <v>84</v>
      </c>
    </row>
    <row r="98" s="77" customFormat="true" ht="36" hidden="false" customHeight="true" outlineLevel="1" collapsed="false">
      <c r="B98" s="78"/>
      <c r="C98" s="80" t="s">
        <v>1372</v>
      </c>
      <c r="D98" s="80" t="s">
        <v>375</v>
      </c>
      <c r="E98" s="78" t="s">
        <v>1349</v>
      </c>
      <c r="F98" s="78" t="s">
        <v>376</v>
      </c>
      <c r="G98" s="88" t="n">
        <v>6</v>
      </c>
      <c r="H98" s="84" t="s">
        <v>111</v>
      </c>
      <c r="I98" s="80" t="s">
        <v>1373</v>
      </c>
      <c r="J98" s="80" t="s">
        <v>685</v>
      </c>
      <c r="K98" s="80" t="s">
        <v>686</v>
      </c>
      <c r="L98" s="80" t="s">
        <v>380</v>
      </c>
      <c r="M98" s="80" t="s">
        <v>1374</v>
      </c>
      <c r="N98" s="80" t="s">
        <v>382</v>
      </c>
      <c r="O98" s="101" t="n">
        <v>46139</v>
      </c>
      <c r="P98" s="84"/>
      <c r="Q98" s="84"/>
      <c r="R98" s="87" t="s">
        <v>932</v>
      </c>
      <c r="S98" s="87" t="s">
        <v>31</v>
      </c>
    </row>
    <row r="99" s="77" customFormat="true" ht="15" hidden="false" customHeight="false" outlineLevel="1" collapsed="false">
      <c r="B99" s="78"/>
      <c r="C99" s="80" t="n">
        <v>94</v>
      </c>
      <c r="D99" s="80" t="s">
        <v>399</v>
      </c>
      <c r="E99" s="81" t="s">
        <v>1349</v>
      </c>
      <c r="F99" s="78" t="s">
        <v>400</v>
      </c>
      <c r="G99" s="88" t="n">
        <v>1</v>
      </c>
      <c r="H99" s="84" t="s">
        <v>152</v>
      </c>
      <c r="I99" s="80" t="s">
        <v>401</v>
      </c>
      <c r="J99" s="80" t="s">
        <v>402</v>
      </c>
      <c r="K99" s="80" t="s">
        <v>403</v>
      </c>
      <c r="L99" s="80" t="s">
        <v>404</v>
      </c>
      <c r="M99" s="80" t="s">
        <v>791</v>
      </c>
      <c r="N99" s="80" t="s">
        <v>406</v>
      </c>
      <c r="O99" s="101" t="n">
        <v>46139</v>
      </c>
      <c r="P99" s="84"/>
      <c r="Q99" s="84"/>
      <c r="R99" s="87" t="s">
        <v>932</v>
      </c>
      <c r="S99" s="87" t="s">
        <v>84</v>
      </c>
    </row>
    <row r="100" s="77" customFormat="true" ht="30" hidden="false" customHeight="true" outlineLevel="1" collapsed="false">
      <c r="B100" s="78"/>
      <c r="C100" s="80" t="s">
        <v>1375</v>
      </c>
      <c r="D100" s="80" t="s">
        <v>431</v>
      </c>
      <c r="E100" s="81" t="s">
        <v>1349</v>
      </c>
      <c r="F100" s="78" t="s">
        <v>432</v>
      </c>
      <c r="G100" s="88" t="n">
        <v>4</v>
      </c>
      <c r="H100" s="84" t="s">
        <v>152</v>
      </c>
      <c r="I100" s="80" t="s">
        <v>1376</v>
      </c>
      <c r="J100" s="80" t="s">
        <v>1377</v>
      </c>
      <c r="K100" s="80" t="s">
        <v>1378</v>
      </c>
      <c r="L100" s="80" t="s">
        <v>436</v>
      </c>
      <c r="M100" s="80" t="s">
        <v>1379</v>
      </c>
      <c r="N100" s="80" t="s">
        <v>438</v>
      </c>
      <c r="O100" s="101" t="n">
        <v>46139</v>
      </c>
      <c r="P100" s="84"/>
      <c r="Q100" s="84"/>
      <c r="R100" s="87" t="s">
        <v>932</v>
      </c>
      <c r="S100" s="87" t="s">
        <v>31</v>
      </c>
    </row>
    <row r="101" s="77" customFormat="true" ht="15" hidden="false" customHeight="false" outlineLevel="1" collapsed="false">
      <c r="B101" s="78"/>
      <c r="C101" s="80" t="n">
        <v>96</v>
      </c>
      <c r="D101" s="80" t="s">
        <v>544</v>
      </c>
      <c r="E101" s="81" t="s">
        <v>1349</v>
      </c>
      <c r="F101" s="78" t="s">
        <v>545</v>
      </c>
      <c r="G101" s="88" t="n">
        <v>1</v>
      </c>
      <c r="H101" s="84" t="s">
        <v>24</v>
      </c>
      <c r="I101" s="80" t="s">
        <v>546</v>
      </c>
      <c r="J101" s="80" t="s">
        <v>547</v>
      </c>
      <c r="K101" s="80" t="s">
        <v>548</v>
      </c>
      <c r="L101" s="80" t="s">
        <v>549</v>
      </c>
      <c r="M101" s="80" t="s">
        <v>550</v>
      </c>
      <c r="N101" s="80" t="s">
        <v>551</v>
      </c>
      <c r="O101" s="101" t="n">
        <v>46139</v>
      </c>
      <c r="P101" s="84"/>
      <c r="Q101" s="84"/>
      <c r="R101" s="87" t="s">
        <v>932</v>
      </c>
      <c r="S101" s="87" t="s">
        <v>31</v>
      </c>
    </row>
    <row r="102" s="77" customFormat="true" ht="15" hidden="false" customHeight="false" outlineLevel="1" collapsed="false">
      <c r="B102" s="78"/>
      <c r="C102" s="80" t="n">
        <v>97</v>
      </c>
      <c r="D102" s="80" t="s">
        <v>439</v>
      </c>
      <c r="E102" s="81" t="s">
        <v>1349</v>
      </c>
      <c r="F102" s="78" t="s">
        <v>440</v>
      </c>
      <c r="G102" s="88" t="n">
        <v>1</v>
      </c>
      <c r="H102" s="84" t="s">
        <v>152</v>
      </c>
      <c r="I102" s="80" t="s">
        <v>1026</v>
      </c>
      <c r="J102" s="80" t="s">
        <v>1027</v>
      </c>
      <c r="K102" s="80" t="s">
        <v>1028</v>
      </c>
      <c r="L102" s="80" t="s">
        <v>444</v>
      </c>
      <c r="M102" s="80" t="s">
        <v>1029</v>
      </c>
      <c r="N102" s="80" t="s">
        <v>446</v>
      </c>
      <c r="O102" s="101" t="n">
        <v>46139</v>
      </c>
      <c r="P102" s="84"/>
      <c r="Q102" s="84"/>
      <c r="R102" s="87" t="s">
        <v>932</v>
      </c>
      <c r="S102" s="87" t="s">
        <v>31</v>
      </c>
    </row>
    <row r="103" s="77" customFormat="true" ht="15" hidden="false" customHeight="false" outlineLevel="1" collapsed="false">
      <c r="B103" s="78"/>
      <c r="C103" s="80" t="n">
        <v>98</v>
      </c>
      <c r="D103" s="80" t="s">
        <v>571</v>
      </c>
      <c r="E103" s="81" t="s">
        <v>1349</v>
      </c>
      <c r="F103" s="78" t="s">
        <v>572</v>
      </c>
      <c r="G103" s="88" t="n">
        <v>1</v>
      </c>
      <c r="H103" s="84" t="s">
        <v>573</v>
      </c>
      <c r="I103" s="80" t="s">
        <v>574</v>
      </c>
      <c r="J103" s="80" t="s">
        <v>575</v>
      </c>
      <c r="K103" s="80" t="s">
        <v>576</v>
      </c>
      <c r="L103" s="80" t="s">
        <v>577</v>
      </c>
      <c r="M103" s="80" t="s">
        <v>578</v>
      </c>
      <c r="N103" s="80" t="s">
        <v>579</v>
      </c>
      <c r="O103" s="101" t="n">
        <v>46139</v>
      </c>
      <c r="P103" s="84"/>
      <c r="Q103" s="84"/>
      <c r="R103" s="87" t="s">
        <v>932</v>
      </c>
      <c r="S103" s="87" t="s">
        <v>84</v>
      </c>
    </row>
    <row r="104" s="77" customFormat="true" ht="36" hidden="false" customHeight="true" outlineLevel="1" collapsed="false">
      <c r="B104" s="78"/>
      <c r="C104" s="80" t="s">
        <v>1380</v>
      </c>
      <c r="D104" s="80" t="s">
        <v>596</v>
      </c>
      <c r="E104" s="81" t="s">
        <v>1349</v>
      </c>
      <c r="F104" s="78" t="s">
        <v>597</v>
      </c>
      <c r="G104" s="88" t="n">
        <v>1</v>
      </c>
      <c r="H104" s="84" t="s">
        <v>61</v>
      </c>
      <c r="I104" s="80" t="s">
        <v>598</v>
      </c>
      <c r="J104" s="80" t="s">
        <v>599</v>
      </c>
      <c r="K104" s="80" t="s">
        <v>600</v>
      </c>
      <c r="L104" s="80" t="s">
        <v>601</v>
      </c>
      <c r="M104" s="80" t="s">
        <v>1381</v>
      </c>
      <c r="N104" s="80" t="s">
        <v>603</v>
      </c>
      <c r="O104" s="101" t="n">
        <v>46139</v>
      </c>
      <c r="P104" s="84"/>
      <c r="Q104" s="84"/>
      <c r="R104" s="87" t="s">
        <v>932</v>
      </c>
      <c r="S104" s="87" t="s">
        <v>84</v>
      </c>
    </row>
    <row r="105" s="77" customFormat="true" ht="15" hidden="false" customHeight="false" outlineLevel="1" collapsed="false">
      <c r="B105" s="78"/>
      <c r="C105" s="80" t="n">
        <v>100</v>
      </c>
      <c r="D105" s="80" t="s">
        <v>471</v>
      </c>
      <c r="E105" s="81" t="s">
        <v>1349</v>
      </c>
      <c r="F105" s="78" t="s">
        <v>472</v>
      </c>
      <c r="G105" s="88" t="n">
        <v>1</v>
      </c>
      <c r="H105" s="84" t="s">
        <v>111</v>
      </c>
      <c r="I105" s="80" t="s">
        <v>473</v>
      </c>
      <c r="J105" s="80" t="s">
        <v>474</v>
      </c>
      <c r="K105" s="80" t="s">
        <v>475</v>
      </c>
      <c r="L105" s="80" t="s">
        <v>476</v>
      </c>
      <c r="M105" s="80" t="s">
        <v>476</v>
      </c>
      <c r="N105" s="80" t="s">
        <v>477</v>
      </c>
      <c r="O105" s="101" t="n">
        <v>46139</v>
      </c>
      <c r="P105" s="84"/>
      <c r="Q105" s="84"/>
      <c r="R105" s="87" t="s">
        <v>932</v>
      </c>
      <c r="S105" s="87" t="s">
        <v>84</v>
      </c>
    </row>
    <row r="106" s="77" customFormat="true" ht="30" hidden="false" customHeight="true" outlineLevel="1" collapsed="false">
      <c r="B106" s="78"/>
      <c r="C106" s="80" t="n">
        <v>101</v>
      </c>
      <c r="D106" s="80" t="s">
        <v>478</v>
      </c>
      <c r="E106" s="81" t="s">
        <v>1349</v>
      </c>
      <c r="F106" s="78" t="s">
        <v>479</v>
      </c>
      <c r="G106" s="88" t="n">
        <v>2</v>
      </c>
      <c r="H106" s="84" t="s">
        <v>111</v>
      </c>
      <c r="I106" s="80" t="s">
        <v>480</v>
      </c>
      <c r="J106" s="80" t="s">
        <v>481</v>
      </c>
      <c r="K106" s="80" t="s">
        <v>482</v>
      </c>
      <c r="L106" s="80" t="s">
        <v>483</v>
      </c>
      <c r="M106" s="80" t="s">
        <v>634</v>
      </c>
      <c r="N106" s="80" t="s">
        <v>485</v>
      </c>
      <c r="O106" s="101" t="n">
        <v>46139</v>
      </c>
      <c r="P106" s="84"/>
      <c r="Q106" s="84"/>
      <c r="R106" s="87" t="s">
        <v>932</v>
      </c>
      <c r="S106" s="87" t="s">
        <v>84</v>
      </c>
    </row>
    <row r="107" s="77" customFormat="true" ht="15" hidden="false" customHeight="false" outlineLevel="1" collapsed="false">
      <c r="B107" s="78"/>
      <c r="C107" s="80" t="n">
        <v>102</v>
      </c>
      <c r="D107" s="80" t="s">
        <v>502</v>
      </c>
      <c r="E107" s="81" t="s">
        <v>1349</v>
      </c>
      <c r="F107" s="78" t="s">
        <v>503</v>
      </c>
      <c r="G107" s="88" t="n">
        <v>2</v>
      </c>
      <c r="H107" s="84" t="s">
        <v>61</v>
      </c>
      <c r="I107" s="80" t="s">
        <v>504</v>
      </c>
      <c r="J107" s="80" t="s">
        <v>505</v>
      </c>
      <c r="K107" s="80" t="s">
        <v>506</v>
      </c>
      <c r="L107" s="80" t="s">
        <v>283</v>
      </c>
      <c r="M107" s="80" t="s">
        <v>284</v>
      </c>
      <c r="N107" s="80" t="s">
        <v>507</v>
      </c>
      <c r="O107" s="101" t="n">
        <v>46139</v>
      </c>
      <c r="P107" s="84"/>
      <c r="Q107" s="84"/>
      <c r="R107" s="87" t="s">
        <v>932</v>
      </c>
      <c r="S107" s="87" t="s">
        <v>84</v>
      </c>
    </row>
    <row r="108" s="77" customFormat="true" ht="15" hidden="false" customHeight="false" outlineLevel="1" collapsed="false">
      <c r="B108" s="78"/>
      <c r="C108" s="80" t="n">
        <v>103</v>
      </c>
      <c r="D108" s="80" t="s">
        <v>516</v>
      </c>
      <c r="E108" s="81" t="s">
        <v>1349</v>
      </c>
      <c r="F108" s="92" t="s">
        <v>517</v>
      </c>
      <c r="G108" s="88" t="n">
        <v>3</v>
      </c>
      <c r="H108" s="84" t="s">
        <v>61</v>
      </c>
      <c r="I108" s="80" t="s">
        <v>518</v>
      </c>
      <c r="J108" s="80" t="s">
        <v>519</v>
      </c>
      <c r="K108" s="80" t="s">
        <v>520</v>
      </c>
      <c r="L108" s="80" t="s">
        <v>521</v>
      </c>
      <c r="M108" s="80" t="s">
        <v>522</v>
      </c>
      <c r="N108" s="80" t="s">
        <v>523</v>
      </c>
      <c r="O108" s="101" t="n">
        <v>46139</v>
      </c>
      <c r="P108" s="84"/>
      <c r="Q108" s="84"/>
      <c r="R108" s="87" t="s">
        <v>932</v>
      </c>
      <c r="S108" s="87" t="s">
        <v>31</v>
      </c>
    </row>
    <row r="109" s="68" customFormat="true" ht="15" hidden="false" customHeight="false" outlineLevel="0" collapsed="false">
      <c r="B109" s="69"/>
      <c r="C109" s="69"/>
      <c r="D109" s="69"/>
      <c r="E109" s="72" t="s">
        <v>1382</v>
      </c>
      <c r="F109" s="72"/>
      <c r="G109" s="119" t="n">
        <f aca="false">SUM(G110:G151)</f>
        <v>88</v>
      </c>
      <c r="H109" s="89"/>
      <c r="I109" s="123"/>
      <c r="J109" s="124"/>
      <c r="K109" s="125"/>
      <c r="L109" s="69"/>
      <c r="M109" s="69"/>
      <c r="N109" s="90"/>
      <c r="O109" s="89"/>
      <c r="P109" s="76"/>
      <c r="Q109" s="76"/>
      <c r="R109" s="74" t="s">
        <v>31</v>
      </c>
      <c r="S109" s="74"/>
    </row>
    <row r="110" s="77" customFormat="true" ht="36" hidden="false" customHeight="true" outlineLevel="1" collapsed="false">
      <c r="B110" s="78"/>
      <c r="C110" s="80" t="s">
        <v>1383</v>
      </c>
      <c r="D110" s="80" t="s">
        <v>811</v>
      </c>
      <c r="E110" s="81" t="s">
        <v>1382</v>
      </c>
      <c r="F110" s="78" t="s">
        <v>812</v>
      </c>
      <c r="G110" s="88" t="n">
        <v>4</v>
      </c>
      <c r="H110" s="84" t="s">
        <v>813</v>
      </c>
      <c r="I110" s="80" t="s">
        <v>814</v>
      </c>
      <c r="J110" s="80" t="s">
        <v>815</v>
      </c>
      <c r="K110" s="80" t="s">
        <v>816</v>
      </c>
      <c r="L110" s="80" t="s">
        <v>817</v>
      </c>
      <c r="M110" s="80" t="s">
        <v>1384</v>
      </c>
      <c r="N110" s="80" t="s">
        <v>819</v>
      </c>
      <c r="O110" s="85" t="n">
        <v>46153</v>
      </c>
      <c r="P110" s="84"/>
      <c r="Q110" s="84"/>
      <c r="R110" s="87" t="s">
        <v>31</v>
      </c>
      <c r="S110" s="87" t="s">
        <v>84</v>
      </c>
    </row>
    <row r="111" s="77" customFormat="true" ht="30" hidden="false" customHeight="true" outlineLevel="1" collapsed="false">
      <c r="B111" s="78"/>
      <c r="C111" s="80" t="n">
        <v>105</v>
      </c>
      <c r="D111" s="80" t="s">
        <v>1077</v>
      </c>
      <c r="E111" s="81" t="s">
        <v>1382</v>
      </c>
      <c r="F111" s="78" t="s">
        <v>916</v>
      </c>
      <c r="G111" s="88" t="n">
        <v>1</v>
      </c>
      <c r="H111" s="84" t="s">
        <v>152</v>
      </c>
      <c r="I111" s="80" t="s">
        <v>1078</v>
      </c>
      <c r="J111" s="80" t="s">
        <v>1079</v>
      </c>
      <c r="K111" s="80" t="s">
        <v>1080</v>
      </c>
      <c r="L111" s="80" t="s">
        <v>1081</v>
      </c>
      <c r="M111" s="80" t="s">
        <v>1082</v>
      </c>
      <c r="N111" s="80" t="s">
        <v>1083</v>
      </c>
      <c r="O111" s="101" t="n">
        <v>46132</v>
      </c>
      <c r="P111" s="84"/>
      <c r="Q111" s="84"/>
      <c r="R111" s="87" t="s">
        <v>31</v>
      </c>
      <c r="S111" s="87" t="s">
        <v>84</v>
      </c>
    </row>
    <row r="112" s="77" customFormat="true" ht="90" hidden="false" customHeight="true" outlineLevel="1" collapsed="false">
      <c r="B112" s="78"/>
      <c r="C112" s="80" t="s">
        <v>1385</v>
      </c>
      <c r="D112" s="80" t="s">
        <v>68</v>
      </c>
      <c r="E112" s="81" t="s">
        <v>1382</v>
      </c>
      <c r="F112" s="78" t="s">
        <v>69</v>
      </c>
      <c r="G112" s="88" t="n">
        <v>5</v>
      </c>
      <c r="H112" s="84" t="s">
        <v>61</v>
      </c>
      <c r="I112" s="80" t="s">
        <v>1386</v>
      </c>
      <c r="J112" s="80" t="s">
        <v>1387</v>
      </c>
      <c r="K112" s="80" t="s">
        <v>1388</v>
      </c>
      <c r="L112" s="80" t="s">
        <v>73</v>
      </c>
      <c r="M112" s="80" t="s">
        <v>1389</v>
      </c>
      <c r="N112" s="80" t="s">
        <v>74</v>
      </c>
      <c r="O112" s="101" t="n">
        <v>46132</v>
      </c>
      <c r="P112" s="84"/>
      <c r="Q112" s="84"/>
      <c r="R112" s="87" t="s">
        <v>31</v>
      </c>
      <c r="S112" s="87" t="s">
        <v>31</v>
      </c>
    </row>
    <row r="113" s="77" customFormat="true" ht="36" hidden="false" customHeight="true" outlineLevel="1" collapsed="false">
      <c r="B113" s="78"/>
      <c r="C113" s="80" t="s">
        <v>1390</v>
      </c>
      <c r="D113" s="80" t="s">
        <v>75</v>
      </c>
      <c r="E113" s="81" t="s">
        <v>1382</v>
      </c>
      <c r="F113" s="78" t="s">
        <v>76</v>
      </c>
      <c r="G113" s="88" t="n">
        <v>2</v>
      </c>
      <c r="H113" s="84" t="s">
        <v>77</v>
      </c>
      <c r="I113" s="80" t="s">
        <v>1391</v>
      </c>
      <c r="J113" s="80" t="s">
        <v>1392</v>
      </c>
      <c r="K113" s="80" t="s">
        <v>1393</v>
      </c>
      <c r="L113" s="80" t="s">
        <v>81</v>
      </c>
      <c r="M113" s="80" t="s">
        <v>1394</v>
      </c>
      <c r="N113" s="80" t="s">
        <v>83</v>
      </c>
      <c r="O113" s="101" t="n">
        <v>46132</v>
      </c>
      <c r="P113" s="84"/>
      <c r="Q113" s="84"/>
      <c r="R113" s="87" t="s">
        <v>31</v>
      </c>
      <c r="S113" s="87" t="s">
        <v>84</v>
      </c>
    </row>
    <row r="114" s="77" customFormat="true" ht="36" hidden="false" customHeight="true" outlineLevel="1" collapsed="false">
      <c r="B114" s="78"/>
      <c r="C114" s="80" t="n">
        <v>108</v>
      </c>
      <c r="D114" s="80" t="s">
        <v>899</v>
      </c>
      <c r="E114" s="81" t="s">
        <v>1382</v>
      </c>
      <c r="F114" s="78" t="s">
        <v>900</v>
      </c>
      <c r="G114" s="88" t="n">
        <v>1</v>
      </c>
      <c r="H114" s="84" t="s">
        <v>901</v>
      </c>
      <c r="I114" s="80" t="s">
        <v>902</v>
      </c>
      <c r="J114" s="80" t="s">
        <v>903</v>
      </c>
      <c r="K114" s="80" t="s">
        <v>904</v>
      </c>
      <c r="L114" s="80" t="s">
        <v>905</v>
      </c>
      <c r="M114" s="80" t="s">
        <v>906</v>
      </c>
      <c r="N114" s="80" t="s">
        <v>907</v>
      </c>
      <c r="O114" s="101" t="n">
        <v>46132</v>
      </c>
      <c r="P114" s="84"/>
      <c r="Q114" s="84"/>
      <c r="R114" s="87" t="s">
        <v>31</v>
      </c>
      <c r="S114" s="87" t="s">
        <v>31</v>
      </c>
    </row>
    <row r="115" s="77" customFormat="true" ht="15" hidden="false" customHeight="false" outlineLevel="1" collapsed="false">
      <c r="B115" s="78"/>
      <c r="C115" s="80" t="n">
        <v>109</v>
      </c>
      <c r="D115" s="80" t="s">
        <v>580</v>
      </c>
      <c r="E115" s="81" t="s">
        <v>1382</v>
      </c>
      <c r="F115" s="78" t="s">
        <v>581</v>
      </c>
      <c r="G115" s="88" t="n">
        <v>1</v>
      </c>
      <c r="H115" s="84" t="s">
        <v>61</v>
      </c>
      <c r="I115" s="80" t="s">
        <v>582</v>
      </c>
      <c r="J115" s="80" t="s">
        <v>583</v>
      </c>
      <c r="K115" s="80" t="s">
        <v>584</v>
      </c>
      <c r="L115" s="80" t="s">
        <v>585</v>
      </c>
      <c r="M115" s="80" t="s">
        <v>1007</v>
      </c>
      <c r="N115" s="80" t="s">
        <v>587</v>
      </c>
      <c r="O115" s="101" t="n">
        <v>46132</v>
      </c>
      <c r="P115" s="84"/>
      <c r="Q115" s="84"/>
      <c r="R115" s="87" t="s">
        <v>31</v>
      </c>
      <c r="S115" s="87" t="s">
        <v>84</v>
      </c>
    </row>
    <row r="116" s="77" customFormat="true" ht="15" hidden="false" customHeight="false" outlineLevel="1" collapsed="false">
      <c r="B116" s="78"/>
      <c r="C116" s="80" t="n">
        <v>110</v>
      </c>
      <c r="D116" s="80" t="s">
        <v>626</v>
      </c>
      <c r="E116" s="81" t="s">
        <v>1382</v>
      </c>
      <c r="F116" s="78" t="s">
        <v>627</v>
      </c>
      <c r="G116" s="88" t="n">
        <v>1</v>
      </c>
      <c r="H116" s="84" t="s">
        <v>152</v>
      </c>
      <c r="I116" s="80" t="s">
        <v>628</v>
      </c>
      <c r="J116" s="80" t="s">
        <v>629</v>
      </c>
      <c r="K116" s="80" t="s">
        <v>630</v>
      </c>
      <c r="L116" s="80" t="s">
        <v>631</v>
      </c>
      <c r="M116" s="80" t="s">
        <v>632</v>
      </c>
      <c r="N116" s="80" t="s">
        <v>633</v>
      </c>
      <c r="O116" s="101" t="n">
        <v>46132</v>
      </c>
      <c r="P116" s="84"/>
      <c r="Q116" s="84"/>
      <c r="R116" s="87" t="s">
        <v>31</v>
      </c>
      <c r="S116" s="87" t="s">
        <v>84</v>
      </c>
    </row>
    <row r="117" s="77" customFormat="true" ht="15" hidden="false" customHeight="false" outlineLevel="1" collapsed="false">
      <c r="B117" s="78"/>
      <c r="C117" s="80" t="n">
        <v>111</v>
      </c>
      <c r="D117" s="80" t="s">
        <v>102</v>
      </c>
      <c r="E117" s="81" t="s">
        <v>1382</v>
      </c>
      <c r="F117" s="78" t="s">
        <v>103</v>
      </c>
      <c r="G117" s="88" t="n">
        <v>1</v>
      </c>
      <c r="H117" s="84" t="s">
        <v>61</v>
      </c>
      <c r="I117" s="80" t="s">
        <v>104</v>
      </c>
      <c r="J117" s="80" t="s">
        <v>105</v>
      </c>
      <c r="K117" s="80" t="s">
        <v>106</v>
      </c>
      <c r="L117" s="80" t="s">
        <v>107</v>
      </c>
      <c r="M117" s="80" t="s">
        <v>107</v>
      </c>
      <c r="N117" s="80" t="s">
        <v>108</v>
      </c>
      <c r="O117" s="101" t="n">
        <v>46132</v>
      </c>
      <c r="P117" s="84"/>
      <c r="Q117" s="84"/>
      <c r="R117" s="87" t="s">
        <v>31</v>
      </c>
      <c r="S117" s="87" t="s">
        <v>84</v>
      </c>
    </row>
    <row r="118" s="77" customFormat="true" ht="15" hidden="false" customHeight="false" outlineLevel="1" collapsed="false">
      <c r="B118" s="78"/>
      <c r="C118" s="80" t="n">
        <v>112</v>
      </c>
      <c r="D118" s="80" t="s">
        <v>125</v>
      </c>
      <c r="E118" s="81" t="s">
        <v>1382</v>
      </c>
      <c r="F118" s="78" t="s">
        <v>126</v>
      </c>
      <c r="G118" s="88" t="n">
        <v>1</v>
      </c>
      <c r="H118" s="84" t="s">
        <v>127</v>
      </c>
      <c r="I118" s="80" t="s">
        <v>128</v>
      </c>
      <c r="J118" s="80" t="s">
        <v>129</v>
      </c>
      <c r="K118" s="80" t="s">
        <v>130</v>
      </c>
      <c r="L118" s="80" t="s">
        <v>131</v>
      </c>
      <c r="M118" s="80" t="s">
        <v>132</v>
      </c>
      <c r="N118" s="80" t="s">
        <v>133</v>
      </c>
      <c r="O118" s="101" t="n">
        <v>46132</v>
      </c>
      <c r="P118" s="84"/>
      <c r="Q118" s="84"/>
      <c r="R118" s="87" t="s">
        <v>31</v>
      </c>
      <c r="S118" s="87" t="s">
        <v>84</v>
      </c>
    </row>
    <row r="119" s="77" customFormat="true" ht="15" hidden="false" customHeight="false" outlineLevel="1" collapsed="false">
      <c r="B119" s="78"/>
      <c r="C119" s="80" t="n">
        <v>113</v>
      </c>
      <c r="D119" s="80" t="s">
        <v>618</v>
      </c>
      <c r="E119" s="81" t="s">
        <v>1382</v>
      </c>
      <c r="F119" s="78" t="s">
        <v>619</v>
      </c>
      <c r="G119" s="88" t="n">
        <v>2</v>
      </c>
      <c r="H119" s="84" t="s">
        <v>61</v>
      </c>
      <c r="I119" s="80" t="s">
        <v>620</v>
      </c>
      <c r="J119" s="80" t="s">
        <v>621</v>
      </c>
      <c r="K119" s="80" t="s">
        <v>622</v>
      </c>
      <c r="L119" s="80" t="s">
        <v>623</v>
      </c>
      <c r="M119" s="80" t="s">
        <v>624</v>
      </c>
      <c r="N119" s="80" t="s">
        <v>625</v>
      </c>
      <c r="O119" s="101" t="n">
        <v>46132</v>
      </c>
      <c r="P119" s="84"/>
      <c r="Q119" s="84"/>
      <c r="R119" s="87" t="s">
        <v>31</v>
      </c>
      <c r="S119" s="87" t="s">
        <v>31</v>
      </c>
    </row>
    <row r="120" s="77" customFormat="true" ht="15" hidden="false" customHeight="false" outlineLevel="1" collapsed="false">
      <c r="B120" s="78"/>
      <c r="C120" s="80" t="n">
        <v>114</v>
      </c>
      <c r="D120" s="80" t="s">
        <v>150</v>
      </c>
      <c r="E120" s="81" t="s">
        <v>1382</v>
      </c>
      <c r="F120" s="78" t="s">
        <v>151</v>
      </c>
      <c r="G120" s="88" t="n">
        <v>1</v>
      </c>
      <c r="H120" s="84" t="s">
        <v>152</v>
      </c>
      <c r="I120" s="80" t="s">
        <v>153</v>
      </c>
      <c r="J120" s="80" t="s">
        <v>154</v>
      </c>
      <c r="K120" s="80" t="s">
        <v>155</v>
      </c>
      <c r="L120" s="80" t="s">
        <v>156</v>
      </c>
      <c r="M120" s="80" t="s">
        <v>1113</v>
      </c>
      <c r="N120" s="80" t="s">
        <v>158</v>
      </c>
      <c r="O120" s="101" t="n">
        <v>46132</v>
      </c>
      <c r="P120" s="84"/>
      <c r="Q120" s="84"/>
      <c r="R120" s="87" t="s">
        <v>31</v>
      </c>
      <c r="S120" s="87" t="s">
        <v>84</v>
      </c>
    </row>
    <row r="121" s="77" customFormat="true" ht="15" hidden="false" customHeight="false" outlineLevel="1" collapsed="false">
      <c r="B121" s="78"/>
      <c r="C121" s="80" t="n">
        <v>115</v>
      </c>
      <c r="D121" s="80" t="s">
        <v>667</v>
      </c>
      <c r="E121" s="81" t="s">
        <v>1382</v>
      </c>
      <c r="F121" s="78" t="s">
        <v>668</v>
      </c>
      <c r="G121" s="88" t="n">
        <v>2</v>
      </c>
      <c r="H121" s="84" t="s">
        <v>61</v>
      </c>
      <c r="I121" s="80" t="s">
        <v>669</v>
      </c>
      <c r="J121" s="80" t="s">
        <v>670</v>
      </c>
      <c r="K121" s="93" t="s">
        <v>671</v>
      </c>
      <c r="L121" s="80" t="s">
        <v>672</v>
      </c>
      <c r="M121" s="80" t="s">
        <v>672</v>
      </c>
      <c r="N121" s="80" t="s">
        <v>673</v>
      </c>
      <c r="O121" s="101" t="n">
        <v>46132</v>
      </c>
      <c r="P121" s="84"/>
      <c r="Q121" s="84"/>
      <c r="R121" s="87" t="s">
        <v>31</v>
      </c>
      <c r="S121" s="87" t="s">
        <v>84</v>
      </c>
    </row>
    <row r="122" s="77" customFormat="true" ht="72" hidden="false" customHeight="true" outlineLevel="1" collapsed="false">
      <c r="B122" s="78"/>
      <c r="C122" s="80" t="s">
        <v>1395</v>
      </c>
      <c r="D122" s="80" t="s">
        <v>190</v>
      </c>
      <c r="E122" s="81" t="s">
        <v>1382</v>
      </c>
      <c r="F122" s="78" t="s">
        <v>191</v>
      </c>
      <c r="G122" s="88" t="n">
        <v>4</v>
      </c>
      <c r="H122" s="84" t="s">
        <v>24</v>
      </c>
      <c r="I122" s="80" t="s">
        <v>1396</v>
      </c>
      <c r="J122" s="80" t="s">
        <v>1397</v>
      </c>
      <c r="K122" s="80" t="s">
        <v>1398</v>
      </c>
      <c r="L122" s="80" t="s">
        <v>195</v>
      </c>
      <c r="M122" s="80" t="s">
        <v>1399</v>
      </c>
      <c r="N122" s="80" t="s">
        <v>197</v>
      </c>
      <c r="O122" s="101" t="n">
        <v>46132</v>
      </c>
      <c r="P122" s="84"/>
      <c r="Q122" s="84"/>
      <c r="R122" s="87" t="s">
        <v>31</v>
      </c>
      <c r="S122" s="87" t="s">
        <v>31</v>
      </c>
    </row>
    <row r="123" s="77" customFormat="true" ht="36" hidden="false" customHeight="true" outlineLevel="1" collapsed="false">
      <c r="B123" s="78"/>
      <c r="C123" s="80" t="s">
        <v>1400</v>
      </c>
      <c r="D123" s="80" t="s">
        <v>635</v>
      </c>
      <c r="E123" s="81" t="s">
        <v>1382</v>
      </c>
      <c r="F123" s="78" t="s">
        <v>636</v>
      </c>
      <c r="G123" s="88" t="n">
        <v>2</v>
      </c>
      <c r="H123" s="84" t="s">
        <v>637</v>
      </c>
      <c r="I123" s="80" t="s">
        <v>638</v>
      </c>
      <c r="J123" s="80" t="s">
        <v>639</v>
      </c>
      <c r="K123" s="80" t="s">
        <v>640</v>
      </c>
      <c r="L123" s="80" t="s">
        <v>641</v>
      </c>
      <c r="M123" s="80" t="s">
        <v>1401</v>
      </c>
      <c r="N123" s="80" t="s">
        <v>643</v>
      </c>
      <c r="O123" s="101" t="n">
        <v>46132</v>
      </c>
      <c r="P123" s="84"/>
      <c r="Q123" s="84"/>
      <c r="R123" s="87" t="s">
        <v>31</v>
      </c>
      <c r="S123" s="87" t="s">
        <v>31</v>
      </c>
    </row>
    <row r="124" s="77" customFormat="true" ht="15" hidden="false" customHeight="false" outlineLevel="1" collapsed="false">
      <c r="B124" s="78"/>
      <c r="C124" s="80" t="n">
        <v>118</v>
      </c>
      <c r="D124" s="80" t="s">
        <v>198</v>
      </c>
      <c r="E124" s="81" t="s">
        <v>1382</v>
      </c>
      <c r="F124" s="78" t="s">
        <v>199</v>
      </c>
      <c r="G124" s="88" t="n">
        <v>3</v>
      </c>
      <c r="H124" s="84" t="s">
        <v>200</v>
      </c>
      <c r="I124" s="80" t="s">
        <v>201</v>
      </c>
      <c r="J124" s="80" t="s">
        <v>202</v>
      </c>
      <c r="K124" s="80" t="s">
        <v>203</v>
      </c>
      <c r="L124" s="80" t="s">
        <v>204</v>
      </c>
      <c r="M124" s="80" t="s">
        <v>1402</v>
      </c>
      <c r="N124" s="80" t="s">
        <v>206</v>
      </c>
      <c r="O124" s="101" t="n">
        <v>46132</v>
      </c>
      <c r="P124" s="84"/>
      <c r="Q124" s="84"/>
      <c r="R124" s="87" t="s">
        <v>31</v>
      </c>
      <c r="S124" s="87" t="s">
        <v>84</v>
      </c>
    </row>
    <row r="125" s="77" customFormat="true" ht="15" hidden="false" customHeight="false" outlineLevel="1" collapsed="false">
      <c r="B125" s="78"/>
      <c r="C125" s="80" t="n">
        <v>119</v>
      </c>
      <c r="D125" s="80" t="s">
        <v>215</v>
      </c>
      <c r="E125" s="81" t="s">
        <v>1382</v>
      </c>
      <c r="F125" s="78" t="s">
        <v>216</v>
      </c>
      <c r="G125" s="88" t="n">
        <v>1</v>
      </c>
      <c r="H125" s="84" t="s">
        <v>24</v>
      </c>
      <c r="I125" s="80" t="s">
        <v>217</v>
      </c>
      <c r="J125" s="80" t="s">
        <v>218</v>
      </c>
      <c r="K125" s="80" t="s">
        <v>219</v>
      </c>
      <c r="L125" s="80" t="s">
        <v>220</v>
      </c>
      <c r="M125" s="80" t="s">
        <v>221</v>
      </c>
      <c r="N125" s="80" t="s">
        <v>222</v>
      </c>
      <c r="O125" s="101" t="n">
        <v>46132</v>
      </c>
      <c r="P125" s="84"/>
      <c r="Q125" s="84"/>
      <c r="R125" s="87" t="s">
        <v>31</v>
      </c>
      <c r="S125" s="87" t="s">
        <v>31</v>
      </c>
    </row>
    <row r="126" s="77" customFormat="true" ht="15" hidden="false" customHeight="false" outlineLevel="1" collapsed="false">
      <c r="B126" s="78"/>
      <c r="C126" s="80" t="n">
        <v>120</v>
      </c>
      <c r="D126" s="80" t="s">
        <v>223</v>
      </c>
      <c r="E126" s="81" t="s">
        <v>1382</v>
      </c>
      <c r="F126" s="78" t="s">
        <v>224</v>
      </c>
      <c r="G126" s="88" t="n">
        <v>1</v>
      </c>
      <c r="H126" s="84" t="s">
        <v>61</v>
      </c>
      <c r="I126" s="80" t="s">
        <v>225</v>
      </c>
      <c r="J126" s="80" t="s">
        <v>226</v>
      </c>
      <c r="K126" s="80" t="s">
        <v>227</v>
      </c>
      <c r="L126" s="80" t="s">
        <v>228</v>
      </c>
      <c r="M126" s="80" t="s">
        <v>229</v>
      </c>
      <c r="N126" s="80" t="s">
        <v>230</v>
      </c>
      <c r="O126" s="101" t="n">
        <v>46132</v>
      </c>
      <c r="P126" s="84"/>
      <c r="Q126" s="84"/>
      <c r="R126" s="87" t="s">
        <v>31</v>
      </c>
      <c r="S126" s="87" t="s">
        <v>31</v>
      </c>
    </row>
    <row r="127" s="77" customFormat="true" ht="15" hidden="false" customHeight="false" outlineLevel="1" collapsed="false">
      <c r="B127" s="78"/>
      <c r="C127" s="80" t="n">
        <v>121</v>
      </c>
      <c r="D127" s="80" t="s">
        <v>263</v>
      </c>
      <c r="E127" s="81" t="s">
        <v>1382</v>
      </c>
      <c r="F127" s="78" t="s">
        <v>264</v>
      </c>
      <c r="G127" s="88" t="n">
        <v>1</v>
      </c>
      <c r="H127" s="84" t="s">
        <v>61</v>
      </c>
      <c r="I127" s="80" t="s">
        <v>265</v>
      </c>
      <c r="J127" s="80" t="s">
        <v>266</v>
      </c>
      <c r="K127" s="80" t="s">
        <v>267</v>
      </c>
      <c r="L127" s="80" t="s">
        <v>252</v>
      </c>
      <c r="M127" s="80" t="s">
        <v>268</v>
      </c>
      <c r="N127" s="80" t="s">
        <v>269</v>
      </c>
      <c r="O127" s="101" t="n">
        <v>46132</v>
      </c>
      <c r="P127" s="84"/>
      <c r="Q127" s="84"/>
      <c r="R127" s="87" t="s">
        <v>31</v>
      </c>
      <c r="S127" s="87" t="s">
        <v>31</v>
      </c>
    </row>
    <row r="128" s="77" customFormat="true" ht="15" hidden="false" customHeight="false" outlineLevel="1" collapsed="false">
      <c r="B128" s="78"/>
      <c r="C128" s="80" t="n">
        <v>122</v>
      </c>
      <c r="D128" s="80" t="s">
        <v>270</v>
      </c>
      <c r="E128" s="81" t="s">
        <v>1382</v>
      </c>
      <c r="F128" s="78" t="s">
        <v>271</v>
      </c>
      <c r="G128" s="88" t="n">
        <v>1</v>
      </c>
      <c r="H128" s="84" t="s">
        <v>61</v>
      </c>
      <c r="I128" s="80" t="s">
        <v>272</v>
      </c>
      <c r="J128" s="80" t="s">
        <v>273</v>
      </c>
      <c r="K128" s="80" t="s">
        <v>274</v>
      </c>
      <c r="L128" s="80" t="s">
        <v>275</v>
      </c>
      <c r="M128" s="80" t="s">
        <v>275</v>
      </c>
      <c r="N128" s="80" t="s">
        <v>277</v>
      </c>
      <c r="O128" s="101" t="n">
        <v>46132</v>
      </c>
      <c r="P128" s="84"/>
      <c r="Q128" s="84"/>
      <c r="R128" s="87" t="s">
        <v>31</v>
      </c>
      <c r="S128" s="87" t="s">
        <v>31</v>
      </c>
    </row>
    <row r="129" s="77" customFormat="true" ht="15" hidden="false" customHeight="false" outlineLevel="1" collapsed="false">
      <c r="B129" s="78"/>
      <c r="C129" s="80" t="n">
        <v>123</v>
      </c>
      <c r="D129" s="80" t="s">
        <v>859</v>
      </c>
      <c r="E129" s="81" t="s">
        <v>1382</v>
      </c>
      <c r="F129" s="78" t="s">
        <v>860</v>
      </c>
      <c r="G129" s="88" t="n">
        <v>1</v>
      </c>
      <c r="H129" s="84" t="s">
        <v>861</v>
      </c>
      <c r="I129" s="80" t="s">
        <v>862</v>
      </c>
      <c r="J129" s="80" t="s">
        <v>863</v>
      </c>
      <c r="K129" s="80" t="s">
        <v>864</v>
      </c>
      <c r="L129" s="80" t="s">
        <v>865</v>
      </c>
      <c r="M129" s="80" t="s">
        <v>866</v>
      </c>
      <c r="N129" s="80" t="s">
        <v>867</v>
      </c>
      <c r="O129" s="101" t="n">
        <v>46132</v>
      </c>
      <c r="P129" s="84"/>
      <c r="Q129" s="84"/>
      <c r="R129" s="87" t="s">
        <v>31</v>
      </c>
      <c r="S129" s="87" t="s">
        <v>31</v>
      </c>
    </row>
    <row r="130" s="77" customFormat="true" ht="15" hidden="false" customHeight="false" outlineLevel="1" collapsed="false">
      <c r="B130" s="78"/>
      <c r="C130" s="80" t="n">
        <v>124</v>
      </c>
      <c r="D130" s="80" t="s">
        <v>286</v>
      </c>
      <c r="E130" s="81" t="s">
        <v>1382</v>
      </c>
      <c r="F130" s="78" t="s">
        <v>287</v>
      </c>
      <c r="G130" s="88" t="n">
        <v>1</v>
      </c>
      <c r="H130" s="84" t="s">
        <v>61</v>
      </c>
      <c r="I130" s="80" t="s">
        <v>288</v>
      </c>
      <c r="J130" s="80" t="s">
        <v>289</v>
      </c>
      <c r="K130" s="80" t="s">
        <v>290</v>
      </c>
      <c r="L130" s="80" t="s">
        <v>291</v>
      </c>
      <c r="M130" s="80" t="s">
        <v>292</v>
      </c>
      <c r="N130" s="80" t="s">
        <v>293</v>
      </c>
      <c r="O130" s="101" t="n">
        <v>46132</v>
      </c>
      <c r="P130" s="84"/>
      <c r="Q130" s="84"/>
      <c r="R130" s="87" t="s">
        <v>31</v>
      </c>
      <c r="S130" s="87" t="s">
        <v>84</v>
      </c>
    </row>
    <row r="131" s="77" customFormat="true" ht="36" hidden="false" customHeight="true" outlineLevel="1" collapsed="false">
      <c r="B131" s="78"/>
      <c r="C131" s="80" t="s">
        <v>1403</v>
      </c>
      <c r="D131" s="80" t="s">
        <v>294</v>
      </c>
      <c r="E131" s="81" t="s">
        <v>1382</v>
      </c>
      <c r="F131" s="78" t="s">
        <v>295</v>
      </c>
      <c r="G131" s="88" t="n">
        <v>2</v>
      </c>
      <c r="H131" s="84" t="s">
        <v>61</v>
      </c>
      <c r="I131" s="80" t="s">
        <v>908</v>
      </c>
      <c r="J131" s="80" t="s">
        <v>909</v>
      </c>
      <c r="K131" s="80" t="s">
        <v>910</v>
      </c>
      <c r="L131" s="80" t="s">
        <v>299</v>
      </c>
      <c r="M131" s="80" t="s">
        <v>1404</v>
      </c>
      <c r="N131" s="80" t="s">
        <v>301</v>
      </c>
      <c r="O131" s="101" t="n">
        <v>46132</v>
      </c>
      <c r="P131" s="84"/>
      <c r="Q131" s="84"/>
      <c r="R131" s="87" t="s">
        <v>31</v>
      </c>
      <c r="S131" s="87" t="s">
        <v>31</v>
      </c>
    </row>
    <row r="132" s="77" customFormat="true" ht="15" hidden="false" customHeight="false" outlineLevel="1" collapsed="false">
      <c r="B132" s="78"/>
      <c r="C132" s="80" t="n">
        <v>126</v>
      </c>
      <c r="D132" s="80" t="s">
        <v>310</v>
      </c>
      <c r="E132" s="81" t="s">
        <v>1382</v>
      </c>
      <c r="F132" s="78" t="s">
        <v>311</v>
      </c>
      <c r="G132" s="88" t="n">
        <v>1</v>
      </c>
      <c r="H132" s="84" t="s">
        <v>152</v>
      </c>
      <c r="I132" s="80" t="s">
        <v>312</v>
      </c>
      <c r="J132" s="80" t="s">
        <v>313</v>
      </c>
      <c r="K132" s="80" t="s">
        <v>314</v>
      </c>
      <c r="L132" s="80" t="s">
        <v>315</v>
      </c>
      <c r="M132" s="80" t="s">
        <v>316</v>
      </c>
      <c r="N132" s="80" t="s">
        <v>317</v>
      </c>
      <c r="O132" s="101" t="n">
        <v>46132</v>
      </c>
      <c r="P132" s="84"/>
      <c r="Q132" s="84"/>
      <c r="R132" s="87" t="s">
        <v>31</v>
      </c>
      <c r="S132" s="87" t="s">
        <v>31</v>
      </c>
    </row>
    <row r="133" s="77" customFormat="true" ht="15" hidden="false" customHeight="false" outlineLevel="1" collapsed="false">
      <c r="B133" s="78"/>
      <c r="C133" s="80" t="n">
        <v>127</v>
      </c>
      <c r="D133" s="80" t="s">
        <v>326</v>
      </c>
      <c r="E133" s="81" t="s">
        <v>1382</v>
      </c>
      <c r="F133" s="78" t="s">
        <v>327</v>
      </c>
      <c r="G133" s="88" t="n">
        <v>1</v>
      </c>
      <c r="H133" s="84" t="s">
        <v>152</v>
      </c>
      <c r="I133" s="80" t="s">
        <v>328</v>
      </c>
      <c r="J133" s="80" t="s">
        <v>329</v>
      </c>
      <c r="K133" s="80" t="s">
        <v>330</v>
      </c>
      <c r="L133" s="80" t="s">
        <v>331</v>
      </c>
      <c r="M133" s="80" t="s">
        <v>332</v>
      </c>
      <c r="N133" s="80" t="s">
        <v>333</v>
      </c>
      <c r="O133" s="101" t="n">
        <v>46132</v>
      </c>
      <c r="P133" s="84"/>
      <c r="Q133" s="84"/>
      <c r="R133" s="87" t="s">
        <v>31</v>
      </c>
      <c r="S133" s="87" t="s">
        <v>31</v>
      </c>
    </row>
    <row r="134" s="77" customFormat="true" ht="15" hidden="false" customHeight="false" outlineLevel="1" collapsed="false">
      <c r="B134" s="78"/>
      <c r="C134" s="80" t="n">
        <v>128</v>
      </c>
      <c r="D134" s="80" t="s">
        <v>334</v>
      </c>
      <c r="E134" s="81" t="s">
        <v>1382</v>
      </c>
      <c r="F134" s="78" t="s">
        <v>335</v>
      </c>
      <c r="G134" s="88" t="n">
        <v>3</v>
      </c>
      <c r="H134" s="84" t="s">
        <v>61</v>
      </c>
      <c r="I134" s="80" t="s">
        <v>336</v>
      </c>
      <c r="J134" s="80" t="s">
        <v>337</v>
      </c>
      <c r="K134" s="80" t="s">
        <v>338</v>
      </c>
      <c r="L134" s="80" t="s">
        <v>339</v>
      </c>
      <c r="M134" s="80" t="s">
        <v>1405</v>
      </c>
      <c r="N134" s="80" t="s">
        <v>341</v>
      </c>
      <c r="O134" s="101" t="n">
        <v>46132</v>
      </c>
      <c r="P134" s="84"/>
      <c r="Q134" s="84"/>
      <c r="R134" s="87" t="s">
        <v>31</v>
      </c>
      <c r="S134" s="87" t="s">
        <v>84</v>
      </c>
    </row>
    <row r="135" s="77" customFormat="true" ht="36" hidden="false" customHeight="true" outlineLevel="1" collapsed="false">
      <c r="B135" s="78"/>
      <c r="C135" s="80" t="s">
        <v>1406</v>
      </c>
      <c r="D135" s="80" t="s">
        <v>342</v>
      </c>
      <c r="E135" s="81" t="s">
        <v>1382</v>
      </c>
      <c r="F135" s="78" t="s">
        <v>343</v>
      </c>
      <c r="G135" s="88" t="n">
        <v>1</v>
      </c>
      <c r="H135" s="84" t="s">
        <v>24</v>
      </c>
      <c r="I135" s="80" t="s">
        <v>344</v>
      </c>
      <c r="J135" s="80" t="s">
        <v>345</v>
      </c>
      <c r="K135" s="80" t="s">
        <v>346</v>
      </c>
      <c r="L135" s="80" t="s">
        <v>348</v>
      </c>
      <c r="M135" s="80" t="s">
        <v>1407</v>
      </c>
      <c r="N135" s="80" t="s">
        <v>349</v>
      </c>
      <c r="O135" s="101" t="n">
        <v>46132</v>
      </c>
      <c r="P135" s="84"/>
      <c r="Q135" s="84"/>
      <c r="R135" s="87" t="s">
        <v>31</v>
      </c>
      <c r="S135" s="87" t="s">
        <v>31</v>
      </c>
    </row>
    <row r="136" s="77" customFormat="true" ht="15" hidden="false" customHeight="false" outlineLevel="1" collapsed="false">
      <c r="B136" s="78"/>
      <c r="C136" s="80" t="n">
        <v>130</v>
      </c>
      <c r="D136" s="80" t="s">
        <v>961</v>
      </c>
      <c r="E136" s="81" t="s">
        <v>1382</v>
      </c>
      <c r="F136" s="78" t="s">
        <v>915</v>
      </c>
      <c r="G136" s="88" t="n">
        <v>1</v>
      </c>
      <c r="H136" s="84" t="s">
        <v>152</v>
      </c>
      <c r="I136" s="80" t="s">
        <v>962</v>
      </c>
      <c r="J136" s="80" t="s">
        <v>963</v>
      </c>
      <c r="K136" s="80" t="s">
        <v>964</v>
      </c>
      <c r="L136" s="80" t="s">
        <v>965</v>
      </c>
      <c r="M136" s="80" t="s">
        <v>983</v>
      </c>
      <c r="N136" s="80" t="s">
        <v>967</v>
      </c>
      <c r="O136" s="101" t="n">
        <v>46132</v>
      </c>
      <c r="P136" s="84"/>
      <c r="Q136" s="84"/>
      <c r="R136" s="87" t="s">
        <v>31</v>
      </c>
      <c r="S136" s="87" t="s">
        <v>84</v>
      </c>
    </row>
    <row r="137" s="77" customFormat="true" ht="54" hidden="false" customHeight="true" outlineLevel="1" collapsed="false">
      <c r="B137" s="78"/>
      <c r="C137" s="80" t="s">
        <v>1408</v>
      </c>
      <c r="D137" s="80" t="s">
        <v>366</v>
      </c>
      <c r="E137" s="81" t="s">
        <v>1382</v>
      </c>
      <c r="F137" s="78" t="s">
        <v>367</v>
      </c>
      <c r="G137" s="88" t="n">
        <v>6</v>
      </c>
      <c r="H137" s="84" t="s">
        <v>368</v>
      </c>
      <c r="I137" s="80" t="s">
        <v>369</v>
      </c>
      <c r="J137" s="80" t="s">
        <v>370</v>
      </c>
      <c r="K137" s="80" t="s">
        <v>371</v>
      </c>
      <c r="L137" s="80" t="s">
        <v>372</v>
      </c>
      <c r="M137" s="80" t="s">
        <v>1189</v>
      </c>
      <c r="N137" s="80" t="s">
        <v>374</v>
      </c>
      <c r="O137" s="101" t="n">
        <v>46132</v>
      </c>
      <c r="P137" s="84"/>
      <c r="Q137" s="84"/>
      <c r="R137" s="87" t="s">
        <v>31</v>
      </c>
      <c r="S137" s="87" t="s">
        <v>84</v>
      </c>
    </row>
    <row r="138" s="77" customFormat="true" ht="15" hidden="false" customHeight="false" outlineLevel="1" collapsed="false">
      <c r="B138" s="78"/>
      <c r="C138" s="80" t="n">
        <v>132</v>
      </c>
      <c r="D138" s="80" t="s">
        <v>734</v>
      </c>
      <c r="E138" s="81" t="s">
        <v>1382</v>
      </c>
      <c r="F138" s="78" t="s">
        <v>735</v>
      </c>
      <c r="G138" s="88" t="n">
        <v>1</v>
      </c>
      <c r="H138" s="84" t="s">
        <v>736</v>
      </c>
      <c r="I138" s="80" t="s">
        <v>737</v>
      </c>
      <c r="J138" s="80" t="s">
        <v>738</v>
      </c>
      <c r="K138" s="80" t="s">
        <v>739</v>
      </c>
      <c r="L138" s="80" t="s">
        <v>740</v>
      </c>
      <c r="M138" s="80" t="s">
        <v>741</v>
      </c>
      <c r="N138" s="80" t="s">
        <v>742</v>
      </c>
      <c r="O138" s="101" t="n">
        <v>46132</v>
      </c>
      <c r="P138" s="84"/>
      <c r="Q138" s="84"/>
      <c r="R138" s="87" t="s">
        <v>31</v>
      </c>
      <c r="S138" s="87" t="s">
        <v>84</v>
      </c>
    </row>
    <row r="139" s="77" customFormat="true" ht="72" hidden="false" customHeight="true" outlineLevel="1" collapsed="false">
      <c r="B139" s="78"/>
      <c r="C139" s="80" t="s">
        <v>1409</v>
      </c>
      <c r="D139" s="80" t="s">
        <v>375</v>
      </c>
      <c r="E139" s="81" t="s">
        <v>1382</v>
      </c>
      <c r="F139" s="78" t="s">
        <v>376</v>
      </c>
      <c r="G139" s="88" t="n">
        <v>7</v>
      </c>
      <c r="H139" s="84" t="s">
        <v>111</v>
      </c>
      <c r="I139" s="80" t="s">
        <v>1410</v>
      </c>
      <c r="J139" s="80" t="s">
        <v>1411</v>
      </c>
      <c r="K139" s="80" t="s">
        <v>1412</v>
      </c>
      <c r="L139" s="80" t="s">
        <v>380</v>
      </c>
      <c r="M139" s="80" t="s">
        <v>1413</v>
      </c>
      <c r="N139" s="80" t="s">
        <v>382</v>
      </c>
      <c r="O139" s="101" t="n">
        <v>46132</v>
      </c>
      <c r="P139" s="84"/>
      <c r="Q139" s="84"/>
      <c r="R139" s="87" t="s">
        <v>31</v>
      </c>
      <c r="S139" s="87" t="s">
        <v>31</v>
      </c>
    </row>
    <row r="140" s="77" customFormat="true" ht="15" hidden="false" customHeight="false" outlineLevel="1" collapsed="false">
      <c r="B140" s="78"/>
      <c r="C140" s="80" t="n">
        <v>134</v>
      </c>
      <c r="D140" s="80" t="s">
        <v>391</v>
      </c>
      <c r="E140" s="81" t="s">
        <v>1382</v>
      </c>
      <c r="F140" s="78" t="s">
        <v>392</v>
      </c>
      <c r="G140" s="88" t="n">
        <v>1</v>
      </c>
      <c r="H140" s="84" t="s">
        <v>111</v>
      </c>
      <c r="I140" s="80" t="s">
        <v>393</v>
      </c>
      <c r="J140" s="80" t="s">
        <v>394</v>
      </c>
      <c r="K140" s="80" t="s">
        <v>395</v>
      </c>
      <c r="L140" s="80" t="s">
        <v>396</v>
      </c>
      <c r="M140" s="80" t="s">
        <v>397</v>
      </c>
      <c r="N140" s="80" t="s">
        <v>398</v>
      </c>
      <c r="O140" s="101" t="n">
        <v>46132</v>
      </c>
      <c r="P140" s="84"/>
      <c r="Q140" s="84"/>
      <c r="R140" s="87" t="s">
        <v>31</v>
      </c>
      <c r="S140" s="87" t="s">
        <v>84</v>
      </c>
    </row>
    <row r="141" s="77" customFormat="true" ht="30" hidden="false" customHeight="true" outlineLevel="1" collapsed="false">
      <c r="B141" s="78"/>
      <c r="C141" s="80" t="n">
        <v>135</v>
      </c>
      <c r="D141" s="80" t="s">
        <v>399</v>
      </c>
      <c r="E141" s="81" t="s">
        <v>1382</v>
      </c>
      <c r="F141" s="78" t="s">
        <v>400</v>
      </c>
      <c r="G141" s="88" t="n">
        <v>1</v>
      </c>
      <c r="H141" s="84" t="s">
        <v>152</v>
      </c>
      <c r="I141" s="80" t="s">
        <v>401</v>
      </c>
      <c r="J141" s="80" t="s">
        <v>402</v>
      </c>
      <c r="K141" s="80" t="s">
        <v>403</v>
      </c>
      <c r="L141" s="80" t="s">
        <v>404</v>
      </c>
      <c r="M141" s="80" t="s">
        <v>1414</v>
      </c>
      <c r="N141" s="80" t="s">
        <v>406</v>
      </c>
      <c r="O141" s="101" t="n">
        <v>46132</v>
      </c>
      <c r="P141" s="84"/>
      <c r="Q141" s="84"/>
      <c r="R141" s="87" t="s">
        <v>31</v>
      </c>
      <c r="S141" s="87" t="s">
        <v>84</v>
      </c>
    </row>
    <row r="142" s="77" customFormat="true" ht="30" hidden="false" customHeight="true" outlineLevel="1" collapsed="false">
      <c r="B142" s="78"/>
      <c r="C142" s="80" t="n">
        <v>136</v>
      </c>
      <c r="D142" s="80" t="s">
        <v>407</v>
      </c>
      <c r="E142" s="81" t="s">
        <v>1382</v>
      </c>
      <c r="F142" s="78" t="s">
        <v>408</v>
      </c>
      <c r="G142" s="88" t="n">
        <v>1</v>
      </c>
      <c r="H142" s="84" t="s">
        <v>61</v>
      </c>
      <c r="I142" s="80" t="s">
        <v>409</v>
      </c>
      <c r="J142" s="80" t="s">
        <v>410</v>
      </c>
      <c r="K142" s="80" t="s">
        <v>411</v>
      </c>
      <c r="L142" s="80" t="s">
        <v>412</v>
      </c>
      <c r="M142" s="80" t="s">
        <v>1415</v>
      </c>
      <c r="N142" s="80" t="s">
        <v>414</v>
      </c>
      <c r="O142" s="101" t="n">
        <v>46132</v>
      </c>
      <c r="P142" s="84"/>
      <c r="Q142" s="84"/>
      <c r="R142" s="87" t="s">
        <v>31</v>
      </c>
      <c r="S142" s="87" t="s">
        <v>84</v>
      </c>
    </row>
    <row r="143" s="77" customFormat="true" ht="15" hidden="false" customHeight="false" outlineLevel="1" collapsed="false">
      <c r="B143" s="78"/>
      <c r="C143" s="80" t="n">
        <v>137</v>
      </c>
      <c r="D143" s="80" t="s">
        <v>1014</v>
      </c>
      <c r="E143" s="81" t="s">
        <v>1382</v>
      </c>
      <c r="F143" s="78" t="s">
        <v>917</v>
      </c>
      <c r="G143" s="88" t="n">
        <v>6</v>
      </c>
      <c r="H143" s="84" t="s">
        <v>61</v>
      </c>
      <c r="I143" s="80" t="s">
        <v>1015</v>
      </c>
      <c r="J143" s="80" t="s">
        <v>1016</v>
      </c>
      <c r="K143" s="80" t="s">
        <v>1017</v>
      </c>
      <c r="L143" s="80" t="s">
        <v>1018</v>
      </c>
      <c r="M143" s="80" t="s">
        <v>1258</v>
      </c>
      <c r="N143" s="80" t="s">
        <v>1020</v>
      </c>
      <c r="O143" s="101" t="n">
        <v>46132</v>
      </c>
      <c r="P143" s="84"/>
      <c r="Q143" s="84"/>
      <c r="R143" s="87" t="s">
        <v>31</v>
      </c>
      <c r="S143" s="87" t="s">
        <v>31</v>
      </c>
    </row>
    <row r="144" s="77" customFormat="true" ht="30" hidden="false" customHeight="true" outlineLevel="1" collapsed="false">
      <c r="B144" s="78"/>
      <c r="C144" s="80" t="s">
        <v>1416</v>
      </c>
      <c r="D144" s="80" t="s">
        <v>431</v>
      </c>
      <c r="E144" s="81" t="s">
        <v>1382</v>
      </c>
      <c r="F144" s="78" t="s">
        <v>432</v>
      </c>
      <c r="G144" s="88" t="n">
        <v>5</v>
      </c>
      <c r="H144" s="84" t="s">
        <v>152</v>
      </c>
      <c r="I144" s="80" t="s">
        <v>1417</v>
      </c>
      <c r="J144" s="80" t="s">
        <v>1418</v>
      </c>
      <c r="K144" s="80" t="s">
        <v>1419</v>
      </c>
      <c r="L144" s="80" t="s">
        <v>436</v>
      </c>
      <c r="M144" s="80" t="s">
        <v>1420</v>
      </c>
      <c r="N144" s="80" t="s">
        <v>438</v>
      </c>
      <c r="O144" s="101" t="n">
        <v>46132</v>
      </c>
      <c r="P144" s="84"/>
      <c r="Q144" s="84"/>
      <c r="R144" s="87" t="s">
        <v>31</v>
      </c>
      <c r="S144" s="87" t="s">
        <v>31</v>
      </c>
    </row>
    <row r="145" s="77" customFormat="true" ht="30" hidden="false" customHeight="true" outlineLevel="1" collapsed="false">
      <c r="B145" s="78"/>
      <c r="C145" s="80" t="n">
        <v>139</v>
      </c>
      <c r="D145" s="80" t="s">
        <v>439</v>
      </c>
      <c r="E145" s="81" t="s">
        <v>1382</v>
      </c>
      <c r="F145" s="78" t="s">
        <v>440</v>
      </c>
      <c r="G145" s="88" t="n">
        <v>1</v>
      </c>
      <c r="H145" s="84" t="s">
        <v>152</v>
      </c>
      <c r="I145" s="80" t="s">
        <v>441</v>
      </c>
      <c r="J145" s="80" t="s">
        <v>442</v>
      </c>
      <c r="K145" s="80" t="s">
        <v>443</v>
      </c>
      <c r="L145" s="80" t="s">
        <v>444</v>
      </c>
      <c r="M145" s="80" t="s">
        <v>1171</v>
      </c>
      <c r="N145" s="80" t="s">
        <v>446</v>
      </c>
      <c r="O145" s="101" t="n">
        <v>46132</v>
      </c>
      <c r="P145" s="84"/>
      <c r="Q145" s="84"/>
      <c r="R145" s="87" t="s">
        <v>31</v>
      </c>
      <c r="S145" s="87" t="s">
        <v>31</v>
      </c>
    </row>
    <row r="146" s="77" customFormat="true" ht="15" hidden="false" customHeight="false" outlineLevel="1" collapsed="false">
      <c r="B146" s="78"/>
      <c r="C146" s="80" t="n">
        <v>140</v>
      </c>
      <c r="D146" s="80" t="s">
        <v>571</v>
      </c>
      <c r="E146" s="81" t="s">
        <v>1382</v>
      </c>
      <c r="F146" s="78" t="s">
        <v>572</v>
      </c>
      <c r="G146" s="88" t="n">
        <v>8</v>
      </c>
      <c r="H146" s="84" t="s">
        <v>573</v>
      </c>
      <c r="I146" s="80" t="s">
        <v>574</v>
      </c>
      <c r="J146" s="80" t="s">
        <v>575</v>
      </c>
      <c r="K146" s="80" t="s">
        <v>576</v>
      </c>
      <c r="L146" s="80" t="s">
        <v>577</v>
      </c>
      <c r="M146" s="80" t="s">
        <v>578</v>
      </c>
      <c r="N146" s="80" t="s">
        <v>579</v>
      </c>
      <c r="O146" s="101" t="n">
        <v>46132</v>
      </c>
      <c r="P146" s="84"/>
      <c r="Q146" s="84"/>
      <c r="R146" s="87" t="s">
        <v>31</v>
      </c>
      <c r="S146" s="87" t="s">
        <v>84</v>
      </c>
    </row>
    <row r="147" s="77" customFormat="true" ht="15" hidden="false" customHeight="false" outlineLevel="1" collapsed="false">
      <c r="B147" s="78"/>
      <c r="C147" s="80" t="n">
        <v>141</v>
      </c>
      <c r="D147" s="80" t="s">
        <v>471</v>
      </c>
      <c r="E147" s="81" t="s">
        <v>1382</v>
      </c>
      <c r="F147" s="78" t="s">
        <v>472</v>
      </c>
      <c r="G147" s="88" t="n">
        <v>1</v>
      </c>
      <c r="H147" s="84" t="s">
        <v>111</v>
      </c>
      <c r="I147" s="80" t="s">
        <v>473</v>
      </c>
      <c r="J147" s="80" t="s">
        <v>474</v>
      </c>
      <c r="K147" s="80" t="s">
        <v>475</v>
      </c>
      <c r="L147" s="80" t="s">
        <v>476</v>
      </c>
      <c r="M147" s="80" t="s">
        <v>476</v>
      </c>
      <c r="N147" s="80" t="s">
        <v>477</v>
      </c>
      <c r="O147" s="101" t="n">
        <v>46132</v>
      </c>
      <c r="P147" s="84"/>
      <c r="Q147" s="84"/>
      <c r="R147" s="87" t="s">
        <v>31</v>
      </c>
      <c r="S147" s="87" t="s">
        <v>84</v>
      </c>
    </row>
    <row r="148" s="77" customFormat="true" ht="15" hidden="false" customHeight="false" outlineLevel="1" collapsed="false">
      <c r="B148" s="78"/>
      <c r="C148" s="80" t="n">
        <v>142</v>
      </c>
      <c r="D148" s="80" t="s">
        <v>502</v>
      </c>
      <c r="E148" s="81" t="s">
        <v>1382</v>
      </c>
      <c r="F148" s="78" t="s">
        <v>503</v>
      </c>
      <c r="G148" s="88" t="n">
        <v>1</v>
      </c>
      <c r="H148" s="84" t="s">
        <v>61</v>
      </c>
      <c r="I148" s="80" t="s">
        <v>504</v>
      </c>
      <c r="J148" s="80" t="s">
        <v>505</v>
      </c>
      <c r="K148" s="80" t="s">
        <v>506</v>
      </c>
      <c r="L148" s="80" t="s">
        <v>283</v>
      </c>
      <c r="M148" s="80" t="s">
        <v>284</v>
      </c>
      <c r="N148" s="80" t="s">
        <v>507</v>
      </c>
      <c r="O148" s="101" t="n">
        <v>46132</v>
      </c>
      <c r="P148" s="84"/>
      <c r="Q148" s="84"/>
      <c r="R148" s="87" t="s">
        <v>31</v>
      </c>
      <c r="S148" s="87" t="s">
        <v>84</v>
      </c>
    </row>
    <row r="149" s="77" customFormat="true" ht="15" hidden="false" customHeight="false" outlineLevel="1" collapsed="false">
      <c r="B149" s="78"/>
      <c r="C149" s="80" t="n">
        <v>143</v>
      </c>
      <c r="D149" s="80" t="s">
        <v>508</v>
      </c>
      <c r="E149" s="81" t="s">
        <v>1382</v>
      </c>
      <c r="F149" s="78" t="s">
        <v>509</v>
      </c>
      <c r="G149" s="88" t="n">
        <v>1</v>
      </c>
      <c r="H149" s="84" t="s">
        <v>61</v>
      </c>
      <c r="I149" s="80" t="s">
        <v>510</v>
      </c>
      <c r="J149" s="80" t="s">
        <v>511</v>
      </c>
      <c r="K149" s="80" t="s">
        <v>512</v>
      </c>
      <c r="L149" s="80" t="s">
        <v>513</v>
      </c>
      <c r="M149" s="80" t="s">
        <v>514</v>
      </c>
      <c r="N149" s="80" t="s">
        <v>515</v>
      </c>
      <c r="O149" s="101" t="n">
        <v>46132</v>
      </c>
      <c r="P149" s="84"/>
      <c r="Q149" s="84"/>
      <c r="R149" s="87" t="s">
        <v>31</v>
      </c>
      <c r="S149" s="87" t="s">
        <v>31</v>
      </c>
    </row>
    <row r="150" s="77" customFormat="true" ht="15" hidden="false" customHeight="false" outlineLevel="1" collapsed="false">
      <c r="B150" s="78"/>
      <c r="C150" s="80" t="n">
        <v>144</v>
      </c>
      <c r="D150" s="80" t="s">
        <v>516</v>
      </c>
      <c r="E150" s="81" t="s">
        <v>1382</v>
      </c>
      <c r="F150" s="92" t="s">
        <v>517</v>
      </c>
      <c r="G150" s="88" t="n">
        <v>1</v>
      </c>
      <c r="H150" s="84" t="s">
        <v>61</v>
      </c>
      <c r="I150" s="80" t="s">
        <v>518</v>
      </c>
      <c r="J150" s="80" t="s">
        <v>519</v>
      </c>
      <c r="K150" s="80" t="s">
        <v>520</v>
      </c>
      <c r="L150" s="80" t="s">
        <v>521</v>
      </c>
      <c r="M150" s="80" t="s">
        <v>522</v>
      </c>
      <c r="N150" s="80" t="s">
        <v>523</v>
      </c>
      <c r="O150" s="101" t="n">
        <v>46132</v>
      </c>
      <c r="P150" s="84"/>
      <c r="Q150" s="84"/>
      <c r="R150" s="87" t="s">
        <v>31</v>
      </c>
      <c r="S150" s="87" t="s">
        <v>31</v>
      </c>
    </row>
    <row r="151" s="77" customFormat="true" ht="15" hidden="false" customHeight="false" outlineLevel="1" collapsed="false">
      <c r="B151" s="78"/>
      <c r="C151" s="80" t="n">
        <v>145</v>
      </c>
      <c r="D151" s="80" t="s">
        <v>644</v>
      </c>
      <c r="E151" s="81" t="s">
        <v>1382</v>
      </c>
      <c r="F151" s="78" t="s">
        <v>645</v>
      </c>
      <c r="G151" s="88" t="n">
        <v>1</v>
      </c>
      <c r="H151" s="84" t="s">
        <v>61</v>
      </c>
      <c r="I151" s="80" t="s">
        <v>646</v>
      </c>
      <c r="J151" s="80" t="s">
        <v>647</v>
      </c>
      <c r="K151" s="80" t="s">
        <v>648</v>
      </c>
      <c r="L151" s="80" t="s">
        <v>649</v>
      </c>
      <c r="M151" s="80" t="s">
        <v>650</v>
      </c>
      <c r="N151" s="80"/>
      <c r="O151" s="101" t="n">
        <v>46132</v>
      </c>
      <c r="P151" s="84"/>
      <c r="Q151" s="84"/>
      <c r="R151" s="87" t="s">
        <v>31</v>
      </c>
      <c r="S151" s="87" t="s">
        <v>793</v>
      </c>
    </row>
    <row r="152" s="68" customFormat="true" ht="15" hidden="false" customHeight="false" outlineLevel="0" collapsed="false">
      <c r="B152" s="69"/>
      <c r="C152" s="69"/>
      <c r="D152" s="69"/>
      <c r="E152" s="72" t="s">
        <v>1421</v>
      </c>
      <c r="F152" s="72"/>
      <c r="G152" s="119" t="n">
        <f aca="false">SUM(G153,G154)</f>
        <v>2</v>
      </c>
      <c r="H152" s="89"/>
      <c r="I152" s="123"/>
      <c r="J152" s="124"/>
      <c r="K152" s="125"/>
      <c r="L152" s="69"/>
      <c r="M152" s="69"/>
      <c r="N152" s="90"/>
      <c r="O152" s="89"/>
      <c r="P152" s="76"/>
      <c r="Q152" s="76"/>
      <c r="R152" s="74" t="s">
        <v>932</v>
      </c>
      <c r="S152" s="74"/>
    </row>
    <row r="153" s="77" customFormat="true" ht="15" hidden="false" customHeight="false" outlineLevel="1" collapsed="false">
      <c r="B153" s="78"/>
      <c r="C153" s="80" t="n">
        <v>146</v>
      </c>
      <c r="D153" s="80" t="s">
        <v>59</v>
      </c>
      <c r="E153" s="81" t="s">
        <v>1421</v>
      </c>
      <c r="F153" s="78" t="s">
        <v>60</v>
      </c>
      <c r="G153" s="88" t="n">
        <v>1</v>
      </c>
      <c r="H153" s="84" t="s">
        <v>61</v>
      </c>
      <c r="I153" s="80" t="s">
        <v>62</v>
      </c>
      <c r="J153" s="80" t="s">
        <v>63</v>
      </c>
      <c r="K153" s="80" t="s">
        <v>64</v>
      </c>
      <c r="L153" s="80" t="s">
        <v>65</v>
      </c>
      <c r="M153" s="80" t="s">
        <v>66</v>
      </c>
      <c r="N153" s="80" t="s">
        <v>67</v>
      </c>
      <c r="O153" s="101" t="n">
        <v>46181</v>
      </c>
      <c r="P153" s="84"/>
      <c r="Q153" s="84"/>
      <c r="R153" s="87" t="s">
        <v>932</v>
      </c>
      <c r="S153" s="87" t="s">
        <v>31</v>
      </c>
    </row>
    <row r="154" s="77" customFormat="true" ht="15" hidden="false" customHeight="false" outlineLevel="1" collapsed="false">
      <c r="B154" s="78"/>
      <c r="C154" s="80" t="n">
        <v>147</v>
      </c>
      <c r="D154" s="80" t="s">
        <v>366</v>
      </c>
      <c r="E154" s="81" t="s">
        <v>1421</v>
      </c>
      <c r="F154" s="78" t="s">
        <v>367</v>
      </c>
      <c r="G154" s="88" t="n">
        <v>1</v>
      </c>
      <c r="H154" s="84" t="s">
        <v>368</v>
      </c>
      <c r="I154" s="80" t="s">
        <v>369</v>
      </c>
      <c r="J154" s="80" t="s">
        <v>370</v>
      </c>
      <c r="K154" s="80" t="s">
        <v>371</v>
      </c>
      <c r="L154" s="80" t="s">
        <v>372</v>
      </c>
      <c r="M154" s="80" t="s">
        <v>1422</v>
      </c>
      <c r="N154" s="80" t="s">
        <v>374</v>
      </c>
      <c r="O154" s="101" t="n">
        <v>46181</v>
      </c>
      <c r="P154" s="84"/>
      <c r="Q154" s="84"/>
      <c r="R154" s="87" t="s">
        <v>932</v>
      </c>
      <c r="S154" s="87" t="s">
        <v>84</v>
      </c>
    </row>
    <row r="155" s="68" customFormat="true" ht="30" hidden="false" customHeight="true" outlineLevel="0" collapsed="false">
      <c r="B155" s="69"/>
      <c r="C155" s="69"/>
      <c r="D155" s="69"/>
      <c r="E155" s="72" t="s">
        <v>1257</v>
      </c>
      <c r="F155" s="72"/>
      <c r="G155" s="119" t="n">
        <f aca="false">SUM(G156:G181)</f>
        <v>85</v>
      </c>
      <c r="H155" s="89"/>
      <c r="I155" s="123"/>
      <c r="J155" s="124"/>
      <c r="K155" s="125"/>
      <c r="L155" s="69"/>
      <c r="M155" s="69"/>
      <c r="N155" s="90"/>
      <c r="O155" s="89"/>
      <c r="P155" s="76"/>
      <c r="Q155" s="76"/>
      <c r="R155" s="74" t="s">
        <v>31</v>
      </c>
      <c r="S155" s="74"/>
    </row>
    <row r="156" s="77" customFormat="true" ht="15" hidden="false" customHeight="false" outlineLevel="1" collapsed="false">
      <c r="B156" s="78"/>
      <c r="C156" s="80" t="n">
        <v>149</v>
      </c>
      <c r="D156" s="80" t="s">
        <v>21</v>
      </c>
      <c r="E156" s="81" t="s">
        <v>1257</v>
      </c>
      <c r="F156" s="78" t="s">
        <v>22</v>
      </c>
      <c r="G156" s="88" t="n">
        <v>2</v>
      </c>
      <c r="H156" s="84" t="s">
        <v>24</v>
      </c>
      <c r="I156" s="80" t="s">
        <v>25</v>
      </c>
      <c r="J156" s="80" t="s">
        <v>26</v>
      </c>
      <c r="K156" s="80" t="s">
        <v>27</v>
      </c>
      <c r="L156" s="80" t="s">
        <v>28</v>
      </c>
      <c r="M156" s="80" t="s">
        <v>29</v>
      </c>
      <c r="N156" s="80" t="s">
        <v>30</v>
      </c>
      <c r="O156" s="101" t="n">
        <v>46125</v>
      </c>
      <c r="P156" s="84"/>
      <c r="Q156" s="84"/>
      <c r="R156" s="87" t="s">
        <v>31</v>
      </c>
      <c r="S156" s="109"/>
    </row>
    <row r="157" s="77" customFormat="true" ht="15" hidden="false" customHeight="false" outlineLevel="1" collapsed="false">
      <c r="B157" s="78"/>
      <c r="C157" s="80" t="n">
        <v>150</v>
      </c>
      <c r="D157" s="80" t="s">
        <v>811</v>
      </c>
      <c r="E157" s="81" t="s">
        <v>1257</v>
      </c>
      <c r="F157" s="78" t="s">
        <v>812</v>
      </c>
      <c r="G157" s="88" t="n">
        <v>5</v>
      </c>
      <c r="H157" s="84" t="s">
        <v>813</v>
      </c>
      <c r="I157" s="80" t="s">
        <v>814</v>
      </c>
      <c r="J157" s="80" t="s">
        <v>815</v>
      </c>
      <c r="K157" s="80" t="s">
        <v>816</v>
      </c>
      <c r="L157" s="80" t="s">
        <v>817</v>
      </c>
      <c r="M157" s="80" t="s">
        <v>1149</v>
      </c>
      <c r="N157" s="80" t="s">
        <v>819</v>
      </c>
      <c r="O157" s="85" t="n">
        <v>46160</v>
      </c>
      <c r="P157" s="84"/>
      <c r="Q157" s="84"/>
      <c r="R157" s="87" t="s">
        <v>31</v>
      </c>
      <c r="S157" s="109"/>
    </row>
    <row r="158" s="77" customFormat="true" ht="15" hidden="false" customHeight="false" outlineLevel="1" collapsed="false">
      <c r="B158" s="78"/>
      <c r="C158" s="80" t="n">
        <v>151</v>
      </c>
      <c r="D158" s="80" t="s">
        <v>626</v>
      </c>
      <c r="E158" s="81" t="s">
        <v>1257</v>
      </c>
      <c r="F158" s="78" t="s">
        <v>627</v>
      </c>
      <c r="G158" s="88" t="n">
        <v>2</v>
      </c>
      <c r="H158" s="84" t="s">
        <v>152</v>
      </c>
      <c r="I158" s="80" t="s">
        <v>628</v>
      </c>
      <c r="J158" s="80" t="s">
        <v>629</v>
      </c>
      <c r="K158" s="80" t="s">
        <v>630</v>
      </c>
      <c r="L158" s="80" t="s">
        <v>631</v>
      </c>
      <c r="M158" s="80" t="s">
        <v>632</v>
      </c>
      <c r="N158" s="80" t="s">
        <v>633</v>
      </c>
      <c r="O158" s="101" t="n">
        <v>46125</v>
      </c>
      <c r="P158" s="84"/>
      <c r="Q158" s="84"/>
      <c r="R158" s="87" t="s">
        <v>31</v>
      </c>
      <c r="S158" s="109"/>
    </row>
    <row r="159" s="77" customFormat="true" ht="36" hidden="false" customHeight="true" outlineLevel="1" collapsed="false">
      <c r="B159" s="78"/>
      <c r="C159" s="80" t="s">
        <v>1266</v>
      </c>
      <c r="D159" s="80" t="s">
        <v>554</v>
      </c>
      <c r="E159" s="81" t="s">
        <v>1257</v>
      </c>
      <c r="F159" s="78" t="s">
        <v>555</v>
      </c>
      <c r="G159" s="88" t="n">
        <v>2</v>
      </c>
      <c r="H159" s="84" t="s">
        <v>61</v>
      </c>
      <c r="I159" s="80" t="s">
        <v>556</v>
      </c>
      <c r="J159" s="80" t="s">
        <v>557</v>
      </c>
      <c r="K159" s="80" t="s">
        <v>558</v>
      </c>
      <c r="L159" s="80" t="s">
        <v>559</v>
      </c>
      <c r="M159" s="80" t="s">
        <v>1267</v>
      </c>
      <c r="N159" s="80" t="s">
        <v>561</v>
      </c>
      <c r="O159" s="101" t="n">
        <v>46125</v>
      </c>
      <c r="P159" s="84"/>
      <c r="Q159" s="84"/>
      <c r="R159" s="87" t="s">
        <v>31</v>
      </c>
      <c r="S159" s="109"/>
    </row>
    <row r="160" s="77" customFormat="true" ht="15" hidden="false" customHeight="false" outlineLevel="1" collapsed="false">
      <c r="B160" s="78"/>
      <c r="C160" s="80" t="n">
        <v>153</v>
      </c>
      <c r="D160" s="80" t="s">
        <v>159</v>
      </c>
      <c r="E160" s="81" t="s">
        <v>1257</v>
      </c>
      <c r="F160" s="78" t="s">
        <v>160</v>
      </c>
      <c r="G160" s="88" t="n">
        <v>1</v>
      </c>
      <c r="H160" s="84" t="s">
        <v>61</v>
      </c>
      <c r="I160" s="80" t="s">
        <v>161</v>
      </c>
      <c r="J160" s="80" t="s">
        <v>162</v>
      </c>
      <c r="K160" s="80" t="s">
        <v>163</v>
      </c>
      <c r="L160" s="80" t="s">
        <v>164</v>
      </c>
      <c r="M160" s="80" t="s">
        <v>164</v>
      </c>
      <c r="N160" s="80" t="s">
        <v>165</v>
      </c>
      <c r="O160" s="101" t="n">
        <v>46125</v>
      </c>
      <c r="P160" s="84"/>
      <c r="Q160" s="84"/>
      <c r="R160" s="87" t="s">
        <v>31</v>
      </c>
      <c r="S160" s="109"/>
    </row>
    <row r="161" s="77" customFormat="true" ht="36" hidden="false" customHeight="true" outlineLevel="1" collapsed="false">
      <c r="B161" s="78"/>
      <c r="C161" s="80" t="s">
        <v>1281</v>
      </c>
      <c r="D161" s="80" t="s">
        <v>190</v>
      </c>
      <c r="E161" s="81" t="s">
        <v>1257</v>
      </c>
      <c r="F161" s="78" t="s">
        <v>191</v>
      </c>
      <c r="G161" s="88" t="n">
        <v>2</v>
      </c>
      <c r="H161" s="84" t="s">
        <v>24</v>
      </c>
      <c r="I161" s="80" t="s">
        <v>1282</v>
      </c>
      <c r="J161" s="80" t="s">
        <v>1283</v>
      </c>
      <c r="K161" s="126" t="s">
        <v>1284</v>
      </c>
      <c r="L161" s="80" t="s">
        <v>195</v>
      </c>
      <c r="M161" s="80" t="s">
        <v>1285</v>
      </c>
      <c r="N161" s="80" t="s">
        <v>197</v>
      </c>
      <c r="O161" s="101" t="n">
        <v>46125</v>
      </c>
      <c r="P161" s="84"/>
      <c r="Q161" s="84"/>
      <c r="R161" s="87" t="s">
        <v>31</v>
      </c>
      <c r="S161" s="109"/>
    </row>
    <row r="162" s="77" customFormat="true" ht="30" hidden="false" customHeight="true" outlineLevel="1" collapsed="false">
      <c r="B162" s="78"/>
      <c r="C162" s="80" t="n">
        <v>155</v>
      </c>
      <c r="D162" s="80" t="s">
        <v>255</v>
      </c>
      <c r="E162" s="81" t="s">
        <v>1257</v>
      </c>
      <c r="F162" s="78" t="s">
        <v>256</v>
      </c>
      <c r="G162" s="88" t="n">
        <v>1</v>
      </c>
      <c r="H162" s="84" t="s">
        <v>61</v>
      </c>
      <c r="I162" s="80" t="s">
        <v>1291</v>
      </c>
      <c r="J162" s="80" t="s">
        <v>1292</v>
      </c>
      <c r="K162" s="80" t="s">
        <v>1293</v>
      </c>
      <c r="L162" s="80" t="s">
        <v>260</v>
      </c>
      <c r="M162" s="80" t="s">
        <v>1294</v>
      </c>
      <c r="N162" s="80" t="s">
        <v>262</v>
      </c>
      <c r="O162" s="101" t="n">
        <v>46125</v>
      </c>
      <c r="P162" s="84"/>
      <c r="Q162" s="84"/>
      <c r="R162" s="87" t="s">
        <v>31</v>
      </c>
      <c r="S162" s="109"/>
    </row>
    <row r="163" s="77" customFormat="true" ht="15" hidden="false" customHeight="false" outlineLevel="1" collapsed="false">
      <c r="B163" s="78"/>
      <c r="C163" s="80" t="n">
        <v>156</v>
      </c>
      <c r="D163" s="80" t="s">
        <v>263</v>
      </c>
      <c r="E163" s="81" t="s">
        <v>1257</v>
      </c>
      <c r="F163" s="78" t="s">
        <v>264</v>
      </c>
      <c r="G163" s="88" t="n">
        <v>3</v>
      </c>
      <c r="H163" s="84" t="s">
        <v>61</v>
      </c>
      <c r="I163" s="80" t="s">
        <v>265</v>
      </c>
      <c r="J163" s="80" t="s">
        <v>266</v>
      </c>
      <c r="K163" s="80" t="s">
        <v>267</v>
      </c>
      <c r="L163" s="80" t="s">
        <v>252</v>
      </c>
      <c r="M163" s="80" t="s">
        <v>268</v>
      </c>
      <c r="N163" s="80" t="s">
        <v>269</v>
      </c>
      <c r="O163" s="85" t="n">
        <v>46160</v>
      </c>
      <c r="P163" s="84"/>
      <c r="Q163" s="84"/>
      <c r="R163" s="87" t="s">
        <v>31</v>
      </c>
      <c r="S163" s="109"/>
    </row>
    <row r="164" s="77" customFormat="true" ht="15" hidden="false" customHeight="false" outlineLevel="1" collapsed="false">
      <c r="B164" s="78"/>
      <c r="C164" s="80" t="n">
        <v>157</v>
      </c>
      <c r="D164" s="80" t="s">
        <v>651</v>
      </c>
      <c r="E164" s="81" t="s">
        <v>1257</v>
      </c>
      <c r="F164" s="78" t="s">
        <v>652</v>
      </c>
      <c r="G164" s="88" t="n">
        <v>2</v>
      </c>
      <c r="H164" s="84" t="s">
        <v>111</v>
      </c>
      <c r="I164" s="80" t="s">
        <v>653</v>
      </c>
      <c r="J164" s="80" t="s">
        <v>654</v>
      </c>
      <c r="K164" s="80" t="s">
        <v>655</v>
      </c>
      <c r="L164" s="80" t="s">
        <v>656</v>
      </c>
      <c r="M164" s="80" t="s">
        <v>657</v>
      </c>
      <c r="N164" s="80" t="s">
        <v>658</v>
      </c>
      <c r="O164" s="101" t="n">
        <v>46125</v>
      </c>
      <c r="P164" s="84"/>
      <c r="Q164" s="84"/>
      <c r="R164" s="87" t="s">
        <v>31</v>
      </c>
      <c r="S164" s="109"/>
    </row>
    <row r="165" s="77" customFormat="true" ht="15" hidden="false" customHeight="false" outlineLevel="1" collapsed="false">
      <c r="B165" s="78"/>
      <c r="C165" s="80" t="n">
        <v>158</v>
      </c>
      <c r="D165" s="80" t="s">
        <v>270</v>
      </c>
      <c r="E165" s="81" t="s">
        <v>1257</v>
      </c>
      <c r="F165" s="78" t="s">
        <v>271</v>
      </c>
      <c r="G165" s="88" t="n">
        <v>3</v>
      </c>
      <c r="H165" s="84" t="s">
        <v>61</v>
      </c>
      <c r="I165" s="80" t="s">
        <v>272</v>
      </c>
      <c r="J165" s="80" t="s">
        <v>273</v>
      </c>
      <c r="K165" s="80" t="s">
        <v>274</v>
      </c>
      <c r="L165" s="80" t="s">
        <v>792</v>
      </c>
      <c r="M165" s="80" t="s">
        <v>792</v>
      </c>
      <c r="N165" s="80" t="s">
        <v>277</v>
      </c>
      <c r="O165" s="101" t="n">
        <v>46125</v>
      </c>
      <c r="P165" s="84"/>
      <c r="Q165" s="84"/>
      <c r="R165" s="87" t="s">
        <v>31</v>
      </c>
      <c r="S165" s="109"/>
    </row>
    <row r="166" s="77" customFormat="true" ht="15" hidden="false" customHeight="false" outlineLevel="1" collapsed="false">
      <c r="B166" s="78"/>
      <c r="C166" s="80" t="n">
        <v>159</v>
      </c>
      <c r="D166" s="80" t="s">
        <v>743</v>
      </c>
      <c r="E166" s="81" t="s">
        <v>1257</v>
      </c>
      <c r="F166" s="78" t="s">
        <v>744</v>
      </c>
      <c r="G166" s="88" t="n">
        <v>1</v>
      </c>
      <c r="H166" s="84" t="s">
        <v>745</v>
      </c>
      <c r="I166" s="80" t="s">
        <v>746</v>
      </c>
      <c r="J166" s="80" t="s">
        <v>747</v>
      </c>
      <c r="K166" s="80" t="s">
        <v>748</v>
      </c>
      <c r="L166" s="80" t="s">
        <v>749</v>
      </c>
      <c r="M166" s="80" t="s">
        <v>750</v>
      </c>
      <c r="N166" s="80" t="s">
        <v>751</v>
      </c>
      <c r="O166" s="85" t="n">
        <v>46160</v>
      </c>
      <c r="P166" s="84"/>
      <c r="Q166" s="84"/>
      <c r="R166" s="87" t="s">
        <v>31</v>
      </c>
      <c r="S166" s="109"/>
    </row>
    <row r="167" s="77" customFormat="true" ht="15" hidden="false" customHeight="false" outlineLevel="1" collapsed="false">
      <c r="B167" s="78"/>
      <c r="C167" s="80" t="n">
        <v>160</v>
      </c>
      <c r="D167" s="80" t="s">
        <v>859</v>
      </c>
      <c r="E167" s="81" t="s">
        <v>1257</v>
      </c>
      <c r="F167" s="78" t="s">
        <v>860</v>
      </c>
      <c r="G167" s="88" t="n">
        <v>2</v>
      </c>
      <c r="H167" s="84" t="s">
        <v>861</v>
      </c>
      <c r="I167" s="80" t="s">
        <v>862</v>
      </c>
      <c r="J167" s="80" t="s">
        <v>863</v>
      </c>
      <c r="K167" s="80" t="s">
        <v>864</v>
      </c>
      <c r="L167" s="80" t="s">
        <v>865</v>
      </c>
      <c r="M167" s="80" t="s">
        <v>866</v>
      </c>
      <c r="N167" s="80" t="s">
        <v>867</v>
      </c>
      <c r="O167" s="85" t="n">
        <v>46160</v>
      </c>
      <c r="P167" s="84"/>
      <c r="Q167" s="84"/>
      <c r="R167" s="87" t="s">
        <v>31</v>
      </c>
      <c r="S167" s="109"/>
    </row>
    <row r="168" s="77" customFormat="true" ht="15" hidden="false" customHeight="false" outlineLevel="1" collapsed="false">
      <c r="B168" s="78"/>
      <c r="C168" s="80" t="n">
        <v>161</v>
      </c>
      <c r="D168" s="80" t="s">
        <v>318</v>
      </c>
      <c r="E168" s="81" t="s">
        <v>1257</v>
      </c>
      <c r="F168" s="78" t="s">
        <v>319</v>
      </c>
      <c r="G168" s="88" t="n">
        <v>4</v>
      </c>
      <c r="H168" s="84" t="s">
        <v>111</v>
      </c>
      <c r="I168" s="80" t="s">
        <v>320</v>
      </c>
      <c r="J168" s="80" t="s">
        <v>321</v>
      </c>
      <c r="K168" s="80" t="s">
        <v>322</v>
      </c>
      <c r="L168" s="80" t="s">
        <v>323</v>
      </c>
      <c r="M168" s="80" t="s">
        <v>324</v>
      </c>
      <c r="N168" s="80" t="s">
        <v>325</v>
      </c>
      <c r="O168" s="101" t="n">
        <v>46125</v>
      </c>
      <c r="P168" s="84"/>
      <c r="Q168" s="84"/>
      <c r="R168" s="87" t="s">
        <v>31</v>
      </c>
      <c r="S168" s="109"/>
    </row>
    <row r="169" s="77" customFormat="true" ht="15" hidden="false" customHeight="false" outlineLevel="1" collapsed="false">
      <c r="B169" s="78"/>
      <c r="C169" s="80" t="n">
        <v>162</v>
      </c>
      <c r="D169" s="80" t="s">
        <v>326</v>
      </c>
      <c r="E169" s="81" t="s">
        <v>1257</v>
      </c>
      <c r="F169" s="78" t="s">
        <v>327</v>
      </c>
      <c r="G169" s="88" t="n">
        <v>1</v>
      </c>
      <c r="H169" s="84" t="s">
        <v>152</v>
      </c>
      <c r="I169" s="80" t="s">
        <v>328</v>
      </c>
      <c r="J169" s="80" t="s">
        <v>329</v>
      </c>
      <c r="K169" s="80" t="s">
        <v>330</v>
      </c>
      <c r="L169" s="80" t="s">
        <v>331</v>
      </c>
      <c r="M169" s="80" t="s">
        <v>332</v>
      </c>
      <c r="N169" s="80" t="s">
        <v>333</v>
      </c>
      <c r="O169" s="101" t="n">
        <v>46125</v>
      </c>
      <c r="P169" s="84"/>
      <c r="Q169" s="84"/>
      <c r="R169" s="87" t="s">
        <v>31</v>
      </c>
      <c r="S169" s="109"/>
    </row>
    <row r="170" s="77" customFormat="true" ht="36" hidden="false" customHeight="true" outlineLevel="1" collapsed="false">
      <c r="B170" s="78"/>
      <c r="C170" s="80" t="s">
        <v>1270</v>
      </c>
      <c r="D170" s="80" t="s">
        <v>802</v>
      </c>
      <c r="E170" s="81" t="s">
        <v>1257</v>
      </c>
      <c r="F170" s="78" t="s">
        <v>803</v>
      </c>
      <c r="G170" s="88" t="n">
        <v>15</v>
      </c>
      <c r="H170" s="84" t="s">
        <v>804</v>
      </c>
      <c r="I170" s="80" t="s">
        <v>874</v>
      </c>
      <c r="J170" s="80" t="s">
        <v>875</v>
      </c>
      <c r="K170" s="80" t="s">
        <v>876</v>
      </c>
      <c r="L170" s="80" t="s">
        <v>808</v>
      </c>
      <c r="M170" s="80" t="s">
        <v>1271</v>
      </c>
      <c r="N170" s="80" t="s">
        <v>810</v>
      </c>
      <c r="O170" s="101" t="n">
        <v>46125</v>
      </c>
      <c r="P170" s="84"/>
      <c r="Q170" s="84"/>
      <c r="R170" s="87" t="s">
        <v>31</v>
      </c>
      <c r="S170" s="109"/>
    </row>
    <row r="171" s="77" customFormat="true" ht="30" hidden="false" customHeight="true" outlineLevel="1" collapsed="false">
      <c r="B171" s="78"/>
      <c r="C171" s="80" t="s">
        <v>1295</v>
      </c>
      <c r="D171" s="80" t="s">
        <v>734</v>
      </c>
      <c r="E171" s="81" t="s">
        <v>1257</v>
      </c>
      <c r="F171" s="78" t="s">
        <v>735</v>
      </c>
      <c r="G171" s="88" t="n">
        <v>6</v>
      </c>
      <c r="H171" s="84" t="s">
        <v>736</v>
      </c>
      <c r="I171" s="80" t="s">
        <v>737</v>
      </c>
      <c r="J171" s="80" t="s">
        <v>738</v>
      </c>
      <c r="K171" s="80" t="s">
        <v>739</v>
      </c>
      <c r="L171" s="80" t="s">
        <v>740</v>
      </c>
      <c r="M171" s="80" t="s">
        <v>1296</v>
      </c>
      <c r="N171" s="80" t="s">
        <v>742</v>
      </c>
      <c r="O171" s="101" t="n">
        <v>46125</v>
      </c>
      <c r="P171" s="84"/>
      <c r="Q171" s="84"/>
      <c r="R171" s="87" t="s">
        <v>31</v>
      </c>
      <c r="S171" s="109"/>
    </row>
    <row r="172" s="77" customFormat="true" ht="15" hidden="false" customHeight="false" outlineLevel="1" collapsed="false">
      <c r="B172" s="78"/>
      <c r="C172" s="80" t="n">
        <v>165</v>
      </c>
      <c r="D172" s="80" t="s">
        <v>604</v>
      </c>
      <c r="E172" s="81" t="s">
        <v>1257</v>
      </c>
      <c r="F172" s="78" t="s">
        <v>605</v>
      </c>
      <c r="G172" s="88" t="n">
        <v>12</v>
      </c>
      <c r="H172" s="84" t="s">
        <v>61</v>
      </c>
      <c r="I172" s="80" t="s">
        <v>606</v>
      </c>
      <c r="J172" s="80" t="s">
        <v>607</v>
      </c>
      <c r="K172" s="80" t="s">
        <v>608</v>
      </c>
      <c r="L172" s="80" t="s">
        <v>252</v>
      </c>
      <c r="M172" s="80" t="s">
        <v>609</v>
      </c>
      <c r="N172" s="80" t="s">
        <v>610</v>
      </c>
      <c r="O172" s="101" t="n">
        <v>46125</v>
      </c>
      <c r="P172" s="84"/>
      <c r="Q172" s="84"/>
      <c r="R172" s="87" t="s">
        <v>31</v>
      </c>
      <c r="S172" s="109"/>
    </row>
    <row r="173" s="77" customFormat="true" ht="36" hidden="false" customHeight="true" outlineLevel="1" collapsed="false">
      <c r="B173" s="78"/>
      <c r="C173" s="80" t="s">
        <v>1423</v>
      </c>
      <c r="D173" s="80" t="s">
        <v>375</v>
      </c>
      <c r="E173" s="81" t="s">
        <v>1257</v>
      </c>
      <c r="F173" s="78" t="s">
        <v>376</v>
      </c>
      <c r="G173" s="88" t="n">
        <v>6</v>
      </c>
      <c r="H173" s="84" t="s">
        <v>111</v>
      </c>
      <c r="I173" s="80" t="s">
        <v>1373</v>
      </c>
      <c r="J173" s="80" t="s">
        <v>685</v>
      </c>
      <c r="K173" s="80" t="s">
        <v>686</v>
      </c>
      <c r="L173" s="80" t="s">
        <v>380</v>
      </c>
      <c r="M173" s="80" t="s">
        <v>1424</v>
      </c>
      <c r="N173" s="80" t="s">
        <v>382</v>
      </c>
      <c r="O173" s="85" t="n">
        <v>46160</v>
      </c>
      <c r="P173" s="84"/>
      <c r="Q173" s="84"/>
      <c r="R173" s="87" t="s">
        <v>31</v>
      </c>
      <c r="S173" s="109"/>
    </row>
    <row r="174" s="77" customFormat="true" ht="36" hidden="false" customHeight="true" outlineLevel="1" collapsed="false">
      <c r="B174" s="78"/>
      <c r="C174" s="80" t="s">
        <v>1008</v>
      </c>
      <c r="D174" s="80" t="s">
        <v>399</v>
      </c>
      <c r="E174" s="81" t="s">
        <v>1257</v>
      </c>
      <c r="F174" s="78" t="s">
        <v>400</v>
      </c>
      <c r="G174" s="88" t="n">
        <v>2</v>
      </c>
      <c r="H174" s="84" t="s">
        <v>152</v>
      </c>
      <c r="I174" s="80" t="s">
        <v>401</v>
      </c>
      <c r="J174" s="80" t="s">
        <v>402</v>
      </c>
      <c r="K174" s="80" t="s">
        <v>403</v>
      </c>
      <c r="L174" s="80" t="s">
        <v>404</v>
      </c>
      <c r="M174" s="80" t="s">
        <v>1425</v>
      </c>
      <c r="N174" s="80" t="s">
        <v>406</v>
      </c>
      <c r="O174" s="85" t="n">
        <v>46160</v>
      </c>
      <c r="P174" s="84"/>
      <c r="Q174" s="84"/>
      <c r="R174" s="87" t="s">
        <v>31</v>
      </c>
      <c r="S174" s="109"/>
    </row>
    <row r="175" s="77" customFormat="true" ht="15" hidden="false" customHeight="false" outlineLevel="1" collapsed="false">
      <c r="B175" s="78"/>
      <c r="C175" s="80" t="n">
        <v>168</v>
      </c>
      <c r="D175" s="80" t="s">
        <v>407</v>
      </c>
      <c r="E175" s="81" t="s">
        <v>1257</v>
      </c>
      <c r="F175" s="78" t="s">
        <v>408</v>
      </c>
      <c r="G175" s="88" t="n">
        <v>1</v>
      </c>
      <c r="H175" s="84" t="s">
        <v>61</v>
      </c>
      <c r="I175" s="80" t="s">
        <v>409</v>
      </c>
      <c r="J175" s="80" t="s">
        <v>410</v>
      </c>
      <c r="K175" s="80" t="s">
        <v>411</v>
      </c>
      <c r="L175" s="80" t="s">
        <v>412</v>
      </c>
      <c r="M175" s="80" t="s">
        <v>552</v>
      </c>
      <c r="N175" s="80" t="s">
        <v>414</v>
      </c>
      <c r="O175" s="101" t="n">
        <v>46125</v>
      </c>
      <c r="P175" s="84"/>
      <c r="Q175" s="84"/>
      <c r="R175" s="87" t="s">
        <v>31</v>
      </c>
      <c r="S175" s="109"/>
    </row>
    <row r="176" s="77" customFormat="true" ht="15" hidden="false" customHeight="false" outlineLevel="1" collapsed="false">
      <c r="B176" s="78"/>
      <c r="C176" s="80" t="n">
        <v>169</v>
      </c>
      <c r="D176" s="80" t="s">
        <v>1014</v>
      </c>
      <c r="E176" s="81" t="s">
        <v>1257</v>
      </c>
      <c r="F176" s="78" t="s">
        <v>917</v>
      </c>
      <c r="G176" s="88" t="n">
        <v>1</v>
      </c>
      <c r="H176" s="84" t="s">
        <v>61</v>
      </c>
      <c r="I176" s="80" t="s">
        <v>1015</v>
      </c>
      <c r="J176" s="80" t="s">
        <v>1016</v>
      </c>
      <c r="K176" s="80" t="s">
        <v>1017</v>
      </c>
      <c r="L176" s="80" t="s">
        <v>1018</v>
      </c>
      <c r="M176" s="80" t="s">
        <v>1258</v>
      </c>
      <c r="N176" s="80" t="s">
        <v>1020</v>
      </c>
      <c r="O176" s="101" t="n">
        <v>46125</v>
      </c>
      <c r="P176" s="84"/>
      <c r="Q176" s="84"/>
      <c r="R176" s="87" t="s">
        <v>31</v>
      </c>
      <c r="S176" s="109"/>
    </row>
    <row r="177" s="77" customFormat="true" ht="15" hidden="false" customHeight="false" outlineLevel="1" collapsed="false">
      <c r="B177" s="78"/>
      <c r="C177" s="80" t="n">
        <v>170</v>
      </c>
      <c r="D177" s="80" t="s">
        <v>424</v>
      </c>
      <c r="E177" s="81" t="s">
        <v>1257</v>
      </c>
      <c r="F177" s="78" t="s">
        <v>425</v>
      </c>
      <c r="G177" s="88" t="n">
        <v>4</v>
      </c>
      <c r="H177" s="84" t="s">
        <v>111</v>
      </c>
      <c r="I177" s="80" t="s">
        <v>426</v>
      </c>
      <c r="J177" s="80" t="s">
        <v>427</v>
      </c>
      <c r="K177" s="80" t="s">
        <v>428</v>
      </c>
      <c r="L177" s="80" t="s">
        <v>429</v>
      </c>
      <c r="M177" s="80" t="s">
        <v>429</v>
      </c>
      <c r="N177" s="80" t="s">
        <v>430</v>
      </c>
      <c r="O177" s="101" t="n">
        <v>46125</v>
      </c>
      <c r="P177" s="84"/>
      <c r="Q177" s="84"/>
      <c r="R177" s="87" t="s">
        <v>31</v>
      </c>
      <c r="S177" s="109"/>
    </row>
    <row r="178" s="77" customFormat="true" ht="15" hidden="false" customHeight="false" outlineLevel="1" collapsed="false">
      <c r="B178" s="78"/>
      <c r="C178" s="80" t="n">
        <v>171</v>
      </c>
      <c r="D178" s="80" t="s">
        <v>431</v>
      </c>
      <c r="E178" s="81" t="s">
        <v>1257</v>
      </c>
      <c r="F178" s="78" t="s">
        <v>432</v>
      </c>
      <c r="G178" s="88" t="n">
        <v>4</v>
      </c>
      <c r="H178" s="84" t="s">
        <v>152</v>
      </c>
      <c r="I178" s="80" t="s">
        <v>1426</v>
      </c>
      <c r="J178" s="80" t="s">
        <v>1427</v>
      </c>
      <c r="K178" s="80" t="s">
        <v>1428</v>
      </c>
      <c r="L178" s="80" t="s">
        <v>436</v>
      </c>
      <c r="M178" s="80" t="s">
        <v>1429</v>
      </c>
      <c r="N178" s="80" t="s">
        <v>438</v>
      </c>
      <c r="O178" s="85" t="n">
        <v>46160</v>
      </c>
      <c r="P178" s="84"/>
      <c r="Q178" s="84"/>
      <c r="R178" s="87" t="s">
        <v>31</v>
      </c>
      <c r="S178" s="109"/>
    </row>
    <row r="179" s="77" customFormat="true" ht="30" hidden="false" customHeight="true" outlineLevel="1" collapsed="false">
      <c r="B179" s="78"/>
      <c r="C179" s="80" t="n">
        <v>172</v>
      </c>
      <c r="D179" s="80" t="s">
        <v>439</v>
      </c>
      <c r="E179" s="81" t="s">
        <v>1257</v>
      </c>
      <c r="F179" s="78" t="s">
        <v>440</v>
      </c>
      <c r="G179" s="88" t="n">
        <v>1</v>
      </c>
      <c r="H179" s="84" t="s">
        <v>152</v>
      </c>
      <c r="I179" s="80" t="s">
        <v>441</v>
      </c>
      <c r="J179" s="80" t="s">
        <v>442</v>
      </c>
      <c r="K179" s="80" t="s">
        <v>443</v>
      </c>
      <c r="L179" s="80" t="s">
        <v>444</v>
      </c>
      <c r="M179" s="80" t="s">
        <v>570</v>
      </c>
      <c r="N179" s="80" t="s">
        <v>446</v>
      </c>
      <c r="O179" s="85" t="n">
        <v>46160</v>
      </c>
      <c r="P179" s="84"/>
      <c r="Q179" s="84"/>
      <c r="R179" s="87" t="s">
        <v>31</v>
      </c>
      <c r="S179" s="109"/>
    </row>
    <row r="180" s="77" customFormat="true" ht="15" hidden="false" customHeight="false" outlineLevel="1" collapsed="false">
      <c r="B180" s="78"/>
      <c r="C180" s="80" t="n">
        <v>173</v>
      </c>
      <c r="D180" s="80" t="s">
        <v>455</v>
      </c>
      <c r="E180" s="81" t="s">
        <v>1257</v>
      </c>
      <c r="F180" s="78" t="s">
        <v>456</v>
      </c>
      <c r="G180" s="88" t="n">
        <v>1</v>
      </c>
      <c r="H180" s="84" t="s">
        <v>111</v>
      </c>
      <c r="I180" s="80" t="s">
        <v>457</v>
      </c>
      <c r="J180" s="80" t="s">
        <v>458</v>
      </c>
      <c r="K180" s="80" t="s">
        <v>459</v>
      </c>
      <c r="L180" s="80" t="s">
        <v>460</v>
      </c>
      <c r="M180" s="80" t="s">
        <v>461</v>
      </c>
      <c r="N180" s="80" t="s">
        <v>462</v>
      </c>
      <c r="O180" s="85" t="n">
        <v>46160</v>
      </c>
      <c r="P180" s="84"/>
      <c r="Q180" s="84"/>
      <c r="R180" s="87" t="s">
        <v>31</v>
      </c>
      <c r="S180" s="109"/>
    </row>
    <row r="181" s="77" customFormat="true" ht="15" hidden="false" customHeight="false" outlineLevel="1" collapsed="false">
      <c r="B181" s="78"/>
      <c r="C181" s="80" t="n">
        <v>174</v>
      </c>
      <c r="D181" s="80" t="s">
        <v>486</v>
      </c>
      <c r="E181" s="81" t="s">
        <v>1257</v>
      </c>
      <c r="F181" s="78" t="s">
        <v>487</v>
      </c>
      <c r="G181" s="88" t="n">
        <v>1</v>
      </c>
      <c r="H181" s="84" t="s">
        <v>152</v>
      </c>
      <c r="I181" s="80" t="s">
        <v>488</v>
      </c>
      <c r="J181" s="80" t="s">
        <v>489</v>
      </c>
      <c r="K181" s="80" t="s">
        <v>490</v>
      </c>
      <c r="L181" s="80" t="s">
        <v>491</v>
      </c>
      <c r="M181" s="80" t="s">
        <v>492</v>
      </c>
      <c r="N181" s="80" t="s">
        <v>493</v>
      </c>
      <c r="O181" s="101" t="n">
        <v>46125</v>
      </c>
      <c r="P181" s="84"/>
      <c r="Q181" s="84"/>
      <c r="R181" s="87" t="s">
        <v>31</v>
      </c>
      <c r="S181" s="109"/>
    </row>
    <row r="182" s="68" customFormat="true" ht="30" hidden="false" customHeight="true" outlineLevel="0" collapsed="false">
      <c r="B182" s="69"/>
      <c r="C182" s="69"/>
      <c r="D182" s="69"/>
      <c r="E182" s="72" t="s">
        <v>1260</v>
      </c>
      <c r="F182" s="72"/>
      <c r="G182" s="119" t="n">
        <f aca="false">SUM(G183:G250)</f>
        <v>325</v>
      </c>
      <c r="H182" s="89"/>
      <c r="I182" s="123"/>
      <c r="J182" s="124"/>
      <c r="K182" s="125"/>
      <c r="L182" s="69"/>
      <c r="M182" s="69"/>
      <c r="N182" s="90"/>
      <c r="O182" s="89"/>
      <c r="P182" s="76"/>
      <c r="Q182" s="76"/>
      <c r="R182" s="74" t="s">
        <v>31</v>
      </c>
      <c r="S182" s="74"/>
    </row>
    <row r="183" s="77" customFormat="true" ht="15" hidden="false" customHeight="false" outlineLevel="1" collapsed="false">
      <c r="B183" s="78"/>
      <c r="C183" s="80" t="n">
        <v>175</v>
      </c>
      <c r="D183" s="80" t="s">
        <v>21</v>
      </c>
      <c r="E183" s="81" t="s">
        <v>1260</v>
      </c>
      <c r="F183" s="78" t="s">
        <v>22</v>
      </c>
      <c r="G183" s="88" t="n">
        <v>3</v>
      </c>
      <c r="H183" s="84" t="s">
        <v>24</v>
      </c>
      <c r="I183" s="80" t="s">
        <v>25</v>
      </c>
      <c r="J183" s="80" t="s">
        <v>26</v>
      </c>
      <c r="K183" s="80" t="s">
        <v>27</v>
      </c>
      <c r="L183" s="80" t="s">
        <v>28</v>
      </c>
      <c r="M183" s="80" t="s">
        <v>29</v>
      </c>
      <c r="N183" s="80" t="s">
        <v>30</v>
      </c>
      <c r="O183" s="101" t="n">
        <v>46125</v>
      </c>
      <c r="P183" s="84"/>
      <c r="Q183" s="84"/>
      <c r="R183" s="87" t="s">
        <v>31</v>
      </c>
      <c r="S183" s="109"/>
    </row>
    <row r="184" s="77" customFormat="true" ht="15" hidden="false" customHeight="false" outlineLevel="1" collapsed="false">
      <c r="B184" s="78"/>
      <c r="C184" s="80" t="n">
        <v>176</v>
      </c>
      <c r="D184" s="80" t="s">
        <v>811</v>
      </c>
      <c r="E184" s="81" t="s">
        <v>1260</v>
      </c>
      <c r="F184" s="78" t="s">
        <v>812</v>
      </c>
      <c r="G184" s="88" t="n">
        <v>5</v>
      </c>
      <c r="H184" s="84" t="s">
        <v>813</v>
      </c>
      <c r="I184" s="80" t="s">
        <v>814</v>
      </c>
      <c r="J184" s="80" t="s">
        <v>815</v>
      </c>
      <c r="K184" s="80" t="s">
        <v>816</v>
      </c>
      <c r="L184" s="80" t="s">
        <v>817</v>
      </c>
      <c r="M184" s="80" t="s">
        <v>1149</v>
      </c>
      <c r="N184" s="80" t="s">
        <v>819</v>
      </c>
      <c r="O184" s="85" t="n">
        <v>46160</v>
      </c>
      <c r="P184" s="84"/>
      <c r="Q184" s="84"/>
      <c r="R184" s="87" t="s">
        <v>31</v>
      </c>
      <c r="S184" s="109"/>
    </row>
    <row r="185" s="77" customFormat="true" ht="15" hidden="false" customHeight="false" outlineLevel="1" collapsed="false">
      <c r="B185" s="78"/>
      <c r="C185" s="80" t="n">
        <v>177</v>
      </c>
      <c r="D185" s="80" t="s">
        <v>34</v>
      </c>
      <c r="E185" s="81" t="s">
        <v>1260</v>
      </c>
      <c r="F185" s="78" t="s">
        <v>35</v>
      </c>
      <c r="G185" s="88" t="n">
        <v>5</v>
      </c>
      <c r="H185" s="84" t="s">
        <v>36</v>
      </c>
      <c r="I185" s="80" t="s">
        <v>37</v>
      </c>
      <c r="J185" s="80" t="s">
        <v>38</v>
      </c>
      <c r="K185" s="80" t="s">
        <v>39</v>
      </c>
      <c r="L185" s="80" t="s">
        <v>40</v>
      </c>
      <c r="M185" s="80" t="s">
        <v>858</v>
      </c>
      <c r="N185" s="80" t="s">
        <v>42</v>
      </c>
      <c r="O185" s="85" t="n">
        <v>46160</v>
      </c>
      <c r="P185" s="84"/>
      <c r="Q185" s="84"/>
      <c r="R185" s="87" t="s">
        <v>31</v>
      </c>
      <c r="S185" s="109"/>
    </row>
    <row r="186" s="77" customFormat="true" ht="15" hidden="false" customHeight="false" outlineLevel="1" collapsed="false">
      <c r="B186" s="78"/>
      <c r="C186" s="80" t="n">
        <v>178</v>
      </c>
      <c r="D186" s="80" t="s">
        <v>43</v>
      </c>
      <c r="E186" s="81" t="s">
        <v>1260</v>
      </c>
      <c r="F186" s="78" t="s">
        <v>44</v>
      </c>
      <c r="G186" s="88" t="n">
        <v>4</v>
      </c>
      <c r="H186" s="84" t="s">
        <v>24</v>
      </c>
      <c r="I186" s="80" t="s">
        <v>45</v>
      </c>
      <c r="J186" s="80" t="s">
        <v>46</v>
      </c>
      <c r="K186" s="80" t="s">
        <v>47</v>
      </c>
      <c r="L186" s="80" t="s">
        <v>48</v>
      </c>
      <c r="M186" s="80" t="s">
        <v>49</v>
      </c>
      <c r="N186" s="80" t="s">
        <v>50</v>
      </c>
      <c r="O186" s="85" t="n">
        <v>46160</v>
      </c>
      <c r="P186" s="84"/>
      <c r="Q186" s="84"/>
      <c r="R186" s="87" t="s">
        <v>31</v>
      </c>
      <c r="S186" s="109"/>
    </row>
    <row r="187" s="77" customFormat="true" ht="15" hidden="false" customHeight="false" outlineLevel="1" collapsed="false">
      <c r="B187" s="78"/>
      <c r="C187" s="80" t="n">
        <v>179</v>
      </c>
      <c r="D187" s="80" t="s">
        <v>51</v>
      </c>
      <c r="E187" s="81" t="s">
        <v>1260</v>
      </c>
      <c r="F187" s="78" t="s">
        <v>52</v>
      </c>
      <c r="G187" s="88" t="n">
        <v>3</v>
      </c>
      <c r="H187" s="84" t="s">
        <v>24</v>
      </c>
      <c r="I187" s="80" t="s">
        <v>53</v>
      </c>
      <c r="J187" s="80" t="s">
        <v>54</v>
      </c>
      <c r="K187" s="80" t="s">
        <v>55</v>
      </c>
      <c r="L187" s="80" t="s">
        <v>56</v>
      </c>
      <c r="M187" s="80" t="s">
        <v>57</v>
      </c>
      <c r="N187" s="80" t="s">
        <v>58</v>
      </c>
      <c r="O187" s="85" t="n">
        <v>46160</v>
      </c>
      <c r="P187" s="84"/>
      <c r="Q187" s="84"/>
      <c r="R187" s="87" t="s">
        <v>31</v>
      </c>
      <c r="S187" s="109"/>
    </row>
    <row r="188" s="77" customFormat="true" ht="30" hidden="false" customHeight="true" outlineLevel="1" collapsed="false">
      <c r="B188" s="78"/>
      <c r="C188" s="80" t="n">
        <v>180</v>
      </c>
      <c r="D188" s="80" t="s">
        <v>1077</v>
      </c>
      <c r="E188" s="81" t="s">
        <v>1260</v>
      </c>
      <c r="F188" s="78" t="s">
        <v>916</v>
      </c>
      <c r="G188" s="88" t="n">
        <v>2</v>
      </c>
      <c r="H188" s="84" t="s">
        <v>152</v>
      </c>
      <c r="I188" s="80" t="s">
        <v>1078</v>
      </c>
      <c r="J188" s="80" t="s">
        <v>1079</v>
      </c>
      <c r="K188" s="80" t="s">
        <v>1080</v>
      </c>
      <c r="L188" s="80" t="s">
        <v>1081</v>
      </c>
      <c r="M188" s="80" t="s">
        <v>1082</v>
      </c>
      <c r="N188" s="80" t="s">
        <v>1083</v>
      </c>
      <c r="O188" s="85" t="n">
        <v>46160</v>
      </c>
      <c r="P188" s="84"/>
      <c r="Q188" s="84"/>
      <c r="R188" s="87" t="s">
        <v>31</v>
      </c>
      <c r="S188" s="109"/>
    </row>
    <row r="189" s="77" customFormat="true" ht="15" hidden="false" customHeight="false" outlineLevel="1" collapsed="false">
      <c r="B189" s="78"/>
      <c r="C189" s="80" t="n">
        <v>181</v>
      </c>
      <c r="D189" s="80" t="s">
        <v>59</v>
      </c>
      <c r="E189" s="81" t="s">
        <v>1260</v>
      </c>
      <c r="F189" s="78" t="s">
        <v>60</v>
      </c>
      <c r="G189" s="88" t="n">
        <v>16</v>
      </c>
      <c r="H189" s="84" t="s">
        <v>61</v>
      </c>
      <c r="I189" s="80" t="s">
        <v>62</v>
      </c>
      <c r="J189" s="80" t="s">
        <v>63</v>
      </c>
      <c r="K189" s="80" t="s">
        <v>64</v>
      </c>
      <c r="L189" s="80" t="s">
        <v>65</v>
      </c>
      <c r="M189" s="80" t="s">
        <v>66</v>
      </c>
      <c r="N189" s="80" t="s">
        <v>67</v>
      </c>
      <c r="O189" s="85" t="n">
        <v>46160</v>
      </c>
      <c r="P189" s="84"/>
      <c r="Q189" s="84"/>
      <c r="R189" s="87" t="s">
        <v>31</v>
      </c>
      <c r="S189" s="109"/>
    </row>
    <row r="190" s="77" customFormat="true" ht="72" hidden="false" customHeight="true" outlineLevel="1" collapsed="false">
      <c r="B190" s="78"/>
      <c r="C190" s="80" t="s">
        <v>1430</v>
      </c>
      <c r="D190" s="80" t="s">
        <v>75</v>
      </c>
      <c r="E190" s="81" t="s">
        <v>1260</v>
      </c>
      <c r="F190" s="78" t="s">
        <v>76</v>
      </c>
      <c r="G190" s="88" t="n">
        <v>8</v>
      </c>
      <c r="H190" s="84" t="s">
        <v>77</v>
      </c>
      <c r="I190" s="80" t="s">
        <v>1210</v>
      </c>
      <c r="J190" s="80" t="s">
        <v>1211</v>
      </c>
      <c r="K190" s="80" t="s">
        <v>1212</v>
      </c>
      <c r="L190" s="80" t="s">
        <v>81</v>
      </c>
      <c r="M190" s="80" t="s">
        <v>1431</v>
      </c>
      <c r="N190" s="80" t="s">
        <v>83</v>
      </c>
      <c r="O190" s="85" t="n">
        <v>46160</v>
      </c>
      <c r="P190" s="84"/>
      <c r="Q190" s="84"/>
      <c r="R190" s="87" t="s">
        <v>31</v>
      </c>
      <c r="S190" s="109"/>
    </row>
    <row r="191" s="77" customFormat="true" ht="15" hidden="false" customHeight="false" outlineLevel="1" collapsed="false">
      <c r="B191" s="78"/>
      <c r="C191" s="80" t="n">
        <v>183</v>
      </c>
      <c r="D191" s="80" t="s">
        <v>85</v>
      </c>
      <c r="E191" s="81" t="s">
        <v>1260</v>
      </c>
      <c r="F191" s="78" t="s">
        <v>86</v>
      </c>
      <c r="G191" s="88" t="n">
        <v>1</v>
      </c>
      <c r="H191" s="84" t="s">
        <v>87</v>
      </c>
      <c r="I191" s="80" t="s">
        <v>88</v>
      </c>
      <c r="J191" s="80" t="s">
        <v>89</v>
      </c>
      <c r="K191" s="80" t="s">
        <v>90</v>
      </c>
      <c r="L191" s="80" t="s">
        <v>91</v>
      </c>
      <c r="M191" s="80" t="s">
        <v>92</v>
      </c>
      <c r="N191" s="80" t="s">
        <v>93</v>
      </c>
      <c r="O191" s="85" t="n">
        <v>46160</v>
      </c>
      <c r="P191" s="84"/>
      <c r="Q191" s="84"/>
      <c r="R191" s="87" t="s">
        <v>31</v>
      </c>
      <c r="S191" s="109"/>
    </row>
    <row r="192" s="77" customFormat="true" ht="15" hidden="false" customHeight="false" outlineLevel="1" collapsed="false">
      <c r="B192" s="78"/>
      <c r="C192" s="80" t="n">
        <v>184</v>
      </c>
      <c r="D192" s="80" t="s">
        <v>94</v>
      </c>
      <c r="E192" s="81" t="s">
        <v>1260</v>
      </c>
      <c r="F192" s="78" t="s">
        <v>95</v>
      </c>
      <c r="G192" s="88" t="n">
        <v>1</v>
      </c>
      <c r="H192" s="84" t="s">
        <v>36</v>
      </c>
      <c r="I192" s="80" t="s">
        <v>96</v>
      </c>
      <c r="J192" s="80" t="s">
        <v>97</v>
      </c>
      <c r="K192" s="80" t="s">
        <v>98</v>
      </c>
      <c r="L192" s="80" t="s">
        <v>99</v>
      </c>
      <c r="M192" s="80" t="s">
        <v>100</v>
      </c>
      <c r="N192" s="80" t="s">
        <v>101</v>
      </c>
      <c r="O192" s="85" t="n">
        <v>46160</v>
      </c>
      <c r="P192" s="84"/>
      <c r="Q192" s="84"/>
      <c r="R192" s="87" t="s">
        <v>31</v>
      </c>
      <c r="S192" s="109"/>
    </row>
    <row r="193" s="77" customFormat="true" ht="15" hidden="false" customHeight="false" outlineLevel="1" collapsed="false">
      <c r="B193" s="78"/>
      <c r="C193" s="80" t="n">
        <v>185</v>
      </c>
      <c r="D193" s="80" t="s">
        <v>626</v>
      </c>
      <c r="E193" s="81" t="s">
        <v>1260</v>
      </c>
      <c r="F193" s="78" t="s">
        <v>627</v>
      </c>
      <c r="G193" s="88" t="n">
        <v>1</v>
      </c>
      <c r="H193" s="84" t="s">
        <v>152</v>
      </c>
      <c r="I193" s="80" t="s">
        <v>628</v>
      </c>
      <c r="J193" s="80" t="s">
        <v>629</v>
      </c>
      <c r="K193" s="80" t="s">
        <v>630</v>
      </c>
      <c r="L193" s="80" t="s">
        <v>631</v>
      </c>
      <c r="M193" s="80" t="s">
        <v>632</v>
      </c>
      <c r="N193" s="80" t="s">
        <v>633</v>
      </c>
      <c r="O193" s="85" t="n">
        <v>46160</v>
      </c>
      <c r="P193" s="84"/>
      <c r="Q193" s="84"/>
      <c r="R193" s="87" t="s">
        <v>31</v>
      </c>
      <c r="S193" s="109"/>
    </row>
    <row r="194" s="77" customFormat="true" ht="36" hidden="false" customHeight="true" outlineLevel="1" collapsed="false">
      <c r="B194" s="78"/>
      <c r="C194" s="80" t="s">
        <v>1432</v>
      </c>
      <c r="D194" s="80" t="s">
        <v>725</v>
      </c>
      <c r="E194" s="81" t="s">
        <v>1260</v>
      </c>
      <c r="F194" s="78" t="s">
        <v>726</v>
      </c>
      <c r="G194" s="88" t="n">
        <v>1</v>
      </c>
      <c r="H194" s="84" t="s">
        <v>727</v>
      </c>
      <c r="I194" s="80" t="s">
        <v>1352</v>
      </c>
      <c r="J194" s="80" t="s">
        <v>1353</v>
      </c>
      <c r="K194" s="97" t="s">
        <v>1354</v>
      </c>
      <c r="L194" s="80" t="s">
        <v>731</v>
      </c>
      <c r="M194" s="80" t="s">
        <v>732</v>
      </c>
      <c r="N194" s="80" t="s">
        <v>733</v>
      </c>
      <c r="O194" s="85" t="n">
        <v>46160</v>
      </c>
      <c r="P194" s="84"/>
      <c r="Q194" s="84"/>
      <c r="R194" s="87" t="s">
        <v>31</v>
      </c>
      <c r="S194" s="109"/>
    </row>
    <row r="195" s="77" customFormat="true" ht="15" hidden="false" customHeight="false" outlineLevel="1" collapsed="false">
      <c r="B195" s="78"/>
      <c r="C195" s="80" t="n">
        <v>187</v>
      </c>
      <c r="D195" s="80" t="s">
        <v>102</v>
      </c>
      <c r="E195" s="81" t="s">
        <v>1260</v>
      </c>
      <c r="F195" s="78" t="s">
        <v>103</v>
      </c>
      <c r="G195" s="88" t="n">
        <v>3</v>
      </c>
      <c r="H195" s="84" t="s">
        <v>61</v>
      </c>
      <c r="I195" s="80" t="s">
        <v>104</v>
      </c>
      <c r="J195" s="80" t="s">
        <v>105</v>
      </c>
      <c r="K195" s="80" t="s">
        <v>106</v>
      </c>
      <c r="L195" s="80" t="s">
        <v>107</v>
      </c>
      <c r="M195" s="80" t="s">
        <v>107</v>
      </c>
      <c r="N195" s="80" t="s">
        <v>108</v>
      </c>
      <c r="O195" s="85" t="n">
        <v>46160</v>
      </c>
      <c r="P195" s="84"/>
      <c r="Q195" s="84"/>
      <c r="R195" s="87" t="s">
        <v>31</v>
      </c>
      <c r="S195" s="109"/>
    </row>
    <row r="196" s="77" customFormat="true" ht="15" hidden="false" customHeight="false" outlineLevel="1" collapsed="false">
      <c r="B196" s="78"/>
      <c r="C196" s="80" t="n">
        <v>188</v>
      </c>
      <c r="D196" s="80" t="s">
        <v>117</v>
      </c>
      <c r="E196" s="81" t="s">
        <v>1260</v>
      </c>
      <c r="F196" s="78" t="s">
        <v>118</v>
      </c>
      <c r="G196" s="88" t="n">
        <v>9</v>
      </c>
      <c r="H196" s="84" t="s">
        <v>24</v>
      </c>
      <c r="I196" s="80" t="s">
        <v>119</v>
      </c>
      <c r="J196" s="80" t="s">
        <v>120</v>
      </c>
      <c r="K196" s="80" t="s">
        <v>121</v>
      </c>
      <c r="L196" s="80" t="s">
        <v>122</v>
      </c>
      <c r="M196" s="80" t="s">
        <v>123</v>
      </c>
      <c r="N196" s="80" t="s">
        <v>124</v>
      </c>
      <c r="O196" s="85" t="n">
        <v>46160</v>
      </c>
      <c r="P196" s="84"/>
      <c r="Q196" s="84"/>
      <c r="R196" s="87" t="s">
        <v>31</v>
      </c>
      <c r="S196" s="109"/>
    </row>
    <row r="197" s="77" customFormat="true" ht="15" hidden="false" customHeight="false" outlineLevel="1" collapsed="false">
      <c r="B197" s="78"/>
      <c r="C197" s="80" t="n">
        <v>189</v>
      </c>
      <c r="D197" s="80" t="s">
        <v>618</v>
      </c>
      <c r="E197" s="81" t="s">
        <v>1260</v>
      </c>
      <c r="F197" s="78" t="s">
        <v>619</v>
      </c>
      <c r="G197" s="88" t="n">
        <v>8</v>
      </c>
      <c r="H197" s="84" t="s">
        <v>61</v>
      </c>
      <c r="I197" s="80" t="s">
        <v>620</v>
      </c>
      <c r="J197" s="80" t="s">
        <v>621</v>
      </c>
      <c r="K197" s="80" t="s">
        <v>622</v>
      </c>
      <c r="L197" s="80" t="s">
        <v>623</v>
      </c>
      <c r="M197" s="80" t="s">
        <v>624</v>
      </c>
      <c r="N197" s="80" t="s">
        <v>625</v>
      </c>
      <c r="O197" s="85" t="n">
        <v>46160</v>
      </c>
      <c r="P197" s="84"/>
      <c r="Q197" s="84"/>
      <c r="R197" s="87" t="s">
        <v>31</v>
      </c>
      <c r="S197" s="109"/>
    </row>
    <row r="198" s="77" customFormat="true" ht="36" hidden="false" customHeight="true" outlineLevel="1" collapsed="false">
      <c r="B198" s="78"/>
      <c r="C198" s="80" t="s">
        <v>1261</v>
      </c>
      <c r="D198" s="80" t="s">
        <v>554</v>
      </c>
      <c r="E198" s="81" t="s">
        <v>1260</v>
      </c>
      <c r="F198" s="78" t="s">
        <v>555</v>
      </c>
      <c r="G198" s="88" t="n">
        <v>10</v>
      </c>
      <c r="H198" s="84" t="s">
        <v>61</v>
      </c>
      <c r="I198" s="80" t="s">
        <v>1262</v>
      </c>
      <c r="J198" s="80" t="s">
        <v>1263</v>
      </c>
      <c r="K198" s="80" t="s">
        <v>1264</v>
      </c>
      <c r="L198" s="80" t="s">
        <v>559</v>
      </c>
      <c r="M198" s="80" t="s">
        <v>1265</v>
      </c>
      <c r="N198" s="80" t="s">
        <v>561</v>
      </c>
      <c r="O198" s="101" t="n">
        <v>46125</v>
      </c>
      <c r="P198" s="84"/>
      <c r="Q198" s="84"/>
      <c r="R198" s="87" t="s">
        <v>31</v>
      </c>
      <c r="S198" s="109"/>
    </row>
    <row r="199" s="77" customFormat="true" ht="15" hidden="false" customHeight="false" outlineLevel="1" collapsed="false">
      <c r="B199" s="78"/>
      <c r="C199" s="80" t="n">
        <v>191</v>
      </c>
      <c r="D199" s="80" t="s">
        <v>142</v>
      </c>
      <c r="E199" s="81" t="s">
        <v>1260</v>
      </c>
      <c r="F199" s="78" t="s">
        <v>143</v>
      </c>
      <c r="G199" s="88" t="n">
        <v>1</v>
      </c>
      <c r="H199" s="84" t="s">
        <v>61</v>
      </c>
      <c r="I199" s="80" t="s">
        <v>144</v>
      </c>
      <c r="J199" s="80" t="s">
        <v>145</v>
      </c>
      <c r="K199" s="80" t="s">
        <v>146</v>
      </c>
      <c r="L199" s="80" t="s">
        <v>147</v>
      </c>
      <c r="M199" s="80" t="s">
        <v>148</v>
      </c>
      <c r="N199" s="80" t="s">
        <v>149</v>
      </c>
      <c r="O199" s="85" t="n">
        <v>46160</v>
      </c>
      <c r="P199" s="84"/>
      <c r="Q199" s="84"/>
      <c r="R199" s="87" t="s">
        <v>31</v>
      </c>
      <c r="S199" s="109"/>
    </row>
    <row r="200" s="77" customFormat="true" ht="15" hidden="false" customHeight="false" outlineLevel="1" collapsed="false">
      <c r="B200" s="78"/>
      <c r="C200" s="80" t="n">
        <v>192</v>
      </c>
      <c r="D200" s="80" t="s">
        <v>536</v>
      </c>
      <c r="E200" s="81" t="s">
        <v>1260</v>
      </c>
      <c r="F200" s="78" t="s">
        <v>537</v>
      </c>
      <c r="G200" s="88" t="n">
        <v>1</v>
      </c>
      <c r="H200" s="84" t="s">
        <v>111</v>
      </c>
      <c r="I200" s="80" t="s">
        <v>538</v>
      </c>
      <c r="J200" s="80" t="s">
        <v>539</v>
      </c>
      <c r="K200" s="80" t="s">
        <v>540</v>
      </c>
      <c r="L200" s="80" t="s">
        <v>541</v>
      </c>
      <c r="M200" s="80" t="s">
        <v>541</v>
      </c>
      <c r="N200" s="80" t="s">
        <v>542</v>
      </c>
      <c r="O200" s="85" t="n">
        <v>46160</v>
      </c>
      <c r="P200" s="84"/>
      <c r="Q200" s="84"/>
      <c r="R200" s="87" t="s">
        <v>31</v>
      </c>
      <c r="S200" s="109"/>
    </row>
    <row r="201" s="77" customFormat="true" ht="15" hidden="false" customHeight="false" outlineLevel="1" collapsed="false">
      <c r="B201" s="78"/>
      <c r="C201" s="80" t="n">
        <v>193</v>
      </c>
      <c r="D201" s="80" t="s">
        <v>150</v>
      </c>
      <c r="E201" s="81" t="s">
        <v>1260</v>
      </c>
      <c r="F201" s="78" t="s">
        <v>151</v>
      </c>
      <c r="G201" s="88" t="n">
        <v>2</v>
      </c>
      <c r="H201" s="84" t="s">
        <v>152</v>
      </c>
      <c r="I201" s="80" t="s">
        <v>153</v>
      </c>
      <c r="J201" s="80" t="s">
        <v>154</v>
      </c>
      <c r="K201" s="80" t="s">
        <v>155</v>
      </c>
      <c r="L201" s="80" t="s">
        <v>156</v>
      </c>
      <c r="M201" s="80" t="s">
        <v>1173</v>
      </c>
      <c r="N201" s="80" t="s">
        <v>158</v>
      </c>
      <c r="O201" s="85" t="n">
        <v>46160</v>
      </c>
      <c r="P201" s="84"/>
      <c r="Q201" s="84"/>
      <c r="R201" s="87" t="s">
        <v>31</v>
      </c>
      <c r="S201" s="109"/>
    </row>
    <row r="202" s="77" customFormat="true" ht="15" hidden="false" customHeight="false" outlineLevel="1" collapsed="false">
      <c r="B202" s="78"/>
      <c r="C202" s="80" t="n">
        <v>194</v>
      </c>
      <c r="D202" s="80" t="s">
        <v>159</v>
      </c>
      <c r="E202" s="81" t="s">
        <v>1260</v>
      </c>
      <c r="F202" s="78" t="s">
        <v>160</v>
      </c>
      <c r="G202" s="88" t="n">
        <v>1</v>
      </c>
      <c r="H202" s="84" t="s">
        <v>61</v>
      </c>
      <c r="I202" s="80" t="s">
        <v>161</v>
      </c>
      <c r="J202" s="80" t="s">
        <v>162</v>
      </c>
      <c r="K202" s="80" t="s">
        <v>163</v>
      </c>
      <c r="L202" s="80" t="s">
        <v>164</v>
      </c>
      <c r="M202" s="80" t="s">
        <v>164</v>
      </c>
      <c r="N202" s="80" t="s">
        <v>165</v>
      </c>
      <c r="O202" s="101" t="n">
        <v>46125</v>
      </c>
      <c r="P202" s="84"/>
      <c r="Q202" s="84"/>
      <c r="R202" s="87" t="s">
        <v>31</v>
      </c>
      <c r="S202" s="109"/>
    </row>
    <row r="203" s="77" customFormat="true" ht="15" hidden="false" customHeight="false" outlineLevel="1" collapsed="false">
      <c r="B203" s="78"/>
      <c r="C203" s="80" t="n">
        <v>195</v>
      </c>
      <c r="D203" s="80" t="s">
        <v>166</v>
      </c>
      <c r="E203" s="81" t="s">
        <v>1260</v>
      </c>
      <c r="F203" s="78" t="s">
        <v>167</v>
      </c>
      <c r="G203" s="88" t="n">
        <v>1</v>
      </c>
      <c r="H203" s="84" t="s">
        <v>61</v>
      </c>
      <c r="I203" s="80" t="s">
        <v>168</v>
      </c>
      <c r="J203" s="80" t="s">
        <v>169</v>
      </c>
      <c r="K203" s="80" t="s">
        <v>170</v>
      </c>
      <c r="L203" s="80" t="s">
        <v>171</v>
      </c>
      <c r="M203" s="80" t="s">
        <v>172</v>
      </c>
      <c r="N203" s="80" t="s">
        <v>173</v>
      </c>
      <c r="O203" s="85" t="n">
        <v>46160</v>
      </c>
      <c r="P203" s="84"/>
      <c r="Q203" s="84"/>
      <c r="R203" s="87" t="s">
        <v>31</v>
      </c>
      <c r="S203" s="109"/>
    </row>
    <row r="204" s="77" customFormat="true" ht="15" hidden="false" customHeight="false" outlineLevel="1" collapsed="false">
      <c r="B204" s="78"/>
      <c r="C204" s="80" t="n">
        <v>196</v>
      </c>
      <c r="D204" s="80" t="s">
        <v>667</v>
      </c>
      <c r="E204" s="81" t="s">
        <v>1260</v>
      </c>
      <c r="F204" s="78" t="s">
        <v>668</v>
      </c>
      <c r="G204" s="88" t="n">
        <v>3</v>
      </c>
      <c r="H204" s="84" t="s">
        <v>61</v>
      </c>
      <c r="I204" s="80" t="s">
        <v>669</v>
      </c>
      <c r="J204" s="80" t="s">
        <v>670</v>
      </c>
      <c r="K204" s="93" t="s">
        <v>671</v>
      </c>
      <c r="L204" s="80" t="s">
        <v>672</v>
      </c>
      <c r="M204" s="80" t="s">
        <v>672</v>
      </c>
      <c r="N204" s="80" t="s">
        <v>673</v>
      </c>
      <c r="O204" s="85" t="n">
        <v>46160</v>
      </c>
      <c r="P204" s="84"/>
      <c r="Q204" s="84"/>
      <c r="R204" s="87" t="s">
        <v>31</v>
      </c>
      <c r="S204" s="109"/>
    </row>
    <row r="205" s="77" customFormat="true" ht="108" hidden="false" customHeight="true" outlineLevel="1" collapsed="false">
      <c r="B205" s="78"/>
      <c r="C205" s="80" t="s">
        <v>1276</v>
      </c>
      <c r="D205" s="80" t="s">
        <v>190</v>
      </c>
      <c r="E205" s="81" t="s">
        <v>1260</v>
      </c>
      <c r="F205" s="78" t="s">
        <v>191</v>
      </c>
      <c r="G205" s="88" t="n">
        <v>18</v>
      </c>
      <c r="H205" s="84" t="s">
        <v>24</v>
      </c>
      <c r="I205" s="80" t="s">
        <v>1277</v>
      </c>
      <c r="J205" s="80" t="s">
        <v>1278</v>
      </c>
      <c r="K205" s="80" t="s">
        <v>1279</v>
      </c>
      <c r="L205" s="80" t="s">
        <v>195</v>
      </c>
      <c r="M205" s="80" t="s">
        <v>1280</v>
      </c>
      <c r="N205" s="80" t="s">
        <v>197</v>
      </c>
      <c r="O205" s="101" t="n">
        <v>46125</v>
      </c>
      <c r="P205" s="84"/>
      <c r="Q205" s="84"/>
      <c r="R205" s="87" t="s">
        <v>31</v>
      </c>
      <c r="S205" s="109"/>
    </row>
    <row r="206" s="77" customFormat="true" ht="15" hidden="false" customHeight="false" outlineLevel="1" collapsed="false">
      <c r="B206" s="78"/>
      <c r="C206" s="80" t="n">
        <v>198</v>
      </c>
      <c r="D206" s="80" t="s">
        <v>198</v>
      </c>
      <c r="E206" s="81" t="s">
        <v>1260</v>
      </c>
      <c r="F206" s="78" t="s">
        <v>199</v>
      </c>
      <c r="G206" s="88" t="n">
        <v>1</v>
      </c>
      <c r="H206" s="84" t="s">
        <v>200</v>
      </c>
      <c r="I206" s="80" t="s">
        <v>201</v>
      </c>
      <c r="J206" s="80" t="s">
        <v>202</v>
      </c>
      <c r="K206" s="80" t="s">
        <v>203</v>
      </c>
      <c r="L206" s="80" t="s">
        <v>204</v>
      </c>
      <c r="M206" s="80" t="s">
        <v>1198</v>
      </c>
      <c r="N206" s="80" t="s">
        <v>206</v>
      </c>
      <c r="O206" s="85" t="n">
        <v>46160</v>
      </c>
      <c r="P206" s="84"/>
      <c r="Q206" s="84"/>
      <c r="R206" s="87" t="s">
        <v>31</v>
      </c>
      <c r="S206" s="109"/>
    </row>
    <row r="207" s="77" customFormat="true" ht="15" hidden="false" customHeight="false" outlineLevel="1" collapsed="false">
      <c r="B207" s="78"/>
      <c r="C207" s="80" t="n">
        <v>199</v>
      </c>
      <c r="D207" s="80" t="s">
        <v>215</v>
      </c>
      <c r="E207" s="81" t="s">
        <v>1260</v>
      </c>
      <c r="F207" s="78" t="s">
        <v>216</v>
      </c>
      <c r="G207" s="88" t="n">
        <v>9</v>
      </c>
      <c r="H207" s="84" t="s">
        <v>24</v>
      </c>
      <c r="I207" s="80" t="s">
        <v>217</v>
      </c>
      <c r="J207" s="80" t="s">
        <v>218</v>
      </c>
      <c r="K207" s="80" t="s">
        <v>219</v>
      </c>
      <c r="L207" s="80" t="s">
        <v>220</v>
      </c>
      <c r="M207" s="80" t="s">
        <v>221</v>
      </c>
      <c r="N207" s="80" t="s">
        <v>222</v>
      </c>
      <c r="O207" s="85" t="n">
        <v>46160</v>
      </c>
      <c r="P207" s="84"/>
      <c r="Q207" s="84"/>
      <c r="R207" s="87" t="s">
        <v>31</v>
      </c>
      <c r="S207" s="109"/>
    </row>
    <row r="208" s="77" customFormat="true" ht="15" hidden="false" customHeight="false" outlineLevel="1" collapsed="false">
      <c r="B208" s="78"/>
      <c r="C208" s="80" t="n">
        <v>200</v>
      </c>
      <c r="D208" s="80" t="s">
        <v>223</v>
      </c>
      <c r="E208" s="81" t="s">
        <v>1260</v>
      </c>
      <c r="F208" s="78" t="s">
        <v>224</v>
      </c>
      <c r="G208" s="88" t="n">
        <v>2</v>
      </c>
      <c r="H208" s="84" t="s">
        <v>61</v>
      </c>
      <c r="I208" s="80" t="s">
        <v>225</v>
      </c>
      <c r="J208" s="80" t="s">
        <v>226</v>
      </c>
      <c r="K208" s="80" t="s">
        <v>227</v>
      </c>
      <c r="L208" s="80" t="s">
        <v>228</v>
      </c>
      <c r="M208" s="80" t="s">
        <v>229</v>
      </c>
      <c r="N208" s="80" t="s">
        <v>230</v>
      </c>
      <c r="O208" s="85" t="n">
        <v>46160</v>
      </c>
      <c r="P208" s="84"/>
      <c r="Q208" s="84"/>
      <c r="R208" s="87" t="s">
        <v>31</v>
      </c>
      <c r="S208" s="109"/>
    </row>
    <row r="209" s="77" customFormat="true" ht="36" hidden="false" customHeight="true" outlineLevel="1" collapsed="false">
      <c r="B209" s="78"/>
      <c r="C209" s="80" t="s">
        <v>1433</v>
      </c>
      <c r="D209" s="80" t="s">
        <v>231</v>
      </c>
      <c r="E209" s="81" t="s">
        <v>1260</v>
      </c>
      <c r="F209" s="78" t="s">
        <v>232</v>
      </c>
      <c r="G209" s="88" t="n">
        <v>5</v>
      </c>
      <c r="H209" s="84" t="s">
        <v>61</v>
      </c>
      <c r="I209" s="80" t="s">
        <v>702</v>
      </c>
      <c r="J209" s="80" t="s">
        <v>703</v>
      </c>
      <c r="K209" s="80" t="s">
        <v>704</v>
      </c>
      <c r="L209" s="80" t="s">
        <v>236</v>
      </c>
      <c r="M209" s="80" t="s">
        <v>1215</v>
      </c>
      <c r="N209" s="80" t="s">
        <v>238</v>
      </c>
      <c r="O209" s="85" t="n">
        <v>46160</v>
      </c>
      <c r="P209" s="84"/>
      <c r="Q209" s="84"/>
      <c r="R209" s="87" t="s">
        <v>31</v>
      </c>
      <c r="S209" s="109"/>
    </row>
    <row r="210" s="77" customFormat="true" ht="36" hidden="false" customHeight="true" outlineLevel="1" collapsed="false">
      <c r="B210" s="78"/>
      <c r="C210" s="80" t="s">
        <v>1434</v>
      </c>
      <c r="D210" s="80" t="s">
        <v>795</v>
      </c>
      <c r="E210" s="81" t="s">
        <v>1260</v>
      </c>
      <c r="F210" s="78" t="s">
        <v>796</v>
      </c>
      <c r="G210" s="88" t="n">
        <v>16</v>
      </c>
      <c r="H210" s="84" t="s">
        <v>61</v>
      </c>
      <c r="I210" s="80" t="s">
        <v>797</v>
      </c>
      <c r="J210" s="80" t="s">
        <v>798</v>
      </c>
      <c r="K210" s="96" t="s">
        <v>799</v>
      </c>
      <c r="L210" s="80" t="s">
        <v>236</v>
      </c>
      <c r="M210" s="80" t="s">
        <v>1218</v>
      </c>
      <c r="N210" s="80" t="s">
        <v>801</v>
      </c>
      <c r="O210" s="85" t="n">
        <v>46160</v>
      </c>
      <c r="P210" s="84"/>
      <c r="Q210" s="84"/>
      <c r="R210" s="87" t="s">
        <v>31</v>
      </c>
      <c r="S210" s="109"/>
    </row>
    <row r="211" s="77" customFormat="true" ht="15" hidden="false" customHeight="false" outlineLevel="1" collapsed="false">
      <c r="B211" s="78"/>
      <c r="C211" s="80" t="n">
        <v>203</v>
      </c>
      <c r="D211" s="80" t="s">
        <v>239</v>
      </c>
      <c r="E211" s="81" t="s">
        <v>1260</v>
      </c>
      <c r="F211" s="78" t="s">
        <v>240</v>
      </c>
      <c r="G211" s="88" t="n">
        <v>1</v>
      </c>
      <c r="H211" s="84" t="s">
        <v>24</v>
      </c>
      <c r="I211" s="80" t="s">
        <v>241</v>
      </c>
      <c r="J211" s="80" t="s">
        <v>242</v>
      </c>
      <c r="K211" s="80" t="s">
        <v>243</v>
      </c>
      <c r="L211" s="80" t="s">
        <v>244</v>
      </c>
      <c r="M211" s="80" t="s">
        <v>244</v>
      </c>
      <c r="N211" s="80" t="s">
        <v>246</v>
      </c>
      <c r="O211" s="85" t="n">
        <v>46160</v>
      </c>
      <c r="P211" s="84"/>
      <c r="Q211" s="84"/>
      <c r="R211" s="87" t="s">
        <v>31</v>
      </c>
      <c r="S211" s="109"/>
    </row>
    <row r="212" s="77" customFormat="true" ht="30" hidden="false" customHeight="true" outlineLevel="1" collapsed="false">
      <c r="B212" s="78"/>
      <c r="C212" s="80" t="n">
        <v>204</v>
      </c>
      <c r="D212" s="80" t="s">
        <v>247</v>
      </c>
      <c r="E212" s="81" t="s">
        <v>1260</v>
      </c>
      <c r="F212" s="78" t="s">
        <v>248</v>
      </c>
      <c r="G212" s="88" t="n">
        <v>2</v>
      </c>
      <c r="H212" s="84" t="s">
        <v>61</v>
      </c>
      <c r="I212" s="80" t="s">
        <v>249</v>
      </c>
      <c r="J212" s="80" t="s">
        <v>250</v>
      </c>
      <c r="K212" s="80" t="s">
        <v>251</v>
      </c>
      <c r="L212" s="80" t="s">
        <v>252</v>
      </c>
      <c r="M212" s="80" t="s">
        <v>535</v>
      </c>
      <c r="N212" s="80" t="s">
        <v>254</v>
      </c>
      <c r="O212" s="85" t="n">
        <v>46160</v>
      </c>
      <c r="P212" s="84"/>
      <c r="Q212" s="84"/>
      <c r="R212" s="87" t="s">
        <v>31</v>
      </c>
      <c r="S212" s="109"/>
    </row>
    <row r="213" s="77" customFormat="true" ht="36" hidden="false" customHeight="true" outlineLevel="1" collapsed="false">
      <c r="B213" s="78"/>
      <c r="C213" s="80" t="s">
        <v>1286</v>
      </c>
      <c r="D213" s="80" t="s">
        <v>255</v>
      </c>
      <c r="E213" s="81" t="s">
        <v>1260</v>
      </c>
      <c r="F213" s="78" t="s">
        <v>256</v>
      </c>
      <c r="G213" s="88" t="n">
        <v>3</v>
      </c>
      <c r="H213" s="84" t="s">
        <v>61</v>
      </c>
      <c r="I213" s="80" t="s">
        <v>1287</v>
      </c>
      <c r="J213" s="80" t="s">
        <v>1288</v>
      </c>
      <c r="K213" s="80" t="s">
        <v>1289</v>
      </c>
      <c r="L213" s="80" t="s">
        <v>260</v>
      </c>
      <c r="M213" s="80" t="s">
        <v>1290</v>
      </c>
      <c r="N213" s="80" t="s">
        <v>262</v>
      </c>
      <c r="O213" s="101" t="n">
        <v>46125</v>
      </c>
      <c r="P213" s="84"/>
      <c r="Q213" s="84"/>
      <c r="R213" s="87" t="s">
        <v>31</v>
      </c>
      <c r="S213" s="109"/>
    </row>
    <row r="214" s="77" customFormat="true" ht="15" hidden="false" customHeight="false" outlineLevel="1" collapsed="false">
      <c r="B214" s="78"/>
      <c r="C214" s="80" t="n">
        <v>206</v>
      </c>
      <c r="D214" s="80" t="s">
        <v>651</v>
      </c>
      <c r="E214" s="81" t="s">
        <v>1260</v>
      </c>
      <c r="F214" s="78" t="s">
        <v>652</v>
      </c>
      <c r="G214" s="88" t="n">
        <v>3</v>
      </c>
      <c r="H214" s="84" t="s">
        <v>111</v>
      </c>
      <c r="I214" s="80" t="s">
        <v>653</v>
      </c>
      <c r="J214" s="80" t="s">
        <v>654</v>
      </c>
      <c r="K214" s="80" t="s">
        <v>655</v>
      </c>
      <c r="L214" s="80" t="s">
        <v>656</v>
      </c>
      <c r="M214" s="80" t="s">
        <v>657</v>
      </c>
      <c r="N214" s="80" t="s">
        <v>658</v>
      </c>
      <c r="O214" s="101" t="n">
        <v>46125</v>
      </c>
      <c r="P214" s="84"/>
      <c r="Q214" s="84"/>
      <c r="R214" s="87" t="s">
        <v>31</v>
      </c>
      <c r="S214" s="109"/>
    </row>
    <row r="215" s="77" customFormat="true" ht="15" hidden="false" customHeight="false" outlineLevel="1" collapsed="false">
      <c r="B215" s="78"/>
      <c r="C215" s="80" t="n">
        <v>207</v>
      </c>
      <c r="D215" s="80" t="s">
        <v>270</v>
      </c>
      <c r="E215" s="81" t="s">
        <v>1260</v>
      </c>
      <c r="F215" s="78" t="s">
        <v>271</v>
      </c>
      <c r="G215" s="88" t="n">
        <v>1</v>
      </c>
      <c r="H215" s="84" t="s">
        <v>61</v>
      </c>
      <c r="I215" s="80" t="s">
        <v>272</v>
      </c>
      <c r="J215" s="80" t="s">
        <v>273</v>
      </c>
      <c r="K215" s="80" t="s">
        <v>274</v>
      </c>
      <c r="L215" s="80" t="s">
        <v>792</v>
      </c>
      <c r="M215" s="80" t="s">
        <v>792</v>
      </c>
      <c r="N215" s="80" t="s">
        <v>277</v>
      </c>
      <c r="O215" s="101" t="n">
        <v>46125</v>
      </c>
      <c r="P215" s="84"/>
      <c r="Q215" s="84"/>
      <c r="R215" s="87" t="s">
        <v>31</v>
      </c>
      <c r="S215" s="109"/>
    </row>
    <row r="216" s="77" customFormat="true" ht="15" hidden="false" customHeight="false" outlineLevel="1" collapsed="false">
      <c r="B216" s="78"/>
      <c r="C216" s="80" t="n">
        <v>208</v>
      </c>
      <c r="D216" s="80" t="s">
        <v>706</v>
      </c>
      <c r="E216" s="81" t="s">
        <v>1260</v>
      </c>
      <c r="F216" s="78" t="s">
        <v>707</v>
      </c>
      <c r="G216" s="88" t="n">
        <v>5</v>
      </c>
      <c r="H216" s="84" t="s">
        <v>111</v>
      </c>
      <c r="I216" s="80" t="s">
        <v>708</v>
      </c>
      <c r="J216" s="80" t="s">
        <v>709</v>
      </c>
      <c r="K216" s="80" t="s">
        <v>710</v>
      </c>
      <c r="L216" s="80" t="s">
        <v>711</v>
      </c>
      <c r="M216" s="80" t="s">
        <v>712</v>
      </c>
      <c r="N216" s="80" t="s">
        <v>713</v>
      </c>
      <c r="O216" s="85" t="n">
        <v>46160</v>
      </c>
      <c r="P216" s="84"/>
      <c r="Q216" s="84"/>
      <c r="R216" s="87" t="s">
        <v>31</v>
      </c>
      <c r="S216" s="109"/>
    </row>
    <row r="217" s="77" customFormat="true" ht="15" hidden="false" customHeight="false" outlineLevel="1" collapsed="false">
      <c r="B217" s="78"/>
      <c r="C217" s="80" t="n">
        <v>209</v>
      </c>
      <c r="D217" s="80" t="s">
        <v>743</v>
      </c>
      <c r="E217" s="81" t="s">
        <v>1260</v>
      </c>
      <c r="F217" s="78" t="s">
        <v>744</v>
      </c>
      <c r="G217" s="88" t="n">
        <v>2</v>
      </c>
      <c r="H217" s="84" t="s">
        <v>745</v>
      </c>
      <c r="I217" s="80" t="s">
        <v>746</v>
      </c>
      <c r="J217" s="80" t="s">
        <v>747</v>
      </c>
      <c r="K217" s="80" t="s">
        <v>748</v>
      </c>
      <c r="L217" s="80" t="s">
        <v>749</v>
      </c>
      <c r="M217" s="80" t="s">
        <v>750</v>
      </c>
      <c r="N217" s="80" t="s">
        <v>751</v>
      </c>
      <c r="O217" s="85" t="n">
        <v>46160</v>
      </c>
      <c r="P217" s="84"/>
      <c r="Q217" s="84"/>
      <c r="R217" s="87" t="s">
        <v>31</v>
      </c>
      <c r="S217" s="109"/>
    </row>
    <row r="218" s="77" customFormat="true" ht="15" hidden="false" customHeight="false" outlineLevel="1" collapsed="false">
      <c r="B218" s="78"/>
      <c r="C218" s="80" t="n">
        <v>210</v>
      </c>
      <c r="D218" s="80" t="s">
        <v>859</v>
      </c>
      <c r="E218" s="81" t="s">
        <v>1260</v>
      </c>
      <c r="F218" s="78" t="s">
        <v>860</v>
      </c>
      <c r="G218" s="88" t="n">
        <v>2</v>
      </c>
      <c r="H218" s="84" t="s">
        <v>861</v>
      </c>
      <c r="I218" s="80" t="s">
        <v>862</v>
      </c>
      <c r="J218" s="80" t="s">
        <v>863</v>
      </c>
      <c r="K218" s="80" t="s">
        <v>864</v>
      </c>
      <c r="L218" s="80" t="s">
        <v>865</v>
      </c>
      <c r="M218" s="80" t="s">
        <v>866</v>
      </c>
      <c r="N218" s="80" t="s">
        <v>867</v>
      </c>
      <c r="O218" s="85" t="n">
        <v>46160</v>
      </c>
      <c r="P218" s="84"/>
      <c r="Q218" s="84"/>
      <c r="R218" s="87" t="s">
        <v>31</v>
      </c>
      <c r="S218" s="109"/>
    </row>
    <row r="219" s="77" customFormat="true" ht="15" hidden="false" customHeight="false" outlineLevel="1" collapsed="false">
      <c r="B219" s="78"/>
      <c r="C219" s="80" t="n">
        <v>211</v>
      </c>
      <c r="D219" s="80" t="s">
        <v>286</v>
      </c>
      <c r="E219" s="81" t="s">
        <v>1260</v>
      </c>
      <c r="F219" s="78" t="s">
        <v>287</v>
      </c>
      <c r="G219" s="88" t="n">
        <v>1</v>
      </c>
      <c r="H219" s="84" t="s">
        <v>61</v>
      </c>
      <c r="I219" s="80" t="s">
        <v>288</v>
      </c>
      <c r="J219" s="80" t="s">
        <v>289</v>
      </c>
      <c r="K219" s="80" t="s">
        <v>290</v>
      </c>
      <c r="L219" s="80" t="s">
        <v>291</v>
      </c>
      <c r="M219" s="80" t="s">
        <v>292</v>
      </c>
      <c r="N219" s="80" t="s">
        <v>293</v>
      </c>
      <c r="O219" s="85" t="n">
        <v>46160</v>
      </c>
      <c r="P219" s="84"/>
      <c r="Q219" s="84"/>
      <c r="R219" s="87" t="s">
        <v>31</v>
      </c>
      <c r="S219" s="109"/>
    </row>
    <row r="220" s="77" customFormat="true" ht="36" hidden="false" customHeight="true" outlineLevel="1" collapsed="false">
      <c r="B220" s="78"/>
      <c r="C220" s="80" t="s">
        <v>1435</v>
      </c>
      <c r="D220" s="80" t="s">
        <v>294</v>
      </c>
      <c r="E220" s="81" t="s">
        <v>1260</v>
      </c>
      <c r="F220" s="78" t="s">
        <v>295</v>
      </c>
      <c r="G220" s="88" t="n">
        <v>9</v>
      </c>
      <c r="H220" s="84" t="s">
        <v>61</v>
      </c>
      <c r="I220" s="80" t="s">
        <v>908</v>
      </c>
      <c r="J220" s="80" t="s">
        <v>909</v>
      </c>
      <c r="K220" s="80" t="s">
        <v>910</v>
      </c>
      <c r="L220" s="80" t="s">
        <v>299</v>
      </c>
      <c r="M220" s="80" t="s">
        <v>1436</v>
      </c>
      <c r="N220" s="80" t="s">
        <v>301</v>
      </c>
      <c r="O220" s="85" t="n">
        <v>46160</v>
      </c>
      <c r="P220" s="84"/>
      <c r="Q220" s="84"/>
      <c r="R220" s="87" t="s">
        <v>31</v>
      </c>
      <c r="S220" s="109"/>
    </row>
    <row r="221" s="77" customFormat="true" ht="36" hidden="false" customHeight="true" outlineLevel="1" collapsed="false">
      <c r="B221" s="78"/>
      <c r="C221" s="80" t="n">
        <v>213</v>
      </c>
      <c r="D221" s="80" t="s">
        <v>302</v>
      </c>
      <c r="E221" s="81" t="s">
        <v>1260</v>
      </c>
      <c r="F221" s="78" t="s">
        <v>303</v>
      </c>
      <c r="G221" s="88" t="n">
        <v>2</v>
      </c>
      <c r="H221" s="84" t="s">
        <v>61</v>
      </c>
      <c r="I221" s="80" t="s">
        <v>304</v>
      </c>
      <c r="J221" s="80" t="s">
        <v>305</v>
      </c>
      <c r="K221" s="80" t="s">
        <v>306</v>
      </c>
      <c r="L221" s="80" t="s">
        <v>307</v>
      </c>
      <c r="M221" s="80" t="s">
        <v>759</v>
      </c>
      <c r="N221" s="80" t="s">
        <v>309</v>
      </c>
      <c r="O221" s="85" t="n">
        <v>46160</v>
      </c>
      <c r="P221" s="84"/>
      <c r="Q221" s="84"/>
      <c r="R221" s="87" t="s">
        <v>31</v>
      </c>
      <c r="S221" s="109"/>
    </row>
    <row r="222" s="77" customFormat="true" ht="15" hidden="false" customHeight="false" outlineLevel="1" collapsed="false">
      <c r="B222" s="78"/>
      <c r="C222" s="80" t="n">
        <v>214</v>
      </c>
      <c r="D222" s="80" t="s">
        <v>326</v>
      </c>
      <c r="E222" s="81" t="s">
        <v>1260</v>
      </c>
      <c r="F222" s="78" t="s">
        <v>327</v>
      </c>
      <c r="G222" s="88" t="n">
        <v>1</v>
      </c>
      <c r="H222" s="84" t="s">
        <v>152</v>
      </c>
      <c r="I222" s="80" t="s">
        <v>328</v>
      </c>
      <c r="J222" s="80" t="s">
        <v>329</v>
      </c>
      <c r="K222" s="80" t="s">
        <v>330</v>
      </c>
      <c r="L222" s="80" t="s">
        <v>331</v>
      </c>
      <c r="M222" s="80" t="s">
        <v>332</v>
      </c>
      <c r="N222" s="80" t="s">
        <v>333</v>
      </c>
      <c r="O222" s="101" t="n">
        <v>46125</v>
      </c>
      <c r="P222" s="84"/>
      <c r="Q222" s="84"/>
      <c r="R222" s="87" t="s">
        <v>31</v>
      </c>
      <c r="S222" s="109"/>
    </row>
    <row r="223" s="77" customFormat="true" ht="30" hidden="false" customHeight="true" outlineLevel="1" collapsed="false">
      <c r="B223" s="78"/>
      <c r="C223" s="80" t="n">
        <v>215</v>
      </c>
      <c r="D223" s="80" t="s">
        <v>334</v>
      </c>
      <c r="E223" s="81" t="s">
        <v>1260</v>
      </c>
      <c r="F223" s="78" t="s">
        <v>335</v>
      </c>
      <c r="G223" s="88" t="n">
        <v>1</v>
      </c>
      <c r="H223" s="84" t="s">
        <v>61</v>
      </c>
      <c r="I223" s="80" t="s">
        <v>336</v>
      </c>
      <c r="J223" s="80" t="s">
        <v>337</v>
      </c>
      <c r="K223" s="80" t="s">
        <v>338</v>
      </c>
      <c r="L223" s="80" t="s">
        <v>339</v>
      </c>
      <c r="M223" s="80" t="s">
        <v>340</v>
      </c>
      <c r="N223" s="80" t="s">
        <v>341</v>
      </c>
      <c r="O223" s="85" t="n">
        <v>46160</v>
      </c>
      <c r="P223" s="84"/>
      <c r="Q223" s="84"/>
      <c r="R223" s="87" t="s">
        <v>31</v>
      </c>
      <c r="S223" s="109"/>
    </row>
    <row r="224" s="77" customFormat="true" ht="36" hidden="false" customHeight="true" outlineLevel="1" collapsed="false">
      <c r="B224" s="78"/>
      <c r="C224" s="80" t="s">
        <v>1437</v>
      </c>
      <c r="D224" s="80" t="s">
        <v>342</v>
      </c>
      <c r="E224" s="81" t="s">
        <v>1260</v>
      </c>
      <c r="F224" s="78" t="s">
        <v>343</v>
      </c>
      <c r="G224" s="88" t="n">
        <v>4</v>
      </c>
      <c r="H224" s="84" t="s">
        <v>24</v>
      </c>
      <c r="I224" s="80" t="s">
        <v>344</v>
      </c>
      <c r="J224" s="80" t="s">
        <v>345</v>
      </c>
      <c r="K224" s="80" t="s">
        <v>346</v>
      </c>
      <c r="L224" s="80" t="s">
        <v>1438</v>
      </c>
      <c r="M224" s="80" t="s">
        <v>1407</v>
      </c>
      <c r="N224" s="80" t="s">
        <v>349</v>
      </c>
      <c r="O224" s="85" t="n">
        <v>46160</v>
      </c>
      <c r="P224" s="84"/>
      <c r="Q224" s="84"/>
      <c r="R224" s="87" t="s">
        <v>31</v>
      </c>
      <c r="S224" s="109"/>
    </row>
    <row r="225" s="77" customFormat="true" ht="30" hidden="false" customHeight="true" outlineLevel="1" collapsed="false">
      <c r="B225" s="78"/>
      <c r="C225" s="80" t="s">
        <v>873</v>
      </c>
      <c r="D225" s="80" t="s">
        <v>802</v>
      </c>
      <c r="E225" s="81" t="s">
        <v>1260</v>
      </c>
      <c r="F225" s="78" t="s">
        <v>803</v>
      </c>
      <c r="G225" s="88" t="n">
        <v>20</v>
      </c>
      <c r="H225" s="84" t="s">
        <v>804</v>
      </c>
      <c r="I225" s="80" t="s">
        <v>874</v>
      </c>
      <c r="J225" s="80" t="s">
        <v>875</v>
      </c>
      <c r="K225" s="80" t="s">
        <v>876</v>
      </c>
      <c r="L225" s="80" t="s">
        <v>808</v>
      </c>
      <c r="M225" s="80" t="s">
        <v>1439</v>
      </c>
      <c r="N225" s="80" t="s">
        <v>810</v>
      </c>
      <c r="O225" s="85" t="n">
        <v>46160</v>
      </c>
      <c r="P225" s="84"/>
      <c r="Q225" s="84"/>
      <c r="R225" s="87" t="s">
        <v>31</v>
      </c>
      <c r="S225" s="109"/>
    </row>
    <row r="226" s="77" customFormat="true" ht="15" hidden="false" customHeight="false" outlineLevel="1" collapsed="false">
      <c r="B226" s="78"/>
      <c r="C226" s="80" t="n">
        <v>218</v>
      </c>
      <c r="D226" s="80" t="s">
        <v>357</v>
      </c>
      <c r="E226" s="81" t="s">
        <v>1260</v>
      </c>
      <c r="F226" s="78" t="s">
        <v>358</v>
      </c>
      <c r="G226" s="88" t="n">
        <v>1</v>
      </c>
      <c r="H226" s="84" t="s">
        <v>359</v>
      </c>
      <c r="I226" s="80" t="s">
        <v>360</v>
      </c>
      <c r="J226" s="80" t="s">
        <v>361</v>
      </c>
      <c r="K226" s="80" t="s">
        <v>362</v>
      </c>
      <c r="L226" s="80" t="s">
        <v>363</v>
      </c>
      <c r="M226" s="80" t="s">
        <v>364</v>
      </c>
      <c r="N226" s="80" t="s">
        <v>365</v>
      </c>
      <c r="O226" s="85" t="n">
        <v>46160</v>
      </c>
      <c r="P226" s="84"/>
      <c r="Q226" s="84"/>
      <c r="R226" s="87" t="s">
        <v>31</v>
      </c>
      <c r="S226" s="109"/>
    </row>
    <row r="227" s="77" customFormat="true" ht="72" hidden="false" customHeight="true" outlineLevel="1" collapsed="false">
      <c r="B227" s="78"/>
      <c r="C227" s="80" t="s">
        <v>1440</v>
      </c>
      <c r="D227" s="80" t="s">
        <v>366</v>
      </c>
      <c r="E227" s="81" t="s">
        <v>1260</v>
      </c>
      <c r="F227" s="78" t="s">
        <v>367</v>
      </c>
      <c r="G227" s="88" t="n">
        <v>15</v>
      </c>
      <c r="H227" s="84" t="s">
        <v>368</v>
      </c>
      <c r="I227" s="80" t="s">
        <v>369</v>
      </c>
      <c r="J227" s="80" t="s">
        <v>370</v>
      </c>
      <c r="K227" s="80" t="s">
        <v>371</v>
      </c>
      <c r="L227" s="80" t="s">
        <v>372</v>
      </c>
      <c r="M227" s="80" t="s">
        <v>1191</v>
      </c>
      <c r="N227" s="80" t="s">
        <v>374</v>
      </c>
      <c r="O227" s="85" t="n">
        <v>46160</v>
      </c>
      <c r="P227" s="84"/>
      <c r="Q227" s="84"/>
      <c r="R227" s="87" t="s">
        <v>31</v>
      </c>
      <c r="S227" s="109"/>
    </row>
    <row r="228" s="77" customFormat="true" ht="15" hidden="false" customHeight="false" outlineLevel="1" collapsed="false">
      <c r="B228" s="78"/>
      <c r="C228" s="80" t="n">
        <v>220</v>
      </c>
      <c r="D228" s="80" t="s">
        <v>734</v>
      </c>
      <c r="E228" s="81" t="s">
        <v>1260</v>
      </c>
      <c r="F228" s="78" t="s">
        <v>735</v>
      </c>
      <c r="G228" s="88" t="n">
        <v>3</v>
      </c>
      <c r="H228" s="84" t="s">
        <v>736</v>
      </c>
      <c r="I228" s="80" t="s">
        <v>737</v>
      </c>
      <c r="J228" s="80" t="s">
        <v>738</v>
      </c>
      <c r="K228" s="80" t="s">
        <v>739</v>
      </c>
      <c r="L228" s="80" t="s">
        <v>740</v>
      </c>
      <c r="M228" s="80" t="s">
        <v>741</v>
      </c>
      <c r="N228" s="80" t="s">
        <v>742</v>
      </c>
      <c r="O228" s="101" t="n">
        <v>46125</v>
      </c>
      <c r="P228" s="84"/>
      <c r="Q228" s="84"/>
      <c r="R228" s="87" t="s">
        <v>31</v>
      </c>
      <c r="S228" s="109"/>
    </row>
    <row r="229" s="77" customFormat="true" ht="15" hidden="false" customHeight="false" outlineLevel="1" collapsed="false">
      <c r="B229" s="78"/>
      <c r="C229" s="80" t="n">
        <v>221</v>
      </c>
      <c r="D229" s="80" t="s">
        <v>604</v>
      </c>
      <c r="E229" s="81" t="s">
        <v>1260</v>
      </c>
      <c r="F229" s="78" t="s">
        <v>605</v>
      </c>
      <c r="G229" s="88" t="n">
        <v>6</v>
      </c>
      <c r="H229" s="84" t="s">
        <v>61</v>
      </c>
      <c r="I229" s="80" t="s">
        <v>606</v>
      </c>
      <c r="J229" s="80" t="s">
        <v>607</v>
      </c>
      <c r="K229" s="80" t="s">
        <v>608</v>
      </c>
      <c r="L229" s="80" t="s">
        <v>252</v>
      </c>
      <c r="M229" s="80" t="s">
        <v>609</v>
      </c>
      <c r="N229" s="80" t="s">
        <v>610</v>
      </c>
      <c r="O229" s="101" t="n">
        <v>46125</v>
      </c>
      <c r="P229" s="84"/>
      <c r="Q229" s="84"/>
      <c r="R229" s="87" t="s">
        <v>31</v>
      </c>
      <c r="S229" s="109"/>
    </row>
    <row r="230" s="77" customFormat="true" ht="15" hidden="false" customHeight="false" outlineLevel="1" collapsed="false">
      <c r="B230" s="78"/>
      <c r="C230" s="80" t="n">
        <v>222</v>
      </c>
      <c r="D230" s="80" t="s">
        <v>375</v>
      </c>
      <c r="E230" s="81" t="s">
        <v>1260</v>
      </c>
      <c r="F230" s="78" t="s">
        <v>376</v>
      </c>
      <c r="G230" s="88" t="n">
        <v>10</v>
      </c>
      <c r="H230" s="84" t="s">
        <v>111</v>
      </c>
      <c r="I230" s="80" t="s">
        <v>473</v>
      </c>
      <c r="J230" s="80" t="s">
        <v>878</v>
      </c>
      <c r="K230" s="80" t="s">
        <v>475</v>
      </c>
      <c r="L230" s="80" t="s">
        <v>380</v>
      </c>
      <c r="M230" s="80" t="s">
        <v>381</v>
      </c>
      <c r="N230" s="80" t="s">
        <v>382</v>
      </c>
      <c r="O230" s="85" t="n">
        <v>46160</v>
      </c>
      <c r="P230" s="84"/>
      <c r="Q230" s="84"/>
      <c r="R230" s="87" t="s">
        <v>31</v>
      </c>
      <c r="S230" s="109"/>
    </row>
    <row r="231" s="77" customFormat="true" ht="15" hidden="false" customHeight="false" outlineLevel="1" collapsed="false">
      <c r="B231" s="78"/>
      <c r="C231" s="80" t="n">
        <v>223</v>
      </c>
      <c r="D231" s="80" t="s">
        <v>383</v>
      </c>
      <c r="E231" s="81" t="s">
        <v>1260</v>
      </c>
      <c r="F231" s="78" t="s">
        <v>384</v>
      </c>
      <c r="G231" s="88" t="n">
        <v>1</v>
      </c>
      <c r="H231" s="84" t="s">
        <v>61</v>
      </c>
      <c r="I231" s="80" t="s">
        <v>385</v>
      </c>
      <c r="J231" s="80" t="s">
        <v>386</v>
      </c>
      <c r="K231" s="80" t="s">
        <v>387</v>
      </c>
      <c r="L231" s="80" t="s">
        <v>388</v>
      </c>
      <c r="M231" s="80" t="s">
        <v>389</v>
      </c>
      <c r="N231" s="80" t="s">
        <v>390</v>
      </c>
      <c r="O231" s="85" t="n">
        <v>46160</v>
      </c>
      <c r="P231" s="84"/>
      <c r="Q231" s="84"/>
      <c r="R231" s="87" t="s">
        <v>31</v>
      </c>
      <c r="S231" s="109"/>
    </row>
    <row r="232" s="77" customFormat="true" ht="36" hidden="false" customHeight="true" outlineLevel="1" collapsed="false">
      <c r="B232" s="78"/>
      <c r="C232" s="80" t="n">
        <v>224</v>
      </c>
      <c r="D232" s="80" t="s">
        <v>399</v>
      </c>
      <c r="E232" s="81" t="s">
        <v>1260</v>
      </c>
      <c r="F232" s="78" t="s">
        <v>400</v>
      </c>
      <c r="G232" s="88" t="n">
        <v>1</v>
      </c>
      <c r="H232" s="84" t="s">
        <v>152</v>
      </c>
      <c r="I232" s="80" t="s">
        <v>401</v>
      </c>
      <c r="J232" s="80" t="s">
        <v>402</v>
      </c>
      <c r="K232" s="80" t="s">
        <v>403</v>
      </c>
      <c r="L232" s="80" t="s">
        <v>404</v>
      </c>
      <c r="M232" s="80" t="s">
        <v>791</v>
      </c>
      <c r="N232" s="80" t="s">
        <v>406</v>
      </c>
      <c r="O232" s="85" t="n">
        <v>46160</v>
      </c>
      <c r="P232" s="84"/>
      <c r="Q232" s="84"/>
      <c r="R232" s="87" t="s">
        <v>31</v>
      </c>
      <c r="S232" s="109"/>
    </row>
    <row r="233" s="77" customFormat="true" ht="15" hidden="false" customHeight="false" outlineLevel="1" collapsed="false">
      <c r="B233" s="78"/>
      <c r="C233" s="80" t="n">
        <v>225</v>
      </c>
      <c r="D233" s="80" t="s">
        <v>415</v>
      </c>
      <c r="E233" s="81" t="s">
        <v>1260</v>
      </c>
      <c r="F233" s="78" t="s">
        <v>416</v>
      </c>
      <c r="G233" s="88" t="n">
        <v>5</v>
      </c>
      <c r="H233" s="84" t="s">
        <v>417</v>
      </c>
      <c r="I233" s="80" t="s">
        <v>418</v>
      </c>
      <c r="J233" s="80" t="s">
        <v>419</v>
      </c>
      <c r="K233" s="80" t="s">
        <v>420</v>
      </c>
      <c r="L233" s="80" t="s">
        <v>421</v>
      </c>
      <c r="M233" s="80" t="s">
        <v>422</v>
      </c>
      <c r="N233" s="80" t="s">
        <v>423</v>
      </c>
      <c r="O233" s="85" t="n">
        <v>46160</v>
      </c>
      <c r="P233" s="84"/>
      <c r="Q233" s="84"/>
      <c r="R233" s="87" t="s">
        <v>31</v>
      </c>
      <c r="S233" s="109"/>
    </row>
    <row r="234" s="77" customFormat="true" ht="30" hidden="false" customHeight="true" outlineLevel="1" collapsed="false">
      <c r="B234" s="78"/>
      <c r="C234" s="80" t="s">
        <v>1441</v>
      </c>
      <c r="D234" s="80" t="s">
        <v>431</v>
      </c>
      <c r="E234" s="81" t="s">
        <v>1260</v>
      </c>
      <c r="F234" s="78" t="s">
        <v>432</v>
      </c>
      <c r="G234" s="88" t="n">
        <v>5</v>
      </c>
      <c r="H234" s="84" t="s">
        <v>152</v>
      </c>
      <c r="I234" s="80" t="s">
        <v>1417</v>
      </c>
      <c r="J234" s="80" t="s">
        <v>1418</v>
      </c>
      <c r="K234" s="80" t="s">
        <v>1419</v>
      </c>
      <c r="L234" s="80" t="s">
        <v>436</v>
      </c>
      <c r="M234" s="80" t="s">
        <v>1442</v>
      </c>
      <c r="N234" s="80" t="s">
        <v>438</v>
      </c>
      <c r="O234" s="85" t="n">
        <v>46160</v>
      </c>
      <c r="P234" s="84"/>
      <c r="Q234" s="84"/>
      <c r="R234" s="87" t="s">
        <v>31</v>
      </c>
      <c r="S234" s="109"/>
    </row>
    <row r="235" s="77" customFormat="true" ht="15" hidden="false" customHeight="false" outlineLevel="1" collapsed="false">
      <c r="B235" s="78"/>
      <c r="C235" s="80" t="n">
        <v>227</v>
      </c>
      <c r="D235" s="80" t="s">
        <v>544</v>
      </c>
      <c r="E235" s="81" t="s">
        <v>1260</v>
      </c>
      <c r="F235" s="78" t="s">
        <v>545</v>
      </c>
      <c r="G235" s="88" t="n">
        <v>1</v>
      </c>
      <c r="H235" s="84" t="s">
        <v>24</v>
      </c>
      <c r="I235" s="80" t="s">
        <v>546</v>
      </c>
      <c r="J235" s="80" t="s">
        <v>547</v>
      </c>
      <c r="K235" s="80" t="s">
        <v>548</v>
      </c>
      <c r="L235" s="80" t="s">
        <v>549</v>
      </c>
      <c r="M235" s="80" t="s">
        <v>550</v>
      </c>
      <c r="N235" s="80" t="s">
        <v>551</v>
      </c>
      <c r="O235" s="85" t="n">
        <v>46160</v>
      </c>
      <c r="P235" s="84"/>
      <c r="Q235" s="84"/>
      <c r="R235" s="87" t="s">
        <v>31</v>
      </c>
      <c r="S235" s="109"/>
    </row>
    <row r="236" s="77" customFormat="true" ht="15" hidden="false" customHeight="false" outlineLevel="1" collapsed="false">
      <c r="B236" s="78"/>
      <c r="C236" s="80" t="n">
        <v>228</v>
      </c>
      <c r="D236" s="80" t="s">
        <v>447</v>
      </c>
      <c r="E236" s="81" t="s">
        <v>1260</v>
      </c>
      <c r="F236" s="78" t="s">
        <v>448</v>
      </c>
      <c r="G236" s="88" t="n">
        <v>1</v>
      </c>
      <c r="H236" s="84" t="s">
        <v>24</v>
      </c>
      <c r="I236" s="80" t="s">
        <v>449</v>
      </c>
      <c r="J236" s="80" t="s">
        <v>450</v>
      </c>
      <c r="K236" s="80" t="s">
        <v>451</v>
      </c>
      <c r="L236" s="80" t="s">
        <v>452</v>
      </c>
      <c r="M236" s="80" t="s">
        <v>453</v>
      </c>
      <c r="N236" s="80" t="s">
        <v>454</v>
      </c>
      <c r="O236" s="85" t="n">
        <v>46160</v>
      </c>
      <c r="P236" s="84"/>
      <c r="Q236" s="84"/>
      <c r="R236" s="87" t="s">
        <v>31</v>
      </c>
      <c r="S236" s="109"/>
    </row>
    <row r="237" s="77" customFormat="true" ht="15" hidden="false" customHeight="false" outlineLevel="1" collapsed="false">
      <c r="B237" s="78"/>
      <c r="C237" s="80" t="n">
        <v>229</v>
      </c>
      <c r="D237" s="80" t="s">
        <v>571</v>
      </c>
      <c r="E237" s="81" t="s">
        <v>1260</v>
      </c>
      <c r="F237" s="78" t="s">
        <v>572</v>
      </c>
      <c r="G237" s="88" t="n">
        <v>1</v>
      </c>
      <c r="H237" s="84" t="s">
        <v>573</v>
      </c>
      <c r="I237" s="80" t="s">
        <v>574</v>
      </c>
      <c r="J237" s="80" t="s">
        <v>575</v>
      </c>
      <c r="K237" s="80" t="s">
        <v>576</v>
      </c>
      <c r="L237" s="80" t="s">
        <v>577</v>
      </c>
      <c r="M237" s="80" t="s">
        <v>578</v>
      </c>
      <c r="N237" s="80" t="s">
        <v>579</v>
      </c>
      <c r="O237" s="85" t="n">
        <v>46160</v>
      </c>
      <c r="P237" s="84"/>
      <c r="Q237" s="84"/>
      <c r="R237" s="87" t="s">
        <v>31</v>
      </c>
      <c r="S237" s="109"/>
    </row>
    <row r="238" s="77" customFormat="true" ht="36" hidden="false" customHeight="true" outlineLevel="1" collapsed="false">
      <c r="B238" s="78"/>
      <c r="C238" s="80" t="s">
        <v>1268</v>
      </c>
      <c r="D238" s="80" t="s">
        <v>596</v>
      </c>
      <c r="E238" s="81" t="s">
        <v>1260</v>
      </c>
      <c r="F238" s="78" t="s">
        <v>597</v>
      </c>
      <c r="G238" s="88" t="n">
        <v>30</v>
      </c>
      <c r="H238" s="84" t="s">
        <v>61</v>
      </c>
      <c r="I238" s="80" t="s">
        <v>598</v>
      </c>
      <c r="J238" s="80" t="s">
        <v>599</v>
      </c>
      <c r="K238" s="80" t="s">
        <v>600</v>
      </c>
      <c r="L238" s="80" t="s">
        <v>601</v>
      </c>
      <c r="M238" s="80" t="s">
        <v>1269</v>
      </c>
      <c r="N238" s="80" t="s">
        <v>603</v>
      </c>
      <c r="O238" s="101" t="n">
        <v>46125</v>
      </c>
      <c r="P238" s="84"/>
      <c r="Q238" s="84"/>
      <c r="R238" s="87" t="s">
        <v>31</v>
      </c>
      <c r="S238" s="109"/>
    </row>
    <row r="239" s="77" customFormat="true" ht="15" hidden="false" customHeight="false" outlineLevel="1" collapsed="false">
      <c r="B239" s="78"/>
      <c r="C239" s="80" t="n">
        <v>231</v>
      </c>
      <c r="D239" s="80" t="s">
        <v>455</v>
      </c>
      <c r="E239" s="81" t="s">
        <v>1260</v>
      </c>
      <c r="F239" s="78" t="s">
        <v>456</v>
      </c>
      <c r="G239" s="88" t="n">
        <v>1</v>
      </c>
      <c r="H239" s="84" t="s">
        <v>111</v>
      </c>
      <c r="I239" s="80" t="s">
        <v>457</v>
      </c>
      <c r="J239" s="80" t="s">
        <v>458</v>
      </c>
      <c r="K239" s="80" t="s">
        <v>459</v>
      </c>
      <c r="L239" s="80" t="s">
        <v>460</v>
      </c>
      <c r="M239" s="80" t="s">
        <v>461</v>
      </c>
      <c r="N239" s="80" t="s">
        <v>462</v>
      </c>
      <c r="O239" s="85" t="n">
        <v>46160</v>
      </c>
      <c r="P239" s="84"/>
      <c r="Q239" s="84"/>
      <c r="R239" s="87" t="s">
        <v>31</v>
      </c>
      <c r="S239" s="109"/>
    </row>
    <row r="240" s="77" customFormat="true" ht="15" hidden="false" customHeight="false" outlineLevel="1" collapsed="false">
      <c r="B240" s="78"/>
      <c r="C240" s="80" t="n">
        <v>232</v>
      </c>
      <c r="D240" s="80" t="s">
        <v>463</v>
      </c>
      <c r="E240" s="81" t="s">
        <v>1260</v>
      </c>
      <c r="F240" s="78" t="s">
        <v>464</v>
      </c>
      <c r="G240" s="88" t="n">
        <v>1</v>
      </c>
      <c r="H240" s="84" t="s">
        <v>152</v>
      </c>
      <c r="I240" s="80" t="s">
        <v>465</v>
      </c>
      <c r="J240" s="80" t="s">
        <v>466</v>
      </c>
      <c r="K240" s="80" t="s">
        <v>467</v>
      </c>
      <c r="L240" s="80" t="s">
        <v>468</v>
      </c>
      <c r="M240" s="80" t="s">
        <v>469</v>
      </c>
      <c r="N240" s="80" t="s">
        <v>470</v>
      </c>
      <c r="O240" s="85" t="n">
        <v>46160</v>
      </c>
      <c r="P240" s="84"/>
      <c r="Q240" s="84"/>
      <c r="R240" s="87" t="s">
        <v>31</v>
      </c>
      <c r="S240" s="109"/>
    </row>
    <row r="241" s="77" customFormat="true" ht="15" hidden="false" customHeight="false" outlineLevel="1" collapsed="false">
      <c r="B241" s="78"/>
      <c r="C241" s="80" t="n">
        <v>233</v>
      </c>
      <c r="D241" s="80" t="s">
        <v>760</v>
      </c>
      <c r="E241" s="81" t="s">
        <v>1260</v>
      </c>
      <c r="F241" s="78" t="s">
        <v>761</v>
      </c>
      <c r="G241" s="88" t="n">
        <v>1</v>
      </c>
      <c r="H241" s="84" t="s">
        <v>61</v>
      </c>
      <c r="I241" s="80" t="s">
        <v>762</v>
      </c>
      <c r="J241" s="80" t="s">
        <v>763</v>
      </c>
      <c r="K241" s="80" t="s">
        <v>764</v>
      </c>
      <c r="L241" s="80" t="s">
        <v>765</v>
      </c>
      <c r="M241" s="80" t="s">
        <v>765</v>
      </c>
      <c r="N241" s="80" t="s">
        <v>766</v>
      </c>
      <c r="O241" s="85" t="n">
        <v>46160</v>
      </c>
      <c r="P241" s="84"/>
      <c r="Q241" s="84"/>
      <c r="R241" s="87" t="s">
        <v>31</v>
      </c>
      <c r="S241" s="109"/>
    </row>
    <row r="242" s="77" customFormat="true" ht="15" hidden="false" customHeight="false" outlineLevel="1" collapsed="false">
      <c r="B242" s="78"/>
      <c r="C242" s="80" t="n">
        <v>234</v>
      </c>
      <c r="D242" s="80" t="s">
        <v>659</v>
      </c>
      <c r="E242" s="81" t="s">
        <v>1260</v>
      </c>
      <c r="F242" s="78" t="s">
        <v>660</v>
      </c>
      <c r="G242" s="88" t="n">
        <v>1</v>
      </c>
      <c r="H242" s="84" t="s">
        <v>152</v>
      </c>
      <c r="I242" s="80" t="s">
        <v>661</v>
      </c>
      <c r="J242" s="80" t="s">
        <v>662</v>
      </c>
      <c r="K242" s="80" t="s">
        <v>663</v>
      </c>
      <c r="L242" s="80" t="s">
        <v>664</v>
      </c>
      <c r="M242" s="80" t="s">
        <v>665</v>
      </c>
      <c r="N242" s="80" t="s">
        <v>666</v>
      </c>
      <c r="O242" s="85" t="n">
        <v>46160</v>
      </c>
      <c r="P242" s="84"/>
      <c r="Q242" s="84"/>
      <c r="R242" s="87" t="s">
        <v>31</v>
      </c>
      <c r="S242" s="109"/>
    </row>
    <row r="243" s="77" customFormat="true" ht="15" hidden="false" customHeight="false" outlineLevel="1" collapsed="false">
      <c r="B243" s="78"/>
      <c r="C243" s="80" t="n">
        <v>235</v>
      </c>
      <c r="D243" s="80" t="s">
        <v>471</v>
      </c>
      <c r="E243" s="81" t="s">
        <v>1260</v>
      </c>
      <c r="F243" s="78" t="s">
        <v>472</v>
      </c>
      <c r="G243" s="88" t="n">
        <v>1</v>
      </c>
      <c r="H243" s="84" t="s">
        <v>111</v>
      </c>
      <c r="I243" s="80" t="s">
        <v>473</v>
      </c>
      <c r="J243" s="80" t="s">
        <v>474</v>
      </c>
      <c r="K243" s="80" t="s">
        <v>475</v>
      </c>
      <c r="L243" s="80" t="s">
        <v>476</v>
      </c>
      <c r="M243" s="80" t="s">
        <v>476</v>
      </c>
      <c r="N243" s="80" t="s">
        <v>477</v>
      </c>
      <c r="O243" s="85" t="n">
        <v>46160</v>
      </c>
      <c r="P243" s="84"/>
      <c r="Q243" s="84"/>
      <c r="R243" s="87" t="s">
        <v>31</v>
      </c>
      <c r="S243" s="109"/>
    </row>
    <row r="244" s="77" customFormat="true" ht="15" hidden="false" customHeight="false" outlineLevel="1" collapsed="false">
      <c r="B244" s="78"/>
      <c r="C244" s="80" t="n">
        <v>236</v>
      </c>
      <c r="D244" s="80" t="s">
        <v>588</v>
      </c>
      <c r="E244" s="81" t="s">
        <v>1260</v>
      </c>
      <c r="F244" s="78" t="s">
        <v>589</v>
      </c>
      <c r="G244" s="88" t="n">
        <v>9</v>
      </c>
      <c r="H244" s="84" t="s">
        <v>24</v>
      </c>
      <c r="I244" s="80" t="s">
        <v>590</v>
      </c>
      <c r="J244" s="80" t="s">
        <v>591</v>
      </c>
      <c r="K244" s="80" t="s">
        <v>592</v>
      </c>
      <c r="L244" s="80" t="s">
        <v>593</v>
      </c>
      <c r="M244" s="80" t="s">
        <v>594</v>
      </c>
      <c r="N244" s="80" t="s">
        <v>595</v>
      </c>
      <c r="O244" s="101" t="n">
        <v>46125</v>
      </c>
      <c r="P244" s="84"/>
      <c r="Q244" s="84"/>
      <c r="R244" s="87" t="s">
        <v>31</v>
      </c>
      <c r="S244" s="109"/>
    </row>
    <row r="245" s="77" customFormat="true" ht="30" hidden="false" customHeight="true" outlineLevel="1" collapsed="false">
      <c r="B245" s="78"/>
      <c r="C245" s="80" t="n">
        <v>237</v>
      </c>
      <c r="D245" s="80" t="s">
        <v>478</v>
      </c>
      <c r="E245" s="81" t="s">
        <v>1260</v>
      </c>
      <c r="F245" s="78" t="s">
        <v>479</v>
      </c>
      <c r="G245" s="88" t="n">
        <v>1</v>
      </c>
      <c r="H245" s="84" t="s">
        <v>111</v>
      </c>
      <c r="I245" s="80" t="s">
        <v>480</v>
      </c>
      <c r="J245" s="80" t="s">
        <v>481</v>
      </c>
      <c r="K245" s="80" t="s">
        <v>482</v>
      </c>
      <c r="L245" s="80" t="s">
        <v>483</v>
      </c>
      <c r="M245" s="80" t="s">
        <v>634</v>
      </c>
      <c r="N245" s="80" t="s">
        <v>485</v>
      </c>
      <c r="O245" s="85" t="n">
        <v>46160</v>
      </c>
      <c r="P245" s="84"/>
      <c r="Q245" s="84"/>
      <c r="R245" s="87" t="s">
        <v>31</v>
      </c>
      <c r="S245" s="109"/>
    </row>
    <row r="246" s="77" customFormat="true" ht="15" hidden="false" customHeight="false" outlineLevel="1" collapsed="false">
      <c r="B246" s="78"/>
      <c r="C246" s="80" t="n">
        <v>238</v>
      </c>
      <c r="D246" s="80" t="s">
        <v>486</v>
      </c>
      <c r="E246" s="81" t="s">
        <v>1260</v>
      </c>
      <c r="F246" s="78" t="s">
        <v>487</v>
      </c>
      <c r="G246" s="88" t="n">
        <v>1</v>
      </c>
      <c r="H246" s="84" t="s">
        <v>152</v>
      </c>
      <c r="I246" s="80" t="s">
        <v>488</v>
      </c>
      <c r="J246" s="80" t="s">
        <v>489</v>
      </c>
      <c r="K246" s="80" t="s">
        <v>490</v>
      </c>
      <c r="L246" s="80" t="s">
        <v>491</v>
      </c>
      <c r="M246" s="80" t="s">
        <v>492</v>
      </c>
      <c r="N246" s="80" t="s">
        <v>493</v>
      </c>
      <c r="O246" s="101" t="n">
        <v>46125</v>
      </c>
      <c r="P246" s="84"/>
      <c r="Q246" s="84"/>
      <c r="R246" s="87" t="s">
        <v>31</v>
      </c>
      <c r="S246" s="109"/>
    </row>
    <row r="247" s="77" customFormat="true" ht="15" hidden="false" customHeight="false" outlineLevel="1" collapsed="false">
      <c r="B247" s="78"/>
      <c r="C247" s="80" t="n">
        <v>239</v>
      </c>
      <c r="D247" s="80" t="s">
        <v>611</v>
      </c>
      <c r="E247" s="81" t="s">
        <v>1260</v>
      </c>
      <c r="F247" s="78" t="s">
        <v>612</v>
      </c>
      <c r="G247" s="88" t="n">
        <v>7</v>
      </c>
      <c r="H247" s="84" t="s">
        <v>24</v>
      </c>
      <c r="I247" s="80" t="s">
        <v>613</v>
      </c>
      <c r="J247" s="80" t="s">
        <v>614</v>
      </c>
      <c r="K247" s="80" t="s">
        <v>615</v>
      </c>
      <c r="L247" s="80" t="s">
        <v>616</v>
      </c>
      <c r="M247" s="80" t="s">
        <v>616</v>
      </c>
      <c r="N247" s="80" t="s">
        <v>617</v>
      </c>
      <c r="O247" s="85" t="n">
        <v>46160</v>
      </c>
      <c r="P247" s="84"/>
      <c r="Q247" s="84"/>
      <c r="R247" s="87" t="s">
        <v>31</v>
      </c>
      <c r="S247" s="109"/>
    </row>
    <row r="248" s="77" customFormat="true" ht="15" hidden="false" customHeight="false" outlineLevel="1" collapsed="false">
      <c r="B248" s="78"/>
      <c r="C248" s="80" t="n">
        <v>240</v>
      </c>
      <c r="D248" s="80" t="s">
        <v>508</v>
      </c>
      <c r="E248" s="81" t="s">
        <v>1260</v>
      </c>
      <c r="F248" s="78" t="s">
        <v>509</v>
      </c>
      <c r="G248" s="88" t="n">
        <v>20</v>
      </c>
      <c r="H248" s="84" t="s">
        <v>61</v>
      </c>
      <c r="I248" s="80" t="s">
        <v>510</v>
      </c>
      <c r="J248" s="80" t="s">
        <v>511</v>
      </c>
      <c r="K248" s="80" t="s">
        <v>512</v>
      </c>
      <c r="L248" s="80" t="s">
        <v>513</v>
      </c>
      <c r="M248" s="80" t="s">
        <v>514</v>
      </c>
      <c r="N248" s="80" t="s">
        <v>515</v>
      </c>
      <c r="O248" s="101" t="n">
        <v>46125</v>
      </c>
      <c r="P248" s="84"/>
      <c r="Q248" s="84"/>
      <c r="R248" s="87" t="s">
        <v>31</v>
      </c>
      <c r="S248" s="109"/>
    </row>
    <row r="249" s="77" customFormat="true" ht="15" hidden="false" customHeight="false" outlineLevel="1" collapsed="false">
      <c r="B249" s="78"/>
      <c r="C249" s="80" t="n">
        <v>241</v>
      </c>
      <c r="D249" s="80" t="s">
        <v>516</v>
      </c>
      <c r="E249" s="81" t="s">
        <v>1260</v>
      </c>
      <c r="F249" s="92" t="s">
        <v>517</v>
      </c>
      <c r="G249" s="88" t="n">
        <v>2</v>
      </c>
      <c r="H249" s="84" t="s">
        <v>61</v>
      </c>
      <c r="I249" s="80" t="s">
        <v>518</v>
      </c>
      <c r="J249" s="80" t="s">
        <v>519</v>
      </c>
      <c r="K249" s="80" t="s">
        <v>520</v>
      </c>
      <c r="L249" s="80" t="s">
        <v>521</v>
      </c>
      <c r="M249" s="80" t="s">
        <v>522</v>
      </c>
      <c r="N249" s="80" t="s">
        <v>523</v>
      </c>
      <c r="O249" s="85" t="n">
        <v>46160</v>
      </c>
      <c r="P249" s="84"/>
      <c r="Q249" s="84"/>
      <c r="R249" s="87" t="s">
        <v>31</v>
      </c>
      <c r="S249" s="109"/>
    </row>
    <row r="250" s="77" customFormat="true" ht="15" hidden="false" customHeight="false" outlineLevel="1" collapsed="false">
      <c r="B250" s="78"/>
      <c r="C250" s="80" t="n">
        <v>242</v>
      </c>
      <c r="D250" s="80" t="s">
        <v>644</v>
      </c>
      <c r="E250" s="81" t="s">
        <v>1260</v>
      </c>
      <c r="F250" s="78" t="s">
        <v>645</v>
      </c>
      <c r="G250" s="88" t="n">
        <v>3</v>
      </c>
      <c r="H250" s="84" t="s">
        <v>61</v>
      </c>
      <c r="I250" s="80" t="s">
        <v>646</v>
      </c>
      <c r="J250" s="80" t="s">
        <v>647</v>
      </c>
      <c r="K250" s="80" t="s">
        <v>648</v>
      </c>
      <c r="L250" s="80" t="s">
        <v>649</v>
      </c>
      <c r="M250" s="80" t="s">
        <v>650</v>
      </c>
      <c r="N250" s="80"/>
      <c r="O250" s="101" t="n">
        <v>46125</v>
      </c>
      <c r="P250" s="84"/>
      <c r="Q250" s="84"/>
      <c r="R250" s="87" t="s">
        <v>31</v>
      </c>
      <c r="S250" s="109"/>
    </row>
    <row r="251" s="68" customFormat="true" ht="15" hidden="false" customHeight="false" outlineLevel="0" collapsed="false">
      <c r="B251" s="69"/>
      <c r="C251" s="69"/>
      <c r="D251" s="69"/>
      <c r="E251" s="72" t="s">
        <v>1443</v>
      </c>
      <c r="F251" s="72"/>
      <c r="G251" s="119" t="n">
        <f aca="false">SUM(G252:G310)</f>
        <v>278</v>
      </c>
      <c r="H251" s="89"/>
      <c r="I251" s="123"/>
      <c r="J251" s="124"/>
      <c r="K251" s="125"/>
      <c r="L251" s="69"/>
      <c r="M251" s="69"/>
      <c r="N251" s="90"/>
      <c r="O251" s="89"/>
      <c r="P251" s="76"/>
      <c r="Q251" s="76"/>
      <c r="R251" s="74" t="s">
        <v>31</v>
      </c>
      <c r="S251" s="74"/>
    </row>
    <row r="252" s="77" customFormat="true" ht="15" hidden="false" customHeight="false" outlineLevel="1" collapsed="false">
      <c r="B252" s="78"/>
      <c r="C252" s="80" t="n">
        <v>243</v>
      </c>
      <c r="D252" s="80" t="s">
        <v>21</v>
      </c>
      <c r="E252" s="81" t="s">
        <v>1443</v>
      </c>
      <c r="F252" s="78" t="s">
        <v>22</v>
      </c>
      <c r="G252" s="88" t="n">
        <v>5</v>
      </c>
      <c r="H252" s="84" t="s">
        <v>24</v>
      </c>
      <c r="I252" s="80" t="s">
        <v>25</v>
      </c>
      <c r="J252" s="80" t="s">
        <v>26</v>
      </c>
      <c r="K252" s="80" t="s">
        <v>27</v>
      </c>
      <c r="L252" s="80" t="s">
        <v>28</v>
      </c>
      <c r="M252" s="80" t="s">
        <v>29</v>
      </c>
      <c r="N252" s="80" t="s">
        <v>30</v>
      </c>
      <c r="O252" s="101" t="n">
        <v>46139</v>
      </c>
      <c r="P252" s="84"/>
      <c r="Q252" s="84"/>
      <c r="R252" s="87" t="s">
        <v>31</v>
      </c>
      <c r="S252" s="109"/>
    </row>
    <row r="253" s="77" customFormat="true" ht="15" hidden="false" customHeight="false" outlineLevel="1" collapsed="false">
      <c r="B253" s="78"/>
      <c r="C253" s="80" t="n">
        <v>244</v>
      </c>
      <c r="D253" s="80" t="s">
        <v>811</v>
      </c>
      <c r="E253" s="81" t="s">
        <v>1443</v>
      </c>
      <c r="F253" s="78" t="s">
        <v>812</v>
      </c>
      <c r="G253" s="88" t="n">
        <v>10</v>
      </c>
      <c r="H253" s="84" t="s">
        <v>813</v>
      </c>
      <c r="I253" s="80" t="s">
        <v>814</v>
      </c>
      <c r="J253" s="80" t="s">
        <v>815</v>
      </c>
      <c r="K253" s="80" t="s">
        <v>816</v>
      </c>
      <c r="L253" s="80" t="s">
        <v>817</v>
      </c>
      <c r="M253" s="80" t="s">
        <v>1149</v>
      </c>
      <c r="N253" s="80" t="s">
        <v>819</v>
      </c>
      <c r="O253" s="85" t="n">
        <v>46153</v>
      </c>
      <c r="P253" s="84"/>
      <c r="Q253" s="84"/>
      <c r="R253" s="87" t="s">
        <v>31</v>
      </c>
      <c r="S253" s="109"/>
    </row>
    <row r="254" s="77" customFormat="true" ht="15" hidden="false" customHeight="false" outlineLevel="1" collapsed="false">
      <c r="B254" s="78"/>
      <c r="C254" s="80" t="n">
        <v>245</v>
      </c>
      <c r="D254" s="80" t="s">
        <v>34</v>
      </c>
      <c r="E254" s="81" t="s">
        <v>1443</v>
      </c>
      <c r="F254" s="78" t="s">
        <v>35</v>
      </c>
      <c r="G254" s="88" t="n">
        <v>5</v>
      </c>
      <c r="H254" s="84" t="s">
        <v>36</v>
      </c>
      <c r="I254" s="80" t="s">
        <v>37</v>
      </c>
      <c r="J254" s="80" t="s">
        <v>38</v>
      </c>
      <c r="K254" s="80" t="s">
        <v>39</v>
      </c>
      <c r="L254" s="80" t="s">
        <v>40</v>
      </c>
      <c r="M254" s="80" t="s">
        <v>858</v>
      </c>
      <c r="N254" s="80" t="s">
        <v>42</v>
      </c>
      <c r="O254" s="101" t="n">
        <v>46139</v>
      </c>
      <c r="P254" s="84"/>
      <c r="Q254" s="84"/>
      <c r="R254" s="87" t="s">
        <v>31</v>
      </c>
      <c r="S254" s="109"/>
    </row>
    <row r="255" s="77" customFormat="true" ht="15" hidden="false" customHeight="false" outlineLevel="1" collapsed="false">
      <c r="B255" s="78"/>
      <c r="C255" s="80" t="n">
        <v>246</v>
      </c>
      <c r="D255" s="80" t="s">
        <v>43</v>
      </c>
      <c r="E255" s="81" t="s">
        <v>1443</v>
      </c>
      <c r="F255" s="78" t="s">
        <v>44</v>
      </c>
      <c r="G255" s="88" t="n">
        <v>2</v>
      </c>
      <c r="H255" s="84" t="s">
        <v>24</v>
      </c>
      <c r="I255" s="80" t="s">
        <v>45</v>
      </c>
      <c r="J255" s="80" t="s">
        <v>46</v>
      </c>
      <c r="K255" s="80" t="s">
        <v>47</v>
      </c>
      <c r="L255" s="80" t="s">
        <v>48</v>
      </c>
      <c r="M255" s="80" t="s">
        <v>49</v>
      </c>
      <c r="N255" s="80" t="s">
        <v>50</v>
      </c>
      <c r="O255" s="101" t="n">
        <v>46139</v>
      </c>
      <c r="P255" s="84"/>
      <c r="Q255" s="84"/>
      <c r="R255" s="87" t="s">
        <v>31</v>
      </c>
      <c r="S255" s="109"/>
    </row>
    <row r="256" s="77" customFormat="true" ht="30" hidden="false" customHeight="true" outlineLevel="1" collapsed="false">
      <c r="B256" s="78"/>
      <c r="C256" s="80" t="n">
        <v>247</v>
      </c>
      <c r="D256" s="80" t="s">
        <v>1077</v>
      </c>
      <c r="E256" s="81" t="s">
        <v>1443</v>
      </c>
      <c r="F256" s="78" t="s">
        <v>916</v>
      </c>
      <c r="G256" s="88" t="n">
        <v>2</v>
      </c>
      <c r="H256" s="84" t="s">
        <v>152</v>
      </c>
      <c r="I256" s="80" t="s">
        <v>1078</v>
      </c>
      <c r="J256" s="80" t="s">
        <v>1079</v>
      </c>
      <c r="K256" s="80" t="s">
        <v>1080</v>
      </c>
      <c r="L256" s="80" t="s">
        <v>1081</v>
      </c>
      <c r="M256" s="80" t="s">
        <v>1082</v>
      </c>
      <c r="N256" s="80" t="s">
        <v>1083</v>
      </c>
      <c r="O256" s="101" t="n">
        <v>46139</v>
      </c>
      <c r="P256" s="84"/>
      <c r="Q256" s="84"/>
      <c r="R256" s="87" t="s">
        <v>31</v>
      </c>
      <c r="S256" s="109"/>
    </row>
    <row r="257" s="77" customFormat="true" ht="15" hidden="false" customHeight="false" outlineLevel="1" collapsed="false">
      <c r="B257" s="78"/>
      <c r="C257" s="80" t="n">
        <v>248</v>
      </c>
      <c r="D257" s="80" t="s">
        <v>59</v>
      </c>
      <c r="E257" s="81" t="s">
        <v>1443</v>
      </c>
      <c r="F257" s="78" t="s">
        <v>60</v>
      </c>
      <c r="G257" s="88" t="n">
        <v>16</v>
      </c>
      <c r="H257" s="84" t="s">
        <v>61</v>
      </c>
      <c r="I257" s="80" t="s">
        <v>62</v>
      </c>
      <c r="J257" s="80" t="s">
        <v>63</v>
      </c>
      <c r="K257" s="80" t="s">
        <v>64</v>
      </c>
      <c r="L257" s="80" t="s">
        <v>65</v>
      </c>
      <c r="M257" s="80" t="s">
        <v>66</v>
      </c>
      <c r="N257" s="80" t="s">
        <v>67</v>
      </c>
      <c r="O257" s="101" t="n">
        <v>46139</v>
      </c>
      <c r="P257" s="84"/>
      <c r="Q257" s="84"/>
      <c r="R257" s="87" t="s">
        <v>31</v>
      </c>
      <c r="S257" s="109"/>
    </row>
    <row r="258" s="77" customFormat="true" ht="72" hidden="false" customHeight="true" outlineLevel="1" collapsed="false">
      <c r="B258" s="78"/>
      <c r="C258" s="80" t="s">
        <v>1444</v>
      </c>
      <c r="D258" s="80" t="s">
        <v>75</v>
      </c>
      <c r="E258" s="81" t="s">
        <v>1443</v>
      </c>
      <c r="F258" s="78" t="s">
        <v>76</v>
      </c>
      <c r="G258" s="88" t="n">
        <v>8</v>
      </c>
      <c r="H258" s="84" t="s">
        <v>77</v>
      </c>
      <c r="I258" s="80" t="s">
        <v>1210</v>
      </c>
      <c r="J258" s="80" t="s">
        <v>1211</v>
      </c>
      <c r="K258" s="80" t="s">
        <v>1212</v>
      </c>
      <c r="L258" s="80" t="s">
        <v>81</v>
      </c>
      <c r="M258" s="80" t="s">
        <v>1431</v>
      </c>
      <c r="N258" s="80" t="s">
        <v>83</v>
      </c>
      <c r="O258" s="101" t="n">
        <v>46139</v>
      </c>
      <c r="P258" s="84"/>
      <c r="Q258" s="84"/>
      <c r="R258" s="87" t="s">
        <v>31</v>
      </c>
      <c r="S258" s="109"/>
    </row>
    <row r="259" s="77" customFormat="true" ht="15" hidden="false" customHeight="false" outlineLevel="1" collapsed="false">
      <c r="B259" s="78"/>
      <c r="C259" s="80" t="n">
        <v>250</v>
      </c>
      <c r="D259" s="80" t="s">
        <v>85</v>
      </c>
      <c r="E259" s="81" t="s">
        <v>1443</v>
      </c>
      <c r="F259" s="78" t="s">
        <v>86</v>
      </c>
      <c r="G259" s="88" t="n">
        <v>1</v>
      </c>
      <c r="H259" s="84" t="s">
        <v>87</v>
      </c>
      <c r="I259" s="80" t="s">
        <v>88</v>
      </c>
      <c r="J259" s="80" t="s">
        <v>89</v>
      </c>
      <c r="K259" s="80" t="s">
        <v>90</v>
      </c>
      <c r="L259" s="80" t="s">
        <v>91</v>
      </c>
      <c r="M259" s="80" t="s">
        <v>92</v>
      </c>
      <c r="N259" s="80" t="s">
        <v>93</v>
      </c>
      <c r="O259" s="101" t="n">
        <v>46139</v>
      </c>
      <c r="P259" s="84"/>
      <c r="Q259" s="84"/>
      <c r="R259" s="87" t="s">
        <v>31</v>
      </c>
      <c r="S259" s="109"/>
    </row>
    <row r="260" s="77" customFormat="true" ht="15" hidden="false" customHeight="false" outlineLevel="1" collapsed="false">
      <c r="B260" s="78"/>
      <c r="C260" s="80" t="n">
        <v>251</v>
      </c>
      <c r="D260" s="80" t="s">
        <v>626</v>
      </c>
      <c r="E260" s="81" t="s">
        <v>1443</v>
      </c>
      <c r="F260" s="78" t="s">
        <v>627</v>
      </c>
      <c r="G260" s="88" t="n">
        <v>3</v>
      </c>
      <c r="H260" s="84" t="s">
        <v>152</v>
      </c>
      <c r="I260" s="80" t="s">
        <v>628</v>
      </c>
      <c r="J260" s="80" t="s">
        <v>629</v>
      </c>
      <c r="K260" s="80" t="s">
        <v>630</v>
      </c>
      <c r="L260" s="80" t="s">
        <v>631</v>
      </c>
      <c r="M260" s="80" t="s">
        <v>632</v>
      </c>
      <c r="N260" s="80" t="s">
        <v>633</v>
      </c>
      <c r="O260" s="101" t="n">
        <v>46139</v>
      </c>
      <c r="P260" s="84"/>
      <c r="Q260" s="84"/>
      <c r="R260" s="87" t="s">
        <v>31</v>
      </c>
      <c r="S260" s="109"/>
    </row>
    <row r="261" s="77" customFormat="true" ht="15" hidden="false" customHeight="false" outlineLevel="1" collapsed="false">
      <c r="B261" s="78"/>
      <c r="C261" s="80" t="n">
        <v>252</v>
      </c>
      <c r="D261" s="80" t="s">
        <v>102</v>
      </c>
      <c r="E261" s="81" t="s">
        <v>1443</v>
      </c>
      <c r="F261" s="78" t="s">
        <v>103</v>
      </c>
      <c r="G261" s="88" t="n">
        <v>3</v>
      </c>
      <c r="H261" s="84" t="s">
        <v>61</v>
      </c>
      <c r="I261" s="80" t="s">
        <v>104</v>
      </c>
      <c r="J261" s="80" t="s">
        <v>105</v>
      </c>
      <c r="K261" s="80" t="s">
        <v>106</v>
      </c>
      <c r="L261" s="80" t="s">
        <v>107</v>
      </c>
      <c r="M261" s="80" t="s">
        <v>107</v>
      </c>
      <c r="N261" s="80" t="s">
        <v>108</v>
      </c>
      <c r="O261" s="101" t="n">
        <v>46139</v>
      </c>
      <c r="P261" s="84"/>
      <c r="Q261" s="84"/>
      <c r="R261" s="87" t="s">
        <v>31</v>
      </c>
      <c r="S261" s="109"/>
    </row>
    <row r="262" s="77" customFormat="true" ht="15" hidden="false" customHeight="false" outlineLevel="1" collapsed="false">
      <c r="B262" s="78"/>
      <c r="C262" s="80" t="n">
        <v>253</v>
      </c>
      <c r="D262" s="80" t="s">
        <v>125</v>
      </c>
      <c r="E262" s="81" t="s">
        <v>1443</v>
      </c>
      <c r="F262" s="78" t="s">
        <v>126</v>
      </c>
      <c r="G262" s="88" t="n">
        <v>1</v>
      </c>
      <c r="H262" s="84" t="s">
        <v>127</v>
      </c>
      <c r="I262" s="80" t="s">
        <v>128</v>
      </c>
      <c r="J262" s="80" t="s">
        <v>129</v>
      </c>
      <c r="K262" s="80" t="s">
        <v>130</v>
      </c>
      <c r="L262" s="80" t="s">
        <v>131</v>
      </c>
      <c r="M262" s="80" t="s">
        <v>132</v>
      </c>
      <c r="N262" s="80" t="s">
        <v>133</v>
      </c>
      <c r="O262" s="101" t="n">
        <v>46139</v>
      </c>
      <c r="P262" s="84"/>
      <c r="Q262" s="84"/>
      <c r="R262" s="87" t="s">
        <v>31</v>
      </c>
      <c r="S262" s="109"/>
    </row>
    <row r="263" s="77" customFormat="true" ht="15" hidden="false" customHeight="false" outlineLevel="1" collapsed="false">
      <c r="B263" s="78"/>
      <c r="C263" s="80" t="n">
        <v>254</v>
      </c>
      <c r="D263" s="80" t="s">
        <v>618</v>
      </c>
      <c r="E263" s="81" t="s">
        <v>1443</v>
      </c>
      <c r="F263" s="78" t="s">
        <v>619</v>
      </c>
      <c r="G263" s="88" t="n">
        <v>8</v>
      </c>
      <c r="H263" s="84" t="s">
        <v>61</v>
      </c>
      <c r="I263" s="80" t="s">
        <v>620</v>
      </c>
      <c r="J263" s="80" t="s">
        <v>621</v>
      </c>
      <c r="K263" s="80" t="s">
        <v>622</v>
      </c>
      <c r="L263" s="80" t="s">
        <v>623</v>
      </c>
      <c r="M263" s="80" t="s">
        <v>624</v>
      </c>
      <c r="N263" s="80" t="s">
        <v>625</v>
      </c>
      <c r="O263" s="101" t="n">
        <v>46139</v>
      </c>
      <c r="P263" s="84"/>
      <c r="Q263" s="84"/>
      <c r="R263" s="87" t="s">
        <v>31</v>
      </c>
      <c r="S263" s="109"/>
    </row>
    <row r="264" s="77" customFormat="true" ht="15" hidden="false" customHeight="false" outlineLevel="1" collapsed="false">
      <c r="B264" s="78"/>
      <c r="C264" s="80" t="n">
        <v>255</v>
      </c>
      <c r="D264" s="80" t="s">
        <v>159</v>
      </c>
      <c r="E264" s="81" t="s">
        <v>1443</v>
      </c>
      <c r="F264" s="78" t="s">
        <v>160</v>
      </c>
      <c r="G264" s="88" t="n">
        <v>2</v>
      </c>
      <c r="H264" s="84" t="s">
        <v>61</v>
      </c>
      <c r="I264" s="80" t="s">
        <v>161</v>
      </c>
      <c r="J264" s="80" t="s">
        <v>162</v>
      </c>
      <c r="K264" s="80" t="s">
        <v>163</v>
      </c>
      <c r="L264" s="80" t="s">
        <v>164</v>
      </c>
      <c r="M264" s="80" t="s">
        <v>164</v>
      </c>
      <c r="N264" s="80" t="s">
        <v>165</v>
      </c>
      <c r="O264" s="101" t="n">
        <v>46139</v>
      </c>
      <c r="P264" s="84"/>
      <c r="Q264" s="84"/>
      <c r="R264" s="87" t="s">
        <v>31</v>
      </c>
      <c r="S264" s="109"/>
    </row>
    <row r="265" s="77" customFormat="true" ht="15" hidden="false" customHeight="false" outlineLevel="1" collapsed="false">
      <c r="B265" s="78"/>
      <c r="C265" s="80" t="n">
        <v>256</v>
      </c>
      <c r="D265" s="80" t="s">
        <v>166</v>
      </c>
      <c r="E265" s="81" t="s">
        <v>1443</v>
      </c>
      <c r="F265" s="78" t="s">
        <v>167</v>
      </c>
      <c r="G265" s="88" t="n">
        <v>1</v>
      </c>
      <c r="H265" s="84" t="s">
        <v>61</v>
      </c>
      <c r="I265" s="80" t="s">
        <v>168</v>
      </c>
      <c r="J265" s="80" t="s">
        <v>169</v>
      </c>
      <c r="K265" s="80" t="s">
        <v>170</v>
      </c>
      <c r="L265" s="80" t="s">
        <v>171</v>
      </c>
      <c r="M265" s="80" t="s">
        <v>172</v>
      </c>
      <c r="N265" s="80" t="s">
        <v>173</v>
      </c>
      <c r="O265" s="101" t="n">
        <v>46139</v>
      </c>
      <c r="P265" s="84"/>
      <c r="Q265" s="84"/>
      <c r="R265" s="87" t="s">
        <v>31</v>
      </c>
      <c r="S265" s="109"/>
    </row>
    <row r="266" s="77" customFormat="true" ht="15" hidden="false" customHeight="false" outlineLevel="1" collapsed="false">
      <c r="B266" s="78"/>
      <c r="C266" s="80" t="n">
        <v>257</v>
      </c>
      <c r="D266" s="80" t="s">
        <v>667</v>
      </c>
      <c r="E266" s="81" t="s">
        <v>1443</v>
      </c>
      <c r="F266" s="78" t="s">
        <v>668</v>
      </c>
      <c r="G266" s="88" t="n">
        <v>2</v>
      </c>
      <c r="H266" s="84" t="s">
        <v>61</v>
      </c>
      <c r="I266" s="80" t="s">
        <v>669</v>
      </c>
      <c r="J266" s="80" t="s">
        <v>670</v>
      </c>
      <c r="K266" s="93" t="s">
        <v>671</v>
      </c>
      <c r="L266" s="80" t="s">
        <v>672</v>
      </c>
      <c r="M266" s="80" t="s">
        <v>672</v>
      </c>
      <c r="N266" s="80" t="s">
        <v>673</v>
      </c>
      <c r="O266" s="101" t="n">
        <v>46139</v>
      </c>
      <c r="P266" s="84"/>
      <c r="Q266" s="84"/>
      <c r="R266" s="87" t="s">
        <v>31</v>
      </c>
      <c r="S266" s="109"/>
    </row>
    <row r="267" s="77" customFormat="true" ht="108" hidden="false" customHeight="true" outlineLevel="1" collapsed="false">
      <c r="B267" s="78"/>
      <c r="C267" s="80" t="s">
        <v>1445</v>
      </c>
      <c r="D267" s="80" t="s">
        <v>190</v>
      </c>
      <c r="E267" s="81" t="s">
        <v>1443</v>
      </c>
      <c r="F267" s="78" t="s">
        <v>191</v>
      </c>
      <c r="G267" s="88" t="n">
        <v>19</v>
      </c>
      <c r="H267" s="84" t="s">
        <v>24</v>
      </c>
      <c r="I267" s="80" t="s">
        <v>1446</v>
      </c>
      <c r="J267" s="80" t="s">
        <v>1447</v>
      </c>
      <c r="K267" s="80" t="s">
        <v>1448</v>
      </c>
      <c r="L267" s="80" t="s">
        <v>195</v>
      </c>
      <c r="M267" s="80" t="s">
        <v>1449</v>
      </c>
      <c r="N267" s="80" t="s">
        <v>197</v>
      </c>
      <c r="O267" s="101" t="n">
        <v>46139</v>
      </c>
      <c r="P267" s="84"/>
      <c r="Q267" s="84"/>
      <c r="R267" s="87" t="s">
        <v>31</v>
      </c>
      <c r="S267" s="109"/>
    </row>
    <row r="268" s="77" customFormat="true" ht="15" hidden="false" customHeight="false" outlineLevel="1" collapsed="false">
      <c r="B268" s="78"/>
      <c r="C268" s="80" t="n">
        <v>259</v>
      </c>
      <c r="D268" s="80" t="s">
        <v>198</v>
      </c>
      <c r="E268" s="81" t="s">
        <v>1443</v>
      </c>
      <c r="F268" s="78" t="s">
        <v>199</v>
      </c>
      <c r="G268" s="88" t="n">
        <v>1</v>
      </c>
      <c r="H268" s="84" t="s">
        <v>200</v>
      </c>
      <c r="I268" s="80" t="s">
        <v>201</v>
      </c>
      <c r="J268" s="80" t="s">
        <v>202</v>
      </c>
      <c r="K268" s="80" t="s">
        <v>203</v>
      </c>
      <c r="L268" s="80" t="s">
        <v>204</v>
      </c>
      <c r="M268" s="80" t="s">
        <v>1198</v>
      </c>
      <c r="N268" s="80" t="s">
        <v>206</v>
      </c>
      <c r="O268" s="101" t="n">
        <v>46139</v>
      </c>
      <c r="P268" s="84"/>
      <c r="Q268" s="84"/>
      <c r="R268" s="87" t="s">
        <v>31</v>
      </c>
      <c r="S268" s="109"/>
    </row>
    <row r="269" s="77" customFormat="true" ht="15" hidden="false" customHeight="false" outlineLevel="1" collapsed="false">
      <c r="B269" s="78"/>
      <c r="C269" s="80" t="n">
        <v>260</v>
      </c>
      <c r="D269" s="80" t="s">
        <v>215</v>
      </c>
      <c r="E269" s="81" t="s">
        <v>1443</v>
      </c>
      <c r="F269" s="78" t="s">
        <v>216</v>
      </c>
      <c r="G269" s="88" t="n">
        <v>9</v>
      </c>
      <c r="H269" s="84" t="s">
        <v>24</v>
      </c>
      <c r="I269" s="80" t="s">
        <v>217</v>
      </c>
      <c r="J269" s="80" t="s">
        <v>218</v>
      </c>
      <c r="K269" s="80" t="s">
        <v>219</v>
      </c>
      <c r="L269" s="80" t="s">
        <v>220</v>
      </c>
      <c r="M269" s="80" t="s">
        <v>221</v>
      </c>
      <c r="N269" s="80" t="s">
        <v>222</v>
      </c>
      <c r="O269" s="101" t="n">
        <v>46139</v>
      </c>
      <c r="P269" s="84"/>
      <c r="Q269" s="84"/>
      <c r="R269" s="87" t="s">
        <v>31</v>
      </c>
      <c r="S269" s="109"/>
    </row>
    <row r="270" s="77" customFormat="true" ht="15" hidden="false" customHeight="false" outlineLevel="1" collapsed="false">
      <c r="B270" s="78"/>
      <c r="C270" s="80" t="n">
        <v>261</v>
      </c>
      <c r="D270" s="80" t="s">
        <v>223</v>
      </c>
      <c r="E270" s="81" t="s">
        <v>1443</v>
      </c>
      <c r="F270" s="78" t="s">
        <v>224</v>
      </c>
      <c r="G270" s="88" t="n">
        <v>1</v>
      </c>
      <c r="H270" s="84" t="s">
        <v>61</v>
      </c>
      <c r="I270" s="80" t="s">
        <v>225</v>
      </c>
      <c r="J270" s="80" t="s">
        <v>226</v>
      </c>
      <c r="K270" s="80" t="s">
        <v>227</v>
      </c>
      <c r="L270" s="80" t="s">
        <v>228</v>
      </c>
      <c r="M270" s="80" t="s">
        <v>229</v>
      </c>
      <c r="N270" s="80" t="s">
        <v>230</v>
      </c>
      <c r="O270" s="101" t="n">
        <v>46139</v>
      </c>
      <c r="P270" s="84"/>
      <c r="Q270" s="84"/>
      <c r="R270" s="87" t="s">
        <v>31</v>
      </c>
      <c r="S270" s="109"/>
    </row>
    <row r="271" s="77" customFormat="true" ht="36" hidden="false" customHeight="true" outlineLevel="1" collapsed="false">
      <c r="B271" s="78"/>
      <c r="C271" s="80" t="s">
        <v>1450</v>
      </c>
      <c r="D271" s="80" t="s">
        <v>231</v>
      </c>
      <c r="E271" s="81" t="s">
        <v>1443</v>
      </c>
      <c r="F271" s="78" t="s">
        <v>232</v>
      </c>
      <c r="G271" s="88" t="n">
        <v>11</v>
      </c>
      <c r="H271" s="84" t="s">
        <v>61</v>
      </c>
      <c r="I271" s="80" t="s">
        <v>702</v>
      </c>
      <c r="J271" s="80" t="s">
        <v>703</v>
      </c>
      <c r="K271" s="80" t="s">
        <v>704</v>
      </c>
      <c r="L271" s="80" t="s">
        <v>236</v>
      </c>
      <c r="M271" s="80" t="s">
        <v>1451</v>
      </c>
      <c r="N271" s="80" t="s">
        <v>238</v>
      </c>
      <c r="O271" s="101" t="n">
        <v>46139</v>
      </c>
      <c r="P271" s="84"/>
      <c r="Q271" s="84"/>
      <c r="R271" s="87" t="s">
        <v>31</v>
      </c>
      <c r="S271" s="109"/>
    </row>
    <row r="272" s="77" customFormat="true" ht="36" hidden="false" customHeight="true" outlineLevel="1" collapsed="false">
      <c r="B272" s="78"/>
      <c r="C272" s="80" t="s">
        <v>1452</v>
      </c>
      <c r="D272" s="80" t="s">
        <v>795</v>
      </c>
      <c r="E272" s="81" t="s">
        <v>1443</v>
      </c>
      <c r="F272" s="78" t="s">
        <v>796</v>
      </c>
      <c r="G272" s="88" t="n">
        <v>16</v>
      </c>
      <c r="H272" s="84" t="s">
        <v>61</v>
      </c>
      <c r="I272" s="80" t="s">
        <v>797</v>
      </c>
      <c r="J272" s="80" t="s">
        <v>798</v>
      </c>
      <c r="K272" s="96" t="s">
        <v>799</v>
      </c>
      <c r="L272" s="80" t="s">
        <v>236</v>
      </c>
      <c r="M272" s="80" t="s">
        <v>1218</v>
      </c>
      <c r="N272" s="80" t="s">
        <v>801</v>
      </c>
      <c r="O272" s="101" t="n">
        <v>46139</v>
      </c>
      <c r="P272" s="84"/>
      <c r="Q272" s="84"/>
      <c r="R272" s="87" t="s">
        <v>31</v>
      </c>
      <c r="S272" s="109"/>
    </row>
    <row r="273" s="77" customFormat="true" ht="15" hidden="false" customHeight="false" outlineLevel="1" collapsed="false">
      <c r="B273" s="78"/>
      <c r="C273" s="80" t="n">
        <v>264</v>
      </c>
      <c r="D273" s="80" t="s">
        <v>239</v>
      </c>
      <c r="E273" s="81" t="s">
        <v>1443</v>
      </c>
      <c r="F273" s="78" t="s">
        <v>240</v>
      </c>
      <c r="G273" s="88" t="n">
        <v>1</v>
      </c>
      <c r="H273" s="84" t="s">
        <v>24</v>
      </c>
      <c r="I273" s="80" t="s">
        <v>241</v>
      </c>
      <c r="J273" s="80" t="s">
        <v>242</v>
      </c>
      <c r="K273" s="80" t="s">
        <v>243</v>
      </c>
      <c r="L273" s="80" t="s">
        <v>244</v>
      </c>
      <c r="M273" s="80" t="s">
        <v>244</v>
      </c>
      <c r="N273" s="80" t="s">
        <v>246</v>
      </c>
      <c r="O273" s="101" t="n">
        <v>46139</v>
      </c>
      <c r="P273" s="84"/>
      <c r="Q273" s="84"/>
      <c r="R273" s="87" t="s">
        <v>31</v>
      </c>
      <c r="S273" s="109"/>
    </row>
    <row r="274" s="77" customFormat="true" ht="30" hidden="false" customHeight="true" outlineLevel="1" collapsed="false">
      <c r="B274" s="78"/>
      <c r="C274" s="80" t="n">
        <v>265</v>
      </c>
      <c r="D274" s="80" t="s">
        <v>247</v>
      </c>
      <c r="E274" s="81" t="s">
        <v>1443</v>
      </c>
      <c r="F274" s="78" t="s">
        <v>248</v>
      </c>
      <c r="G274" s="88" t="n">
        <v>3</v>
      </c>
      <c r="H274" s="84" t="s">
        <v>61</v>
      </c>
      <c r="I274" s="80" t="s">
        <v>528</v>
      </c>
      <c r="J274" s="80" t="s">
        <v>1066</v>
      </c>
      <c r="K274" s="126" t="s">
        <v>530</v>
      </c>
      <c r="L274" s="80" t="s">
        <v>252</v>
      </c>
      <c r="M274" s="80" t="s">
        <v>531</v>
      </c>
      <c r="N274" s="80" t="s">
        <v>254</v>
      </c>
      <c r="O274" s="101" t="n">
        <v>46139</v>
      </c>
      <c r="P274" s="84"/>
      <c r="Q274" s="84"/>
      <c r="R274" s="87" t="s">
        <v>31</v>
      </c>
      <c r="S274" s="109"/>
    </row>
    <row r="275" s="77" customFormat="true" ht="54" hidden="false" customHeight="true" outlineLevel="1" collapsed="false">
      <c r="B275" s="78"/>
      <c r="C275" s="80" t="s">
        <v>1453</v>
      </c>
      <c r="D275" s="80" t="s">
        <v>255</v>
      </c>
      <c r="E275" s="81" t="s">
        <v>1443</v>
      </c>
      <c r="F275" s="78" t="s">
        <v>256</v>
      </c>
      <c r="G275" s="88" t="n">
        <v>4</v>
      </c>
      <c r="H275" s="84" t="s">
        <v>61</v>
      </c>
      <c r="I275" s="80" t="s">
        <v>1454</v>
      </c>
      <c r="J275" s="80" t="s">
        <v>1455</v>
      </c>
      <c r="K275" s="80" t="s">
        <v>1456</v>
      </c>
      <c r="L275" s="80" t="s">
        <v>260</v>
      </c>
      <c r="M275" s="80" t="s">
        <v>1457</v>
      </c>
      <c r="N275" s="80" t="s">
        <v>262</v>
      </c>
      <c r="O275" s="101" t="n">
        <v>46139</v>
      </c>
      <c r="P275" s="84"/>
      <c r="Q275" s="84"/>
      <c r="R275" s="87" t="s">
        <v>31</v>
      </c>
      <c r="S275" s="109"/>
    </row>
    <row r="276" s="77" customFormat="true" ht="15" hidden="false" customHeight="false" outlineLevel="1" collapsed="false">
      <c r="B276" s="78"/>
      <c r="C276" s="80" t="n">
        <v>267</v>
      </c>
      <c r="D276" s="80" t="s">
        <v>263</v>
      </c>
      <c r="E276" s="81" t="s">
        <v>1443</v>
      </c>
      <c r="F276" s="78" t="s">
        <v>264</v>
      </c>
      <c r="G276" s="88" t="n">
        <v>3</v>
      </c>
      <c r="H276" s="84" t="s">
        <v>61</v>
      </c>
      <c r="I276" s="80" t="s">
        <v>265</v>
      </c>
      <c r="J276" s="80" t="s">
        <v>266</v>
      </c>
      <c r="K276" s="80" t="s">
        <v>267</v>
      </c>
      <c r="L276" s="80" t="s">
        <v>252</v>
      </c>
      <c r="M276" s="80" t="s">
        <v>268</v>
      </c>
      <c r="N276" s="80" t="s">
        <v>269</v>
      </c>
      <c r="O276" s="101" t="n">
        <v>46139</v>
      </c>
      <c r="P276" s="84"/>
      <c r="Q276" s="84"/>
      <c r="R276" s="87" t="s">
        <v>31</v>
      </c>
      <c r="S276" s="109"/>
    </row>
    <row r="277" s="77" customFormat="true" ht="15" hidden="false" customHeight="false" outlineLevel="1" collapsed="false">
      <c r="B277" s="78"/>
      <c r="C277" s="80" t="n">
        <v>268</v>
      </c>
      <c r="D277" s="80" t="s">
        <v>651</v>
      </c>
      <c r="E277" s="81" t="s">
        <v>1443</v>
      </c>
      <c r="F277" s="78" t="s">
        <v>652</v>
      </c>
      <c r="G277" s="88" t="n">
        <v>5</v>
      </c>
      <c r="H277" s="84" t="s">
        <v>111</v>
      </c>
      <c r="I277" s="80" t="s">
        <v>653</v>
      </c>
      <c r="J277" s="80" t="s">
        <v>654</v>
      </c>
      <c r="K277" s="80" t="s">
        <v>655</v>
      </c>
      <c r="L277" s="80" t="s">
        <v>656</v>
      </c>
      <c r="M277" s="80" t="s">
        <v>657</v>
      </c>
      <c r="N277" s="80" t="s">
        <v>658</v>
      </c>
      <c r="O277" s="101" t="n">
        <v>46139</v>
      </c>
      <c r="P277" s="84"/>
      <c r="Q277" s="84"/>
      <c r="R277" s="87" t="s">
        <v>31</v>
      </c>
      <c r="S277" s="109"/>
    </row>
    <row r="278" s="77" customFormat="true" ht="15" hidden="false" customHeight="false" outlineLevel="1" collapsed="false">
      <c r="B278" s="78"/>
      <c r="C278" s="80" t="n">
        <v>269</v>
      </c>
      <c r="D278" s="80" t="s">
        <v>270</v>
      </c>
      <c r="E278" s="81" t="s">
        <v>1443</v>
      </c>
      <c r="F278" s="78" t="s">
        <v>271</v>
      </c>
      <c r="G278" s="88" t="n">
        <v>1</v>
      </c>
      <c r="H278" s="84" t="s">
        <v>61</v>
      </c>
      <c r="I278" s="80" t="s">
        <v>272</v>
      </c>
      <c r="J278" s="80" t="s">
        <v>273</v>
      </c>
      <c r="K278" s="80" t="s">
        <v>274</v>
      </c>
      <c r="L278" s="80" t="s">
        <v>792</v>
      </c>
      <c r="M278" s="80" t="s">
        <v>792</v>
      </c>
      <c r="N278" s="80" t="s">
        <v>277</v>
      </c>
      <c r="O278" s="101" t="n">
        <v>46139</v>
      </c>
      <c r="P278" s="84"/>
      <c r="Q278" s="84"/>
      <c r="R278" s="87" t="s">
        <v>31</v>
      </c>
      <c r="S278" s="109"/>
    </row>
    <row r="279" s="77" customFormat="true" ht="15" hidden="false" customHeight="false" outlineLevel="1" collapsed="false">
      <c r="B279" s="78"/>
      <c r="C279" s="80" t="n">
        <v>270</v>
      </c>
      <c r="D279" s="80" t="s">
        <v>706</v>
      </c>
      <c r="E279" s="81" t="s">
        <v>1443</v>
      </c>
      <c r="F279" s="78" t="s">
        <v>707</v>
      </c>
      <c r="G279" s="88" t="n">
        <v>2</v>
      </c>
      <c r="H279" s="84" t="s">
        <v>111</v>
      </c>
      <c r="I279" s="80" t="s">
        <v>708</v>
      </c>
      <c r="J279" s="80" t="s">
        <v>709</v>
      </c>
      <c r="K279" s="80" t="s">
        <v>710</v>
      </c>
      <c r="L279" s="80" t="s">
        <v>711</v>
      </c>
      <c r="M279" s="80" t="s">
        <v>712</v>
      </c>
      <c r="N279" s="80" t="s">
        <v>713</v>
      </c>
      <c r="O279" s="101" t="n">
        <v>46139</v>
      </c>
      <c r="P279" s="84"/>
      <c r="Q279" s="84"/>
      <c r="R279" s="87" t="s">
        <v>31</v>
      </c>
      <c r="S279" s="109"/>
    </row>
    <row r="280" s="77" customFormat="true" ht="15" hidden="false" customHeight="false" outlineLevel="1" collapsed="false">
      <c r="B280" s="78"/>
      <c r="C280" s="80" t="n">
        <v>271</v>
      </c>
      <c r="D280" s="80" t="s">
        <v>743</v>
      </c>
      <c r="E280" s="81" t="s">
        <v>1443</v>
      </c>
      <c r="F280" s="78" t="s">
        <v>744</v>
      </c>
      <c r="G280" s="88" t="n">
        <v>2</v>
      </c>
      <c r="H280" s="84" t="s">
        <v>745</v>
      </c>
      <c r="I280" s="80" t="s">
        <v>746</v>
      </c>
      <c r="J280" s="80" t="s">
        <v>747</v>
      </c>
      <c r="K280" s="80" t="s">
        <v>748</v>
      </c>
      <c r="L280" s="80" t="s">
        <v>749</v>
      </c>
      <c r="M280" s="80" t="s">
        <v>750</v>
      </c>
      <c r="N280" s="80" t="s">
        <v>751</v>
      </c>
      <c r="O280" s="101" t="n">
        <v>46139</v>
      </c>
      <c r="P280" s="84"/>
      <c r="Q280" s="84"/>
      <c r="R280" s="87" t="s">
        <v>31</v>
      </c>
      <c r="S280" s="109"/>
    </row>
    <row r="281" s="77" customFormat="true" ht="15" hidden="false" customHeight="false" outlineLevel="1" collapsed="false">
      <c r="B281" s="78"/>
      <c r="C281" s="80" t="n">
        <v>272</v>
      </c>
      <c r="D281" s="80" t="s">
        <v>859</v>
      </c>
      <c r="E281" s="81" t="s">
        <v>1443</v>
      </c>
      <c r="F281" s="78" t="s">
        <v>860</v>
      </c>
      <c r="G281" s="88" t="n">
        <v>4</v>
      </c>
      <c r="H281" s="84" t="s">
        <v>861</v>
      </c>
      <c r="I281" s="80" t="s">
        <v>862</v>
      </c>
      <c r="J281" s="80" t="s">
        <v>863</v>
      </c>
      <c r="K281" s="80" t="s">
        <v>864</v>
      </c>
      <c r="L281" s="80" t="s">
        <v>865</v>
      </c>
      <c r="M281" s="80" t="s">
        <v>866</v>
      </c>
      <c r="N281" s="80" t="s">
        <v>867</v>
      </c>
      <c r="O281" s="101" t="n">
        <v>46139</v>
      </c>
      <c r="P281" s="84"/>
      <c r="Q281" s="84"/>
      <c r="R281" s="87" t="s">
        <v>31</v>
      </c>
      <c r="S281" s="109"/>
    </row>
    <row r="282" s="77" customFormat="true" ht="15" hidden="false" customHeight="false" outlineLevel="1" collapsed="false">
      <c r="B282" s="78"/>
      <c r="C282" s="80" t="n">
        <v>273</v>
      </c>
      <c r="D282" s="80" t="s">
        <v>286</v>
      </c>
      <c r="E282" s="81" t="s">
        <v>1443</v>
      </c>
      <c r="F282" s="78" t="s">
        <v>287</v>
      </c>
      <c r="G282" s="88" t="n">
        <v>1</v>
      </c>
      <c r="H282" s="84" t="s">
        <v>61</v>
      </c>
      <c r="I282" s="80" t="s">
        <v>288</v>
      </c>
      <c r="J282" s="80" t="s">
        <v>289</v>
      </c>
      <c r="K282" s="80" t="s">
        <v>290</v>
      </c>
      <c r="L282" s="80" t="s">
        <v>291</v>
      </c>
      <c r="M282" s="80" t="s">
        <v>292</v>
      </c>
      <c r="N282" s="80" t="s">
        <v>293</v>
      </c>
      <c r="O282" s="101" t="n">
        <v>46139</v>
      </c>
      <c r="P282" s="84"/>
      <c r="Q282" s="84"/>
      <c r="R282" s="87" t="s">
        <v>31</v>
      </c>
      <c r="S282" s="109"/>
    </row>
    <row r="283" s="77" customFormat="true" ht="36" hidden="false" customHeight="true" outlineLevel="1" collapsed="false">
      <c r="B283" s="78"/>
      <c r="C283" s="80" t="s">
        <v>1458</v>
      </c>
      <c r="D283" s="80" t="s">
        <v>294</v>
      </c>
      <c r="E283" s="81" t="s">
        <v>1443</v>
      </c>
      <c r="F283" s="78" t="s">
        <v>295</v>
      </c>
      <c r="G283" s="88" t="n">
        <v>9</v>
      </c>
      <c r="H283" s="84" t="s">
        <v>61</v>
      </c>
      <c r="I283" s="80" t="s">
        <v>908</v>
      </c>
      <c r="J283" s="80" t="s">
        <v>909</v>
      </c>
      <c r="K283" s="80" t="s">
        <v>910</v>
      </c>
      <c r="L283" s="80" t="s">
        <v>299</v>
      </c>
      <c r="M283" s="80" t="s">
        <v>1436</v>
      </c>
      <c r="N283" s="80" t="s">
        <v>301</v>
      </c>
      <c r="O283" s="101" t="n">
        <v>46139</v>
      </c>
      <c r="P283" s="84"/>
      <c r="Q283" s="84"/>
      <c r="R283" s="87" t="s">
        <v>31</v>
      </c>
      <c r="S283" s="109"/>
    </row>
    <row r="284" s="77" customFormat="true" ht="15" hidden="false" customHeight="false" outlineLevel="1" collapsed="false">
      <c r="B284" s="78"/>
      <c r="C284" s="80" t="n">
        <v>275</v>
      </c>
      <c r="D284" s="80" t="s">
        <v>318</v>
      </c>
      <c r="E284" s="81" t="s">
        <v>1443</v>
      </c>
      <c r="F284" s="78" t="s">
        <v>319</v>
      </c>
      <c r="G284" s="88" t="n">
        <v>4</v>
      </c>
      <c r="H284" s="84" t="s">
        <v>111</v>
      </c>
      <c r="I284" s="80" t="s">
        <v>320</v>
      </c>
      <c r="J284" s="80" t="s">
        <v>321</v>
      </c>
      <c r="K284" s="80" t="s">
        <v>322</v>
      </c>
      <c r="L284" s="80" t="s">
        <v>323</v>
      </c>
      <c r="M284" s="80" t="s">
        <v>324</v>
      </c>
      <c r="N284" s="80" t="s">
        <v>325</v>
      </c>
      <c r="O284" s="101" t="n">
        <v>46139</v>
      </c>
      <c r="P284" s="84"/>
      <c r="Q284" s="84"/>
      <c r="R284" s="87" t="s">
        <v>31</v>
      </c>
      <c r="S284" s="109"/>
    </row>
    <row r="285" s="77" customFormat="true" ht="15" hidden="false" customHeight="false" outlineLevel="1" collapsed="false">
      <c r="B285" s="78"/>
      <c r="C285" s="80" t="n">
        <v>276</v>
      </c>
      <c r="D285" s="80" t="s">
        <v>326</v>
      </c>
      <c r="E285" s="81" t="s">
        <v>1443</v>
      </c>
      <c r="F285" s="78" t="s">
        <v>327</v>
      </c>
      <c r="G285" s="88" t="n">
        <v>2</v>
      </c>
      <c r="H285" s="84" t="s">
        <v>152</v>
      </c>
      <c r="I285" s="80" t="s">
        <v>328</v>
      </c>
      <c r="J285" s="80" t="s">
        <v>329</v>
      </c>
      <c r="K285" s="80" t="s">
        <v>330</v>
      </c>
      <c r="L285" s="80" t="s">
        <v>331</v>
      </c>
      <c r="M285" s="80" t="s">
        <v>332</v>
      </c>
      <c r="N285" s="80" t="s">
        <v>333</v>
      </c>
      <c r="O285" s="101" t="n">
        <v>46139</v>
      </c>
      <c r="P285" s="84"/>
      <c r="Q285" s="84"/>
      <c r="R285" s="87" t="s">
        <v>31</v>
      </c>
      <c r="S285" s="109"/>
    </row>
    <row r="286" s="77" customFormat="true" ht="30" hidden="false" customHeight="true" outlineLevel="1" collapsed="false">
      <c r="B286" s="78"/>
      <c r="C286" s="80" t="n">
        <v>277</v>
      </c>
      <c r="D286" s="80" t="s">
        <v>334</v>
      </c>
      <c r="E286" s="81" t="s">
        <v>1443</v>
      </c>
      <c r="F286" s="78" t="s">
        <v>335</v>
      </c>
      <c r="G286" s="88" t="n">
        <v>1</v>
      </c>
      <c r="H286" s="84" t="s">
        <v>61</v>
      </c>
      <c r="I286" s="80" t="s">
        <v>336</v>
      </c>
      <c r="J286" s="80" t="s">
        <v>337</v>
      </c>
      <c r="K286" s="80" t="s">
        <v>338</v>
      </c>
      <c r="L286" s="80" t="s">
        <v>339</v>
      </c>
      <c r="M286" s="80" t="s">
        <v>340</v>
      </c>
      <c r="N286" s="80" t="s">
        <v>341</v>
      </c>
      <c r="O286" s="101" t="n">
        <v>46139</v>
      </c>
      <c r="P286" s="84"/>
      <c r="Q286" s="84"/>
      <c r="R286" s="87" t="s">
        <v>31</v>
      </c>
      <c r="S286" s="109"/>
    </row>
    <row r="287" s="77" customFormat="true" ht="30" hidden="false" customHeight="true" outlineLevel="1" collapsed="false">
      <c r="B287" s="78"/>
      <c r="C287" s="80" t="n">
        <v>278</v>
      </c>
      <c r="D287" s="80" t="s">
        <v>342</v>
      </c>
      <c r="E287" s="81" t="s">
        <v>1443</v>
      </c>
      <c r="F287" s="78" t="s">
        <v>343</v>
      </c>
      <c r="G287" s="88" t="n">
        <v>4</v>
      </c>
      <c r="H287" s="84" t="s">
        <v>24</v>
      </c>
      <c r="I287" s="80" t="s">
        <v>344</v>
      </c>
      <c r="J287" s="80" t="s">
        <v>345</v>
      </c>
      <c r="K287" s="80" t="s">
        <v>346</v>
      </c>
      <c r="L287" s="80" t="s">
        <v>1438</v>
      </c>
      <c r="M287" s="80" t="s">
        <v>348</v>
      </c>
      <c r="N287" s="80" t="s">
        <v>349</v>
      </c>
      <c r="O287" s="101" t="n">
        <v>46139</v>
      </c>
      <c r="P287" s="84"/>
      <c r="Q287" s="84"/>
      <c r="R287" s="87" t="s">
        <v>31</v>
      </c>
      <c r="S287" s="109"/>
    </row>
    <row r="288" s="77" customFormat="true" ht="15" hidden="false" customHeight="false" outlineLevel="1" collapsed="false">
      <c r="B288" s="78"/>
      <c r="C288" s="80" t="n">
        <v>279</v>
      </c>
      <c r="D288" s="80" t="s">
        <v>802</v>
      </c>
      <c r="E288" s="81" t="s">
        <v>1443</v>
      </c>
      <c r="F288" s="78" t="s">
        <v>803</v>
      </c>
      <c r="G288" s="88" t="n">
        <v>11</v>
      </c>
      <c r="H288" s="84" t="s">
        <v>804</v>
      </c>
      <c r="I288" s="80" t="s">
        <v>805</v>
      </c>
      <c r="J288" s="80" t="s">
        <v>806</v>
      </c>
      <c r="K288" s="80" t="s">
        <v>807</v>
      </c>
      <c r="L288" s="80" t="s">
        <v>808</v>
      </c>
      <c r="M288" s="80" t="s">
        <v>809</v>
      </c>
      <c r="N288" s="80" t="s">
        <v>810</v>
      </c>
      <c r="O288" s="101" t="n">
        <v>46139</v>
      </c>
      <c r="P288" s="84"/>
      <c r="Q288" s="84"/>
      <c r="R288" s="87" t="s">
        <v>31</v>
      </c>
      <c r="S288" s="109"/>
    </row>
    <row r="289" s="77" customFormat="true" ht="15" hidden="false" customHeight="false" outlineLevel="1" collapsed="false">
      <c r="B289" s="78"/>
      <c r="C289" s="80" t="n">
        <v>280</v>
      </c>
      <c r="D289" s="80" t="s">
        <v>604</v>
      </c>
      <c r="E289" s="81" t="s">
        <v>1443</v>
      </c>
      <c r="F289" s="78" t="s">
        <v>605</v>
      </c>
      <c r="G289" s="88" t="n">
        <v>18</v>
      </c>
      <c r="H289" s="84" t="s">
        <v>61</v>
      </c>
      <c r="I289" s="80" t="s">
        <v>606</v>
      </c>
      <c r="J289" s="80" t="s">
        <v>607</v>
      </c>
      <c r="K289" s="80" t="s">
        <v>608</v>
      </c>
      <c r="L289" s="80" t="s">
        <v>252</v>
      </c>
      <c r="M289" s="80" t="s">
        <v>609</v>
      </c>
      <c r="N289" s="80" t="s">
        <v>610</v>
      </c>
      <c r="O289" s="101" t="n">
        <v>46139</v>
      </c>
      <c r="P289" s="84"/>
      <c r="Q289" s="84"/>
      <c r="R289" s="87" t="s">
        <v>31</v>
      </c>
      <c r="S289" s="109"/>
    </row>
    <row r="290" s="77" customFormat="true" ht="15" hidden="false" customHeight="false" outlineLevel="1" collapsed="false">
      <c r="B290" s="78"/>
      <c r="C290" s="80" t="n">
        <v>281</v>
      </c>
      <c r="D290" s="80" t="s">
        <v>375</v>
      </c>
      <c r="E290" s="81" t="s">
        <v>1443</v>
      </c>
      <c r="F290" s="78" t="s">
        <v>376</v>
      </c>
      <c r="G290" s="88" t="n">
        <v>13</v>
      </c>
      <c r="H290" s="84" t="s">
        <v>111</v>
      </c>
      <c r="I290" s="80" t="s">
        <v>377</v>
      </c>
      <c r="J290" s="80" t="s">
        <v>378</v>
      </c>
      <c r="K290" s="80" t="s">
        <v>379</v>
      </c>
      <c r="L290" s="80" t="s">
        <v>380</v>
      </c>
      <c r="M290" s="80" t="s">
        <v>381</v>
      </c>
      <c r="N290" s="80" t="s">
        <v>382</v>
      </c>
      <c r="O290" s="101" t="n">
        <v>46139</v>
      </c>
      <c r="P290" s="84"/>
      <c r="Q290" s="84"/>
      <c r="R290" s="87" t="s">
        <v>31</v>
      </c>
      <c r="S290" s="109"/>
    </row>
    <row r="291" s="77" customFormat="true" ht="45" hidden="false" customHeight="true" outlineLevel="1" collapsed="false">
      <c r="B291" s="78"/>
      <c r="C291" s="80" t="n">
        <v>282</v>
      </c>
      <c r="D291" s="80" t="s">
        <v>399</v>
      </c>
      <c r="E291" s="81" t="s">
        <v>1443</v>
      </c>
      <c r="F291" s="78" t="s">
        <v>400</v>
      </c>
      <c r="G291" s="88" t="n">
        <v>2</v>
      </c>
      <c r="H291" s="84" t="s">
        <v>152</v>
      </c>
      <c r="I291" s="80" t="s">
        <v>401</v>
      </c>
      <c r="J291" s="80" t="s">
        <v>402</v>
      </c>
      <c r="K291" s="80" t="s">
        <v>403</v>
      </c>
      <c r="L291" s="80" t="s">
        <v>404</v>
      </c>
      <c r="M291" s="80" t="s">
        <v>405</v>
      </c>
      <c r="N291" s="80" t="s">
        <v>406</v>
      </c>
      <c r="O291" s="101" t="n">
        <v>46139</v>
      </c>
      <c r="P291" s="84"/>
      <c r="Q291" s="84"/>
      <c r="R291" s="87" t="s">
        <v>31</v>
      </c>
      <c r="S291" s="109"/>
    </row>
    <row r="292" s="77" customFormat="true" ht="30" hidden="false" customHeight="true" outlineLevel="1" collapsed="false">
      <c r="B292" s="78"/>
      <c r="C292" s="80" t="n">
        <v>283</v>
      </c>
      <c r="D292" s="80" t="s">
        <v>407</v>
      </c>
      <c r="E292" s="81" t="s">
        <v>1443</v>
      </c>
      <c r="F292" s="78" t="s">
        <v>408</v>
      </c>
      <c r="G292" s="88" t="n">
        <v>1</v>
      </c>
      <c r="H292" s="84" t="s">
        <v>61</v>
      </c>
      <c r="I292" s="80" t="s">
        <v>409</v>
      </c>
      <c r="J292" s="80" t="s">
        <v>410</v>
      </c>
      <c r="K292" s="80" t="s">
        <v>411</v>
      </c>
      <c r="L292" s="80" t="s">
        <v>412</v>
      </c>
      <c r="M292" s="80" t="s">
        <v>1415</v>
      </c>
      <c r="N292" s="80" t="s">
        <v>414</v>
      </c>
      <c r="O292" s="101" t="n">
        <v>46139</v>
      </c>
      <c r="P292" s="84"/>
      <c r="Q292" s="84"/>
      <c r="R292" s="87" t="s">
        <v>31</v>
      </c>
      <c r="S292" s="109"/>
    </row>
    <row r="293" s="77" customFormat="true" ht="15" hidden="false" customHeight="false" outlineLevel="1" collapsed="false">
      <c r="B293" s="78"/>
      <c r="C293" s="80" t="n">
        <v>284</v>
      </c>
      <c r="D293" s="80" t="s">
        <v>415</v>
      </c>
      <c r="E293" s="81" t="s">
        <v>1443</v>
      </c>
      <c r="F293" s="78" t="s">
        <v>416</v>
      </c>
      <c r="G293" s="88" t="n">
        <v>5</v>
      </c>
      <c r="H293" s="84" t="s">
        <v>417</v>
      </c>
      <c r="I293" s="80" t="s">
        <v>418</v>
      </c>
      <c r="J293" s="80" t="s">
        <v>419</v>
      </c>
      <c r="K293" s="80" t="s">
        <v>420</v>
      </c>
      <c r="L293" s="80" t="s">
        <v>421</v>
      </c>
      <c r="M293" s="80" t="s">
        <v>422</v>
      </c>
      <c r="N293" s="80" t="s">
        <v>423</v>
      </c>
      <c r="O293" s="101" t="n">
        <v>46139</v>
      </c>
      <c r="P293" s="84"/>
      <c r="Q293" s="84"/>
      <c r="R293" s="87" t="s">
        <v>31</v>
      </c>
      <c r="S293" s="109"/>
    </row>
    <row r="294" s="77" customFormat="true" ht="15" hidden="false" customHeight="false" outlineLevel="1" collapsed="false">
      <c r="B294" s="78"/>
      <c r="C294" s="80" t="n">
        <v>285</v>
      </c>
      <c r="D294" s="80" t="s">
        <v>424</v>
      </c>
      <c r="E294" s="81" t="s">
        <v>1443</v>
      </c>
      <c r="F294" s="78" t="s">
        <v>425</v>
      </c>
      <c r="G294" s="88" t="n">
        <v>4</v>
      </c>
      <c r="H294" s="84" t="s">
        <v>111</v>
      </c>
      <c r="I294" s="80" t="s">
        <v>426</v>
      </c>
      <c r="J294" s="80" t="s">
        <v>427</v>
      </c>
      <c r="K294" s="80" t="s">
        <v>428</v>
      </c>
      <c r="L294" s="80" t="s">
        <v>429</v>
      </c>
      <c r="M294" s="80" t="s">
        <v>429</v>
      </c>
      <c r="N294" s="80" t="s">
        <v>430</v>
      </c>
      <c r="O294" s="101" t="n">
        <v>46139</v>
      </c>
      <c r="P294" s="84"/>
      <c r="Q294" s="84"/>
      <c r="R294" s="87" t="s">
        <v>31</v>
      </c>
      <c r="S294" s="109"/>
    </row>
    <row r="295" s="77" customFormat="true" ht="36" hidden="false" customHeight="true" outlineLevel="1" collapsed="false">
      <c r="B295" s="78"/>
      <c r="C295" s="80" t="s">
        <v>1068</v>
      </c>
      <c r="D295" s="80" t="s">
        <v>431</v>
      </c>
      <c r="E295" s="81" t="s">
        <v>1443</v>
      </c>
      <c r="F295" s="78" t="s">
        <v>432</v>
      </c>
      <c r="G295" s="88" t="n">
        <v>5</v>
      </c>
      <c r="H295" s="84" t="s">
        <v>152</v>
      </c>
      <c r="I295" s="80" t="s">
        <v>1459</v>
      </c>
      <c r="J295" s="80" t="s">
        <v>1460</v>
      </c>
      <c r="K295" s="80" t="s">
        <v>1461</v>
      </c>
      <c r="L295" s="80" t="s">
        <v>436</v>
      </c>
      <c r="M295" s="80" t="s">
        <v>1462</v>
      </c>
      <c r="N295" s="80" t="s">
        <v>438</v>
      </c>
      <c r="O295" s="101" t="n">
        <v>46139</v>
      </c>
      <c r="P295" s="84"/>
      <c r="Q295" s="84"/>
      <c r="R295" s="87" t="s">
        <v>31</v>
      </c>
      <c r="S295" s="109"/>
    </row>
    <row r="296" s="77" customFormat="true" ht="15" hidden="false" customHeight="false" outlineLevel="1" collapsed="false">
      <c r="B296" s="78"/>
      <c r="C296" s="80" t="n">
        <v>287</v>
      </c>
      <c r="D296" s="80" t="s">
        <v>544</v>
      </c>
      <c r="E296" s="81" t="s">
        <v>1443</v>
      </c>
      <c r="F296" s="78" t="s">
        <v>545</v>
      </c>
      <c r="G296" s="88" t="n">
        <v>1</v>
      </c>
      <c r="H296" s="84" t="s">
        <v>24</v>
      </c>
      <c r="I296" s="80" t="s">
        <v>546</v>
      </c>
      <c r="J296" s="80" t="s">
        <v>547</v>
      </c>
      <c r="K296" s="80" t="s">
        <v>548</v>
      </c>
      <c r="L296" s="80" t="s">
        <v>549</v>
      </c>
      <c r="M296" s="80" t="s">
        <v>550</v>
      </c>
      <c r="N296" s="80" t="s">
        <v>551</v>
      </c>
      <c r="O296" s="101" t="n">
        <v>46139</v>
      </c>
      <c r="P296" s="84"/>
      <c r="Q296" s="84"/>
      <c r="R296" s="87" t="s">
        <v>31</v>
      </c>
      <c r="S296" s="109"/>
    </row>
    <row r="297" s="77" customFormat="true" ht="30" hidden="false" customHeight="true" outlineLevel="1" collapsed="false">
      <c r="B297" s="78"/>
      <c r="C297" s="80" t="n">
        <v>288</v>
      </c>
      <c r="D297" s="80" t="s">
        <v>439</v>
      </c>
      <c r="E297" s="81" t="s">
        <v>1443</v>
      </c>
      <c r="F297" s="78" t="s">
        <v>440</v>
      </c>
      <c r="G297" s="88" t="n">
        <v>1</v>
      </c>
      <c r="H297" s="84" t="s">
        <v>152</v>
      </c>
      <c r="I297" s="80" t="s">
        <v>441</v>
      </c>
      <c r="J297" s="80" t="s">
        <v>442</v>
      </c>
      <c r="K297" s="80" t="s">
        <v>443</v>
      </c>
      <c r="L297" s="80" t="s">
        <v>444</v>
      </c>
      <c r="M297" s="80" t="s">
        <v>445</v>
      </c>
      <c r="N297" s="80" t="s">
        <v>446</v>
      </c>
      <c r="O297" s="101" t="n">
        <v>46139</v>
      </c>
      <c r="P297" s="84"/>
      <c r="Q297" s="84"/>
      <c r="R297" s="87" t="s">
        <v>31</v>
      </c>
      <c r="S297" s="109"/>
    </row>
    <row r="298" s="77" customFormat="true" ht="15" hidden="false" customHeight="false" outlineLevel="1" collapsed="false">
      <c r="B298" s="78"/>
      <c r="C298" s="80" t="n">
        <v>289</v>
      </c>
      <c r="D298" s="80" t="s">
        <v>447</v>
      </c>
      <c r="E298" s="81" t="s">
        <v>1443</v>
      </c>
      <c r="F298" s="78" t="s">
        <v>448</v>
      </c>
      <c r="G298" s="88" t="n">
        <v>1</v>
      </c>
      <c r="H298" s="84" t="s">
        <v>24</v>
      </c>
      <c r="I298" s="80" t="s">
        <v>449</v>
      </c>
      <c r="J298" s="80" t="s">
        <v>450</v>
      </c>
      <c r="K298" s="80" t="s">
        <v>451</v>
      </c>
      <c r="L298" s="80" t="s">
        <v>452</v>
      </c>
      <c r="M298" s="80" t="s">
        <v>453</v>
      </c>
      <c r="N298" s="80" t="s">
        <v>454</v>
      </c>
      <c r="O298" s="101" t="n">
        <v>46139</v>
      </c>
      <c r="P298" s="84"/>
      <c r="Q298" s="84"/>
      <c r="R298" s="87" t="s">
        <v>31</v>
      </c>
      <c r="S298" s="109"/>
    </row>
    <row r="299" s="77" customFormat="true" ht="15" hidden="false" customHeight="false" outlineLevel="1" collapsed="false">
      <c r="B299" s="78"/>
      <c r="C299" s="80" t="n">
        <v>290</v>
      </c>
      <c r="D299" s="80" t="s">
        <v>571</v>
      </c>
      <c r="E299" s="81" t="s">
        <v>1443</v>
      </c>
      <c r="F299" s="78" t="s">
        <v>572</v>
      </c>
      <c r="G299" s="88" t="n">
        <v>1</v>
      </c>
      <c r="H299" s="84" t="s">
        <v>573</v>
      </c>
      <c r="I299" s="80" t="s">
        <v>574</v>
      </c>
      <c r="J299" s="80" t="s">
        <v>575</v>
      </c>
      <c r="K299" s="80" t="s">
        <v>576</v>
      </c>
      <c r="L299" s="80" t="s">
        <v>577</v>
      </c>
      <c r="M299" s="80" t="s">
        <v>578</v>
      </c>
      <c r="N299" s="80" t="s">
        <v>579</v>
      </c>
      <c r="O299" s="101" t="n">
        <v>46139</v>
      </c>
      <c r="P299" s="84"/>
      <c r="Q299" s="84"/>
      <c r="R299" s="87" t="s">
        <v>31</v>
      </c>
      <c r="S299" s="109"/>
    </row>
    <row r="300" s="77" customFormat="true" ht="15" hidden="false" customHeight="false" outlineLevel="1" collapsed="false">
      <c r="B300" s="78"/>
      <c r="C300" s="80" t="n">
        <v>291</v>
      </c>
      <c r="D300" s="80" t="s">
        <v>455</v>
      </c>
      <c r="E300" s="81" t="s">
        <v>1443</v>
      </c>
      <c r="F300" s="78" t="s">
        <v>456</v>
      </c>
      <c r="G300" s="88" t="n">
        <v>2</v>
      </c>
      <c r="H300" s="84" t="s">
        <v>111</v>
      </c>
      <c r="I300" s="80" t="s">
        <v>457</v>
      </c>
      <c r="J300" s="80" t="s">
        <v>458</v>
      </c>
      <c r="K300" s="80" t="s">
        <v>459</v>
      </c>
      <c r="L300" s="80" t="s">
        <v>460</v>
      </c>
      <c r="M300" s="80" t="s">
        <v>461</v>
      </c>
      <c r="N300" s="80" t="s">
        <v>462</v>
      </c>
      <c r="O300" s="101" t="n">
        <v>46139</v>
      </c>
      <c r="P300" s="84"/>
      <c r="Q300" s="84"/>
      <c r="R300" s="87" t="s">
        <v>31</v>
      </c>
      <c r="S300" s="109"/>
    </row>
    <row r="301" s="77" customFormat="true" ht="15" hidden="false" customHeight="false" outlineLevel="1" collapsed="false">
      <c r="B301" s="78"/>
      <c r="C301" s="80" t="n">
        <v>292</v>
      </c>
      <c r="D301" s="80" t="s">
        <v>463</v>
      </c>
      <c r="E301" s="81" t="s">
        <v>1443</v>
      </c>
      <c r="F301" s="78" t="s">
        <v>464</v>
      </c>
      <c r="G301" s="88" t="n">
        <v>1</v>
      </c>
      <c r="H301" s="84" t="s">
        <v>152</v>
      </c>
      <c r="I301" s="80" t="s">
        <v>465</v>
      </c>
      <c r="J301" s="80" t="s">
        <v>466</v>
      </c>
      <c r="K301" s="80" t="s">
        <v>467</v>
      </c>
      <c r="L301" s="80" t="s">
        <v>468</v>
      </c>
      <c r="M301" s="80" t="s">
        <v>469</v>
      </c>
      <c r="N301" s="80" t="s">
        <v>470</v>
      </c>
      <c r="O301" s="101" t="n">
        <v>46139</v>
      </c>
      <c r="P301" s="84"/>
      <c r="Q301" s="84"/>
      <c r="R301" s="87" t="s">
        <v>31</v>
      </c>
      <c r="S301" s="109"/>
    </row>
    <row r="302" s="77" customFormat="true" ht="15" hidden="false" customHeight="false" outlineLevel="1" collapsed="false">
      <c r="B302" s="78"/>
      <c r="C302" s="80" t="n">
        <v>293</v>
      </c>
      <c r="D302" s="80" t="s">
        <v>760</v>
      </c>
      <c r="E302" s="81" t="s">
        <v>1443</v>
      </c>
      <c r="F302" s="78" t="s">
        <v>761</v>
      </c>
      <c r="G302" s="88" t="n">
        <v>1</v>
      </c>
      <c r="H302" s="84" t="s">
        <v>61</v>
      </c>
      <c r="I302" s="80" t="s">
        <v>762</v>
      </c>
      <c r="J302" s="80" t="s">
        <v>763</v>
      </c>
      <c r="K302" s="80" t="s">
        <v>764</v>
      </c>
      <c r="L302" s="80" t="s">
        <v>765</v>
      </c>
      <c r="M302" s="80" t="s">
        <v>765</v>
      </c>
      <c r="N302" s="80" t="s">
        <v>766</v>
      </c>
      <c r="O302" s="101" t="n">
        <v>46139</v>
      </c>
      <c r="P302" s="84"/>
      <c r="Q302" s="84"/>
      <c r="R302" s="87" t="s">
        <v>31</v>
      </c>
      <c r="S302" s="109"/>
    </row>
    <row r="303" s="77" customFormat="true" ht="15" hidden="false" customHeight="false" outlineLevel="1" collapsed="false">
      <c r="B303" s="78"/>
      <c r="C303" s="80" t="n">
        <v>294</v>
      </c>
      <c r="D303" s="80" t="s">
        <v>659</v>
      </c>
      <c r="E303" s="81" t="s">
        <v>1443</v>
      </c>
      <c r="F303" s="78" t="s">
        <v>660</v>
      </c>
      <c r="G303" s="88" t="n">
        <v>1</v>
      </c>
      <c r="H303" s="84" t="s">
        <v>152</v>
      </c>
      <c r="I303" s="80" t="s">
        <v>661</v>
      </c>
      <c r="J303" s="80" t="s">
        <v>662</v>
      </c>
      <c r="K303" s="80" t="s">
        <v>663</v>
      </c>
      <c r="L303" s="80" t="s">
        <v>664</v>
      </c>
      <c r="M303" s="80" t="s">
        <v>665</v>
      </c>
      <c r="N303" s="80" t="s">
        <v>666</v>
      </c>
      <c r="O303" s="101" t="n">
        <v>46139</v>
      </c>
      <c r="P303" s="84"/>
      <c r="Q303" s="84"/>
      <c r="R303" s="87" t="s">
        <v>31</v>
      </c>
      <c r="S303" s="109"/>
    </row>
    <row r="304" s="77" customFormat="true" ht="15" hidden="false" customHeight="false" outlineLevel="1" collapsed="false">
      <c r="B304" s="78"/>
      <c r="C304" s="80" t="n">
        <v>295</v>
      </c>
      <c r="D304" s="80" t="s">
        <v>471</v>
      </c>
      <c r="E304" s="81" t="s">
        <v>1443</v>
      </c>
      <c r="F304" s="78" t="s">
        <v>472</v>
      </c>
      <c r="G304" s="88" t="n">
        <v>1</v>
      </c>
      <c r="H304" s="84" t="s">
        <v>111</v>
      </c>
      <c r="I304" s="80" t="s">
        <v>473</v>
      </c>
      <c r="J304" s="80" t="s">
        <v>474</v>
      </c>
      <c r="K304" s="80" t="s">
        <v>475</v>
      </c>
      <c r="L304" s="80" t="s">
        <v>476</v>
      </c>
      <c r="M304" s="80" t="s">
        <v>476</v>
      </c>
      <c r="N304" s="80" t="s">
        <v>477</v>
      </c>
      <c r="O304" s="101" t="n">
        <v>46139</v>
      </c>
      <c r="P304" s="84"/>
      <c r="Q304" s="84"/>
      <c r="R304" s="87" t="s">
        <v>31</v>
      </c>
      <c r="S304" s="109"/>
    </row>
    <row r="305" s="77" customFormat="true" ht="15" hidden="false" customHeight="false" outlineLevel="1" collapsed="false">
      <c r="B305" s="78"/>
      <c r="C305" s="80" t="n">
        <v>296</v>
      </c>
      <c r="D305" s="80" t="s">
        <v>588</v>
      </c>
      <c r="E305" s="81" t="s">
        <v>1443</v>
      </c>
      <c r="F305" s="78" t="s">
        <v>589</v>
      </c>
      <c r="G305" s="88" t="n">
        <v>3</v>
      </c>
      <c r="H305" s="84" t="s">
        <v>24</v>
      </c>
      <c r="I305" s="80" t="s">
        <v>590</v>
      </c>
      <c r="J305" s="80" t="s">
        <v>591</v>
      </c>
      <c r="K305" s="80" t="s">
        <v>592</v>
      </c>
      <c r="L305" s="80" t="s">
        <v>593</v>
      </c>
      <c r="M305" s="80" t="s">
        <v>594</v>
      </c>
      <c r="N305" s="80" t="s">
        <v>595</v>
      </c>
      <c r="O305" s="101" t="n">
        <v>46139</v>
      </c>
      <c r="P305" s="84"/>
      <c r="Q305" s="84"/>
      <c r="R305" s="87" t="s">
        <v>31</v>
      </c>
      <c r="S305" s="109"/>
    </row>
    <row r="306" s="77" customFormat="true" ht="15" hidden="false" customHeight="false" outlineLevel="1" collapsed="false">
      <c r="B306" s="78"/>
      <c r="C306" s="80" t="n">
        <v>297</v>
      </c>
      <c r="D306" s="80" t="s">
        <v>486</v>
      </c>
      <c r="E306" s="81" t="s">
        <v>1443</v>
      </c>
      <c r="F306" s="78" t="s">
        <v>487</v>
      </c>
      <c r="G306" s="88" t="n">
        <v>2</v>
      </c>
      <c r="H306" s="84" t="s">
        <v>152</v>
      </c>
      <c r="I306" s="80" t="s">
        <v>488</v>
      </c>
      <c r="J306" s="80" t="s">
        <v>489</v>
      </c>
      <c r="K306" s="80" t="s">
        <v>490</v>
      </c>
      <c r="L306" s="80" t="s">
        <v>491</v>
      </c>
      <c r="M306" s="80" t="s">
        <v>492</v>
      </c>
      <c r="N306" s="80" t="s">
        <v>493</v>
      </c>
      <c r="O306" s="101" t="n">
        <v>46139</v>
      </c>
      <c r="P306" s="84"/>
      <c r="Q306" s="84"/>
      <c r="R306" s="87" t="s">
        <v>31</v>
      </c>
      <c r="S306" s="109"/>
    </row>
    <row r="307" s="77" customFormat="true" ht="15" hidden="false" customHeight="false" outlineLevel="1" collapsed="false">
      <c r="B307" s="78"/>
      <c r="C307" s="80" t="n">
        <v>298</v>
      </c>
      <c r="D307" s="80" t="s">
        <v>611</v>
      </c>
      <c r="E307" s="81" t="s">
        <v>1443</v>
      </c>
      <c r="F307" s="78" t="s">
        <v>612</v>
      </c>
      <c r="G307" s="88" t="n">
        <v>7</v>
      </c>
      <c r="H307" s="84" t="s">
        <v>24</v>
      </c>
      <c r="I307" s="80" t="s">
        <v>613</v>
      </c>
      <c r="J307" s="80" t="s">
        <v>614</v>
      </c>
      <c r="K307" s="80" t="s">
        <v>615</v>
      </c>
      <c r="L307" s="80" t="s">
        <v>616</v>
      </c>
      <c r="M307" s="80" t="s">
        <v>616</v>
      </c>
      <c r="N307" s="80" t="s">
        <v>617</v>
      </c>
      <c r="O307" s="101" t="n">
        <v>46139</v>
      </c>
      <c r="P307" s="84"/>
      <c r="Q307" s="84"/>
      <c r="R307" s="87" t="s">
        <v>31</v>
      </c>
      <c r="S307" s="109"/>
    </row>
    <row r="308" s="77" customFormat="true" ht="15" hidden="false" customHeight="false" outlineLevel="1" collapsed="false">
      <c r="B308" s="78"/>
      <c r="C308" s="80" t="n">
        <v>299</v>
      </c>
      <c r="D308" s="80" t="s">
        <v>508</v>
      </c>
      <c r="E308" s="81" t="s">
        <v>1443</v>
      </c>
      <c r="F308" s="78" t="s">
        <v>509</v>
      </c>
      <c r="G308" s="88" t="n">
        <v>20</v>
      </c>
      <c r="H308" s="84" t="s">
        <v>61</v>
      </c>
      <c r="I308" s="80" t="s">
        <v>510</v>
      </c>
      <c r="J308" s="80" t="s">
        <v>511</v>
      </c>
      <c r="K308" s="80" t="s">
        <v>512</v>
      </c>
      <c r="L308" s="80" t="s">
        <v>513</v>
      </c>
      <c r="M308" s="80" t="s">
        <v>514</v>
      </c>
      <c r="N308" s="80" t="s">
        <v>515</v>
      </c>
      <c r="O308" s="101" t="n">
        <v>46139</v>
      </c>
      <c r="P308" s="84"/>
      <c r="Q308" s="84"/>
      <c r="R308" s="87" t="s">
        <v>31</v>
      </c>
      <c r="S308" s="109"/>
    </row>
    <row r="309" s="77" customFormat="true" ht="15" hidden="false" customHeight="false" outlineLevel="1" collapsed="false">
      <c r="B309" s="78"/>
      <c r="C309" s="80" t="n">
        <v>300</v>
      </c>
      <c r="D309" s="80" t="s">
        <v>516</v>
      </c>
      <c r="E309" s="81" t="s">
        <v>1443</v>
      </c>
      <c r="F309" s="92" t="s">
        <v>517</v>
      </c>
      <c r="G309" s="88" t="n">
        <v>1</v>
      </c>
      <c r="H309" s="84" t="s">
        <v>61</v>
      </c>
      <c r="I309" s="80" t="s">
        <v>518</v>
      </c>
      <c r="J309" s="80" t="s">
        <v>519</v>
      </c>
      <c r="K309" s="80" t="s">
        <v>520</v>
      </c>
      <c r="L309" s="80" t="s">
        <v>521</v>
      </c>
      <c r="M309" s="80" t="s">
        <v>522</v>
      </c>
      <c r="N309" s="80" t="s">
        <v>523</v>
      </c>
      <c r="O309" s="101" t="n">
        <v>46139</v>
      </c>
      <c r="P309" s="84"/>
      <c r="Q309" s="84"/>
      <c r="R309" s="87" t="s">
        <v>31</v>
      </c>
      <c r="S309" s="109"/>
    </row>
    <row r="310" s="77" customFormat="true" ht="15" hidden="false" customHeight="false" outlineLevel="1" collapsed="false">
      <c r="B310" s="78"/>
      <c r="C310" s="80" t="n">
        <v>301</v>
      </c>
      <c r="D310" s="80" t="s">
        <v>644</v>
      </c>
      <c r="E310" s="81" t="s">
        <v>1443</v>
      </c>
      <c r="F310" s="78" t="s">
        <v>645</v>
      </c>
      <c r="G310" s="88" t="n">
        <v>4</v>
      </c>
      <c r="H310" s="84" t="s">
        <v>61</v>
      </c>
      <c r="I310" s="80" t="s">
        <v>646</v>
      </c>
      <c r="J310" s="80" t="s">
        <v>647</v>
      </c>
      <c r="K310" s="80" t="s">
        <v>648</v>
      </c>
      <c r="L310" s="80" t="s">
        <v>649</v>
      </c>
      <c r="M310" s="80" t="s">
        <v>650</v>
      </c>
      <c r="N310" s="80"/>
      <c r="O310" s="101" t="n">
        <v>46139</v>
      </c>
      <c r="P310" s="84"/>
      <c r="Q310" s="84"/>
      <c r="R310" s="87" t="s">
        <v>31</v>
      </c>
      <c r="S310" s="109"/>
    </row>
    <row r="311" s="68" customFormat="true" ht="15" hidden="false" customHeight="false" outlineLevel="0" collapsed="false">
      <c r="B311" s="69"/>
      <c r="C311" s="69"/>
      <c r="D311" s="69"/>
      <c r="E311" s="72" t="s">
        <v>1169</v>
      </c>
      <c r="F311" s="72"/>
      <c r="G311" s="119" t="n">
        <f aca="false">SUM(G312:G358)</f>
        <v>230</v>
      </c>
      <c r="H311" s="89"/>
      <c r="I311" s="123"/>
      <c r="J311" s="124"/>
      <c r="K311" s="125"/>
      <c r="L311" s="69"/>
      <c r="M311" s="69"/>
      <c r="N311" s="90"/>
      <c r="O311" s="89"/>
      <c r="P311" s="76"/>
      <c r="Q311" s="76"/>
      <c r="R311" s="74" t="s">
        <v>31</v>
      </c>
      <c r="S311" s="74"/>
    </row>
    <row r="312" s="77" customFormat="true" ht="15" hidden="false" customHeight="false" outlineLevel="1" collapsed="false">
      <c r="B312" s="78"/>
      <c r="C312" s="80" t="n">
        <v>302</v>
      </c>
      <c r="D312" s="80" t="s">
        <v>21</v>
      </c>
      <c r="E312" s="81" t="s">
        <v>1169</v>
      </c>
      <c r="F312" s="78" t="s">
        <v>22</v>
      </c>
      <c r="G312" s="88" t="n">
        <v>5</v>
      </c>
      <c r="H312" s="84" t="s">
        <v>24</v>
      </c>
      <c r="I312" s="80" t="s">
        <v>25</v>
      </c>
      <c r="J312" s="80" t="s">
        <v>26</v>
      </c>
      <c r="K312" s="80" t="s">
        <v>27</v>
      </c>
      <c r="L312" s="80" t="s">
        <v>28</v>
      </c>
      <c r="M312" s="80" t="s">
        <v>29</v>
      </c>
      <c r="N312" s="80" t="s">
        <v>30</v>
      </c>
      <c r="O312" s="101" t="n">
        <v>46104</v>
      </c>
      <c r="P312" s="84"/>
      <c r="Q312" s="84"/>
      <c r="R312" s="87" t="s">
        <v>31</v>
      </c>
      <c r="S312" s="87" t="s">
        <v>31</v>
      </c>
    </row>
    <row r="313" s="77" customFormat="true" ht="15" hidden="false" customHeight="false" outlineLevel="1" collapsed="false">
      <c r="B313" s="78"/>
      <c r="C313" s="80" t="n">
        <v>303</v>
      </c>
      <c r="D313" s="80" t="s">
        <v>811</v>
      </c>
      <c r="E313" s="81" t="s">
        <v>1169</v>
      </c>
      <c r="F313" s="78" t="s">
        <v>812</v>
      </c>
      <c r="G313" s="88" t="n">
        <v>15</v>
      </c>
      <c r="H313" s="84" t="s">
        <v>813</v>
      </c>
      <c r="I313" s="80" t="s">
        <v>814</v>
      </c>
      <c r="J313" s="80" t="s">
        <v>815</v>
      </c>
      <c r="K313" s="80" t="s">
        <v>816</v>
      </c>
      <c r="L313" s="80" t="s">
        <v>817</v>
      </c>
      <c r="M313" s="80" t="s">
        <v>1149</v>
      </c>
      <c r="N313" s="80" t="s">
        <v>819</v>
      </c>
      <c r="O313" s="85" t="n">
        <v>46153</v>
      </c>
      <c r="P313" s="84"/>
      <c r="Q313" s="84"/>
      <c r="R313" s="87" t="s">
        <v>31</v>
      </c>
      <c r="S313" s="87" t="s">
        <v>84</v>
      </c>
    </row>
    <row r="314" s="77" customFormat="true" ht="15" hidden="false" customHeight="false" outlineLevel="1" collapsed="false">
      <c r="B314" s="78"/>
      <c r="C314" s="80" t="n">
        <v>304</v>
      </c>
      <c r="D314" s="80" t="s">
        <v>34</v>
      </c>
      <c r="E314" s="81" t="s">
        <v>1169</v>
      </c>
      <c r="F314" s="78" t="s">
        <v>35</v>
      </c>
      <c r="G314" s="88" t="n">
        <v>5</v>
      </c>
      <c r="H314" s="84" t="s">
        <v>36</v>
      </c>
      <c r="I314" s="80" t="s">
        <v>37</v>
      </c>
      <c r="J314" s="80" t="s">
        <v>38</v>
      </c>
      <c r="K314" s="80" t="s">
        <v>39</v>
      </c>
      <c r="L314" s="80" t="s">
        <v>40</v>
      </c>
      <c r="M314" s="80" t="s">
        <v>858</v>
      </c>
      <c r="N314" s="80" t="s">
        <v>42</v>
      </c>
      <c r="O314" s="101" t="n">
        <v>46132</v>
      </c>
      <c r="P314" s="84"/>
      <c r="Q314" s="84"/>
      <c r="R314" s="87" t="s">
        <v>31</v>
      </c>
      <c r="S314" s="87" t="s">
        <v>31</v>
      </c>
    </row>
    <row r="315" s="77" customFormat="true" ht="15" hidden="false" customHeight="false" outlineLevel="1" collapsed="false">
      <c r="B315" s="78"/>
      <c r="C315" s="80" t="n">
        <v>305</v>
      </c>
      <c r="D315" s="80" t="s">
        <v>43</v>
      </c>
      <c r="E315" s="81" t="s">
        <v>1169</v>
      </c>
      <c r="F315" s="78" t="s">
        <v>44</v>
      </c>
      <c r="G315" s="88" t="n">
        <v>2</v>
      </c>
      <c r="H315" s="84" t="s">
        <v>24</v>
      </c>
      <c r="I315" s="80" t="s">
        <v>45</v>
      </c>
      <c r="J315" s="80" t="s">
        <v>46</v>
      </c>
      <c r="K315" s="80" t="s">
        <v>47</v>
      </c>
      <c r="L315" s="80" t="s">
        <v>48</v>
      </c>
      <c r="M315" s="80" t="s">
        <v>49</v>
      </c>
      <c r="N315" s="80" t="s">
        <v>50</v>
      </c>
      <c r="O315" s="101" t="n">
        <v>46104</v>
      </c>
      <c r="P315" s="84"/>
      <c r="Q315" s="84"/>
      <c r="R315" s="87" t="s">
        <v>31</v>
      </c>
      <c r="S315" s="87" t="s">
        <v>31</v>
      </c>
    </row>
    <row r="316" s="77" customFormat="true" ht="30" hidden="false" customHeight="true" outlineLevel="1" collapsed="false">
      <c r="B316" s="78" t="s">
        <v>1112</v>
      </c>
      <c r="C316" s="80" t="n">
        <v>306</v>
      </c>
      <c r="D316" s="80" t="s">
        <v>1077</v>
      </c>
      <c r="E316" s="81" t="s">
        <v>1169</v>
      </c>
      <c r="F316" s="78" t="s">
        <v>916</v>
      </c>
      <c r="G316" s="88" t="n">
        <v>3</v>
      </c>
      <c r="H316" s="84" t="s">
        <v>152</v>
      </c>
      <c r="I316" s="80" t="s">
        <v>1078</v>
      </c>
      <c r="J316" s="80" t="s">
        <v>1079</v>
      </c>
      <c r="K316" s="80" t="s">
        <v>1080</v>
      </c>
      <c r="L316" s="80" t="s">
        <v>1081</v>
      </c>
      <c r="M316" s="80" t="s">
        <v>1082</v>
      </c>
      <c r="N316" s="80" t="s">
        <v>1083</v>
      </c>
      <c r="O316" s="101" t="n">
        <v>46104</v>
      </c>
      <c r="P316" s="84"/>
      <c r="Q316" s="84"/>
      <c r="R316" s="87" t="s">
        <v>31</v>
      </c>
      <c r="S316" s="87" t="s">
        <v>84</v>
      </c>
    </row>
    <row r="317" s="77" customFormat="true" ht="15" hidden="false" customHeight="false" outlineLevel="1" collapsed="false">
      <c r="B317" s="78" t="s">
        <v>1112</v>
      </c>
      <c r="C317" s="80" t="n">
        <v>307</v>
      </c>
      <c r="D317" s="80" t="s">
        <v>59</v>
      </c>
      <c r="E317" s="81" t="s">
        <v>1169</v>
      </c>
      <c r="F317" s="78" t="s">
        <v>60</v>
      </c>
      <c r="G317" s="88" t="n">
        <v>16</v>
      </c>
      <c r="H317" s="84" t="s">
        <v>61</v>
      </c>
      <c r="I317" s="80" t="s">
        <v>62</v>
      </c>
      <c r="J317" s="80" t="s">
        <v>63</v>
      </c>
      <c r="K317" s="80" t="s">
        <v>64</v>
      </c>
      <c r="L317" s="80" t="s">
        <v>65</v>
      </c>
      <c r="M317" s="80" t="s">
        <v>66</v>
      </c>
      <c r="N317" s="80" t="s">
        <v>67</v>
      </c>
      <c r="O317" s="101" t="n">
        <v>46104</v>
      </c>
      <c r="P317" s="84"/>
      <c r="Q317" s="84"/>
      <c r="R317" s="87" t="s">
        <v>31</v>
      </c>
      <c r="S317" s="87" t="s">
        <v>31</v>
      </c>
    </row>
    <row r="318" s="77" customFormat="true" ht="60" hidden="false" customHeight="true" outlineLevel="1" collapsed="false">
      <c r="B318" s="78" t="s">
        <v>1112</v>
      </c>
      <c r="C318" s="80" t="s">
        <v>1209</v>
      </c>
      <c r="D318" s="80" t="s">
        <v>75</v>
      </c>
      <c r="E318" s="81" t="s">
        <v>1169</v>
      </c>
      <c r="F318" s="78" t="s">
        <v>76</v>
      </c>
      <c r="G318" s="88" t="n">
        <v>8</v>
      </c>
      <c r="H318" s="84" t="s">
        <v>77</v>
      </c>
      <c r="I318" s="80" t="s">
        <v>1210</v>
      </c>
      <c r="J318" s="80" t="s">
        <v>1211</v>
      </c>
      <c r="K318" s="80" t="s">
        <v>1212</v>
      </c>
      <c r="L318" s="80" t="s">
        <v>81</v>
      </c>
      <c r="M318" s="80" t="s">
        <v>1213</v>
      </c>
      <c r="N318" s="80" t="s">
        <v>83</v>
      </c>
      <c r="O318" s="101" t="n">
        <v>46104</v>
      </c>
      <c r="P318" s="84"/>
      <c r="Q318" s="84"/>
      <c r="R318" s="87" t="s">
        <v>31</v>
      </c>
      <c r="S318" s="87" t="s">
        <v>84</v>
      </c>
    </row>
    <row r="319" s="77" customFormat="true" ht="30" hidden="false" customHeight="true" outlineLevel="1" collapsed="false">
      <c r="B319" s="78" t="s">
        <v>1112</v>
      </c>
      <c r="C319" s="80" t="n">
        <v>309</v>
      </c>
      <c r="D319" s="80" t="s">
        <v>725</v>
      </c>
      <c r="E319" s="81" t="s">
        <v>1169</v>
      </c>
      <c r="F319" s="78" t="s">
        <v>726</v>
      </c>
      <c r="G319" s="88" t="n">
        <v>2</v>
      </c>
      <c r="H319" s="84" t="s">
        <v>727</v>
      </c>
      <c r="I319" s="80" t="s">
        <v>728</v>
      </c>
      <c r="J319" s="80" t="s">
        <v>729</v>
      </c>
      <c r="K319" s="80" t="s">
        <v>730</v>
      </c>
      <c r="L319" s="80" t="s">
        <v>731</v>
      </c>
      <c r="M319" s="80" t="s">
        <v>732</v>
      </c>
      <c r="N319" s="80" t="s">
        <v>733</v>
      </c>
      <c r="O319" s="101" t="n">
        <v>46104</v>
      </c>
      <c r="P319" s="84"/>
      <c r="Q319" s="84"/>
      <c r="R319" s="87" t="s">
        <v>31</v>
      </c>
      <c r="S319" s="87" t="s">
        <v>31</v>
      </c>
    </row>
    <row r="320" s="77" customFormat="true" ht="15" hidden="false" customHeight="false" outlineLevel="1" collapsed="false">
      <c r="B320" s="78" t="s">
        <v>1112</v>
      </c>
      <c r="C320" s="80" t="n">
        <v>310</v>
      </c>
      <c r="D320" s="80" t="s">
        <v>102</v>
      </c>
      <c r="E320" s="81" t="s">
        <v>1169</v>
      </c>
      <c r="F320" s="78" t="s">
        <v>103</v>
      </c>
      <c r="G320" s="88" t="n">
        <v>3</v>
      </c>
      <c r="H320" s="84" t="s">
        <v>61</v>
      </c>
      <c r="I320" s="80" t="s">
        <v>104</v>
      </c>
      <c r="J320" s="80" t="s">
        <v>105</v>
      </c>
      <c r="K320" s="80" t="s">
        <v>106</v>
      </c>
      <c r="L320" s="80" t="s">
        <v>107</v>
      </c>
      <c r="M320" s="80" t="s">
        <v>107</v>
      </c>
      <c r="N320" s="80" t="s">
        <v>108</v>
      </c>
      <c r="O320" s="101" t="n">
        <v>46104</v>
      </c>
      <c r="P320" s="84"/>
      <c r="Q320" s="84"/>
      <c r="R320" s="87" t="s">
        <v>31</v>
      </c>
      <c r="S320" s="87" t="s">
        <v>84</v>
      </c>
    </row>
    <row r="321" s="77" customFormat="true" ht="15" hidden="false" customHeight="false" outlineLevel="1" collapsed="false">
      <c r="B321" s="78" t="s">
        <v>1112</v>
      </c>
      <c r="C321" s="80" t="n">
        <v>311</v>
      </c>
      <c r="D321" s="80" t="s">
        <v>536</v>
      </c>
      <c r="E321" s="81" t="s">
        <v>1169</v>
      </c>
      <c r="F321" s="78" t="s">
        <v>537</v>
      </c>
      <c r="G321" s="88" t="n">
        <v>1</v>
      </c>
      <c r="H321" s="84" t="s">
        <v>111</v>
      </c>
      <c r="I321" s="80" t="s">
        <v>538</v>
      </c>
      <c r="J321" s="80" t="s">
        <v>539</v>
      </c>
      <c r="K321" s="80" t="s">
        <v>540</v>
      </c>
      <c r="L321" s="80" t="s">
        <v>541</v>
      </c>
      <c r="M321" s="80" t="s">
        <v>541</v>
      </c>
      <c r="N321" s="80" t="s">
        <v>542</v>
      </c>
      <c r="O321" s="101" t="n">
        <v>46104</v>
      </c>
      <c r="P321" s="84"/>
      <c r="Q321" s="84"/>
      <c r="R321" s="87" t="s">
        <v>31</v>
      </c>
      <c r="S321" s="87" t="s">
        <v>84</v>
      </c>
    </row>
    <row r="322" s="77" customFormat="true" ht="15" hidden="false" customHeight="false" outlineLevel="1" collapsed="false">
      <c r="B322" s="78" t="s">
        <v>1112</v>
      </c>
      <c r="C322" s="80" t="n">
        <v>312</v>
      </c>
      <c r="D322" s="80" t="s">
        <v>150</v>
      </c>
      <c r="E322" s="81" t="s">
        <v>1169</v>
      </c>
      <c r="F322" s="78" t="s">
        <v>151</v>
      </c>
      <c r="G322" s="88" t="n">
        <v>2</v>
      </c>
      <c r="H322" s="84" t="s">
        <v>152</v>
      </c>
      <c r="I322" s="80" t="s">
        <v>153</v>
      </c>
      <c r="J322" s="80" t="s">
        <v>154</v>
      </c>
      <c r="K322" s="80" t="s">
        <v>155</v>
      </c>
      <c r="L322" s="80" t="s">
        <v>156</v>
      </c>
      <c r="M322" s="80" t="s">
        <v>1173</v>
      </c>
      <c r="N322" s="80" t="s">
        <v>158</v>
      </c>
      <c r="O322" s="101" t="n">
        <v>46104</v>
      </c>
      <c r="P322" s="84"/>
      <c r="Q322" s="84"/>
      <c r="R322" s="87" t="s">
        <v>31</v>
      </c>
      <c r="S322" s="87" t="s">
        <v>84</v>
      </c>
    </row>
    <row r="323" s="77" customFormat="true" ht="15" hidden="false" customHeight="false" outlineLevel="1" collapsed="false">
      <c r="B323" s="78" t="s">
        <v>1112</v>
      </c>
      <c r="C323" s="80" t="n">
        <v>313</v>
      </c>
      <c r="D323" s="80" t="s">
        <v>166</v>
      </c>
      <c r="E323" s="81" t="s">
        <v>1169</v>
      </c>
      <c r="F323" s="78" t="s">
        <v>167</v>
      </c>
      <c r="G323" s="88" t="n">
        <v>1</v>
      </c>
      <c r="H323" s="84" t="s">
        <v>61</v>
      </c>
      <c r="I323" s="80" t="s">
        <v>168</v>
      </c>
      <c r="J323" s="80" t="s">
        <v>169</v>
      </c>
      <c r="K323" s="80" t="s">
        <v>170</v>
      </c>
      <c r="L323" s="80" t="s">
        <v>171</v>
      </c>
      <c r="M323" s="80" t="s">
        <v>172</v>
      </c>
      <c r="N323" s="80" t="s">
        <v>173</v>
      </c>
      <c r="O323" s="101" t="n">
        <v>46104</v>
      </c>
      <c r="P323" s="84"/>
      <c r="Q323" s="84"/>
      <c r="R323" s="87" t="s">
        <v>31</v>
      </c>
      <c r="S323" s="87" t="s">
        <v>84</v>
      </c>
    </row>
    <row r="324" s="77" customFormat="true" ht="15" hidden="false" customHeight="false" outlineLevel="1" collapsed="false">
      <c r="B324" s="78" t="s">
        <v>1112</v>
      </c>
      <c r="C324" s="80" t="n">
        <v>314</v>
      </c>
      <c r="D324" s="80" t="s">
        <v>667</v>
      </c>
      <c r="E324" s="81" t="s">
        <v>1169</v>
      </c>
      <c r="F324" s="78" t="s">
        <v>668</v>
      </c>
      <c r="G324" s="88" t="n">
        <v>1</v>
      </c>
      <c r="H324" s="84" t="s">
        <v>61</v>
      </c>
      <c r="I324" s="80" t="s">
        <v>669</v>
      </c>
      <c r="J324" s="80" t="s">
        <v>670</v>
      </c>
      <c r="K324" s="93" t="s">
        <v>671</v>
      </c>
      <c r="L324" s="80" t="s">
        <v>672</v>
      </c>
      <c r="M324" s="80" t="s">
        <v>672</v>
      </c>
      <c r="N324" s="80" t="s">
        <v>673</v>
      </c>
      <c r="O324" s="101" t="n">
        <v>46104</v>
      </c>
      <c r="P324" s="84"/>
      <c r="Q324" s="84"/>
      <c r="R324" s="87" t="s">
        <v>31</v>
      </c>
      <c r="S324" s="87" t="s">
        <v>84</v>
      </c>
    </row>
    <row r="325" s="77" customFormat="true" ht="75" hidden="false" customHeight="true" outlineLevel="1" collapsed="false">
      <c r="B325" s="78"/>
      <c r="C325" s="80" t="s">
        <v>1204</v>
      </c>
      <c r="D325" s="80" t="s">
        <v>190</v>
      </c>
      <c r="E325" s="81" t="s">
        <v>1169</v>
      </c>
      <c r="F325" s="78" t="s">
        <v>191</v>
      </c>
      <c r="G325" s="88" t="n">
        <v>6</v>
      </c>
      <c r="H325" s="84" t="s">
        <v>24</v>
      </c>
      <c r="I325" s="80" t="s">
        <v>1205</v>
      </c>
      <c r="J325" s="80" t="s">
        <v>1206</v>
      </c>
      <c r="K325" s="80" t="s">
        <v>1207</v>
      </c>
      <c r="L325" s="80" t="s">
        <v>195</v>
      </c>
      <c r="M325" s="80" t="s">
        <v>1463</v>
      </c>
      <c r="N325" s="80" t="s">
        <v>197</v>
      </c>
      <c r="O325" s="101" t="n">
        <v>46104</v>
      </c>
      <c r="P325" s="84"/>
      <c r="Q325" s="84"/>
      <c r="R325" s="87" t="s">
        <v>31</v>
      </c>
      <c r="S325" s="87" t="s">
        <v>31</v>
      </c>
      <c r="T325" s="77" t="s">
        <v>1464</v>
      </c>
    </row>
    <row r="326" s="77" customFormat="true" ht="15" hidden="false" customHeight="false" outlineLevel="1" collapsed="false">
      <c r="B326" s="78" t="s">
        <v>1112</v>
      </c>
      <c r="C326" s="80" t="n">
        <v>316</v>
      </c>
      <c r="D326" s="80" t="s">
        <v>198</v>
      </c>
      <c r="E326" s="81" t="s">
        <v>1169</v>
      </c>
      <c r="F326" s="78" t="s">
        <v>199</v>
      </c>
      <c r="G326" s="88" t="n">
        <v>1</v>
      </c>
      <c r="H326" s="84" t="s">
        <v>200</v>
      </c>
      <c r="I326" s="80" t="s">
        <v>201</v>
      </c>
      <c r="J326" s="80" t="s">
        <v>202</v>
      </c>
      <c r="K326" s="80" t="s">
        <v>203</v>
      </c>
      <c r="L326" s="80" t="s">
        <v>204</v>
      </c>
      <c r="M326" s="80" t="s">
        <v>1198</v>
      </c>
      <c r="N326" s="80" t="s">
        <v>206</v>
      </c>
      <c r="O326" s="101" t="n">
        <v>46104</v>
      </c>
      <c r="P326" s="84"/>
      <c r="Q326" s="84"/>
      <c r="R326" s="87" t="s">
        <v>31</v>
      </c>
      <c r="S326" s="87" t="s">
        <v>84</v>
      </c>
    </row>
    <row r="327" s="77" customFormat="true" ht="15" hidden="false" customHeight="false" outlineLevel="1" collapsed="false">
      <c r="B327" s="78" t="s">
        <v>1112</v>
      </c>
      <c r="C327" s="80" t="n">
        <v>317</v>
      </c>
      <c r="D327" s="80" t="s">
        <v>223</v>
      </c>
      <c r="E327" s="81" t="s">
        <v>1169</v>
      </c>
      <c r="F327" s="78" t="s">
        <v>224</v>
      </c>
      <c r="G327" s="88" t="n">
        <v>1</v>
      </c>
      <c r="H327" s="84" t="s">
        <v>61</v>
      </c>
      <c r="I327" s="80" t="s">
        <v>225</v>
      </c>
      <c r="J327" s="80" t="s">
        <v>226</v>
      </c>
      <c r="K327" s="80" t="s">
        <v>227</v>
      </c>
      <c r="L327" s="80" t="s">
        <v>228</v>
      </c>
      <c r="M327" s="80" t="s">
        <v>229</v>
      </c>
      <c r="N327" s="80" t="s">
        <v>230</v>
      </c>
      <c r="O327" s="101" t="n">
        <v>46104</v>
      </c>
      <c r="P327" s="84"/>
      <c r="Q327" s="84"/>
      <c r="R327" s="87" t="s">
        <v>31</v>
      </c>
      <c r="S327" s="87" t="s">
        <v>31</v>
      </c>
    </row>
    <row r="328" s="77" customFormat="true" ht="60" hidden="false" customHeight="true" outlineLevel="1" collapsed="false">
      <c r="B328" s="78" t="s">
        <v>1465</v>
      </c>
      <c r="C328" s="80" t="s">
        <v>1214</v>
      </c>
      <c r="D328" s="80" t="s">
        <v>231</v>
      </c>
      <c r="E328" s="81" t="s">
        <v>1169</v>
      </c>
      <c r="F328" s="78" t="s">
        <v>232</v>
      </c>
      <c r="G328" s="88" t="n">
        <v>5</v>
      </c>
      <c r="H328" s="84" t="s">
        <v>61</v>
      </c>
      <c r="I328" s="80" t="s">
        <v>702</v>
      </c>
      <c r="J328" s="80" t="s">
        <v>703</v>
      </c>
      <c r="K328" s="80" t="s">
        <v>704</v>
      </c>
      <c r="L328" s="80" t="s">
        <v>236</v>
      </c>
      <c r="M328" s="80" t="s">
        <v>1215</v>
      </c>
      <c r="N328" s="80" t="s">
        <v>238</v>
      </c>
      <c r="O328" s="101" t="n">
        <v>46104</v>
      </c>
      <c r="P328" s="84"/>
      <c r="Q328" s="84"/>
      <c r="R328" s="87" t="s">
        <v>31</v>
      </c>
      <c r="S328" s="87" t="s">
        <v>84</v>
      </c>
    </row>
    <row r="329" s="77" customFormat="true" ht="30" hidden="false" customHeight="true" outlineLevel="1" collapsed="false">
      <c r="B329" s="78"/>
      <c r="C329" s="80" t="s">
        <v>1217</v>
      </c>
      <c r="D329" s="80" t="s">
        <v>795</v>
      </c>
      <c r="E329" s="81" t="s">
        <v>1169</v>
      </c>
      <c r="F329" s="78" t="s">
        <v>796</v>
      </c>
      <c r="G329" s="88" t="n">
        <v>16</v>
      </c>
      <c r="H329" s="84" t="s">
        <v>61</v>
      </c>
      <c r="I329" s="80" t="s">
        <v>797</v>
      </c>
      <c r="J329" s="80" t="s">
        <v>798</v>
      </c>
      <c r="K329" s="96" t="s">
        <v>799</v>
      </c>
      <c r="L329" s="80" t="s">
        <v>236</v>
      </c>
      <c r="M329" s="80" t="s">
        <v>1218</v>
      </c>
      <c r="N329" s="80" t="s">
        <v>801</v>
      </c>
      <c r="O329" s="101" t="n">
        <v>46104</v>
      </c>
      <c r="P329" s="84"/>
      <c r="Q329" s="84"/>
      <c r="R329" s="87" t="s">
        <v>31</v>
      </c>
      <c r="S329" s="87" t="s">
        <v>84</v>
      </c>
      <c r="T329" s="77" t="s">
        <v>1466</v>
      </c>
    </row>
    <row r="330" s="77" customFormat="true" ht="15" hidden="false" customHeight="false" outlineLevel="1" collapsed="false">
      <c r="B330" s="78"/>
      <c r="C330" s="80" t="n">
        <v>320</v>
      </c>
      <c r="D330" s="80" t="s">
        <v>239</v>
      </c>
      <c r="E330" s="81" t="s">
        <v>1169</v>
      </c>
      <c r="F330" s="78" t="s">
        <v>240</v>
      </c>
      <c r="G330" s="88" t="n">
        <v>1</v>
      </c>
      <c r="H330" s="84" t="s">
        <v>24</v>
      </c>
      <c r="I330" s="80" t="s">
        <v>241</v>
      </c>
      <c r="J330" s="80" t="s">
        <v>242</v>
      </c>
      <c r="K330" s="80" t="s">
        <v>243</v>
      </c>
      <c r="L330" s="80" t="s">
        <v>244</v>
      </c>
      <c r="M330" s="80" t="s">
        <v>244</v>
      </c>
      <c r="N330" s="80" t="s">
        <v>246</v>
      </c>
      <c r="O330" s="101" t="n">
        <v>46104</v>
      </c>
      <c r="P330" s="84"/>
      <c r="Q330" s="84"/>
      <c r="R330" s="87" t="s">
        <v>31</v>
      </c>
      <c r="S330" s="87" t="s">
        <v>31</v>
      </c>
    </row>
    <row r="331" s="77" customFormat="true" ht="30" hidden="false" customHeight="true" outlineLevel="1" collapsed="false">
      <c r="B331" s="78" t="s">
        <v>1112</v>
      </c>
      <c r="C331" s="80" t="n">
        <v>321</v>
      </c>
      <c r="D331" s="80" t="s">
        <v>247</v>
      </c>
      <c r="E331" s="81" t="s">
        <v>1169</v>
      </c>
      <c r="F331" s="78" t="s">
        <v>248</v>
      </c>
      <c r="G331" s="88" t="n">
        <v>1</v>
      </c>
      <c r="H331" s="84" t="s">
        <v>61</v>
      </c>
      <c r="I331" s="80" t="s">
        <v>528</v>
      </c>
      <c r="J331" s="80" t="s">
        <v>1066</v>
      </c>
      <c r="K331" s="126" t="s">
        <v>530</v>
      </c>
      <c r="L331" s="80" t="s">
        <v>252</v>
      </c>
      <c r="M331" s="80" t="s">
        <v>531</v>
      </c>
      <c r="N331" s="80" t="s">
        <v>254</v>
      </c>
      <c r="O331" s="101" t="n">
        <v>46104</v>
      </c>
      <c r="P331" s="84"/>
      <c r="Q331" s="84"/>
      <c r="R331" s="87" t="s">
        <v>31</v>
      </c>
      <c r="S331" s="87" t="s">
        <v>84</v>
      </c>
    </row>
    <row r="332" s="77" customFormat="true" ht="15" hidden="false" customHeight="false" outlineLevel="1" collapsed="false">
      <c r="B332" s="78" t="s">
        <v>1112</v>
      </c>
      <c r="C332" s="80" t="n">
        <v>322</v>
      </c>
      <c r="D332" s="80" t="s">
        <v>263</v>
      </c>
      <c r="E332" s="81" t="s">
        <v>1169</v>
      </c>
      <c r="F332" s="78" t="s">
        <v>264</v>
      </c>
      <c r="G332" s="88" t="n">
        <v>3</v>
      </c>
      <c r="H332" s="84" t="s">
        <v>61</v>
      </c>
      <c r="I332" s="80" t="s">
        <v>265</v>
      </c>
      <c r="J332" s="80" t="s">
        <v>266</v>
      </c>
      <c r="K332" s="80" t="s">
        <v>267</v>
      </c>
      <c r="L332" s="80" t="s">
        <v>252</v>
      </c>
      <c r="M332" s="80" t="s">
        <v>268</v>
      </c>
      <c r="N332" s="80" t="s">
        <v>269</v>
      </c>
      <c r="O332" s="101" t="n">
        <v>46104</v>
      </c>
      <c r="P332" s="84"/>
      <c r="Q332" s="84"/>
      <c r="R332" s="87" t="s">
        <v>31</v>
      </c>
      <c r="S332" s="87" t="s">
        <v>31</v>
      </c>
    </row>
    <row r="333" s="77" customFormat="true" ht="15" hidden="false" customHeight="false" outlineLevel="1" collapsed="false">
      <c r="B333" s="78" t="s">
        <v>1112</v>
      </c>
      <c r="C333" s="80" t="n">
        <v>323</v>
      </c>
      <c r="D333" s="80" t="s">
        <v>651</v>
      </c>
      <c r="E333" s="81" t="s">
        <v>1169</v>
      </c>
      <c r="F333" s="78" t="s">
        <v>652</v>
      </c>
      <c r="G333" s="88" t="n">
        <v>5</v>
      </c>
      <c r="H333" s="84" t="s">
        <v>111</v>
      </c>
      <c r="I333" s="80" t="s">
        <v>653</v>
      </c>
      <c r="J333" s="80" t="s">
        <v>654</v>
      </c>
      <c r="K333" s="80" t="s">
        <v>655</v>
      </c>
      <c r="L333" s="80" t="s">
        <v>656</v>
      </c>
      <c r="M333" s="80" t="s">
        <v>657</v>
      </c>
      <c r="N333" s="80" t="s">
        <v>658</v>
      </c>
      <c r="O333" s="101" t="n">
        <v>46104</v>
      </c>
      <c r="P333" s="84"/>
      <c r="Q333" s="84"/>
      <c r="R333" s="87" t="s">
        <v>31</v>
      </c>
      <c r="S333" s="87" t="s">
        <v>31</v>
      </c>
    </row>
    <row r="334" s="77" customFormat="true" ht="15" hidden="false" customHeight="false" outlineLevel="1" collapsed="false">
      <c r="B334" s="78" t="s">
        <v>1112</v>
      </c>
      <c r="C334" s="80" t="n">
        <v>324</v>
      </c>
      <c r="D334" s="80" t="s">
        <v>270</v>
      </c>
      <c r="E334" s="81" t="s">
        <v>1169</v>
      </c>
      <c r="F334" s="78" t="s">
        <v>271</v>
      </c>
      <c r="G334" s="88" t="n">
        <v>4</v>
      </c>
      <c r="H334" s="84" t="s">
        <v>61</v>
      </c>
      <c r="I334" s="80" t="s">
        <v>272</v>
      </c>
      <c r="J334" s="80" t="s">
        <v>273</v>
      </c>
      <c r="K334" s="80" t="s">
        <v>274</v>
      </c>
      <c r="L334" s="80" t="s">
        <v>792</v>
      </c>
      <c r="M334" s="80" t="s">
        <v>792</v>
      </c>
      <c r="N334" s="80" t="s">
        <v>277</v>
      </c>
      <c r="O334" s="101" t="n">
        <v>46104</v>
      </c>
      <c r="P334" s="84"/>
      <c r="Q334" s="84"/>
      <c r="R334" s="87" t="s">
        <v>31</v>
      </c>
      <c r="S334" s="87" t="s">
        <v>31</v>
      </c>
    </row>
    <row r="335" s="77" customFormat="true" ht="15" hidden="false" customHeight="false" outlineLevel="1" collapsed="false">
      <c r="B335" s="78" t="s">
        <v>1112</v>
      </c>
      <c r="C335" s="80" t="n">
        <v>325</v>
      </c>
      <c r="D335" s="80" t="s">
        <v>743</v>
      </c>
      <c r="E335" s="81" t="s">
        <v>1169</v>
      </c>
      <c r="F335" s="78" t="s">
        <v>744</v>
      </c>
      <c r="G335" s="88" t="n">
        <v>2</v>
      </c>
      <c r="H335" s="84" t="s">
        <v>745</v>
      </c>
      <c r="I335" s="80" t="s">
        <v>746</v>
      </c>
      <c r="J335" s="80" t="s">
        <v>747</v>
      </c>
      <c r="K335" s="80" t="s">
        <v>748</v>
      </c>
      <c r="L335" s="80" t="s">
        <v>749</v>
      </c>
      <c r="M335" s="80" t="s">
        <v>750</v>
      </c>
      <c r="N335" s="80" t="s">
        <v>751</v>
      </c>
      <c r="O335" s="101" t="n">
        <v>46104</v>
      </c>
      <c r="P335" s="84"/>
      <c r="Q335" s="84"/>
      <c r="R335" s="87" t="s">
        <v>31</v>
      </c>
      <c r="S335" s="87" t="s">
        <v>84</v>
      </c>
    </row>
    <row r="336" s="77" customFormat="true" ht="15" hidden="false" customHeight="false" outlineLevel="1" collapsed="false">
      <c r="B336" s="78" t="s">
        <v>1112</v>
      </c>
      <c r="C336" s="80" t="n">
        <v>326</v>
      </c>
      <c r="D336" s="80" t="s">
        <v>859</v>
      </c>
      <c r="E336" s="81" t="s">
        <v>1169</v>
      </c>
      <c r="F336" s="78" t="s">
        <v>860</v>
      </c>
      <c r="G336" s="88" t="n">
        <v>1</v>
      </c>
      <c r="H336" s="84" t="s">
        <v>861</v>
      </c>
      <c r="I336" s="80" t="s">
        <v>862</v>
      </c>
      <c r="J336" s="80" t="s">
        <v>863</v>
      </c>
      <c r="K336" s="80" t="s">
        <v>864</v>
      </c>
      <c r="L336" s="80" t="s">
        <v>865</v>
      </c>
      <c r="M336" s="80" t="s">
        <v>866</v>
      </c>
      <c r="N336" s="80" t="s">
        <v>867</v>
      </c>
      <c r="O336" s="101" t="n">
        <v>46104</v>
      </c>
      <c r="P336" s="84"/>
      <c r="Q336" s="84"/>
      <c r="R336" s="87" t="s">
        <v>31</v>
      </c>
      <c r="S336" s="87" t="s">
        <v>31</v>
      </c>
    </row>
    <row r="337" s="77" customFormat="true" ht="15" hidden="false" customHeight="false" outlineLevel="1" collapsed="false">
      <c r="B337" s="78" t="s">
        <v>1112</v>
      </c>
      <c r="C337" s="80" t="n">
        <v>327</v>
      </c>
      <c r="D337" s="80" t="s">
        <v>318</v>
      </c>
      <c r="E337" s="81" t="s">
        <v>1169</v>
      </c>
      <c r="F337" s="78" t="s">
        <v>319</v>
      </c>
      <c r="G337" s="88" t="n">
        <v>2</v>
      </c>
      <c r="H337" s="84" t="s">
        <v>111</v>
      </c>
      <c r="I337" s="80" t="s">
        <v>320</v>
      </c>
      <c r="J337" s="80" t="s">
        <v>321</v>
      </c>
      <c r="K337" s="80" t="s">
        <v>322</v>
      </c>
      <c r="L337" s="80" t="s">
        <v>323</v>
      </c>
      <c r="M337" s="80" t="s">
        <v>324</v>
      </c>
      <c r="N337" s="80" t="s">
        <v>325</v>
      </c>
      <c r="O337" s="101" t="n">
        <v>46104</v>
      </c>
      <c r="P337" s="84"/>
      <c r="Q337" s="84"/>
      <c r="R337" s="87" t="s">
        <v>31</v>
      </c>
      <c r="S337" s="87" t="s">
        <v>84</v>
      </c>
    </row>
    <row r="338" s="77" customFormat="true" ht="15" hidden="false" customHeight="false" outlineLevel="1" collapsed="false">
      <c r="B338" s="78" t="s">
        <v>1112</v>
      </c>
      <c r="C338" s="80" t="n">
        <v>328</v>
      </c>
      <c r="D338" s="80" t="s">
        <v>326</v>
      </c>
      <c r="E338" s="81" t="s">
        <v>1169</v>
      </c>
      <c r="F338" s="78" t="s">
        <v>327</v>
      </c>
      <c r="G338" s="88" t="n">
        <v>1</v>
      </c>
      <c r="H338" s="84" t="s">
        <v>152</v>
      </c>
      <c r="I338" s="80" t="s">
        <v>328</v>
      </c>
      <c r="J338" s="80" t="s">
        <v>329</v>
      </c>
      <c r="K338" s="80" t="s">
        <v>330</v>
      </c>
      <c r="L338" s="80" t="s">
        <v>331</v>
      </c>
      <c r="M338" s="80" t="s">
        <v>332</v>
      </c>
      <c r="N338" s="80" t="s">
        <v>333</v>
      </c>
      <c r="O338" s="101" t="n">
        <v>46104</v>
      </c>
      <c r="P338" s="84"/>
      <c r="Q338" s="84"/>
      <c r="R338" s="87" t="s">
        <v>31</v>
      </c>
      <c r="S338" s="87" t="s">
        <v>31</v>
      </c>
    </row>
    <row r="339" s="77" customFormat="true" ht="15" hidden="false" customHeight="false" outlineLevel="1" collapsed="false">
      <c r="B339" s="78" t="s">
        <v>1112</v>
      </c>
      <c r="C339" s="80" t="n">
        <v>329</v>
      </c>
      <c r="D339" s="80" t="s">
        <v>334</v>
      </c>
      <c r="E339" s="81" t="s">
        <v>1169</v>
      </c>
      <c r="F339" s="78" t="s">
        <v>335</v>
      </c>
      <c r="G339" s="88" t="n">
        <v>1</v>
      </c>
      <c r="H339" s="84" t="s">
        <v>61</v>
      </c>
      <c r="I339" s="80" t="s">
        <v>336</v>
      </c>
      <c r="J339" s="80" t="s">
        <v>337</v>
      </c>
      <c r="K339" s="80" t="s">
        <v>338</v>
      </c>
      <c r="L339" s="80" t="s">
        <v>339</v>
      </c>
      <c r="M339" s="80" t="s">
        <v>543</v>
      </c>
      <c r="N339" s="80" t="s">
        <v>341</v>
      </c>
      <c r="O339" s="101" t="n">
        <v>46104</v>
      </c>
      <c r="P339" s="84"/>
      <c r="Q339" s="84"/>
      <c r="R339" s="87" t="s">
        <v>31</v>
      </c>
      <c r="S339" s="87" t="s">
        <v>84</v>
      </c>
    </row>
    <row r="340" s="77" customFormat="true" ht="15" hidden="false" customHeight="false" outlineLevel="1" collapsed="false">
      <c r="B340" s="78" t="s">
        <v>1112</v>
      </c>
      <c r="C340" s="80" t="n">
        <v>330</v>
      </c>
      <c r="D340" s="80" t="s">
        <v>802</v>
      </c>
      <c r="E340" s="81" t="s">
        <v>1169</v>
      </c>
      <c r="F340" s="78" t="s">
        <v>803</v>
      </c>
      <c r="G340" s="88" t="n">
        <v>10</v>
      </c>
      <c r="H340" s="84" t="s">
        <v>804</v>
      </c>
      <c r="I340" s="80" t="s">
        <v>805</v>
      </c>
      <c r="J340" s="80" t="s">
        <v>806</v>
      </c>
      <c r="K340" s="80" t="s">
        <v>807</v>
      </c>
      <c r="L340" s="80" t="s">
        <v>808</v>
      </c>
      <c r="M340" s="80" t="s">
        <v>809</v>
      </c>
      <c r="N340" s="80" t="s">
        <v>810</v>
      </c>
      <c r="O340" s="101" t="n">
        <v>46104</v>
      </c>
      <c r="P340" s="84"/>
      <c r="Q340" s="84"/>
      <c r="R340" s="87" t="s">
        <v>31</v>
      </c>
      <c r="S340" s="87" t="s">
        <v>84</v>
      </c>
    </row>
    <row r="341" s="77" customFormat="true" ht="60" hidden="false" customHeight="true" outlineLevel="1" collapsed="false">
      <c r="B341" s="78" t="s">
        <v>1112</v>
      </c>
      <c r="C341" s="80" t="s">
        <v>1190</v>
      </c>
      <c r="D341" s="80" t="s">
        <v>366</v>
      </c>
      <c r="E341" s="81" t="s">
        <v>1169</v>
      </c>
      <c r="F341" s="78" t="s">
        <v>367</v>
      </c>
      <c r="G341" s="88" t="n">
        <v>15</v>
      </c>
      <c r="H341" s="84" t="s">
        <v>368</v>
      </c>
      <c r="I341" s="80" t="s">
        <v>369</v>
      </c>
      <c r="J341" s="80" t="s">
        <v>370</v>
      </c>
      <c r="K341" s="80" t="s">
        <v>371</v>
      </c>
      <c r="L341" s="80" t="s">
        <v>372</v>
      </c>
      <c r="M341" s="80" t="s">
        <v>1191</v>
      </c>
      <c r="N341" s="80" t="s">
        <v>374</v>
      </c>
      <c r="O341" s="101" t="n">
        <v>46104</v>
      </c>
      <c r="P341" s="84"/>
      <c r="Q341" s="84"/>
      <c r="R341" s="87" t="s">
        <v>31</v>
      </c>
      <c r="S341" s="87" t="s">
        <v>84</v>
      </c>
    </row>
    <row r="342" s="77" customFormat="true" ht="15" hidden="false" customHeight="false" outlineLevel="1" collapsed="false">
      <c r="B342" s="78" t="s">
        <v>1112</v>
      </c>
      <c r="C342" s="80" t="n">
        <v>332</v>
      </c>
      <c r="D342" s="80" t="s">
        <v>604</v>
      </c>
      <c r="E342" s="81" t="s">
        <v>1169</v>
      </c>
      <c r="F342" s="78" t="s">
        <v>605</v>
      </c>
      <c r="G342" s="88" t="n">
        <v>15</v>
      </c>
      <c r="H342" s="84" t="s">
        <v>61</v>
      </c>
      <c r="I342" s="80" t="s">
        <v>606</v>
      </c>
      <c r="J342" s="80" t="s">
        <v>607</v>
      </c>
      <c r="K342" s="80" t="s">
        <v>608</v>
      </c>
      <c r="L342" s="80" t="s">
        <v>252</v>
      </c>
      <c r="M342" s="80" t="s">
        <v>609</v>
      </c>
      <c r="N342" s="80" t="s">
        <v>610</v>
      </c>
      <c r="O342" s="101" t="n">
        <v>46104</v>
      </c>
      <c r="P342" s="84"/>
      <c r="Q342" s="84"/>
      <c r="R342" s="87" t="s">
        <v>31</v>
      </c>
      <c r="S342" s="87" t="s">
        <v>31</v>
      </c>
    </row>
    <row r="343" s="77" customFormat="true" ht="54" hidden="false" customHeight="true" outlineLevel="1" collapsed="false">
      <c r="B343" s="78" t="s">
        <v>1467</v>
      </c>
      <c r="C343" s="80" t="s">
        <v>1193</v>
      </c>
      <c r="D343" s="80" t="s">
        <v>375</v>
      </c>
      <c r="E343" s="78" t="s">
        <v>1169</v>
      </c>
      <c r="F343" s="78" t="s">
        <v>376</v>
      </c>
      <c r="G343" s="88" t="n">
        <v>15</v>
      </c>
      <c r="H343" s="84" t="s">
        <v>111</v>
      </c>
      <c r="I343" s="80" t="s">
        <v>1194</v>
      </c>
      <c r="J343" s="80" t="s">
        <v>1195</v>
      </c>
      <c r="K343" s="80" t="s">
        <v>1196</v>
      </c>
      <c r="L343" s="80" t="s">
        <v>380</v>
      </c>
      <c r="M343" s="80" t="s">
        <v>1468</v>
      </c>
      <c r="N343" s="80" t="s">
        <v>382</v>
      </c>
      <c r="O343" s="101" t="n">
        <v>46104</v>
      </c>
      <c r="P343" s="84"/>
      <c r="Q343" s="84"/>
      <c r="R343" s="87" t="s">
        <v>31</v>
      </c>
      <c r="S343" s="87" t="s">
        <v>31</v>
      </c>
      <c r="T343" s="77" t="s">
        <v>1469</v>
      </c>
    </row>
    <row r="344" s="77" customFormat="true" ht="15" hidden="false" customHeight="false" outlineLevel="1" collapsed="false">
      <c r="B344" s="78" t="s">
        <v>1112</v>
      </c>
      <c r="C344" s="80" t="n">
        <v>334</v>
      </c>
      <c r="D344" s="80" t="s">
        <v>383</v>
      </c>
      <c r="E344" s="81" t="s">
        <v>1169</v>
      </c>
      <c r="F344" s="78" t="s">
        <v>384</v>
      </c>
      <c r="G344" s="88" t="n">
        <v>1</v>
      </c>
      <c r="H344" s="84" t="s">
        <v>61</v>
      </c>
      <c r="I344" s="80" t="s">
        <v>385</v>
      </c>
      <c r="J344" s="80" t="s">
        <v>386</v>
      </c>
      <c r="K344" s="80" t="s">
        <v>387</v>
      </c>
      <c r="L344" s="80" t="s">
        <v>388</v>
      </c>
      <c r="M344" s="80" t="s">
        <v>389</v>
      </c>
      <c r="N344" s="80" t="s">
        <v>390</v>
      </c>
      <c r="O344" s="101" t="n">
        <v>46104</v>
      </c>
      <c r="P344" s="84"/>
      <c r="Q344" s="84"/>
      <c r="R344" s="87" t="s">
        <v>31</v>
      </c>
      <c r="S344" s="87" t="s">
        <v>84</v>
      </c>
    </row>
    <row r="345" s="77" customFormat="true" ht="15" hidden="false" customHeight="false" outlineLevel="1" collapsed="false">
      <c r="B345" s="78" t="s">
        <v>1112</v>
      </c>
      <c r="C345" s="80" t="n">
        <v>335</v>
      </c>
      <c r="D345" s="80" t="s">
        <v>399</v>
      </c>
      <c r="E345" s="81" t="s">
        <v>1169</v>
      </c>
      <c r="F345" s="78" t="s">
        <v>400</v>
      </c>
      <c r="G345" s="88" t="n">
        <v>2</v>
      </c>
      <c r="H345" s="84" t="s">
        <v>152</v>
      </c>
      <c r="I345" s="80" t="s">
        <v>401</v>
      </c>
      <c r="J345" s="80" t="s">
        <v>402</v>
      </c>
      <c r="K345" s="80" t="s">
        <v>403</v>
      </c>
      <c r="L345" s="80" t="s">
        <v>404</v>
      </c>
      <c r="M345" s="80" t="s">
        <v>791</v>
      </c>
      <c r="N345" s="80" t="s">
        <v>406</v>
      </c>
      <c r="O345" s="101" t="n">
        <v>46104</v>
      </c>
      <c r="P345" s="84"/>
      <c r="Q345" s="84"/>
      <c r="R345" s="87" t="s">
        <v>31</v>
      </c>
      <c r="S345" s="87" t="s">
        <v>84</v>
      </c>
    </row>
    <row r="346" s="77" customFormat="true" ht="60" hidden="false" customHeight="true" outlineLevel="1" collapsed="false">
      <c r="B346" s="78" t="s">
        <v>1112</v>
      </c>
      <c r="C346" s="80" t="s">
        <v>1183</v>
      </c>
      <c r="D346" s="80" t="s">
        <v>431</v>
      </c>
      <c r="E346" s="81" t="s">
        <v>1169</v>
      </c>
      <c r="F346" s="78" t="s">
        <v>432</v>
      </c>
      <c r="G346" s="88" t="n">
        <v>9</v>
      </c>
      <c r="H346" s="84" t="s">
        <v>152</v>
      </c>
      <c r="I346" s="80" t="s">
        <v>1184</v>
      </c>
      <c r="J346" s="80" t="s">
        <v>1185</v>
      </c>
      <c r="K346" s="80" t="s">
        <v>1186</v>
      </c>
      <c r="L346" s="80" t="s">
        <v>436</v>
      </c>
      <c r="M346" s="80" t="s">
        <v>1187</v>
      </c>
      <c r="N346" s="80" t="s">
        <v>438</v>
      </c>
      <c r="O346" s="101" t="n">
        <v>46104</v>
      </c>
      <c r="P346" s="84"/>
      <c r="Q346" s="84"/>
      <c r="R346" s="87" t="s">
        <v>31</v>
      </c>
      <c r="S346" s="87" t="s">
        <v>31</v>
      </c>
    </row>
    <row r="347" s="77" customFormat="true" ht="15" hidden="false" customHeight="false" outlineLevel="1" collapsed="false">
      <c r="B347" s="78"/>
      <c r="C347" s="80" t="n">
        <v>337</v>
      </c>
      <c r="D347" s="80" t="s">
        <v>544</v>
      </c>
      <c r="E347" s="81" t="s">
        <v>1169</v>
      </c>
      <c r="F347" s="78" t="s">
        <v>545</v>
      </c>
      <c r="G347" s="88" t="n">
        <v>1</v>
      </c>
      <c r="H347" s="84" t="s">
        <v>24</v>
      </c>
      <c r="I347" s="80" t="s">
        <v>546</v>
      </c>
      <c r="J347" s="80" t="s">
        <v>547</v>
      </c>
      <c r="K347" s="80" t="s">
        <v>548</v>
      </c>
      <c r="L347" s="80" t="s">
        <v>549</v>
      </c>
      <c r="M347" s="80" t="s">
        <v>550</v>
      </c>
      <c r="N347" s="80" t="s">
        <v>551</v>
      </c>
      <c r="O347" s="101" t="n">
        <v>46104</v>
      </c>
      <c r="P347" s="84"/>
      <c r="Q347" s="84"/>
      <c r="R347" s="87" t="s">
        <v>31</v>
      </c>
      <c r="S347" s="87" t="s">
        <v>31</v>
      </c>
    </row>
    <row r="348" s="77" customFormat="true" ht="30" hidden="false" customHeight="true" outlineLevel="1" collapsed="false">
      <c r="B348" s="78" t="s">
        <v>1112</v>
      </c>
      <c r="C348" s="80" t="n">
        <v>338</v>
      </c>
      <c r="D348" s="80" t="s">
        <v>439</v>
      </c>
      <c r="E348" s="81" t="s">
        <v>1169</v>
      </c>
      <c r="F348" s="78" t="s">
        <v>440</v>
      </c>
      <c r="G348" s="88" t="n">
        <v>1</v>
      </c>
      <c r="H348" s="84" t="s">
        <v>152</v>
      </c>
      <c r="I348" s="80" t="s">
        <v>441</v>
      </c>
      <c r="J348" s="80" t="s">
        <v>442</v>
      </c>
      <c r="K348" s="80" t="s">
        <v>443</v>
      </c>
      <c r="L348" s="80" t="s">
        <v>444</v>
      </c>
      <c r="M348" s="80" t="s">
        <v>570</v>
      </c>
      <c r="N348" s="80" t="s">
        <v>446</v>
      </c>
      <c r="O348" s="101" t="n">
        <v>46104</v>
      </c>
      <c r="P348" s="84"/>
      <c r="Q348" s="84"/>
      <c r="R348" s="87" t="s">
        <v>31</v>
      </c>
      <c r="S348" s="87" t="s">
        <v>31</v>
      </c>
    </row>
    <row r="349" s="77" customFormat="true" ht="15" hidden="false" customHeight="false" outlineLevel="1" collapsed="false">
      <c r="B349" s="78"/>
      <c r="C349" s="80" t="n">
        <v>339</v>
      </c>
      <c r="D349" s="80" t="s">
        <v>447</v>
      </c>
      <c r="E349" s="81" t="s">
        <v>1169</v>
      </c>
      <c r="F349" s="78" t="s">
        <v>448</v>
      </c>
      <c r="G349" s="88" t="n">
        <v>2</v>
      </c>
      <c r="H349" s="84" t="s">
        <v>24</v>
      </c>
      <c r="I349" s="80" t="s">
        <v>449</v>
      </c>
      <c r="J349" s="80" t="s">
        <v>450</v>
      </c>
      <c r="K349" s="80" t="s">
        <v>451</v>
      </c>
      <c r="L349" s="80" t="s">
        <v>452</v>
      </c>
      <c r="M349" s="80" t="s">
        <v>453</v>
      </c>
      <c r="N349" s="80" t="s">
        <v>454</v>
      </c>
      <c r="O349" s="101" t="n">
        <v>46104</v>
      </c>
      <c r="P349" s="84"/>
      <c r="Q349" s="84"/>
      <c r="R349" s="87" t="s">
        <v>31</v>
      </c>
      <c r="S349" s="87" t="s">
        <v>31</v>
      </c>
    </row>
    <row r="350" s="77" customFormat="true" ht="15" hidden="false" customHeight="false" outlineLevel="1" collapsed="false">
      <c r="B350" s="78" t="s">
        <v>1112</v>
      </c>
      <c r="C350" s="80" t="n">
        <v>340</v>
      </c>
      <c r="D350" s="80" t="s">
        <v>571</v>
      </c>
      <c r="E350" s="81" t="s">
        <v>1169</v>
      </c>
      <c r="F350" s="78" t="s">
        <v>572</v>
      </c>
      <c r="G350" s="88" t="n">
        <v>3</v>
      </c>
      <c r="H350" s="84" t="s">
        <v>573</v>
      </c>
      <c r="I350" s="80" t="s">
        <v>574</v>
      </c>
      <c r="J350" s="80" t="s">
        <v>575</v>
      </c>
      <c r="K350" s="80" t="s">
        <v>576</v>
      </c>
      <c r="L350" s="80" t="s">
        <v>577</v>
      </c>
      <c r="M350" s="80" t="s">
        <v>578</v>
      </c>
      <c r="N350" s="80" t="s">
        <v>579</v>
      </c>
      <c r="O350" s="101" t="n">
        <v>46104</v>
      </c>
      <c r="P350" s="84"/>
      <c r="Q350" s="84"/>
      <c r="R350" s="87" t="s">
        <v>31</v>
      </c>
      <c r="S350" s="87" t="s">
        <v>84</v>
      </c>
    </row>
    <row r="351" s="77" customFormat="true" ht="15" hidden="false" customHeight="false" outlineLevel="1" collapsed="false">
      <c r="B351" s="78" t="s">
        <v>1112</v>
      </c>
      <c r="C351" s="80" t="n">
        <v>341</v>
      </c>
      <c r="D351" s="80" t="s">
        <v>455</v>
      </c>
      <c r="E351" s="81" t="s">
        <v>1169</v>
      </c>
      <c r="F351" s="78" t="s">
        <v>456</v>
      </c>
      <c r="G351" s="88" t="n">
        <v>2</v>
      </c>
      <c r="H351" s="84" t="s">
        <v>111</v>
      </c>
      <c r="I351" s="80" t="s">
        <v>457</v>
      </c>
      <c r="J351" s="80" t="s">
        <v>458</v>
      </c>
      <c r="K351" s="80" t="s">
        <v>459</v>
      </c>
      <c r="L351" s="80" t="s">
        <v>460</v>
      </c>
      <c r="M351" s="80" t="s">
        <v>461</v>
      </c>
      <c r="N351" s="80" t="s">
        <v>462</v>
      </c>
      <c r="O351" s="101" t="n">
        <v>46104</v>
      </c>
      <c r="P351" s="84"/>
      <c r="Q351" s="84"/>
      <c r="R351" s="87" t="s">
        <v>31</v>
      </c>
      <c r="S351" s="87" t="s">
        <v>84</v>
      </c>
    </row>
    <row r="352" s="77" customFormat="true" ht="15" hidden="false" customHeight="false" outlineLevel="1" collapsed="false">
      <c r="B352" s="78" t="s">
        <v>1112</v>
      </c>
      <c r="C352" s="80" t="n">
        <v>342</v>
      </c>
      <c r="D352" s="80" t="s">
        <v>760</v>
      </c>
      <c r="E352" s="81" t="s">
        <v>1169</v>
      </c>
      <c r="F352" s="78" t="s">
        <v>761</v>
      </c>
      <c r="G352" s="88" t="n">
        <v>2</v>
      </c>
      <c r="H352" s="84" t="s">
        <v>61</v>
      </c>
      <c r="I352" s="80" t="s">
        <v>762</v>
      </c>
      <c r="J352" s="80" t="s">
        <v>763</v>
      </c>
      <c r="K352" s="80" t="s">
        <v>764</v>
      </c>
      <c r="L352" s="80" t="s">
        <v>765</v>
      </c>
      <c r="M352" s="80" t="s">
        <v>765</v>
      </c>
      <c r="N352" s="80" t="s">
        <v>766</v>
      </c>
      <c r="O352" s="101" t="n">
        <v>46104</v>
      </c>
      <c r="P352" s="84"/>
      <c r="Q352" s="84"/>
      <c r="R352" s="87" t="s">
        <v>31</v>
      </c>
      <c r="S352" s="87" t="s">
        <v>84</v>
      </c>
    </row>
    <row r="353" s="77" customFormat="true" ht="15" hidden="false" customHeight="false" outlineLevel="1" collapsed="false">
      <c r="B353" s="78" t="s">
        <v>1112</v>
      </c>
      <c r="C353" s="80" t="n">
        <v>343</v>
      </c>
      <c r="D353" s="80" t="s">
        <v>471</v>
      </c>
      <c r="E353" s="81" t="s">
        <v>1169</v>
      </c>
      <c r="F353" s="78" t="s">
        <v>472</v>
      </c>
      <c r="G353" s="88" t="n">
        <v>2</v>
      </c>
      <c r="H353" s="84" t="s">
        <v>111</v>
      </c>
      <c r="I353" s="80" t="s">
        <v>473</v>
      </c>
      <c r="J353" s="80" t="s">
        <v>474</v>
      </c>
      <c r="K353" s="80" t="s">
        <v>475</v>
      </c>
      <c r="L353" s="80" t="s">
        <v>476</v>
      </c>
      <c r="M353" s="80" t="s">
        <v>476</v>
      </c>
      <c r="N353" s="80" t="s">
        <v>477</v>
      </c>
      <c r="O353" s="101" t="n">
        <v>46104</v>
      </c>
      <c r="P353" s="84"/>
      <c r="Q353" s="84"/>
      <c r="R353" s="87" t="s">
        <v>31</v>
      </c>
      <c r="S353" s="87" t="s">
        <v>84</v>
      </c>
    </row>
    <row r="354" s="77" customFormat="true" ht="15" hidden="false" customHeight="false" outlineLevel="1" collapsed="false">
      <c r="B354" s="78"/>
      <c r="C354" s="80" t="n">
        <v>344</v>
      </c>
      <c r="D354" s="80" t="s">
        <v>588</v>
      </c>
      <c r="E354" s="81" t="s">
        <v>1169</v>
      </c>
      <c r="F354" s="78" t="s">
        <v>589</v>
      </c>
      <c r="G354" s="88" t="n">
        <v>10</v>
      </c>
      <c r="H354" s="84" t="s">
        <v>24</v>
      </c>
      <c r="I354" s="80" t="s">
        <v>590</v>
      </c>
      <c r="J354" s="80" t="s">
        <v>591</v>
      </c>
      <c r="K354" s="80" t="s">
        <v>592</v>
      </c>
      <c r="L354" s="80" t="s">
        <v>593</v>
      </c>
      <c r="M354" s="80" t="s">
        <v>594</v>
      </c>
      <c r="N354" s="80" t="s">
        <v>595</v>
      </c>
      <c r="O354" s="101" t="n">
        <v>46104</v>
      </c>
      <c r="P354" s="84"/>
      <c r="Q354" s="84"/>
      <c r="R354" s="87" t="s">
        <v>31</v>
      </c>
      <c r="S354" s="87" t="s">
        <v>31</v>
      </c>
    </row>
    <row r="355" s="77" customFormat="true" ht="15" hidden="false" customHeight="false" outlineLevel="1" collapsed="false">
      <c r="B355" s="78" t="s">
        <v>1112</v>
      </c>
      <c r="C355" s="80" t="n">
        <v>345</v>
      </c>
      <c r="D355" s="80" t="s">
        <v>486</v>
      </c>
      <c r="E355" s="81" t="s">
        <v>1169</v>
      </c>
      <c r="F355" s="78" t="s">
        <v>487</v>
      </c>
      <c r="G355" s="88" t="n">
        <v>1</v>
      </c>
      <c r="H355" s="84" t="s">
        <v>152</v>
      </c>
      <c r="I355" s="80" t="s">
        <v>488</v>
      </c>
      <c r="J355" s="80" t="s">
        <v>489</v>
      </c>
      <c r="K355" s="80" t="s">
        <v>490</v>
      </c>
      <c r="L355" s="80" t="s">
        <v>491</v>
      </c>
      <c r="M355" s="80" t="s">
        <v>492</v>
      </c>
      <c r="N355" s="80" t="s">
        <v>493</v>
      </c>
      <c r="O355" s="101" t="n">
        <v>46104</v>
      </c>
      <c r="P355" s="84"/>
      <c r="Q355" s="84"/>
      <c r="R355" s="87" t="s">
        <v>31</v>
      </c>
      <c r="S355" s="87" t="s">
        <v>84</v>
      </c>
    </row>
    <row r="356" s="77" customFormat="true" ht="15" hidden="false" customHeight="false" outlineLevel="1" collapsed="false">
      <c r="B356" s="78" t="s">
        <v>1112</v>
      </c>
      <c r="C356" s="80" t="n">
        <v>346</v>
      </c>
      <c r="D356" s="80" t="s">
        <v>508</v>
      </c>
      <c r="E356" s="81" t="s">
        <v>1169</v>
      </c>
      <c r="F356" s="78" t="s">
        <v>509</v>
      </c>
      <c r="G356" s="88" t="n">
        <v>20</v>
      </c>
      <c r="H356" s="84" t="s">
        <v>61</v>
      </c>
      <c r="I356" s="80" t="s">
        <v>510</v>
      </c>
      <c r="J356" s="80" t="s">
        <v>511</v>
      </c>
      <c r="K356" s="80" t="s">
        <v>512</v>
      </c>
      <c r="L356" s="80" t="s">
        <v>513</v>
      </c>
      <c r="M356" s="80" t="s">
        <v>514</v>
      </c>
      <c r="N356" s="80" t="s">
        <v>515</v>
      </c>
      <c r="O356" s="101" t="n">
        <v>46104</v>
      </c>
      <c r="P356" s="84"/>
      <c r="Q356" s="84"/>
      <c r="R356" s="87" t="s">
        <v>31</v>
      </c>
      <c r="S356" s="87" t="s">
        <v>31</v>
      </c>
    </row>
    <row r="357" s="77" customFormat="true" ht="15" hidden="false" customHeight="false" outlineLevel="1" collapsed="false">
      <c r="B357" s="78" t="s">
        <v>1112</v>
      </c>
      <c r="C357" s="80" t="n">
        <v>347</v>
      </c>
      <c r="D357" s="80" t="s">
        <v>516</v>
      </c>
      <c r="E357" s="81" t="s">
        <v>1169</v>
      </c>
      <c r="F357" s="92" t="s">
        <v>517</v>
      </c>
      <c r="G357" s="88" t="n">
        <v>1</v>
      </c>
      <c r="H357" s="84" t="s">
        <v>61</v>
      </c>
      <c r="I357" s="80" t="s">
        <v>518</v>
      </c>
      <c r="J357" s="80" t="s">
        <v>519</v>
      </c>
      <c r="K357" s="80" t="s">
        <v>520</v>
      </c>
      <c r="L357" s="80" t="s">
        <v>521</v>
      </c>
      <c r="M357" s="80" t="s">
        <v>522</v>
      </c>
      <c r="N357" s="80" t="s">
        <v>523</v>
      </c>
      <c r="O357" s="101" t="n">
        <v>46104</v>
      </c>
      <c r="P357" s="84"/>
      <c r="Q357" s="84"/>
      <c r="R357" s="87" t="s">
        <v>31</v>
      </c>
      <c r="S357" s="87" t="s">
        <v>31</v>
      </c>
    </row>
    <row r="358" s="77" customFormat="true" ht="15" hidden="false" customHeight="false" outlineLevel="1" collapsed="false">
      <c r="B358" s="78" t="s">
        <v>1112</v>
      </c>
      <c r="C358" s="80" t="n">
        <v>348</v>
      </c>
      <c r="D358" s="80" t="s">
        <v>644</v>
      </c>
      <c r="E358" s="81" t="s">
        <v>1169</v>
      </c>
      <c r="F358" s="78" t="s">
        <v>645</v>
      </c>
      <c r="G358" s="88" t="n">
        <v>4</v>
      </c>
      <c r="H358" s="84" t="s">
        <v>61</v>
      </c>
      <c r="I358" s="80" t="s">
        <v>646</v>
      </c>
      <c r="J358" s="80" t="s">
        <v>647</v>
      </c>
      <c r="K358" s="80" t="s">
        <v>648</v>
      </c>
      <c r="L358" s="80" t="s">
        <v>649</v>
      </c>
      <c r="M358" s="80" t="s">
        <v>650</v>
      </c>
      <c r="N358" s="80"/>
      <c r="O358" s="101" t="n">
        <v>46104</v>
      </c>
      <c r="P358" s="84"/>
      <c r="Q358" s="84"/>
      <c r="R358" s="87" t="s">
        <v>31</v>
      </c>
      <c r="S358" s="87" t="s">
        <v>793</v>
      </c>
    </row>
    <row r="359" s="68" customFormat="true" ht="30" hidden="false" customHeight="true" outlineLevel="0" collapsed="false">
      <c r="B359" s="69"/>
      <c r="C359" s="69"/>
      <c r="D359" s="69"/>
      <c r="E359" s="72" t="s">
        <v>1167</v>
      </c>
      <c r="F359" s="72"/>
      <c r="G359" s="119" t="n">
        <f aca="false">SUM(G360:G400)</f>
        <v>160</v>
      </c>
      <c r="H359" s="89"/>
      <c r="I359" s="123"/>
      <c r="J359" s="124"/>
      <c r="K359" s="125"/>
      <c r="L359" s="69"/>
      <c r="M359" s="69"/>
      <c r="N359" s="90"/>
      <c r="O359" s="89"/>
      <c r="P359" s="76"/>
      <c r="Q359" s="76"/>
      <c r="R359" s="74" t="s">
        <v>31</v>
      </c>
      <c r="S359" s="74"/>
      <c r="T359" s="69"/>
    </row>
    <row r="360" s="77" customFormat="true" ht="25.5" hidden="false" customHeight="true" outlineLevel="1" collapsed="false">
      <c r="B360" s="78"/>
      <c r="C360" s="80" t="n">
        <v>349</v>
      </c>
      <c r="D360" s="80" t="s">
        <v>21</v>
      </c>
      <c r="E360" s="81" t="s">
        <v>1167</v>
      </c>
      <c r="F360" s="78" t="s">
        <v>22</v>
      </c>
      <c r="G360" s="88" t="n">
        <v>1</v>
      </c>
      <c r="H360" s="84" t="s">
        <v>24</v>
      </c>
      <c r="I360" s="80" t="s">
        <v>25</v>
      </c>
      <c r="J360" s="80" t="s">
        <v>26</v>
      </c>
      <c r="K360" s="80" t="s">
        <v>27</v>
      </c>
      <c r="L360" s="80" t="s">
        <v>28</v>
      </c>
      <c r="M360" s="80" t="s">
        <v>29</v>
      </c>
      <c r="N360" s="80" t="s">
        <v>30</v>
      </c>
      <c r="O360" s="101" t="n">
        <v>46104</v>
      </c>
      <c r="P360" s="84"/>
      <c r="Q360" s="84"/>
      <c r="R360" s="87" t="s">
        <v>31</v>
      </c>
      <c r="S360" s="87" t="s">
        <v>31</v>
      </c>
      <c r="T360" s="78"/>
    </row>
    <row r="361" s="77" customFormat="true" ht="25.5" hidden="false" customHeight="true" outlineLevel="1" collapsed="false">
      <c r="B361" s="78"/>
      <c r="C361" s="80" t="n">
        <v>350</v>
      </c>
      <c r="D361" s="80" t="s">
        <v>811</v>
      </c>
      <c r="E361" s="81" t="s">
        <v>1167</v>
      </c>
      <c r="F361" s="78" t="s">
        <v>812</v>
      </c>
      <c r="G361" s="88" t="n">
        <v>10</v>
      </c>
      <c r="H361" s="84" t="s">
        <v>813</v>
      </c>
      <c r="I361" s="80" t="s">
        <v>814</v>
      </c>
      <c r="J361" s="80" t="s">
        <v>815</v>
      </c>
      <c r="K361" s="80" t="s">
        <v>816</v>
      </c>
      <c r="L361" s="80" t="s">
        <v>817</v>
      </c>
      <c r="M361" s="80" t="s">
        <v>1149</v>
      </c>
      <c r="N361" s="80" t="s">
        <v>819</v>
      </c>
      <c r="O361" s="85" t="n">
        <v>46153</v>
      </c>
      <c r="P361" s="84"/>
      <c r="Q361" s="84"/>
      <c r="R361" s="87" t="s">
        <v>31</v>
      </c>
      <c r="S361" s="87" t="s">
        <v>84</v>
      </c>
      <c r="T361" s="78"/>
    </row>
    <row r="362" s="77" customFormat="true" ht="30" hidden="false" customHeight="true" outlineLevel="1" collapsed="false">
      <c r="B362" s="78" t="s">
        <v>1112</v>
      </c>
      <c r="C362" s="80" t="s">
        <v>1216</v>
      </c>
      <c r="D362" s="80" t="s">
        <v>34</v>
      </c>
      <c r="E362" s="81" t="s">
        <v>1167</v>
      </c>
      <c r="F362" s="78" t="s">
        <v>35</v>
      </c>
      <c r="G362" s="88" t="n">
        <v>2</v>
      </c>
      <c r="H362" s="84" t="s">
        <v>36</v>
      </c>
      <c r="I362" s="80" t="s">
        <v>37</v>
      </c>
      <c r="J362" s="80" t="s">
        <v>38</v>
      </c>
      <c r="K362" s="80" t="s">
        <v>39</v>
      </c>
      <c r="L362" s="80" t="s">
        <v>40</v>
      </c>
      <c r="M362" s="80" t="s">
        <v>553</v>
      </c>
      <c r="N362" s="80" t="s">
        <v>42</v>
      </c>
      <c r="O362" s="101" t="n">
        <v>46104</v>
      </c>
      <c r="P362" s="84"/>
      <c r="Q362" s="84"/>
      <c r="R362" s="87" t="s">
        <v>31</v>
      </c>
      <c r="S362" s="87" t="s">
        <v>31</v>
      </c>
      <c r="T362" s="78"/>
    </row>
    <row r="363" s="77" customFormat="true" ht="25.5" hidden="false" customHeight="true" outlineLevel="1" collapsed="false">
      <c r="B363" s="78"/>
      <c r="C363" s="80" t="n">
        <v>352</v>
      </c>
      <c r="D363" s="80" t="s">
        <v>43</v>
      </c>
      <c r="E363" s="81" t="s">
        <v>1167</v>
      </c>
      <c r="F363" s="78" t="s">
        <v>44</v>
      </c>
      <c r="G363" s="88" t="n">
        <v>4</v>
      </c>
      <c r="H363" s="84" t="s">
        <v>24</v>
      </c>
      <c r="I363" s="80" t="s">
        <v>45</v>
      </c>
      <c r="J363" s="80" t="s">
        <v>46</v>
      </c>
      <c r="K363" s="80" t="s">
        <v>47</v>
      </c>
      <c r="L363" s="80" t="s">
        <v>48</v>
      </c>
      <c r="M363" s="80" t="s">
        <v>49</v>
      </c>
      <c r="N363" s="80" t="s">
        <v>50</v>
      </c>
      <c r="O363" s="101" t="n">
        <v>46104</v>
      </c>
      <c r="P363" s="84"/>
      <c r="Q363" s="84"/>
      <c r="R363" s="87" t="s">
        <v>31</v>
      </c>
      <c r="S363" s="87" t="s">
        <v>31</v>
      </c>
      <c r="T363" s="78"/>
    </row>
    <row r="364" s="77" customFormat="true" ht="25.5" hidden="false" customHeight="true" outlineLevel="1" collapsed="false">
      <c r="B364" s="78" t="s">
        <v>1112</v>
      </c>
      <c r="C364" s="80" t="n">
        <v>353</v>
      </c>
      <c r="D364" s="80" t="s">
        <v>1077</v>
      </c>
      <c r="E364" s="81" t="s">
        <v>1167</v>
      </c>
      <c r="F364" s="78" t="s">
        <v>916</v>
      </c>
      <c r="G364" s="88" t="n">
        <v>1</v>
      </c>
      <c r="H364" s="84" t="s">
        <v>152</v>
      </c>
      <c r="I364" s="80" t="s">
        <v>1078</v>
      </c>
      <c r="J364" s="80" t="s">
        <v>1079</v>
      </c>
      <c r="K364" s="80" t="s">
        <v>1080</v>
      </c>
      <c r="L364" s="80" t="s">
        <v>1081</v>
      </c>
      <c r="M364" s="80" t="s">
        <v>1082</v>
      </c>
      <c r="N364" s="80" t="s">
        <v>1083</v>
      </c>
      <c r="O364" s="101" t="n">
        <v>46104</v>
      </c>
      <c r="P364" s="84"/>
      <c r="Q364" s="84"/>
      <c r="R364" s="87" t="s">
        <v>31</v>
      </c>
      <c r="S364" s="87" t="s">
        <v>84</v>
      </c>
      <c r="T364" s="78"/>
    </row>
    <row r="365" s="77" customFormat="true" ht="25.5" hidden="false" customHeight="true" outlineLevel="1" collapsed="false">
      <c r="B365" s="78" t="s">
        <v>1112</v>
      </c>
      <c r="C365" s="80" t="n">
        <v>354</v>
      </c>
      <c r="D365" s="80" t="s">
        <v>562</v>
      </c>
      <c r="E365" s="81" t="s">
        <v>1167</v>
      </c>
      <c r="F365" s="78" t="s">
        <v>563</v>
      </c>
      <c r="G365" s="88" t="n">
        <v>1</v>
      </c>
      <c r="H365" s="84" t="s">
        <v>61</v>
      </c>
      <c r="I365" s="80" t="s">
        <v>564</v>
      </c>
      <c r="J365" s="80" t="s">
        <v>565</v>
      </c>
      <c r="K365" s="80" t="s">
        <v>566</v>
      </c>
      <c r="L365" s="80" t="s">
        <v>567</v>
      </c>
      <c r="M365" s="80" t="s">
        <v>568</v>
      </c>
      <c r="N365" s="80" t="s">
        <v>569</v>
      </c>
      <c r="O365" s="101" t="n">
        <v>46104</v>
      </c>
      <c r="P365" s="84"/>
      <c r="Q365" s="84"/>
      <c r="R365" s="87" t="s">
        <v>31</v>
      </c>
      <c r="S365" s="87" t="s">
        <v>31</v>
      </c>
      <c r="T365" s="78"/>
    </row>
    <row r="366" s="77" customFormat="true" ht="25.5" hidden="false" customHeight="true" outlineLevel="1" collapsed="false">
      <c r="B366" s="78" t="s">
        <v>1112</v>
      </c>
      <c r="C366" s="80" t="n">
        <v>355</v>
      </c>
      <c r="D366" s="80" t="s">
        <v>85</v>
      </c>
      <c r="E366" s="81" t="s">
        <v>1167</v>
      </c>
      <c r="F366" s="78" t="s">
        <v>86</v>
      </c>
      <c r="G366" s="88" t="n">
        <v>2</v>
      </c>
      <c r="H366" s="84" t="s">
        <v>87</v>
      </c>
      <c r="I366" s="80" t="s">
        <v>88</v>
      </c>
      <c r="J366" s="80" t="s">
        <v>89</v>
      </c>
      <c r="K366" s="80" t="s">
        <v>90</v>
      </c>
      <c r="L366" s="80" t="s">
        <v>91</v>
      </c>
      <c r="M366" s="80" t="s">
        <v>92</v>
      </c>
      <c r="N366" s="80" t="s">
        <v>93</v>
      </c>
      <c r="O366" s="101" t="n">
        <v>46104</v>
      </c>
      <c r="P366" s="84"/>
      <c r="Q366" s="84"/>
      <c r="R366" s="87" t="s">
        <v>31</v>
      </c>
      <c r="S366" s="87" t="s">
        <v>84</v>
      </c>
      <c r="T366" s="78"/>
    </row>
    <row r="367" s="77" customFormat="true" ht="25.5" hidden="false" customHeight="true" outlineLevel="1" collapsed="false">
      <c r="B367" s="78" t="s">
        <v>1112</v>
      </c>
      <c r="C367" s="80" t="n">
        <v>356</v>
      </c>
      <c r="D367" s="80" t="s">
        <v>580</v>
      </c>
      <c r="E367" s="81" t="s">
        <v>1167</v>
      </c>
      <c r="F367" s="78" t="s">
        <v>581</v>
      </c>
      <c r="G367" s="88" t="n">
        <v>2</v>
      </c>
      <c r="H367" s="84" t="s">
        <v>61</v>
      </c>
      <c r="I367" s="80" t="s">
        <v>582</v>
      </c>
      <c r="J367" s="80" t="s">
        <v>583</v>
      </c>
      <c r="K367" s="80" t="s">
        <v>584</v>
      </c>
      <c r="L367" s="80" t="s">
        <v>585</v>
      </c>
      <c r="M367" s="80" t="s">
        <v>1172</v>
      </c>
      <c r="N367" s="80" t="s">
        <v>587</v>
      </c>
      <c r="O367" s="101" t="n">
        <v>46104</v>
      </c>
      <c r="P367" s="84"/>
      <c r="Q367" s="84"/>
      <c r="R367" s="87" t="s">
        <v>31</v>
      </c>
      <c r="S367" s="87" t="s">
        <v>84</v>
      </c>
      <c r="T367" s="78"/>
    </row>
    <row r="368" s="77" customFormat="true" ht="25.5" hidden="false" customHeight="true" outlineLevel="1" collapsed="false">
      <c r="B368" s="78"/>
      <c r="C368" s="80" t="n">
        <v>357</v>
      </c>
      <c r="D368" s="80" t="s">
        <v>102</v>
      </c>
      <c r="E368" s="81" t="s">
        <v>1167</v>
      </c>
      <c r="F368" s="78" t="s">
        <v>103</v>
      </c>
      <c r="G368" s="88" t="n">
        <v>2</v>
      </c>
      <c r="H368" s="84" t="s">
        <v>61</v>
      </c>
      <c r="I368" s="80" t="s">
        <v>104</v>
      </c>
      <c r="J368" s="80" t="s">
        <v>105</v>
      </c>
      <c r="K368" s="80" t="s">
        <v>106</v>
      </c>
      <c r="L368" s="80" t="s">
        <v>107</v>
      </c>
      <c r="M368" s="80" t="s">
        <v>107</v>
      </c>
      <c r="N368" s="80" t="s">
        <v>108</v>
      </c>
      <c r="O368" s="101" t="n">
        <v>46104</v>
      </c>
      <c r="P368" s="84"/>
      <c r="Q368" s="84"/>
      <c r="R368" s="87" t="s">
        <v>31</v>
      </c>
      <c r="S368" s="87" t="s">
        <v>84</v>
      </c>
      <c r="T368" s="78"/>
    </row>
    <row r="369" s="77" customFormat="true" ht="25.5" hidden="false" customHeight="true" outlineLevel="1" collapsed="false">
      <c r="B369" s="78"/>
      <c r="C369" s="80" t="n">
        <v>358</v>
      </c>
      <c r="D369" s="80" t="s">
        <v>117</v>
      </c>
      <c r="E369" s="81" t="s">
        <v>1167</v>
      </c>
      <c r="F369" s="78" t="s">
        <v>118</v>
      </c>
      <c r="G369" s="88" t="n">
        <v>6</v>
      </c>
      <c r="H369" s="84" t="s">
        <v>24</v>
      </c>
      <c r="I369" s="80" t="s">
        <v>119</v>
      </c>
      <c r="J369" s="80" t="s">
        <v>120</v>
      </c>
      <c r="K369" s="80" t="s">
        <v>121</v>
      </c>
      <c r="L369" s="80" t="s">
        <v>122</v>
      </c>
      <c r="M369" s="80" t="s">
        <v>123</v>
      </c>
      <c r="N369" s="80" t="s">
        <v>124</v>
      </c>
      <c r="O369" s="101" t="n">
        <v>46104</v>
      </c>
      <c r="P369" s="84"/>
      <c r="Q369" s="84"/>
      <c r="R369" s="87" t="s">
        <v>31</v>
      </c>
      <c r="S369" s="87" t="s">
        <v>31</v>
      </c>
      <c r="T369" s="78"/>
    </row>
    <row r="370" s="77" customFormat="true" ht="25.5" hidden="false" customHeight="true" outlineLevel="1" collapsed="false">
      <c r="B370" s="78" t="s">
        <v>1112</v>
      </c>
      <c r="C370" s="80" t="n">
        <v>359</v>
      </c>
      <c r="D370" s="80" t="s">
        <v>125</v>
      </c>
      <c r="E370" s="81" t="s">
        <v>1167</v>
      </c>
      <c r="F370" s="78" t="s">
        <v>126</v>
      </c>
      <c r="G370" s="88" t="n">
        <v>1</v>
      </c>
      <c r="H370" s="84" t="s">
        <v>127</v>
      </c>
      <c r="I370" s="80" t="s">
        <v>128</v>
      </c>
      <c r="J370" s="80" t="s">
        <v>129</v>
      </c>
      <c r="K370" s="80" t="s">
        <v>130</v>
      </c>
      <c r="L370" s="80" t="s">
        <v>131</v>
      </c>
      <c r="M370" s="80" t="s">
        <v>132</v>
      </c>
      <c r="N370" s="80" t="s">
        <v>133</v>
      </c>
      <c r="O370" s="101" t="n">
        <v>46104</v>
      </c>
      <c r="P370" s="84"/>
      <c r="Q370" s="84"/>
      <c r="R370" s="87" t="s">
        <v>31</v>
      </c>
      <c r="S370" s="87" t="s">
        <v>84</v>
      </c>
      <c r="T370" s="78"/>
    </row>
    <row r="371" s="77" customFormat="true" ht="25.5" hidden="false" customHeight="true" outlineLevel="1" collapsed="false">
      <c r="B371" s="78" t="s">
        <v>1112</v>
      </c>
      <c r="C371" s="80" t="n">
        <v>360</v>
      </c>
      <c r="D371" s="80" t="s">
        <v>554</v>
      </c>
      <c r="E371" s="81" t="s">
        <v>1167</v>
      </c>
      <c r="F371" s="78" t="s">
        <v>555</v>
      </c>
      <c r="G371" s="88" t="n">
        <v>1</v>
      </c>
      <c r="H371" s="84" t="s">
        <v>61</v>
      </c>
      <c r="I371" s="80" t="s">
        <v>556</v>
      </c>
      <c r="J371" s="80" t="s">
        <v>557</v>
      </c>
      <c r="K371" s="80" t="s">
        <v>558</v>
      </c>
      <c r="L371" s="80" t="s">
        <v>559</v>
      </c>
      <c r="M371" s="80" t="s">
        <v>560</v>
      </c>
      <c r="N371" s="80" t="s">
        <v>561</v>
      </c>
      <c r="O371" s="101" t="n">
        <v>46104</v>
      </c>
      <c r="P371" s="84"/>
      <c r="Q371" s="84"/>
      <c r="R371" s="87" t="s">
        <v>31</v>
      </c>
      <c r="S371" s="87" t="s">
        <v>31</v>
      </c>
      <c r="T371" s="78"/>
    </row>
    <row r="372" s="77" customFormat="true" ht="25.5" hidden="false" customHeight="true" outlineLevel="1" collapsed="false">
      <c r="B372" s="78" t="s">
        <v>1112</v>
      </c>
      <c r="C372" s="80" t="n">
        <v>361</v>
      </c>
      <c r="D372" s="80" t="s">
        <v>159</v>
      </c>
      <c r="E372" s="81" t="s">
        <v>1167</v>
      </c>
      <c r="F372" s="78" t="s">
        <v>160</v>
      </c>
      <c r="G372" s="88" t="n">
        <v>1</v>
      </c>
      <c r="H372" s="84" t="s">
        <v>61</v>
      </c>
      <c r="I372" s="80" t="s">
        <v>161</v>
      </c>
      <c r="J372" s="80" t="s">
        <v>162</v>
      </c>
      <c r="K372" s="80" t="s">
        <v>163</v>
      </c>
      <c r="L372" s="80" t="s">
        <v>164</v>
      </c>
      <c r="M372" s="80" t="s">
        <v>164</v>
      </c>
      <c r="N372" s="80" t="s">
        <v>165</v>
      </c>
      <c r="O372" s="101" t="n">
        <v>46104</v>
      </c>
      <c r="P372" s="84"/>
      <c r="Q372" s="84"/>
      <c r="R372" s="87" t="s">
        <v>31</v>
      </c>
      <c r="S372" s="87" t="s">
        <v>31</v>
      </c>
      <c r="T372" s="78"/>
    </row>
    <row r="373" s="77" customFormat="true" ht="60" hidden="false" customHeight="true" outlineLevel="1" collapsed="false">
      <c r="B373" s="96" t="s">
        <v>1470</v>
      </c>
      <c r="C373" s="80" t="s">
        <v>1199</v>
      </c>
      <c r="D373" s="80" t="s">
        <v>190</v>
      </c>
      <c r="E373" s="81" t="s">
        <v>1167</v>
      </c>
      <c r="F373" s="78" t="s">
        <v>191</v>
      </c>
      <c r="G373" s="88" t="n">
        <v>9</v>
      </c>
      <c r="H373" s="84" t="s">
        <v>24</v>
      </c>
      <c r="I373" s="80" t="s">
        <v>1200</v>
      </c>
      <c r="J373" s="80" t="s">
        <v>1201</v>
      </c>
      <c r="K373" s="80" t="s">
        <v>1202</v>
      </c>
      <c r="L373" s="80" t="s">
        <v>195</v>
      </c>
      <c r="M373" s="80" t="s">
        <v>1203</v>
      </c>
      <c r="N373" s="80" t="s">
        <v>197</v>
      </c>
      <c r="O373" s="101" t="n">
        <v>46104</v>
      </c>
      <c r="P373" s="84"/>
      <c r="Q373" s="84"/>
      <c r="R373" s="87" t="s">
        <v>31</v>
      </c>
      <c r="S373" s="87" t="s">
        <v>31</v>
      </c>
      <c r="T373" s="78"/>
    </row>
    <row r="374" s="77" customFormat="true" ht="120" hidden="false" customHeight="true" outlineLevel="1" collapsed="false">
      <c r="B374" s="78"/>
      <c r="C374" s="80" t="s">
        <v>1221</v>
      </c>
      <c r="D374" s="80" t="s">
        <v>198</v>
      </c>
      <c r="E374" s="81" t="s">
        <v>1167</v>
      </c>
      <c r="F374" s="78" t="s">
        <v>199</v>
      </c>
      <c r="G374" s="88" t="n">
        <v>18</v>
      </c>
      <c r="H374" s="84" t="s">
        <v>200</v>
      </c>
      <c r="I374" s="80" t="s">
        <v>201</v>
      </c>
      <c r="J374" s="80" t="s">
        <v>202</v>
      </c>
      <c r="K374" s="80" t="s">
        <v>203</v>
      </c>
      <c r="L374" s="80" t="s">
        <v>204</v>
      </c>
      <c r="M374" s="80" t="s">
        <v>1222</v>
      </c>
      <c r="N374" s="80" t="s">
        <v>206</v>
      </c>
      <c r="O374" s="101" t="n">
        <v>46104</v>
      </c>
      <c r="P374" s="84"/>
      <c r="Q374" s="84"/>
      <c r="R374" s="87" t="s">
        <v>31</v>
      </c>
      <c r="S374" s="87" t="s">
        <v>84</v>
      </c>
      <c r="T374" s="78" t="s">
        <v>1471</v>
      </c>
    </row>
    <row r="375" s="77" customFormat="true" ht="25.5" hidden="false" customHeight="true" outlineLevel="1" collapsed="false">
      <c r="B375" s="78" t="s">
        <v>1112</v>
      </c>
      <c r="C375" s="80" t="n">
        <v>364</v>
      </c>
      <c r="D375" s="80" t="s">
        <v>207</v>
      </c>
      <c r="E375" s="81" t="s">
        <v>1167</v>
      </c>
      <c r="F375" s="78" t="s">
        <v>208</v>
      </c>
      <c r="G375" s="88" t="n">
        <v>2</v>
      </c>
      <c r="H375" s="84" t="s">
        <v>61</v>
      </c>
      <c r="I375" s="80" t="s">
        <v>209</v>
      </c>
      <c r="J375" s="80" t="s">
        <v>210</v>
      </c>
      <c r="K375" s="80" t="s">
        <v>211</v>
      </c>
      <c r="L375" s="80" t="s">
        <v>212</v>
      </c>
      <c r="M375" s="80" t="s">
        <v>213</v>
      </c>
      <c r="N375" s="80" t="s">
        <v>214</v>
      </c>
      <c r="O375" s="101" t="n">
        <v>46104</v>
      </c>
      <c r="P375" s="84"/>
      <c r="Q375" s="84"/>
      <c r="R375" s="87" t="s">
        <v>31</v>
      </c>
      <c r="S375" s="87" t="s">
        <v>31</v>
      </c>
      <c r="T375" s="78"/>
    </row>
    <row r="376" s="77" customFormat="true" ht="25.5" hidden="false" customHeight="true" outlineLevel="1" collapsed="false">
      <c r="B376" s="78"/>
      <c r="C376" s="80" t="n">
        <v>365</v>
      </c>
      <c r="D376" s="80" t="s">
        <v>231</v>
      </c>
      <c r="E376" s="81" t="s">
        <v>1167</v>
      </c>
      <c r="F376" s="78" t="s">
        <v>232</v>
      </c>
      <c r="G376" s="88" t="n">
        <v>2</v>
      </c>
      <c r="H376" s="84" t="s">
        <v>61</v>
      </c>
      <c r="I376" s="80" t="s">
        <v>697</v>
      </c>
      <c r="J376" s="80" t="s">
        <v>698</v>
      </c>
      <c r="K376" s="80" t="s">
        <v>699</v>
      </c>
      <c r="L376" s="80" t="s">
        <v>236</v>
      </c>
      <c r="M376" s="80" t="s">
        <v>700</v>
      </c>
      <c r="N376" s="80" t="s">
        <v>238</v>
      </c>
      <c r="O376" s="101" t="n">
        <v>46104</v>
      </c>
      <c r="P376" s="84"/>
      <c r="Q376" s="84"/>
      <c r="R376" s="87" t="s">
        <v>31</v>
      </c>
      <c r="S376" s="87" t="s">
        <v>84</v>
      </c>
      <c r="T376" s="78"/>
    </row>
    <row r="377" s="77" customFormat="true" ht="25.5" hidden="false" customHeight="true" outlineLevel="1" collapsed="false">
      <c r="B377" s="78"/>
      <c r="C377" s="80" t="n">
        <v>366</v>
      </c>
      <c r="D377" s="80" t="s">
        <v>239</v>
      </c>
      <c r="E377" s="81" t="s">
        <v>1167</v>
      </c>
      <c r="F377" s="78" t="s">
        <v>240</v>
      </c>
      <c r="G377" s="88" t="n">
        <v>1</v>
      </c>
      <c r="H377" s="84" t="s">
        <v>24</v>
      </c>
      <c r="I377" s="80" t="s">
        <v>241</v>
      </c>
      <c r="J377" s="80" t="s">
        <v>242</v>
      </c>
      <c r="K377" s="80" t="s">
        <v>243</v>
      </c>
      <c r="L377" s="80" t="s">
        <v>244</v>
      </c>
      <c r="M377" s="80" t="s">
        <v>244</v>
      </c>
      <c r="N377" s="80" t="s">
        <v>246</v>
      </c>
      <c r="O377" s="101" t="n">
        <v>46104</v>
      </c>
      <c r="P377" s="84"/>
      <c r="Q377" s="84"/>
      <c r="R377" s="87" t="s">
        <v>31</v>
      </c>
      <c r="S377" s="87" t="s">
        <v>31</v>
      </c>
      <c r="T377" s="78"/>
    </row>
    <row r="378" s="77" customFormat="true" ht="30" hidden="false" customHeight="true" outlineLevel="1" collapsed="false">
      <c r="B378" s="78" t="s">
        <v>1112</v>
      </c>
      <c r="C378" s="80" t="n">
        <v>367</v>
      </c>
      <c r="D378" s="80" t="s">
        <v>247</v>
      </c>
      <c r="E378" s="81" t="s">
        <v>1167</v>
      </c>
      <c r="F378" s="78" t="s">
        <v>248</v>
      </c>
      <c r="G378" s="88" t="n">
        <v>2</v>
      </c>
      <c r="H378" s="84" t="s">
        <v>61</v>
      </c>
      <c r="I378" s="80" t="s">
        <v>528</v>
      </c>
      <c r="J378" s="80" t="s">
        <v>1066</v>
      </c>
      <c r="K378" s="126" t="s">
        <v>530</v>
      </c>
      <c r="L378" s="80" t="s">
        <v>252</v>
      </c>
      <c r="M378" s="80" t="s">
        <v>531</v>
      </c>
      <c r="N378" s="80" t="s">
        <v>254</v>
      </c>
      <c r="O378" s="101" t="n">
        <v>46104</v>
      </c>
      <c r="P378" s="84"/>
      <c r="Q378" s="84"/>
      <c r="R378" s="87" t="s">
        <v>31</v>
      </c>
      <c r="S378" s="87" t="s">
        <v>84</v>
      </c>
      <c r="T378" s="78"/>
    </row>
    <row r="379" s="77" customFormat="true" ht="25.5" hidden="false" customHeight="true" outlineLevel="1" collapsed="false">
      <c r="B379" s="78"/>
      <c r="C379" s="80" t="n">
        <v>368</v>
      </c>
      <c r="D379" s="80" t="s">
        <v>278</v>
      </c>
      <c r="E379" s="81" t="s">
        <v>1167</v>
      </c>
      <c r="F379" s="78" t="s">
        <v>279</v>
      </c>
      <c r="G379" s="88" t="n">
        <v>7</v>
      </c>
      <c r="H379" s="84" t="s">
        <v>61</v>
      </c>
      <c r="I379" s="80" t="s">
        <v>280</v>
      </c>
      <c r="J379" s="80" t="s">
        <v>281</v>
      </c>
      <c r="K379" s="80" t="s">
        <v>282</v>
      </c>
      <c r="L379" s="80" t="s">
        <v>283</v>
      </c>
      <c r="M379" s="80" t="s">
        <v>284</v>
      </c>
      <c r="N379" s="80" t="s">
        <v>285</v>
      </c>
      <c r="O379" s="101" t="n">
        <v>46104</v>
      </c>
      <c r="P379" s="84"/>
      <c r="Q379" s="84"/>
      <c r="R379" s="87" t="s">
        <v>31</v>
      </c>
      <c r="S379" s="87" t="s">
        <v>31</v>
      </c>
      <c r="T379" s="78"/>
    </row>
    <row r="380" s="77" customFormat="true" ht="25.5" hidden="false" customHeight="true" outlineLevel="1" collapsed="false">
      <c r="B380" s="78"/>
      <c r="C380" s="80" t="n">
        <v>369</v>
      </c>
      <c r="D380" s="80" t="s">
        <v>859</v>
      </c>
      <c r="E380" s="81" t="s">
        <v>1167</v>
      </c>
      <c r="F380" s="78" t="s">
        <v>860</v>
      </c>
      <c r="G380" s="88" t="n">
        <v>1</v>
      </c>
      <c r="H380" s="84" t="s">
        <v>861</v>
      </c>
      <c r="I380" s="80" t="s">
        <v>862</v>
      </c>
      <c r="J380" s="80" t="s">
        <v>863</v>
      </c>
      <c r="K380" s="80" t="s">
        <v>864</v>
      </c>
      <c r="L380" s="80" t="s">
        <v>865</v>
      </c>
      <c r="M380" s="80" t="s">
        <v>866</v>
      </c>
      <c r="N380" s="80" t="s">
        <v>867</v>
      </c>
      <c r="O380" s="101" t="n">
        <v>46104</v>
      </c>
      <c r="P380" s="84"/>
      <c r="Q380" s="84"/>
      <c r="R380" s="87" t="s">
        <v>31</v>
      </c>
      <c r="S380" s="87" t="s">
        <v>31</v>
      </c>
      <c r="T380" s="78"/>
    </row>
    <row r="381" s="77" customFormat="true" ht="25.5" hidden="false" customHeight="true" outlineLevel="1" collapsed="false">
      <c r="B381" s="78" t="s">
        <v>1112</v>
      </c>
      <c r="C381" s="80" t="n">
        <v>370</v>
      </c>
      <c r="D381" s="80" t="s">
        <v>286</v>
      </c>
      <c r="E381" s="81" t="s">
        <v>1167</v>
      </c>
      <c r="F381" s="78" t="s">
        <v>287</v>
      </c>
      <c r="G381" s="88" t="n">
        <v>1</v>
      </c>
      <c r="H381" s="84" t="s">
        <v>61</v>
      </c>
      <c r="I381" s="80" t="s">
        <v>288</v>
      </c>
      <c r="J381" s="80" t="s">
        <v>289</v>
      </c>
      <c r="K381" s="80" t="s">
        <v>290</v>
      </c>
      <c r="L381" s="80" t="s">
        <v>291</v>
      </c>
      <c r="M381" s="80" t="s">
        <v>292</v>
      </c>
      <c r="N381" s="80" t="s">
        <v>293</v>
      </c>
      <c r="O381" s="101" t="n">
        <v>46104</v>
      </c>
      <c r="P381" s="84"/>
      <c r="Q381" s="84"/>
      <c r="R381" s="87" t="s">
        <v>31</v>
      </c>
      <c r="S381" s="87" t="s">
        <v>84</v>
      </c>
      <c r="T381" s="78"/>
    </row>
    <row r="382" s="77" customFormat="true" ht="25.5" hidden="false" customHeight="true" outlineLevel="1" collapsed="false">
      <c r="B382" s="78" t="s">
        <v>1112</v>
      </c>
      <c r="C382" s="80" t="n">
        <v>371</v>
      </c>
      <c r="D382" s="80" t="s">
        <v>310</v>
      </c>
      <c r="E382" s="81" t="s">
        <v>1167</v>
      </c>
      <c r="F382" s="78" t="s">
        <v>311</v>
      </c>
      <c r="G382" s="88" t="n">
        <v>1</v>
      </c>
      <c r="H382" s="84" t="s">
        <v>152</v>
      </c>
      <c r="I382" s="80" t="s">
        <v>312</v>
      </c>
      <c r="J382" s="80" t="s">
        <v>313</v>
      </c>
      <c r="K382" s="80" t="s">
        <v>314</v>
      </c>
      <c r="L382" s="80" t="s">
        <v>315</v>
      </c>
      <c r="M382" s="80" t="s">
        <v>316</v>
      </c>
      <c r="N382" s="80" t="s">
        <v>317</v>
      </c>
      <c r="O382" s="101" t="n">
        <v>46104</v>
      </c>
      <c r="P382" s="84"/>
      <c r="Q382" s="84"/>
      <c r="R382" s="87" t="s">
        <v>31</v>
      </c>
      <c r="S382" s="87" t="s">
        <v>31</v>
      </c>
      <c r="T382" s="78"/>
    </row>
    <row r="383" s="77" customFormat="true" ht="25.5" hidden="false" customHeight="true" outlineLevel="1" collapsed="false">
      <c r="B383" s="78" t="s">
        <v>1112</v>
      </c>
      <c r="C383" s="80" t="n">
        <v>372</v>
      </c>
      <c r="D383" s="80" t="s">
        <v>318</v>
      </c>
      <c r="E383" s="81" t="s">
        <v>1167</v>
      </c>
      <c r="F383" s="78" t="s">
        <v>319</v>
      </c>
      <c r="G383" s="88" t="n">
        <v>1</v>
      </c>
      <c r="H383" s="84" t="s">
        <v>111</v>
      </c>
      <c r="I383" s="80" t="s">
        <v>320</v>
      </c>
      <c r="J383" s="80" t="s">
        <v>321</v>
      </c>
      <c r="K383" s="80" t="s">
        <v>322</v>
      </c>
      <c r="L383" s="80" t="s">
        <v>323</v>
      </c>
      <c r="M383" s="80" t="s">
        <v>324</v>
      </c>
      <c r="N383" s="80" t="s">
        <v>325</v>
      </c>
      <c r="O383" s="101" t="n">
        <v>46104</v>
      </c>
      <c r="P383" s="84"/>
      <c r="Q383" s="84"/>
      <c r="R383" s="87" t="s">
        <v>31</v>
      </c>
      <c r="S383" s="87" t="s">
        <v>84</v>
      </c>
      <c r="T383" s="78"/>
    </row>
    <row r="384" s="77" customFormat="true" ht="25.5" hidden="false" customHeight="true" outlineLevel="1" collapsed="false">
      <c r="B384" s="78"/>
      <c r="C384" s="80" t="n">
        <v>373</v>
      </c>
      <c r="D384" s="80" t="s">
        <v>342</v>
      </c>
      <c r="E384" s="81" t="s">
        <v>1167</v>
      </c>
      <c r="F384" s="78" t="s">
        <v>343</v>
      </c>
      <c r="G384" s="88" t="n">
        <v>1</v>
      </c>
      <c r="H384" s="84" t="s">
        <v>24</v>
      </c>
      <c r="I384" s="80" t="s">
        <v>344</v>
      </c>
      <c r="J384" s="80" t="s">
        <v>345</v>
      </c>
      <c r="K384" s="80" t="s">
        <v>346</v>
      </c>
      <c r="L384" s="80" t="s">
        <v>348</v>
      </c>
      <c r="M384" s="80" t="s">
        <v>348</v>
      </c>
      <c r="N384" s="80" t="s">
        <v>349</v>
      </c>
      <c r="O384" s="101" t="n">
        <v>46104</v>
      </c>
      <c r="P384" s="84"/>
      <c r="Q384" s="84"/>
      <c r="R384" s="87" t="s">
        <v>31</v>
      </c>
      <c r="S384" s="87" t="s">
        <v>31</v>
      </c>
      <c r="T384" s="78"/>
    </row>
    <row r="385" s="77" customFormat="true" ht="30" hidden="false" customHeight="true" outlineLevel="1" collapsed="false">
      <c r="B385" s="78" t="s">
        <v>1112</v>
      </c>
      <c r="C385" s="80" t="s">
        <v>1219</v>
      </c>
      <c r="D385" s="80" t="s">
        <v>802</v>
      </c>
      <c r="E385" s="81" t="s">
        <v>1167</v>
      </c>
      <c r="F385" s="78" t="s">
        <v>803</v>
      </c>
      <c r="G385" s="88" t="n">
        <v>10</v>
      </c>
      <c r="H385" s="84" t="s">
        <v>804</v>
      </c>
      <c r="I385" s="80" t="s">
        <v>874</v>
      </c>
      <c r="J385" s="80" t="s">
        <v>875</v>
      </c>
      <c r="K385" s="80" t="s">
        <v>876</v>
      </c>
      <c r="L385" s="80" t="s">
        <v>808</v>
      </c>
      <c r="M385" s="80" t="s">
        <v>1220</v>
      </c>
      <c r="N385" s="80" t="s">
        <v>810</v>
      </c>
      <c r="O385" s="101" t="n">
        <v>46104</v>
      </c>
      <c r="P385" s="84"/>
      <c r="Q385" s="84"/>
      <c r="R385" s="87" t="s">
        <v>31</v>
      </c>
      <c r="S385" s="87" t="s">
        <v>84</v>
      </c>
      <c r="T385" s="78" t="s">
        <v>1472</v>
      </c>
    </row>
    <row r="386" s="77" customFormat="true" ht="25.5" hidden="false" customHeight="true" outlineLevel="1" collapsed="false">
      <c r="B386" s="78" t="s">
        <v>1112</v>
      </c>
      <c r="C386" s="80" t="n">
        <v>375</v>
      </c>
      <c r="D386" s="80" t="s">
        <v>357</v>
      </c>
      <c r="E386" s="81" t="s">
        <v>1167</v>
      </c>
      <c r="F386" s="78" t="s">
        <v>358</v>
      </c>
      <c r="G386" s="88" t="n">
        <v>1</v>
      </c>
      <c r="H386" s="84" t="s">
        <v>359</v>
      </c>
      <c r="I386" s="80" t="s">
        <v>360</v>
      </c>
      <c r="J386" s="80" t="s">
        <v>361</v>
      </c>
      <c r="K386" s="80" t="s">
        <v>362</v>
      </c>
      <c r="L386" s="80" t="s">
        <v>363</v>
      </c>
      <c r="M386" s="80" t="s">
        <v>364</v>
      </c>
      <c r="N386" s="80" t="s">
        <v>365</v>
      </c>
      <c r="O386" s="101" t="n">
        <v>46104</v>
      </c>
      <c r="P386" s="84"/>
      <c r="Q386" s="84"/>
      <c r="R386" s="87" t="s">
        <v>31</v>
      </c>
      <c r="S386" s="87" t="s">
        <v>84</v>
      </c>
      <c r="T386" s="78"/>
    </row>
    <row r="387" s="77" customFormat="true" ht="45" hidden="false" customHeight="true" outlineLevel="1" collapsed="false">
      <c r="B387" s="78" t="s">
        <v>1112</v>
      </c>
      <c r="C387" s="80" t="s">
        <v>1188</v>
      </c>
      <c r="D387" s="80" t="s">
        <v>366</v>
      </c>
      <c r="E387" s="81" t="s">
        <v>1167</v>
      </c>
      <c r="F387" s="78" t="s">
        <v>367</v>
      </c>
      <c r="G387" s="88" t="n">
        <v>6</v>
      </c>
      <c r="H387" s="84" t="s">
        <v>368</v>
      </c>
      <c r="I387" s="80" t="s">
        <v>369</v>
      </c>
      <c r="J387" s="80" t="s">
        <v>370</v>
      </c>
      <c r="K387" s="80" t="s">
        <v>371</v>
      </c>
      <c r="L387" s="80" t="s">
        <v>372</v>
      </c>
      <c r="M387" s="80" t="s">
        <v>1189</v>
      </c>
      <c r="N387" s="80" t="s">
        <v>374</v>
      </c>
      <c r="O387" s="101" t="n">
        <v>46104</v>
      </c>
      <c r="P387" s="84"/>
      <c r="Q387" s="84"/>
      <c r="R387" s="87" t="s">
        <v>31</v>
      </c>
      <c r="S387" s="87" t="s">
        <v>84</v>
      </c>
      <c r="T387" s="78"/>
    </row>
    <row r="388" s="77" customFormat="true" ht="15" hidden="false" customHeight="false" outlineLevel="1" collapsed="false">
      <c r="B388" s="78"/>
      <c r="C388" s="80" t="n">
        <v>377</v>
      </c>
      <c r="D388" s="80" t="s">
        <v>375</v>
      </c>
      <c r="E388" s="78" t="s">
        <v>1167</v>
      </c>
      <c r="F388" s="78" t="s">
        <v>376</v>
      </c>
      <c r="G388" s="88" t="n">
        <v>10</v>
      </c>
      <c r="H388" s="84" t="s">
        <v>111</v>
      </c>
      <c r="I388" s="80" t="s">
        <v>377</v>
      </c>
      <c r="J388" s="80" t="s">
        <v>378</v>
      </c>
      <c r="K388" s="80" t="s">
        <v>379</v>
      </c>
      <c r="L388" s="80" t="s">
        <v>380</v>
      </c>
      <c r="M388" s="80" t="s">
        <v>1192</v>
      </c>
      <c r="N388" s="80" t="s">
        <v>382</v>
      </c>
      <c r="O388" s="101" t="n">
        <v>46104</v>
      </c>
      <c r="P388" s="84"/>
      <c r="Q388" s="84"/>
      <c r="R388" s="87" t="s">
        <v>31</v>
      </c>
      <c r="S388" s="87" t="s">
        <v>31</v>
      </c>
      <c r="T388" s="78"/>
    </row>
    <row r="389" s="77" customFormat="true" ht="25.5" hidden="false" customHeight="true" outlineLevel="1" collapsed="false">
      <c r="B389" s="78" t="s">
        <v>1112</v>
      </c>
      <c r="C389" s="80" t="n">
        <v>378</v>
      </c>
      <c r="D389" s="80" t="s">
        <v>391</v>
      </c>
      <c r="E389" s="81" t="s">
        <v>1167</v>
      </c>
      <c r="F389" s="78" t="s">
        <v>392</v>
      </c>
      <c r="G389" s="88" t="n">
        <v>4</v>
      </c>
      <c r="H389" s="84" t="s">
        <v>111</v>
      </c>
      <c r="I389" s="80" t="s">
        <v>393</v>
      </c>
      <c r="J389" s="80" t="s">
        <v>394</v>
      </c>
      <c r="K389" s="80" t="s">
        <v>395</v>
      </c>
      <c r="L389" s="80" t="s">
        <v>396</v>
      </c>
      <c r="M389" s="80" t="s">
        <v>397</v>
      </c>
      <c r="N389" s="80" t="s">
        <v>398</v>
      </c>
      <c r="O389" s="101" t="n">
        <v>46104</v>
      </c>
      <c r="P389" s="84"/>
      <c r="Q389" s="84"/>
      <c r="R389" s="87" t="s">
        <v>31</v>
      </c>
      <c r="S389" s="87" t="s">
        <v>84</v>
      </c>
      <c r="T389" s="78"/>
    </row>
    <row r="390" s="77" customFormat="true" ht="25.5" hidden="false" customHeight="true" outlineLevel="1" collapsed="false">
      <c r="B390" s="78" t="s">
        <v>1112</v>
      </c>
      <c r="C390" s="80" t="n">
        <v>379</v>
      </c>
      <c r="D390" s="80" t="s">
        <v>415</v>
      </c>
      <c r="E390" s="81" t="s">
        <v>1167</v>
      </c>
      <c r="F390" s="78" t="s">
        <v>416</v>
      </c>
      <c r="G390" s="88" t="n">
        <v>1</v>
      </c>
      <c r="H390" s="84" t="s">
        <v>417</v>
      </c>
      <c r="I390" s="80" t="s">
        <v>418</v>
      </c>
      <c r="J390" s="80" t="s">
        <v>419</v>
      </c>
      <c r="K390" s="80" t="s">
        <v>420</v>
      </c>
      <c r="L390" s="80" t="s">
        <v>421</v>
      </c>
      <c r="M390" s="80" t="s">
        <v>422</v>
      </c>
      <c r="N390" s="80" t="s">
        <v>423</v>
      </c>
      <c r="O390" s="101" t="n">
        <v>46104</v>
      </c>
      <c r="P390" s="84"/>
      <c r="Q390" s="84"/>
      <c r="R390" s="87" t="s">
        <v>31</v>
      </c>
      <c r="S390" s="87" t="s">
        <v>31</v>
      </c>
      <c r="T390" s="78"/>
    </row>
    <row r="391" s="77" customFormat="true" ht="45" hidden="false" customHeight="true" outlineLevel="1" collapsed="false">
      <c r="B391" s="78" t="s">
        <v>1473</v>
      </c>
      <c r="C391" s="80" t="s">
        <v>1178</v>
      </c>
      <c r="D391" s="80" t="s">
        <v>431</v>
      </c>
      <c r="E391" s="81" t="s">
        <v>1167</v>
      </c>
      <c r="F391" s="78" t="s">
        <v>432</v>
      </c>
      <c r="G391" s="88" t="n">
        <v>3</v>
      </c>
      <c r="H391" s="84" t="s">
        <v>152</v>
      </c>
      <c r="I391" s="80" t="s">
        <v>1179</v>
      </c>
      <c r="J391" s="80" t="s">
        <v>1180</v>
      </c>
      <c r="K391" s="80" t="s">
        <v>1181</v>
      </c>
      <c r="L391" s="80" t="s">
        <v>436</v>
      </c>
      <c r="M391" s="80" t="s">
        <v>1182</v>
      </c>
      <c r="N391" s="80" t="s">
        <v>438</v>
      </c>
      <c r="O391" s="101" t="n">
        <v>46104</v>
      </c>
      <c r="P391" s="84"/>
      <c r="Q391" s="84"/>
      <c r="R391" s="87" t="s">
        <v>31</v>
      </c>
      <c r="S391" s="87" t="s">
        <v>31</v>
      </c>
      <c r="T391" s="78"/>
    </row>
    <row r="392" s="77" customFormat="true" ht="30" hidden="false" customHeight="true" outlineLevel="1" collapsed="false">
      <c r="B392" s="78" t="s">
        <v>1112</v>
      </c>
      <c r="C392" s="80" t="n">
        <v>381</v>
      </c>
      <c r="D392" s="80" t="s">
        <v>439</v>
      </c>
      <c r="E392" s="81" t="s">
        <v>1167</v>
      </c>
      <c r="F392" s="78" t="s">
        <v>440</v>
      </c>
      <c r="G392" s="88" t="n">
        <v>1</v>
      </c>
      <c r="H392" s="84" t="s">
        <v>152</v>
      </c>
      <c r="I392" s="80" t="s">
        <v>441</v>
      </c>
      <c r="J392" s="80" t="s">
        <v>442</v>
      </c>
      <c r="K392" s="80" t="s">
        <v>443</v>
      </c>
      <c r="L392" s="80" t="s">
        <v>444</v>
      </c>
      <c r="M392" s="80" t="s">
        <v>1171</v>
      </c>
      <c r="N392" s="80" t="s">
        <v>446</v>
      </c>
      <c r="O392" s="101" t="n">
        <v>46104</v>
      </c>
      <c r="P392" s="84"/>
      <c r="Q392" s="84"/>
      <c r="R392" s="87" t="s">
        <v>31</v>
      </c>
      <c r="S392" s="87" t="s">
        <v>31</v>
      </c>
      <c r="T392" s="78"/>
    </row>
    <row r="393" s="77" customFormat="true" ht="25.5" hidden="false" customHeight="true" outlineLevel="1" collapsed="false">
      <c r="B393" s="78" t="s">
        <v>1112</v>
      </c>
      <c r="C393" s="80" t="n">
        <v>382</v>
      </c>
      <c r="D393" s="80" t="s">
        <v>447</v>
      </c>
      <c r="E393" s="81" t="s">
        <v>1167</v>
      </c>
      <c r="F393" s="78" t="s">
        <v>448</v>
      </c>
      <c r="G393" s="88" t="n">
        <v>1</v>
      </c>
      <c r="H393" s="84" t="s">
        <v>24</v>
      </c>
      <c r="I393" s="80" t="s">
        <v>449</v>
      </c>
      <c r="J393" s="80" t="s">
        <v>450</v>
      </c>
      <c r="K393" s="80" t="s">
        <v>451</v>
      </c>
      <c r="L393" s="80" t="s">
        <v>452</v>
      </c>
      <c r="M393" s="80" t="s">
        <v>453</v>
      </c>
      <c r="N393" s="80" t="s">
        <v>454</v>
      </c>
      <c r="O393" s="101" t="n">
        <v>46104</v>
      </c>
      <c r="P393" s="84"/>
      <c r="Q393" s="84"/>
      <c r="R393" s="87" t="s">
        <v>31</v>
      </c>
      <c r="S393" s="87" t="s">
        <v>31</v>
      </c>
      <c r="T393" s="78"/>
    </row>
    <row r="394" s="77" customFormat="true" ht="25.5" hidden="false" customHeight="true" outlineLevel="1" collapsed="false">
      <c r="B394" s="78" t="s">
        <v>1112</v>
      </c>
      <c r="C394" s="80" t="n">
        <v>383</v>
      </c>
      <c r="D394" s="80" t="s">
        <v>596</v>
      </c>
      <c r="E394" s="81" t="s">
        <v>1167</v>
      </c>
      <c r="F394" s="78" t="s">
        <v>597</v>
      </c>
      <c r="G394" s="88" t="n">
        <v>1</v>
      </c>
      <c r="H394" s="84" t="s">
        <v>61</v>
      </c>
      <c r="I394" s="80" t="s">
        <v>598</v>
      </c>
      <c r="J394" s="80" t="s">
        <v>599</v>
      </c>
      <c r="K394" s="80" t="s">
        <v>600</v>
      </c>
      <c r="L394" s="80" t="s">
        <v>601</v>
      </c>
      <c r="M394" s="80" t="s">
        <v>602</v>
      </c>
      <c r="N394" s="80" t="s">
        <v>603</v>
      </c>
      <c r="O394" s="101" t="n">
        <v>46104</v>
      </c>
      <c r="P394" s="84"/>
      <c r="Q394" s="84"/>
      <c r="R394" s="87" t="s">
        <v>31</v>
      </c>
      <c r="S394" s="87" t="s">
        <v>84</v>
      </c>
      <c r="T394" s="78"/>
    </row>
    <row r="395" s="77" customFormat="true" ht="45" hidden="false" customHeight="true" outlineLevel="1" collapsed="false">
      <c r="B395" s="78" t="s">
        <v>1112</v>
      </c>
      <c r="C395" s="80" t="s">
        <v>1166</v>
      </c>
      <c r="D395" s="80" t="s">
        <v>760</v>
      </c>
      <c r="E395" s="81" t="s">
        <v>1167</v>
      </c>
      <c r="F395" s="78" t="s">
        <v>761</v>
      </c>
      <c r="G395" s="88" t="n">
        <v>7</v>
      </c>
      <c r="H395" s="84" t="s">
        <v>61</v>
      </c>
      <c r="I395" s="80" t="s">
        <v>762</v>
      </c>
      <c r="J395" s="80" t="s">
        <v>763</v>
      </c>
      <c r="K395" s="80" t="s">
        <v>764</v>
      </c>
      <c r="L395" s="80" t="s">
        <v>765</v>
      </c>
      <c r="M395" s="80" t="s">
        <v>1168</v>
      </c>
      <c r="N395" s="80" t="s">
        <v>766</v>
      </c>
      <c r="O395" s="101" t="n">
        <v>46104</v>
      </c>
      <c r="P395" s="84"/>
      <c r="Q395" s="84"/>
      <c r="R395" s="87" t="s">
        <v>31</v>
      </c>
      <c r="S395" s="87" t="s">
        <v>84</v>
      </c>
      <c r="T395" s="78"/>
    </row>
    <row r="396" s="77" customFormat="true" ht="25.5" hidden="false" customHeight="true" outlineLevel="1" collapsed="false">
      <c r="B396" s="78"/>
      <c r="C396" s="80" t="n">
        <v>385</v>
      </c>
      <c r="D396" s="80" t="s">
        <v>588</v>
      </c>
      <c r="E396" s="81" t="s">
        <v>1167</v>
      </c>
      <c r="F396" s="78" t="s">
        <v>589</v>
      </c>
      <c r="G396" s="88" t="n">
        <v>13</v>
      </c>
      <c r="H396" s="84" t="s">
        <v>24</v>
      </c>
      <c r="I396" s="80" t="s">
        <v>590</v>
      </c>
      <c r="J396" s="80" t="s">
        <v>591</v>
      </c>
      <c r="K396" s="80" t="s">
        <v>592</v>
      </c>
      <c r="L396" s="80" t="s">
        <v>593</v>
      </c>
      <c r="M396" s="80" t="s">
        <v>594</v>
      </c>
      <c r="N396" s="80" t="s">
        <v>595</v>
      </c>
      <c r="O396" s="101" t="n">
        <v>46104</v>
      </c>
      <c r="P396" s="84"/>
      <c r="Q396" s="84"/>
      <c r="R396" s="87" t="s">
        <v>31</v>
      </c>
      <c r="S396" s="87" t="s">
        <v>31</v>
      </c>
      <c r="T396" s="78"/>
    </row>
    <row r="397" s="77" customFormat="true" ht="25.5" hidden="false" customHeight="true" outlineLevel="1" collapsed="false">
      <c r="B397" s="78" t="s">
        <v>1112</v>
      </c>
      <c r="C397" s="80" t="n">
        <v>386</v>
      </c>
      <c r="D397" s="80" t="s">
        <v>486</v>
      </c>
      <c r="E397" s="81" t="s">
        <v>1167</v>
      </c>
      <c r="F397" s="78" t="s">
        <v>487</v>
      </c>
      <c r="G397" s="88" t="n">
        <v>1</v>
      </c>
      <c r="H397" s="84" t="s">
        <v>152</v>
      </c>
      <c r="I397" s="80" t="s">
        <v>488</v>
      </c>
      <c r="J397" s="80" t="s">
        <v>489</v>
      </c>
      <c r="K397" s="80" t="s">
        <v>490</v>
      </c>
      <c r="L397" s="80" t="s">
        <v>491</v>
      </c>
      <c r="M397" s="80" t="s">
        <v>492</v>
      </c>
      <c r="N397" s="80" t="s">
        <v>493</v>
      </c>
      <c r="O397" s="101" t="n">
        <v>46104</v>
      </c>
      <c r="P397" s="84"/>
      <c r="Q397" s="84"/>
      <c r="R397" s="87" t="s">
        <v>31</v>
      </c>
      <c r="S397" s="87" t="s">
        <v>84</v>
      </c>
      <c r="T397" s="78"/>
    </row>
    <row r="398" s="77" customFormat="true" ht="25.5" hidden="false" customHeight="true" outlineLevel="1" collapsed="false">
      <c r="B398" s="78"/>
      <c r="C398" s="80" t="n">
        <v>387</v>
      </c>
      <c r="D398" s="80" t="s">
        <v>611</v>
      </c>
      <c r="E398" s="81" t="s">
        <v>1167</v>
      </c>
      <c r="F398" s="78" t="s">
        <v>612</v>
      </c>
      <c r="G398" s="88" t="n">
        <v>5</v>
      </c>
      <c r="H398" s="84" t="s">
        <v>24</v>
      </c>
      <c r="I398" s="80" t="s">
        <v>613</v>
      </c>
      <c r="J398" s="80" t="s">
        <v>614</v>
      </c>
      <c r="K398" s="80" t="s">
        <v>615</v>
      </c>
      <c r="L398" s="80" t="s">
        <v>616</v>
      </c>
      <c r="M398" s="80" t="s">
        <v>616</v>
      </c>
      <c r="N398" s="80" t="s">
        <v>617</v>
      </c>
      <c r="O398" s="101" t="n">
        <v>46104</v>
      </c>
      <c r="P398" s="84"/>
      <c r="Q398" s="84"/>
      <c r="R398" s="87" t="s">
        <v>31</v>
      </c>
      <c r="S398" s="87" t="s">
        <v>31</v>
      </c>
      <c r="T398" s="78"/>
    </row>
    <row r="399" s="77" customFormat="true" ht="25.5" hidden="false" customHeight="true" outlineLevel="1" collapsed="false">
      <c r="B399" s="78" t="s">
        <v>1112</v>
      </c>
      <c r="C399" s="80" t="n">
        <v>388</v>
      </c>
      <c r="D399" s="80" t="s">
        <v>508</v>
      </c>
      <c r="E399" s="81" t="s">
        <v>1167</v>
      </c>
      <c r="F399" s="78" t="s">
        <v>509</v>
      </c>
      <c r="G399" s="88" t="n">
        <v>15</v>
      </c>
      <c r="H399" s="84" t="s">
        <v>61</v>
      </c>
      <c r="I399" s="80" t="s">
        <v>510</v>
      </c>
      <c r="J399" s="80" t="s">
        <v>511</v>
      </c>
      <c r="K399" s="80" t="s">
        <v>512</v>
      </c>
      <c r="L399" s="80" t="s">
        <v>513</v>
      </c>
      <c r="M399" s="80" t="s">
        <v>514</v>
      </c>
      <c r="N399" s="80" t="s">
        <v>515</v>
      </c>
      <c r="O399" s="101" t="n">
        <v>46104</v>
      </c>
      <c r="P399" s="84"/>
      <c r="Q399" s="84"/>
      <c r="R399" s="87" t="s">
        <v>31</v>
      </c>
      <c r="S399" s="87" t="s">
        <v>31</v>
      </c>
      <c r="T399" s="78"/>
    </row>
    <row r="400" s="77" customFormat="true" ht="25.5" hidden="false" customHeight="true" outlineLevel="1" collapsed="false">
      <c r="B400" s="78" t="s">
        <v>1112</v>
      </c>
      <c r="C400" s="80" t="n">
        <v>389</v>
      </c>
      <c r="D400" s="80" t="s">
        <v>516</v>
      </c>
      <c r="E400" s="81" t="s">
        <v>1167</v>
      </c>
      <c r="F400" s="92" t="s">
        <v>517</v>
      </c>
      <c r="G400" s="88" t="n">
        <v>1</v>
      </c>
      <c r="H400" s="84" t="s">
        <v>61</v>
      </c>
      <c r="I400" s="80" t="s">
        <v>518</v>
      </c>
      <c r="J400" s="80" t="s">
        <v>519</v>
      </c>
      <c r="K400" s="80" t="s">
        <v>520</v>
      </c>
      <c r="L400" s="80" t="s">
        <v>521</v>
      </c>
      <c r="M400" s="80" t="s">
        <v>172</v>
      </c>
      <c r="N400" s="80" t="s">
        <v>523</v>
      </c>
      <c r="O400" s="101" t="n">
        <v>46104</v>
      </c>
      <c r="P400" s="84"/>
      <c r="Q400" s="84"/>
      <c r="R400" s="87" t="s">
        <v>31</v>
      </c>
      <c r="S400" s="87" t="s">
        <v>31</v>
      </c>
      <c r="T400" s="78"/>
    </row>
    <row r="401" s="68" customFormat="true" ht="15" hidden="false" customHeight="false" outlineLevel="0" collapsed="false">
      <c r="B401" s="69"/>
      <c r="C401" s="69"/>
      <c r="D401" s="69"/>
      <c r="E401" s="72" t="s">
        <v>1227</v>
      </c>
      <c r="F401" s="72"/>
      <c r="G401" s="119" t="n">
        <f aca="false">SUM(G402:G467)</f>
        <v>238</v>
      </c>
      <c r="H401" s="89"/>
      <c r="I401" s="123"/>
      <c r="J401" s="124"/>
      <c r="K401" s="125"/>
      <c r="L401" s="69"/>
      <c r="M401" s="69"/>
      <c r="N401" s="90"/>
      <c r="O401" s="89"/>
      <c r="P401" s="76"/>
      <c r="Q401" s="76"/>
      <c r="R401" s="90"/>
      <c r="S401" s="74"/>
    </row>
    <row r="402" s="77" customFormat="true" ht="15" hidden="false" customHeight="false" outlineLevel="1" collapsed="false">
      <c r="B402" s="78"/>
      <c r="C402" s="80" t="n">
        <v>390</v>
      </c>
      <c r="D402" s="80" t="s">
        <v>21</v>
      </c>
      <c r="E402" s="81" t="s">
        <v>1227</v>
      </c>
      <c r="F402" s="78" t="s">
        <v>22</v>
      </c>
      <c r="G402" s="88" t="n">
        <v>2</v>
      </c>
      <c r="H402" s="84" t="s">
        <v>24</v>
      </c>
      <c r="I402" s="80" t="s">
        <v>25</v>
      </c>
      <c r="J402" s="80" t="s">
        <v>26</v>
      </c>
      <c r="K402" s="80" t="s">
        <v>27</v>
      </c>
      <c r="L402" s="80" t="s">
        <v>28</v>
      </c>
      <c r="M402" s="80" t="s">
        <v>29</v>
      </c>
      <c r="N402" s="80" t="s">
        <v>30</v>
      </c>
      <c r="O402" s="101" t="n">
        <v>46119</v>
      </c>
      <c r="P402" s="84"/>
      <c r="Q402" s="84"/>
      <c r="R402" s="87"/>
      <c r="S402" s="87"/>
    </row>
    <row r="403" s="77" customFormat="true" ht="15" hidden="false" customHeight="false" outlineLevel="1" collapsed="false">
      <c r="B403" s="78"/>
      <c r="C403" s="80" t="n">
        <v>391</v>
      </c>
      <c r="D403" s="80" t="s">
        <v>811</v>
      </c>
      <c r="E403" s="81" t="s">
        <v>1227</v>
      </c>
      <c r="F403" s="78" t="s">
        <v>812</v>
      </c>
      <c r="G403" s="88" t="n">
        <v>41</v>
      </c>
      <c r="H403" s="84" t="s">
        <v>813</v>
      </c>
      <c r="I403" s="80" t="s">
        <v>814</v>
      </c>
      <c r="J403" s="80" t="s">
        <v>815</v>
      </c>
      <c r="K403" s="80" t="s">
        <v>816</v>
      </c>
      <c r="L403" s="80" t="s">
        <v>817</v>
      </c>
      <c r="M403" s="80" t="s">
        <v>1149</v>
      </c>
      <c r="N403" s="80" t="s">
        <v>819</v>
      </c>
      <c r="O403" s="101" t="n">
        <v>46119</v>
      </c>
      <c r="P403" s="84"/>
      <c r="Q403" s="84"/>
      <c r="R403" s="87"/>
      <c r="S403" s="87"/>
    </row>
    <row r="404" s="77" customFormat="true" ht="15" hidden="false" customHeight="false" outlineLevel="1" collapsed="false">
      <c r="B404" s="78"/>
      <c r="C404" s="80" t="n">
        <v>392</v>
      </c>
      <c r="D404" s="80" t="s">
        <v>34</v>
      </c>
      <c r="E404" s="81" t="s">
        <v>1227</v>
      </c>
      <c r="F404" s="78" t="s">
        <v>35</v>
      </c>
      <c r="G404" s="88" t="n">
        <v>6</v>
      </c>
      <c r="H404" s="84" t="s">
        <v>36</v>
      </c>
      <c r="I404" s="80" t="s">
        <v>37</v>
      </c>
      <c r="J404" s="80" t="s">
        <v>38</v>
      </c>
      <c r="K404" s="80" t="s">
        <v>39</v>
      </c>
      <c r="L404" s="80" t="s">
        <v>40</v>
      </c>
      <c r="M404" s="80" t="s">
        <v>553</v>
      </c>
      <c r="N404" s="80" t="s">
        <v>42</v>
      </c>
      <c r="O404" s="101" t="n">
        <v>46119</v>
      </c>
      <c r="P404" s="84"/>
      <c r="Q404" s="84"/>
      <c r="R404" s="87"/>
      <c r="S404" s="87"/>
    </row>
    <row r="405" s="77" customFormat="true" ht="15" hidden="false" customHeight="false" outlineLevel="1" collapsed="false">
      <c r="B405" s="78"/>
      <c r="C405" s="80" t="n">
        <v>393</v>
      </c>
      <c r="D405" s="80" t="s">
        <v>43</v>
      </c>
      <c r="E405" s="81" t="s">
        <v>1227</v>
      </c>
      <c r="F405" s="78" t="s">
        <v>44</v>
      </c>
      <c r="G405" s="88" t="n">
        <v>6</v>
      </c>
      <c r="H405" s="84" t="s">
        <v>24</v>
      </c>
      <c r="I405" s="80" t="s">
        <v>45</v>
      </c>
      <c r="J405" s="80" t="s">
        <v>46</v>
      </c>
      <c r="K405" s="80" t="s">
        <v>47</v>
      </c>
      <c r="L405" s="80" t="s">
        <v>48</v>
      </c>
      <c r="M405" s="80" t="s">
        <v>49</v>
      </c>
      <c r="N405" s="80" t="s">
        <v>50</v>
      </c>
      <c r="O405" s="101" t="n">
        <v>46119</v>
      </c>
      <c r="P405" s="84"/>
      <c r="Q405" s="84"/>
      <c r="R405" s="87"/>
      <c r="S405" s="87"/>
    </row>
    <row r="406" s="77" customFormat="true" ht="15" hidden="false" customHeight="false" outlineLevel="1" collapsed="false">
      <c r="B406" s="78"/>
      <c r="C406" s="80" t="n">
        <v>394</v>
      </c>
      <c r="D406" s="80" t="s">
        <v>51</v>
      </c>
      <c r="E406" s="81" t="s">
        <v>1227</v>
      </c>
      <c r="F406" s="78" t="s">
        <v>52</v>
      </c>
      <c r="G406" s="88" t="n">
        <v>3</v>
      </c>
      <c r="H406" s="84" t="s">
        <v>24</v>
      </c>
      <c r="I406" s="80" t="s">
        <v>53</v>
      </c>
      <c r="J406" s="80" t="s">
        <v>54</v>
      </c>
      <c r="K406" s="80" t="s">
        <v>55</v>
      </c>
      <c r="L406" s="80" t="s">
        <v>56</v>
      </c>
      <c r="M406" s="80" t="s">
        <v>57</v>
      </c>
      <c r="N406" s="80" t="s">
        <v>58</v>
      </c>
      <c r="O406" s="101" t="n">
        <v>46119</v>
      </c>
      <c r="P406" s="84"/>
      <c r="Q406" s="84"/>
      <c r="R406" s="87"/>
      <c r="S406" s="87"/>
    </row>
    <row r="407" s="77" customFormat="true" ht="15" hidden="false" customHeight="false" outlineLevel="1" collapsed="false">
      <c r="B407" s="78"/>
      <c r="C407" s="80" t="n">
        <v>395</v>
      </c>
      <c r="D407" s="80" t="s">
        <v>782</v>
      </c>
      <c r="E407" s="81" t="s">
        <v>1227</v>
      </c>
      <c r="F407" s="78" t="s">
        <v>783</v>
      </c>
      <c r="G407" s="88" t="n">
        <v>1</v>
      </c>
      <c r="H407" s="84" t="s">
        <v>784</v>
      </c>
      <c r="I407" s="80" t="s">
        <v>785</v>
      </c>
      <c r="J407" s="80" t="s">
        <v>786</v>
      </c>
      <c r="K407" s="80" t="s">
        <v>787</v>
      </c>
      <c r="L407" s="80" t="s">
        <v>788</v>
      </c>
      <c r="M407" s="80" t="s">
        <v>789</v>
      </c>
      <c r="N407" s="80" t="s">
        <v>790</v>
      </c>
      <c r="O407" s="101" t="n">
        <v>46119</v>
      </c>
      <c r="P407" s="84"/>
      <c r="Q407" s="84"/>
      <c r="R407" s="87"/>
      <c r="S407" s="87"/>
    </row>
    <row r="408" s="77" customFormat="true" ht="15" hidden="false" customHeight="false" outlineLevel="1" collapsed="false">
      <c r="B408" s="78"/>
      <c r="C408" s="80" t="n">
        <v>396</v>
      </c>
      <c r="D408" s="80" t="s">
        <v>59</v>
      </c>
      <c r="E408" s="81" t="s">
        <v>1227</v>
      </c>
      <c r="F408" s="78" t="s">
        <v>60</v>
      </c>
      <c r="G408" s="88" t="n">
        <v>20</v>
      </c>
      <c r="H408" s="84" t="s">
        <v>61</v>
      </c>
      <c r="I408" s="80" t="s">
        <v>62</v>
      </c>
      <c r="J408" s="80" t="s">
        <v>63</v>
      </c>
      <c r="K408" s="80" t="s">
        <v>64</v>
      </c>
      <c r="L408" s="80" t="s">
        <v>65</v>
      </c>
      <c r="M408" s="80" t="s">
        <v>66</v>
      </c>
      <c r="N408" s="80" t="s">
        <v>67</v>
      </c>
      <c r="O408" s="101" t="n">
        <v>46119</v>
      </c>
      <c r="P408" s="84"/>
      <c r="Q408" s="84"/>
      <c r="R408" s="87"/>
      <c r="S408" s="87"/>
    </row>
    <row r="409" s="77" customFormat="true" ht="15" hidden="false" customHeight="false" outlineLevel="1" collapsed="false">
      <c r="B409" s="78"/>
      <c r="C409" s="80" t="n">
        <v>397</v>
      </c>
      <c r="D409" s="80" t="s">
        <v>75</v>
      </c>
      <c r="E409" s="81" t="s">
        <v>1227</v>
      </c>
      <c r="F409" s="78" t="s">
        <v>76</v>
      </c>
      <c r="G409" s="88" t="n">
        <v>10</v>
      </c>
      <c r="H409" s="84" t="s">
        <v>77</v>
      </c>
      <c r="I409" s="80" t="s">
        <v>78</v>
      </c>
      <c r="J409" s="80" t="s">
        <v>79</v>
      </c>
      <c r="K409" s="80" t="s">
        <v>80</v>
      </c>
      <c r="L409" s="80" t="s">
        <v>81</v>
      </c>
      <c r="M409" s="80" t="s">
        <v>82</v>
      </c>
      <c r="N409" s="80" t="s">
        <v>83</v>
      </c>
      <c r="O409" s="101" t="n">
        <v>46119</v>
      </c>
      <c r="P409" s="84"/>
      <c r="Q409" s="84"/>
      <c r="R409" s="87"/>
      <c r="S409" s="87"/>
    </row>
    <row r="410" s="77" customFormat="true" ht="15" hidden="false" customHeight="false" outlineLevel="1" collapsed="false">
      <c r="B410" s="78"/>
      <c r="C410" s="80" t="n">
        <v>398</v>
      </c>
      <c r="D410" s="80" t="s">
        <v>85</v>
      </c>
      <c r="E410" s="81" t="s">
        <v>1227</v>
      </c>
      <c r="F410" s="78" t="s">
        <v>86</v>
      </c>
      <c r="G410" s="88" t="n">
        <v>1</v>
      </c>
      <c r="H410" s="84" t="s">
        <v>87</v>
      </c>
      <c r="I410" s="80" t="s">
        <v>88</v>
      </c>
      <c r="J410" s="80" t="s">
        <v>89</v>
      </c>
      <c r="K410" s="80" t="s">
        <v>90</v>
      </c>
      <c r="L410" s="80" t="s">
        <v>91</v>
      </c>
      <c r="M410" s="80" t="s">
        <v>92</v>
      </c>
      <c r="N410" s="80" t="s">
        <v>93</v>
      </c>
      <c r="O410" s="101" t="n">
        <v>46119</v>
      </c>
      <c r="P410" s="84"/>
      <c r="Q410" s="84"/>
      <c r="R410" s="87"/>
      <c r="S410" s="87"/>
    </row>
    <row r="411" s="77" customFormat="true" ht="36" hidden="false" customHeight="true" outlineLevel="1" collapsed="false">
      <c r="B411" s="78"/>
      <c r="C411" s="80" t="n">
        <v>399</v>
      </c>
      <c r="D411" s="80" t="s">
        <v>899</v>
      </c>
      <c r="E411" s="81" t="s">
        <v>1227</v>
      </c>
      <c r="F411" s="78" t="s">
        <v>900</v>
      </c>
      <c r="G411" s="88" t="n">
        <v>1</v>
      </c>
      <c r="H411" s="84" t="s">
        <v>901</v>
      </c>
      <c r="I411" s="80" t="s">
        <v>902</v>
      </c>
      <c r="J411" s="80" t="s">
        <v>903</v>
      </c>
      <c r="K411" s="80" t="s">
        <v>904</v>
      </c>
      <c r="L411" s="80" t="s">
        <v>905</v>
      </c>
      <c r="M411" s="80" t="s">
        <v>906</v>
      </c>
      <c r="N411" s="80" t="s">
        <v>907</v>
      </c>
      <c r="O411" s="101" t="n">
        <v>46119</v>
      </c>
      <c r="P411" s="84"/>
      <c r="Q411" s="84"/>
      <c r="R411" s="87"/>
      <c r="S411" s="87"/>
    </row>
    <row r="412" s="77" customFormat="true" ht="15" hidden="false" customHeight="false" outlineLevel="1" collapsed="false">
      <c r="B412" s="78"/>
      <c r="C412" s="80" t="n">
        <v>400</v>
      </c>
      <c r="D412" s="80" t="s">
        <v>626</v>
      </c>
      <c r="E412" s="81" t="s">
        <v>1227</v>
      </c>
      <c r="F412" s="78" t="s">
        <v>627</v>
      </c>
      <c r="G412" s="88" t="n">
        <v>4</v>
      </c>
      <c r="H412" s="84" t="s">
        <v>152</v>
      </c>
      <c r="I412" s="80" t="s">
        <v>628</v>
      </c>
      <c r="J412" s="80" t="s">
        <v>629</v>
      </c>
      <c r="K412" s="80" t="s">
        <v>630</v>
      </c>
      <c r="L412" s="80" t="s">
        <v>631</v>
      </c>
      <c r="M412" s="80" t="s">
        <v>632</v>
      </c>
      <c r="N412" s="80" t="s">
        <v>633</v>
      </c>
      <c r="O412" s="101" t="n">
        <v>46119</v>
      </c>
      <c r="P412" s="84"/>
      <c r="Q412" s="84"/>
      <c r="R412" s="87"/>
      <c r="S412" s="87"/>
    </row>
    <row r="413" s="77" customFormat="true" ht="15" hidden="false" customHeight="false" outlineLevel="1" collapsed="false">
      <c r="B413" s="78"/>
      <c r="C413" s="80" t="n">
        <v>401</v>
      </c>
      <c r="D413" s="80" t="s">
        <v>102</v>
      </c>
      <c r="E413" s="81" t="s">
        <v>1227</v>
      </c>
      <c r="F413" s="78" t="s">
        <v>103</v>
      </c>
      <c r="G413" s="88" t="n">
        <v>7</v>
      </c>
      <c r="H413" s="84" t="s">
        <v>61</v>
      </c>
      <c r="I413" s="80" t="s">
        <v>104</v>
      </c>
      <c r="J413" s="80" t="s">
        <v>105</v>
      </c>
      <c r="K413" s="80" t="s">
        <v>106</v>
      </c>
      <c r="L413" s="80" t="s">
        <v>107</v>
      </c>
      <c r="M413" s="80" t="s">
        <v>107</v>
      </c>
      <c r="N413" s="80" t="s">
        <v>108</v>
      </c>
      <c r="O413" s="101" t="n">
        <v>46119</v>
      </c>
      <c r="P413" s="84"/>
      <c r="Q413" s="84"/>
      <c r="R413" s="87"/>
      <c r="S413" s="87"/>
    </row>
    <row r="414" s="77" customFormat="true" ht="15" hidden="false" customHeight="false" outlineLevel="1" collapsed="false">
      <c r="B414" s="78"/>
      <c r="C414" s="80" t="n">
        <v>402</v>
      </c>
      <c r="D414" s="80" t="s">
        <v>109</v>
      </c>
      <c r="E414" s="81" t="s">
        <v>1227</v>
      </c>
      <c r="F414" s="78" t="s">
        <v>110</v>
      </c>
      <c r="G414" s="88" t="n">
        <v>1</v>
      </c>
      <c r="H414" s="84" t="s">
        <v>111</v>
      </c>
      <c r="I414" s="80" t="s">
        <v>112</v>
      </c>
      <c r="J414" s="80" t="s">
        <v>113</v>
      </c>
      <c r="K414" s="80" t="s">
        <v>114</v>
      </c>
      <c r="L414" s="80" t="s">
        <v>115</v>
      </c>
      <c r="M414" s="80" t="s">
        <v>115</v>
      </c>
      <c r="N414" s="80" t="s">
        <v>116</v>
      </c>
      <c r="O414" s="101" t="n">
        <v>46119</v>
      </c>
      <c r="P414" s="84"/>
      <c r="Q414" s="84"/>
      <c r="R414" s="87"/>
      <c r="S414" s="87"/>
    </row>
    <row r="415" s="77" customFormat="true" ht="15" hidden="false" customHeight="false" outlineLevel="1" collapsed="false">
      <c r="B415" s="78"/>
      <c r="C415" s="80" t="n">
        <v>403</v>
      </c>
      <c r="D415" s="80" t="s">
        <v>125</v>
      </c>
      <c r="E415" s="81" t="s">
        <v>1227</v>
      </c>
      <c r="F415" s="78" t="s">
        <v>126</v>
      </c>
      <c r="G415" s="88" t="n">
        <v>2</v>
      </c>
      <c r="H415" s="84" t="s">
        <v>127</v>
      </c>
      <c r="I415" s="80" t="s">
        <v>128</v>
      </c>
      <c r="J415" s="80" t="s">
        <v>129</v>
      </c>
      <c r="K415" s="80" t="s">
        <v>130</v>
      </c>
      <c r="L415" s="80" t="s">
        <v>131</v>
      </c>
      <c r="M415" s="80" t="s">
        <v>132</v>
      </c>
      <c r="N415" s="80" t="s">
        <v>133</v>
      </c>
      <c r="O415" s="101" t="n">
        <v>46119</v>
      </c>
      <c r="P415" s="84"/>
      <c r="Q415" s="84"/>
      <c r="R415" s="87"/>
      <c r="S415" s="87"/>
    </row>
    <row r="416" s="77" customFormat="true" ht="15" hidden="false" customHeight="false" outlineLevel="1" collapsed="false">
      <c r="B416" s="78"/>
      <c r="C416" s="80" t="n">
        <v>404</v>
      </c>
      <c r="D416" s="80" t="s">
        <v>134</v>
      </c>
      <c r="E416" s="81" t="s">
        <v>1227</v>
      </c>
      <c r="F416" s="78" t="s">
        <v>135</v>
      </c>
      <c r="G416" s="88" t="n">
        <v>2</v>
      </c>
      <c r="H416" s="84" t="s">
        <v>24</v>
      </c>
      <c r="I416" s="80" t="s">
        <v>136</v>
      </c>
      <c r="J416" s="80" t="s">
        <v>137</v>
      </c>
      <c r="K416" s="80" t="s">
        <v>138</v>
      </c>
      <c r="L416" s="80" t="s">
        <v>139</v>
      </c>
      <c r="M416" s="80" t="s">
        <v>140</v>
      </c>
      <c r="N416" s="80" t="s">
        <v>141</v>
      </c>
      <c r="O416" s="101" t="n">
        <v>46119</v>
      </c>
      <c r="P416" s="84"/>
      <c r="Q416" s="84"/>
      <c r="R416" s="87"/>
      <c r="S416" s="87"/>
    </row>
    <row r="417" s="77" customFormat="true" ht="15" hidden="false" customHeight="false" outlineLevel="1" collapsed="false">
      <c r="B417" s="78"/>
      <c r="C417" s="80" t="n">
        <v>405</v>
      </c>
      <c r="D417" s="80" t="s">
        <v>554</v>
      </c>
      <c r="E417" s="81" t="s">
        <v>1227</v>
      </c>
      <c r="F417" s="78" t="s">
        <v>555</v>
      </c>
      <c r="G417" s="88" t="n">
        <v>1</v>
      </c>
      <c r="H417" s="84" t="s">
        <v>61</v>
      </c>
      <c r="I417" s="80" t="s">
        <v>556</v>
      </c>
      <c r="J417" s="80" t="s">
        <v>557</v>
      </c>
      <c r="K417" s="80" t="s">
        <v>558</v>
      </c>
      <c r="L417" s="80" t="s">
        <v>559</v>
      </c>
      <c r="M417" s="80" t="s">
        <v>560</v>
      </c>
      <c r="N417" s="80" t="s">
        <v>561</v>
      </c>
      <c r="O417" s="101" t="n">
        <v>46119</v>
      </c>
      <c r="P417" s="84"/>
      <c r="Q417" s="84"/>
      <c r="R417" s="87"/>
      <c r="S417" s="87"/>
    </row>
    <row r="418" s="77" customFormat="true" ht="15" hidden="false" customHeight="false" outlineLevel="1" collapsed="false">
      <c r="B418" s="78"/>
      <c r="C418" s="80" t="n">
        <v>406</v>
      </c>
      <c r="D418" s="80" t="s">
        <v>142</v>
      </c>
      <c r="E418" s="81" t="s">
        <v>1227</v>
      </c>
      <c r="F418" s="78" t="s">
        <v>143</v>
      </c>
      <c r="G418" s="88" t="n">
        <v>1</v>
      </c>
      <c r="H418" s="84" t="s">
        <v>61</v>
      </c>
      <c r="I418" s="80" t="s">
        <v>144</v>
      </c>
      <c r="J418" s="80" t="s">
        <v>145</v>
      </c>
      <c r="K418" s="80" t="s">
        <v>146</v>
      </c>
      <c r="L418" s="80" t="s">
        <v>147</v>
      </c>
      <c r="M418" s="80" t="s">
        <v>148</v>
      </c>
      <c r="N418" s="80" t="s">
        <v>149</v>
      </c>
      <c r="O418" s="101" t="n">
        <v>46119</v>
      </c>
      <c r="P418" s="84"/>
      <c r="Q418" s="84"/>
      <c r="R418" s="87"/>
      <c r="S418" s="87"/>
    </row>
    <row r="419" s="77" customFormat="true" ht="15" hidden="false" customHeight="false" outlineLevel="1" collapsed="false">
      <c r="B419" s="78"/>
      <c r="C419" s="80" t="n">
        <v>407</v>
      </c>
      <c r="D419" s="80" t="s">
        <v>150</v>
      </c>
      <c r="E419" s="81" t="s">
        <v>1227</v>
      </c>
      <c r="F419" s="78" t="s">
        <v>151</v>
      </c>
      <c r="G419" s="88" t="n">
        <v>1</v>
      </c>
      <c r="H419" s="84" t="s">
        <v>152</v>
      </c>
      <c r="I419" s="80" t="s">
        <v>153</v>
      </c>
      <c r="J419" s="80" t="s">
        <v>154</v>
      </c>
      <c r="K419" s="80" t="s">
        <v>155</v>
      </c>
      <c r="L419" s="80" t="s">
        <v>156</v>
      </c>
      <c r="M419" s="80" t="s">
        <v>1113</v>
      </c>
      <c r="N419" s="80" t="s">
        <v>158</v>
      </c>
      <c r="O419" s="101" t="n">
        <v>46119</v>
      </c>
      <c r="P419" s="84"/>
      <c r="Q419" s="84"/>
      <c r="R419" s="87"/>
      <c r="S419" s="87"/>
    </row>
    <row r="420" s="77" customFormat="true" ht="30" hidden="false" customHeight="true" outlineLevel="1" collapsed="false">
      <c r="B420" s="78"/>
      <c r="C420" s="80" t="n">
        <v>408</v>
      </c>
      <c r="D420" s="80" t="s">
        <v>768</v>
      </c>
      <c r="E420" s="81" t="s">
        <v>1227</v>
      </c>
      <c r="F420" s="78" t="s">
        <v>769</v>
      </c>
      <c r="G420" s="88" t="n">
        <v>7</v>
      </c>
      <c r="H420" s="84" t="s">
        <v>61</v>
      </c>
      <c r="I420" s="80" t="s">
        <v>770</v>
      </c>
      <c r="J420" s="80" t="s">
        <v>771</v>
      </c>
      <c r="K420" s="80" t="s">
        <v>772</v>
      </c>
      <c r="L420" s="80" t="s">
        <v>773</v>
      </c>
      <c r="M420" s="80" t="s">
        <v>774</v>
      </c>
      <c r="N420" s="80" t="s">
        <v>775</v>
      </c>
      <c r="O420" s="101" t="n">
        <v>46119</v>
      </c>
      <c r="P420" s="84"/>
      <c r="Q420" s="84"/>
      <c r="R420" s="87"/>
      <c r="S420" s="87"/>
    </row>
    <row r="421" s="77" customFormat="true" ht="15" hidden="false" customHeight="false" outlineLevel="1" collapsed="false">
      <c r="B421" s="78"/>
      <c r="C421" s="80" t="n">
        <v>409</v>
      </c>
      <c r="D421" s="80" t="s">
        <v>166</v>
      </c>
      <c r="E421" s="81" t="s">
        <v>1227</v>
      </c>
      <c r="F421" s="78" t="s">
        <v>167</v>
      </c>
      <c r="G421" s="88" t="n">
        <v>1</v>
      </c>
      <c r="H421" s="84" t="s">
        <v>61</v>
      </c>
      <c r="I421" s="80" t="s">
        <v>168</v>
      </c>
      <c r="J421" s="80" t="s">
        <v>169</v>
      </c>
      <c r="K421" s="80" t="s">
        <v>170</v>
      </c>
      <c r="L421" s="80" t="s">
        <v>171</v>
      </c>
      <c r="M421" s="80" t="s">
        <v>172</v>
      </c>
      <c r="N421" s="80" t="s">
        <v>173</v>
      </c>
      <c r="O421" s="101" t="n">
        <v>46119</v>
      </c>
      <c r="P421" s="84"/>
      <c r="Q421" s="84"/>
      <c r="R421" s="87"/>
      <c r="S421" s="87"/>
    </row>
    <row r="422" s="77" customFormat="true" ht="15" hidden="false" customHeight="false" outlineLevel="1" collapsed="false">
      <c r="B422" s="78"/>
      <c r="C422" s="80" t="n">
        <v>410</v>
      </c>
      <c r="D422" s="80" t="s">
        <v>174</v>
      </c>
      <c r="E422" s="81" t="s">
        <v>1227</v>
      </c>
      <c r="F422" s="78" t="s">
        <v>175</v>
      </c>
      <c r="G422" s="88" t="n">
        <v>1</v>
      </c>
      <c r="H422" s="84" t="s">
        <v>152</v>
      </c>
      <c r="I422" s="80" t="s">
        <v>176</v>
      </c>
      <c r="J422" s="80" t="s">
        <v>177</v>
      </c>
      <c r="K422" s="80" t="s">
        <v>178</v>
      </c>
      <c r="L422" s="80" t="s">
        <v>179</v>
      </c>
      <c r="M422" s="80" t="s">
        <v>180</v>
      </c>
      <c r="N422" s="80" t="s">
        <v>181</v>
      </c>
      <c r="O422" s="101" t="n">
        <v>46119</v>
      </c>
      <c r="P422" s="84"/>
      <c r="Q422" s="84"/>
      <c r="R422" s="87"/>
      <c r="S422" s="87"/>
    </row>
    <row r="423" s="77" customFormat="true" ht="15" hidden="false" customHeight="false" outlineLevel="1" collapsed="false">
      <c r="B423" s="78"/>
      <c r="C423" s="80" t="n">
        <v>411</v>
      </c>
      <c r="D423" s="80" t="s">
        <v>667</v>
      </c>
      <c r="E423" s="81" t="s">
        <v>1227</v>
      </c>
      <c r="F423" s="78" t="s">
        <v>668</v>
      </c>
      <c r="G423" s="88" t="n">
        <v>1</v>
      </c>
      <c r="H423" s="84" t="s">
        <v>61</v>
      </c>
      <c r="I423" s="80" t="s">
        <v>674</v>
      </c>
      <c r="J423" s="80" t="s">
        <v>675</v>
      </c>
      <c r="K423" s="93" t="s">
        <v>676</v>
      </c>
      <c r="L423" s="80" t="s">
        <v>672</v>
      </c>
      <c r="M423" s="80" t="s">
        <v>677</v>
      </c>
      <c r="N423" s="80" t="s">
        <v>673</v>
      </c>
      <c r="O423" s="101" t="n">
        <v>46119</v>
      </c>
      <c r="P423" s="84"/>
      <c r="Q423" s="84"/>
      <c r="R423" s="87"/>
      <c r="S423" s="87"/>
    </row>
    <row r="424" s="77" customFormat="true" ht="36" hidden="false" customHeight="true" outlineLevel="1" collapsed="false">
      <c r="B424" s="78"/>
      <c r="C424" s="80" t="s">
        <v>1245</v>
      </c>
      <c r="D424" s="80" t="s">
        <v>190</v>
      </c>
      <c r="E424" s="81" t="s">
        <v>1227</v>
      </c>
      <c r="F424" s="78" t="s">
        <v>191</v>
      </c>
      <c r="G424" s="88" t="n">
        <v>4</v>
      </c>
      <c r="H424" s="84" t="s">
        <v>24</v>
      </c>
      <c r="I424" s="80" t="s">
        <v>1246</v>
      </c>
      <c r="J424" s="80" t="s">
        <v>1247</v>
      </c>
      <c r="K424" s="80" t="s">
        <v>1248</v>
      </c>
      <c r="L424" s="80" t="s">
        <v>195</v>
      </c>
      <c r="M424" s="80" t="s">
        <v>1249</v>
      </c>
      <c r="N424" s="80" t="s">
        <v>197</v>
      </c>
      <c r="O424" s="101" t="n">
        <v>46119</v>
      </c>
      <c r="P424" s="84"/>
      <c r="Q424" s="84"/>
      <c r="R424" s="87"/>
      <c r="S424" s="87"/>
    </row>
    <row r="425" s="77" customFormat="true" ht="15" hidden="false" customHeight="false" outlineLevel="1" collapsed="false">
      <c r="B425" s="78"/>
      <c r="C425" s="80" t="n">
        <v>413</v>
      </c>
      <c r="D425" s="80" t="s">
        <v>198</v>
      </c>
      <c r="E425" s="81" t="s">
        <v>1227</v>
      </c>
      <c r="F425" s="78" t="s">
        <v>199</v>
      </c>
      <c r="G425" s="88" t="n">
        <v>10</v>
      </c>
      <c r="H425" s="84" t="s">
        <v>200</v>
      </c>
      <c r="I425" s="80" t="s">
        <v>201</v>
      </c>
      <c r="J425" s="80" t="s">
        <v>202</v>
      </c>
      <c r="K425" s="80" t="s">
        <v>203</v>
      </c>
      <c r="L425" s="80" t="s">
        <v>204</v>
      </c>
      <c r="M425" s="80" t="s">
        <v>205</v>
      </c>
      <c r="N425" s="80" t="s">
        <v>206</v>
      </c>
      <c r="O425" s="101" t="n">
        <v>46119</v>
      </c>
      <c r="P425" s="84"/>
      <c r="Q425" s="84"/>
      <c r="R425" s="87"/>
      <c r="S425" s="87"/>
    </row>
    <row r="426" s="77" customFormat="true" ht="15" hidden="false" customHeight="false" outlineLevel="1" collapsed="false">
      <c r="B426" s="78"/>
      <c r="C426" s="80" t="n">
        <v>414</v>
      </c>
      <c r="D426" s="80" t="s">
        <v>207</v>
      </c>
      <c r="E426" s="81" t="s">
        <v>1227</v>
      </c>
      <c r="F426" s="78" t="s">
        <v>208</v>
      </c>
      <c r="G426" s="88" t="n">
        <v>2</v>
      </c>
      <c r="H426" s="84" t="s">
        <v>61</v>
      </c>
      <c r="I426" s="80" t="s">
        <v>209</v>
      </c>
      <c r="J426" s="80" t="s">
        <v>210</v>
      </c>
      <c r="K426" s="80" t="s">
        <v>211</v>
      </c>
      <c r="L426" s="80" t="s">
        <v>212</v>
      </c>
      <c r="M426" s="80" t="s">
        <v>213</v>
      </c>
      <c r="N426" s="80" t="s">
        <v>214</v>
      </c>
      <c r="O426" s="101" t="n">
        <v>46119</v>
      </c>
      <c r="P426" s="84"/>
      <c r="Q426" s="84"/>
      <c r="R426" s="87"/>
      <c r="S426" s="87"/>
    </row>
    <row r="427" s="77" customFormat="true" ht="15" hidden="false" customHeight="false" outlineLevel="1" collapsed="false">
      <c r="B427" s="78"/>
      <c r="C427" s="80" t="n">
        <v>415</v>
      </c>
      <c r="D427" s="80" t="s">
        <v>215</v>
      </c>
      <c r="E427" s="81" t="s">
        <v>1227</v>
      </c>
      <c r="F427" s="78" t="s">
        <v>216</v>
      </c>
      <c r="G427" s="88" t="n">
        <v>1</v>
      </c>
      <c r="H427" s="84" t="s">
        <v>24</v>
      </c>
      <c r="I427" s="80" t="s">
        <v>217</v>
      </c>
      <c r="J427" s="80" t="s">
        <v>218</v>
      </c>
      <c r="K427" s="80" t="s">
        <v>219</v>
      </c>
      <c r="L427" s="80" t="s">
        <v>220</v>
      </c>
      <c r="M427" s="80" t="s">
        <v>221</v>
      </c>
      <c r="N427" s="80" t="s">
        <v>222</v>
      </c>
      <c r="O427" s="101" t="n">
        <v>46119</v>
      </c>
      <c r="P427" s="84"/>
      <c r="Q427" s="84"/>
      <c r="R427" s="87"/>
      <c r="S427" s="87"/>
    </row>
    <row r="428" s="77" customFormat="true" ht="36" hidden="false" customHeight="true" outlineLevel="1" collapsed="false">
      <c r="B428" s="78"/>
      <c r="C428" s="80" t="s">
        <v>1250</v>
      </c>
      <c r="D428" s="80" t="s">
        <v>231</v>
      </c>
      <c r="E428" s="81" t="s">
        <v>1227</v>
      </c>
      <c r="F428" s="78" t="s">
        <v>232</v>
      </c>
      <c r="G428" s="88" t="n">
        <v>2</v>
      </c>
      <c r="H428" s="84" t="s">
        <v>61</v>
      </c>
      <c r="I428" s="80" t="s">
        <v>702</v>
      </c>
      <c r="J428" s="80" t="s">
        <v>703</v>
      </c>
      <c r="K428" s="80" t="s">
        <v>704</v>
      </c>
      <c r="L428" s="80" t="s">
        <v>236</v>
      </c>
      <c r="M428" s="80" t="s">
        <v>838</v>
      </c>
      <c r="N428" s="80" t="s">
        <v>238</v>
      </c>
      <c r="O428" s="101" t="n">
        <v>46119</v>
      </c>
      <c r="P428" s="84"/>
      <c r="Q428" s="84"/>
      <c r="R428" s="87"/>
      <c r="S428" s="87"/>
    </row>
    <row r="429" s="77" customFormat="true" ht="15" hidden="false" customHeight="false" outlineLevel="1" collapsed="false">
      <c r="B429" s="78"/>
      <c r="C429" s="80" t="n">
        <v>417</v>
      </c>
      <c r="D429" s="80" t="s">
        <v>239</v>
      </c>
      <c r="E429" s="81" t="s">
        <v>1227</v>
      </c>
      <c r="F429" s="78" t="s">
        <v>240</v>
      </c>
      <c r="G429" s="88" t="n">
        <v>1</v>
      </c>
      <c r="H429" s="84" t="s">
        <v>24</v>
      </c>
      <c r="I429" s="80" t="s">
        <v>241</v>
      </c>
      <c r="J429" s="80" t="s">
        <v>242</v>
      </c>
      <c r="K429" s="80" t="s">
        <v>243</v>
      </c>
      <c r="L429" s="80" t="s">
        <v>244</v>
      </c>
      <c r="M429" s="80" t="s">
        <v>245</v>
      </c>
      <c r="N429" s="80" t="s">
        <v>246</v>
      </c>
      <c r="O429" s="101" t="n">
        <v>46119</v>
      </c>
      <c r="P429" s="84"/>
      <c r="Q429" s="84"/>
      <c r="R429" s="87"/>
      <c r="S429" s="87"/>
    </row>
    <row r="430" s="77" customFormat="true" ht="30" hidden="false" customHeight="true" outlineLevel="1" collapsed="false">
      <c r="B430" s="78"/>
      <c r="C430" s="80" t="n">
        <v>418</v>
      </c>
      <c r="D430" s="80" t="s">
        <v>247</v>
      </c>
      <c r="E430" s="81" t="s">
        <v>1227</v>
      </c>
      <c r="F430" s="78" t="s">
        <v>248</v>
      </c>
      <c r="G430" s="88" t="n">
        <v>1</v>
      </c>
      <c r="H430" s="84" t="s">
        <v>61</v>
      </c>
      <c r="I430" s="80" t="s">
        <v>528</v>
      </c>
      <c r="J430" s="80" t="s">
        <v>1066</v>
      </c>
      <c r="K430" s="126" t="s">
        <v>530</v>
      </c>
      <c r="L430" s="80" t="s">
        <v>252</v>
      </c>
      <c r="M430" s="80" t="s">
        <v>531</v>
      </c>
      <c r="N430" s="80" t="s">
        <v>254</v>
      </c>
      <c r="O430" s="101" t="n">
        <v>46119</v>
      </c>
      <c r="P430" s="84"/>
      <c r="Q430" s="84"/>
      <c r="R430" s="87"/>
      <c r="S430" s="87"/>
    </row>
    <row r="431" s="77" customFormat="true" ht="15" hidden="false" customHeight="false" outlineLevel="1" collapsed="false">
      <c r="B431" s="78"/>
      <c r="C431" s="80" t="n">
        <v>419</v>
      </c>
      <c r="D431" s="80" t="s">
        <v>715</v>
      </c>
      <c r="E431" s="81" t="s">
        <v>1227</v>
      </c>
      <c r="F431" s="78" t="s">
        <v>716</v>
      </c>
      <c r="G431" s="88" t="n">
        <v>1</v>
      </c>
      <c r="H431" s="84" t="s">
        <v>717</v>
      </c>
      <c r="I431" s="80" t="s">
        <v>718</v>
      </c>
      <c r="J431" s="80" t="s">
        <v>719</v>
      </c>
      <c r="K431" s="80" t="s">
        <v>720</v>
      </c>
      <c r="L431" s="80" t="s">
        <v>721</v>
      </c>
      <c r="M431" s="80" t="s">
        <v>722</v>
      </c>
      <c r="N431" s="80" t="s">
        <v>723</v>
      </c>
      <c r="O431" s="101" t="n">
        <v>46119</v>
      </c>
      <c r="P431" s="84"/>
      <c r="Q431" s="84"/>
      <c r="R431" s="87"/>
      <c r="S431" s="87"/>
    </row>
    <row r="432" s="77" customFormat="true" ht="15" hidden="false" customHeight="false" outlineLevel="1" collapsed="false">
      <c r="B432" s="78"/>
      <c r="C432" s="80" t="n">
        <v>420</v>
      </c>
      <c r="D432" s="80" t="s">
        <v>263</v>
      </c>
      <c r="E432" s="81" t="s">
        <v>1227</v>
      </c>
      <c r="F432" s="78" t="s">
        <v>264</v>
      </c>
      <c r="G432" s="88" t="n">
        <v>2</v>
      </c>
      <c r="H432" s="84" t="s">
        <v>61</v>
      </c>
      <c r="I432" s="80" t="s">
        <v>265</v>
      </c>
      <c r="J432" s="80" t="s">
        <v>266</v>
      </c>
      <c r="K432" s="80" t="s">
        <v>267</v>
      </c>
      <c r="L432" s="80" t="s">
        <v>252</v>
      </c>
      <c r="M432" s="80" t="s">
        <v>268</v>
      </c>
      <c r="N432" s="80" t="s">
        <v>269</v>
      </c>
      <c r="O432" s="101" t="n">
        <v>46119</v>
      </c>
      <c r="P432" s="84"/>
      <c r="Q432" s="84"/>
      <c r="R432" s="87"/>
      <c r="S432" s="87"/>
    </row>
    <row r="433" s="77" customFormat="true" ht="15" hidden="false" customHeight="false" outlineLevel="1" collapsed="false">
      <c r="B433" s="78"/>
      <c r="C433" s="80" t="n">
        <v>421</v>
      </c>
      <c r="D433" s="80" t="s">
        <v>651</v>
      </c>
      <c r="E433" s="81" t="s">
        <v>1227</v>
      </c>
      <c r="F433" s="78" t="s">
        <v>652</v>
      </c>
      <c r="G433" s="88" t="n">
        <v>2</v>
      </c>
      <c r="H433" s="84" t="s">
        <v>111</v>
      </c>
      <c r="I433" s="80" t="s">
        <v>653</v>
      </c>
      <c r="J433" s="80" t="s">
        <v>654</v>
      </c>
      <c r="K433" s="80" t="s">
        <v>655</v>
      </c>
      <c r="L433" s="80" t="s">
        <v>656</v>
      </c>
      <c r="M433" s="80" t="s">
        <v>657</v>
      </c>
      <c r="N433" s="80" t="s">
        <v>658</v>
      </c>
      <c r="O433" s="101" t="n">
        <v>46119</v>
      </c>
      <c r="P433" s="84"/>
      <c r="Q433" s="84"/>
      <c r="R433" s="87"/>
      <c r="S433" s="87"/>
    </row>
    <row r="434" s="77" customFormat="true" ht="15" hidden="false" customHeight="false" outlineLevel="1" collapsed="false">
      <c r="B434" s="78"/>
      <c r="C434" s="80" t="n">
        <v>422</v>
      </c>
      <c r="D434" s="80" t="s">
        <v>706</v>
      </c>
      <c r="E434" s="81" t="s">
        <v>1227</v>
      </c>
      <c r="F434" s="78" t="s">
        <v>707</v>
      </c>
      <c r="G434" s="88" t="n">
        <v>3</v>
      </c>
      <c r="H434" s="84" t="s">
        <v>111</v>
      </c>
      <c r="I434" s="80" t="s">
        <v>708</v>
      </c>
      <c r="J434" s="80" t="s">
        <v>709</v>
      </c>
      <c r="K434" s="80" t="s">
        <v>710</v>
      </c>
      <c r="L434" s="80" t="s">
        <v>711</v>
      </c>
      <c r="M434" s="80" t="s">
        <v>712</v>
      </c>
      <c r="N434" s="80" t="s">
        <v>713</v>
      </c>
      <c r="O434" s="101" t="n">
        <v>46119</v>
      </c>
      <c r="P434" s="84"/>
      <c r="Q434" s="84"/>
      <c r="R434" s="87"/>
      <c r="S434" s="87"/>
    </row>
    <row r="435" s="77" customFormat="true" ht="15" hidden="false" customHeight="false" outlineLevel="1" collapsed="false">
      <c r="B435" s="78"/>
      <c r="C435" s="80" t="n">
        <v>423</v>
      </c>
      <c r="D435" s="80" t="s">
        <v>743</v>
      </c>
      <c r="E435" s="81" t="s">
        <v>1227</v>
      </c>
      <c r="F435" s="78" t="s">
        <v>744</v>
      </c>
      <c r="G435" s="88" t="n">
        <v>1</v>
      </c>
      <c r="H435" s="84" t="s">
        <v>745</v>
      </c>
      <c r="I435" s="80" t="s">
        <v>746</v>
      </c>
      <c r="J435" s="80" t="s">
        <v>747</v>
      </c>
      <c r="K435" s="80" t="s">
        <v>748</v>
      </c>
      <c r="L435" s="80" t="s">
        <v>749</v>
      </c>
      <c r="M435" s="80" t="s">
        <v>750</v>
      </c>
      <c r="N435" s="80" t="s">
        <v>751</v>
      </c>
      <c r="O435" s="101" t="n">
        <v>46119</v>
      </c>
      <c r="P435" s="84"/>
      <c r="Q435" s="84"/>
      <c r="R435" s="87"/>
      <c r="S435" s="87"/>
    </row>
    <row r="436" s="77" customFormat="true" ht="15" hidden="false" customHeight="false" outlineLevel="1" collapsed="false">
      <c r="B436" s="78"/>
      <c r="C436" s="80" t="n">
        <v>424</v>
      </c>
      <c r="D436" s="80" t="s">
        <v>286</v>
      </c>
      <c r="E436" s="81" t="s">
        <v>1227</v>
      </c>
      <c r="F436" s="78" t="s">
        <v>287</v>
      </c>
      <c r="G436" s="88" t="n">
        <v>1</v>
      </c>
      <c r="H436" s="84" t="s">
        <v>61</v>
      </c>
      <c r="I436" s="80" t="s">
        <v>288</v>
      </c>
      <c r="J436" s="80" t="s">
        <v>289</v>
      </c>
      <c r="K436" s="80" t="s">
        <v>290</v>
      </c>
      <c r="L436" s="80" t="s">
        <v>291</v>
      </c>
      <c r="M436" s="80" t="s">
        <v>292</v>
      </c>
      <c r="N436" s="80" t="s">
        <v>293</v>
      </c>
      <c r="O436" s="101" t="n">
        <v>46119</v>
      </c>
      <c r="P436" s="84"/>
      <c r="Q436" s="84"/>
      <c r="R436" s="87"/>
      <c r="S436" s="87"/>
    </row>
    <row r="437" s="77" customFormat="true" ht="15" hidden="false" customHeight="false" outlineLevel="1" collapsed="false">
      <c r="B437" s="78"/>
      <c r="C437" s="80" t="n">
        <v>425</v>
      </c>
      <c r="D437" s="80" t="s">
        <v>310</v>
      </c>
      <c r="E437" s="81" t="s">
        <v>1227</v>
      </c>
      <c r="F437" s="78" t="s">
        <v>311</v>
      </c>
      <c r="G437" s="88" t="n">
        <v>1</v>
      </c>
      <c r="H437" s="84" t="s">
        <v>152</v>
      </c>
      <c r="I437" s="80" t="s">
        <v>312</v>
      </c>
      <c r="J437" s="80" t="s">
        <v>313</v>
      </c>
      <c r="K437" s="80" t="s">
        <v>314</v>
      </c>
      <c r="L437" s="80" t="s">
        <v>315</v>
      </c>
      <c r="M437" s="80" t="s">
        <v>316</v>
      </c>
      <c r="N437" s="80" t="s">
        <v>317</v>
      </c>
      <c r="O437" s="101" t="n">
        <v>46119</v>
      </c>
      <c r="P437" s="84"/>
      <c r="Q437" s="84"/>
      <c r="R437" s="87"/>
      <c r="S437" s="87"/>
    </row>
    <row r="438" s="77" customFormat="true" ht="15" hidden="false" customHeight="false" outlineLevel="1" collapsed="false">
      <c r="B438" s="78"/>
      <c r="C438" s="80" t="n">
        <v>426</v>
      </c>
      <c r="D438" s="80" t="s">
        <v>318</v>
      </c>
      <c r="E438" s="81" t="s">
        <v>1227</v>
      </c>
      <c r="F438" s="78" t="s">
        <v>319</v>
      </c>
      <c r="G438" s="88" t="n">
        <v>1</v>
      </c>
      <c r="H438" s="84" t="s">
        <v>111</v>
      </c>
      <c r="I438" s="80" t="s">
        <v>320</v>
      </c>
      <c r="J438" s="80" t="s">
        <v>321</v>
      </c>
      <c r="K438" s="80" t="s">
        <v>322</v>
      </c>
      <c r="L438" s="80" t="s">
        <v>323</v>
      </c>
      <c r="M438" s="80" t="s">
        <v>324</v>
      </c>
      <c r="N438" s="80" t="s">
        <v>325</v>
      </c>
      <c r="O438" s="101" t="n">
        <v>46119</v>
      </c>
      <c r="P438" s="84"/>
      <c r="Q438" s="84"/>
      <c r="R438" s="87"/>
      <c r="S438" s="87"/>
    </row>
    <row r="439" s="77" customFormat="true" ht="15" hidden="false" customHeight="false" outlineLevel="1" collapsed="false">
      <c r="B439" s="78"/>
      <c r="C439" s="80" t="n">
        <v>427</v>
      </c>
      <c r="D439" s="80" t="s">
        <v>326</v>
      </c>
      <c r="E439" s="81" t="s">
        <v>1227</v>
      </c>
      <c r="F439" s="78" t="s">
        <v>327</v>
      </c>
      <c r="G439" s="88" t="n">
        <v>3</v>
      </c>
      <c r="H439" s="84" t="s">
        <v>152</v>
      </c>
      <c r="I439" s="80" t="s">
        <v>328</v>
      </c>
      <c r="J439" s="80" t="s">
        <v>329</v>
      </c>
      <c r="K439" s="80" t="s">
        <v>330</v>
      </c>
      <c r="L439" s="80" t="s">
        <v>331</v>
      </c>
      <c r="M439" s="80" t="s">
        <v>332</v>
      </c>
      <c r="N439" s="80" t="s">
        <v>333</v>
      </c>
      <c r="O439" s="101" t="n">
        <v>46119</v>
      </c>
      <c r="P439" s="84"/>
      <c r="Q439" s="84"/>
      <c r="R439" s="87"/>
      <c r="S439" s="87"/>
    </row>
    <row r="440" s="77" customFormat="true" ht="15" hidden="false" customHeight="false" outlineLevel="1" collapsed="false">
      <c r="B440" s="78"/>
      <c r="C440" s="80" t="n">
        <v>428</v>
      </c>
      <c r="D440" s="80" t="s">
        <v>342</v>
      </c>
      <c r="E440" s="81" t="s">
        <v>1227</v>
      </c>
      <c r="F440" s="78" t="s">
        <v>343</v>
      </c>
      <c r="G440" s="88" t="n">
        <v>4</v>
      </c>
      <c r="H440" s="84" t="s">
        <v>24</v>
      </c>
      <c r="I440" s="80" t="s">
        <v>344</v>
      </c>
      <c r="J440" s="80" t="s">
        <v>345</v>
      </c>
      <c r="K440" s="80" t="s">
        <v>346</v>
      </c>
      <c r="L440" s="80" t="s">
        <v>348</v>
      </c>
      <c r="M440" s="80" t="s">
        <v>348</v>
      </c>
      <c r="N440" s="80" t="s">
        <v>349</v>
      </c>
      <c r="O440" s="101" t="n">
        <v>46119</v>
      </c>
      <c r="P440" s="84"/>
      <c r="Q440" s="84"/>
      <c r="R440" s="87"/>
      <c r="S440" s="87"/>
    </row>
    <row r="441" s="77" customFormat="true" ht="15" hidden="false" customHeight="false" outlineLevel="1" collapsed="false">
      <c r="B441" s="78"/>
      <c r="C441" s="80" t="n">
        <v>429</v>
      </c>
      <c r="D441" s="80" t="s">
        <v>350</v>
      </c>
      <c r="E441" s="81" t="s">
        <v>1227</v>
      </c>
      <c r="F441" s="78" t="s">
        <v>351</v>
      </c>
      <c r="G441" s="88" t="n">
        <v>2</v>
      </c>
      <c r="H441" s="84" t="s">
        <v>152</v>
      </c>
      <c r="I441" s="80" t="s">
        <v>352</v>
      </c>
      <c r="J441" s="80" t="s">
        <v>353</v>
      </c>
      <c r="K441" s="80" t="s">
        <v>354</v>
      </c>
      <c r="L441" s="80" t="s">
        <v>355</v>
      </c>
      <c r="M441" s="80" t="s">
        <v>355</v>
      </c>
      <c r="N441" s="80" t="s">
        <v>356</v>
      </c>
      <c r="O441" s="101" t="n">
        <v>46119</v>
      </c>
      <c r="P441" s="84"/>
      <c r="Q441" s="84"/>
      <c r="R441" s="87"/>
      <c r="S441" s="87"/>
    </row>
    <row r="442" s="77" customFormat="true" ht="36" hidden="false" customHeight="true" outlineLevel="1" collapsed="false">
      <c r="B442" s="78"/>
      <c r="C442" s="80" t="s">
        <v>1234</v>
      </c>
      <c r="D442" s="80" t="s">
        <v>802</v>
      </c>
      <c r="E442" s="81" t="s">
        <v>1227</v>
      </c>
      <c r="F442" s="78" t="s">
        <v>803</v>
      </c>
      <c r="G442" s="88" t="n">
        <v>15</v>
      </c>
      <c r="H442" s="84" t="s">
        <v>804</v>
      </c>
      <c r="I442" s="80" t="s">
        <v>874</v>
      </c>
      <c r="J442" s="80" t="s">
        <v>875</v>
      </c>
      <c r="K442" s="80" t="s">
        <v>876</v>
      </c>
      <c r="L442" s="80" t="s">
        <v>808</v>
      </c>
      <c r="M442" s="80" t="s">
        <v>1235</v>
      </c>
      <c r="N442" s="80" t="s">
        <v>810</v>
      </c>
      <c r="O442" s="101" t="n">
        <v>46119</v>
      </c>
      <c r="P442" s="84"/>
      <c r="Q442" s="84"/>
      <c r="R442" s="87"/>
      <c r="S442" s="87"/>
    </row>
    <row r="443" s="77" customFormat="true" ht="15" hidden="false" customHeight="false" outlineLevel="1" collapsed="false">
      <c r="B443" s="78"/>
      <c r="C443" s="80" t="n">
        <v>431</v>
      </c>
      <c r="D443" s="80" t="s">
        <v>961</v>
      </c>
      <c r="E443" s="81" t="s">
        <v>1227</v>
      </c>
      <c r="F443" s="78" t="s">
        <v>915</v>
      </c>
      <c r="G443" s="88" t="n">
        <v>1</v>
      </c>
      <c r="H443" s="84" t="s">
        <v>152</v>
      </c>
      <c r="I443" s="80" t="s">
        <v>962</v>
      </c>
      <c r="J443" s="80" t="s">
        <v>963</v>
      </c>
      <c r="K443" s="80" t="s">
        <v>964</v>
      </c>
      <c r="L443" s="80" t="s">
        <v>965</v>
      </c>
      <c r="M443" s="80" t="s">
        <v>983</v>
      </c>
      <c r="N443" s="80" t="s">
        <v>967</v>
      </c>
      <c r="O443" s="101" t="n">
        <v>46119</v>
      </c>
      <c r="P443" s="84"/>
      <c r="Q443" s="84"/>
      <c r="R443" s="87"/>
      <c r="S443" s="87"/>
    </row>
    <row r="444" s="77" customFormat="true" ht="15" hidden="false" customHeight="false" outlineLevel="1" collapsed="false">
      <c r="B444" s="78"/>
      <c r="C444" s="80" t="n">
        <v>432</v>
      </c>
      <c r="D444" s="80" t="s">
        <v>366</v>
      </c>
      <c r="E444" s="81" t="s">
        <v>1227</v>
      </c>
      <c r="F444" s="78" t="s">
        <v>367</v>
      </c>
      <c r="G444" s="88" t="n">
        <v>3</v>
      </c>
      <c r="H444" s="84" t="s">
        <v>368</v>
      </c>
      <c r="I444" s="80" t="s">
        <v>369</v>
      </c>
      <c r="J444" s="80" t="s">
        <v>370</v>
      </c>
      <c r="K444" s="80" t="s">
        <v>371</v>
      </c>
      <c r="L444" s="80" t="s">
        <v>372</v>
      </c>
      <c r="M444" s="80" t="s">
        <v>373</v>
      </c>
      <c r="N444" s="80" t="s">
        <v>374</v>
      </c>
      <c r="O444" s="101" t="n">
        <v>46119</v>
      </c>
      <c r="P444" s="84"/>
      <c r="Q444" s="84"/>
      <c r="R444" s="87"/>
      <c r="S444" s="87"/>
    </row>
    <row r="445" s="77" customFormat="true" ht="15" hidden="false" customHeight="false" outlineLevel="1" collapsed="false">
      <c r="B445" s="78"/>
      <c r="C445" s="80" t="n">
        <v>433</v>
      </c>
      <c r="D445" s="80" t="s">
        <v>604</v>
      </c>
      <c r="E445" s="81" t="s">
        <v>1227</v>
      </c>
      <c r="F445" s="78" t="s">
        <v>605</v>
      </c>
      <c r="G445" s="88" t="n">
        <v>1</v>
      </c>
      <c r="H445" s="84" t="s">
        <v>61</v>
      </c>
      <c r="I445" s="80" t="s">
        <v>606</v>
      </c>
      <c r="J445" s="80" t="s">
        <v>607</v>
      </c>
      <c r="K445" s="80" t="s">
        <v>608</v>
      </c>
      <c r="L445" s="80" t="s">
        <v>252</v>
      </c>
      <c r="M445" s="80" t="s">
        <v>609</v>
      </c>
      <c r="N445" s="80" t="s">
        <v>610</v>
      </c>
      <c r="O445" s="101" t="n">
        <v>46119</v>
      </c>
      <c r="P445" s="84"/>
      <c r="Q445" s="84"/>
      <c r="R445" s="87"/>
      <c r="S445" s="87"/>
    </row>
    <row r="446" s="77" customFormat="true" ht="36" hidden="false" customHeight="true" outlineLevel="1" collapsed="false">
      <c r="B446" s="78"/>
      <c r="C446" s="80" t="s">
        <v>1240</v>
      </c>
      <c r="D446" s="80" t="s">
        <v>375</v>
      </c>
      <c r="E446" s="78" t="s">
        <v>1227</v>
      </c>
      <c r="F446" s="78" t="s">
        <v>376</v>
      </c>
      <c r="G446" s="88" t="n">
        <v>5</v>
      </c>
      <c r="H446" s="84" t="s">
        <v>111</v>
      </c>
      <c r="I446" s="80" t="s">
        <v>1241</v>
      </c>
      <c r="J446" s="80" t="s">
        <v>1242</v>
      </c>
      <c r="K446" s="80" t="s">
        <v>1243</v>
      </c>
      <c r="L446" s="80" t="s">
        <v>380</v>
      </c>
      <c r="M446" s="80" t="s">
        <v>1244</v>
      </c>
      <c r="N446" s="80" t="s">
        <v>382</v>
      </c>
      <c r="O446" s="101" t="n">
        <v>46119</v>
      </c>
      <c r="P446" s="84"/>
      <c r="Q446" s="84"/>
      <c r="R446" s="87"/>
      <c r="S446" s="87"/>
    </row>
    <row r="447" s="77" customFormat="true" ht="15" hidden="false" customHeight="false" outlineLevel="1" collapsed="false">
      <c r="B447" s="78"/>
      <c r="C447" s="80" t="n">
        <v>435</v>
      </c>
      <c r="D447" s="80" t="s">
        <v>391</v>
      </c>
      <c r="E447" s="81" t="s">
        <v>1227</v>
      </c>
      <c r="F447" s="78" t="s">
        <v>392</v>
      </c>
      <c r="G447" s="88" t="n">
        <v>1</v>
      </c>
      <c r="H447" s="84" t="s">
        <v>111</v>
      </c>
      <c r="I447" s="80" t="s">
        <v>393</v>
      </c>
      <c r="J447" s="80" t="s">
        <v>394</v>
      </c>
      <c r="K447" s="80" t="s">
        <v>395</v>
      </c>
      <c r="L447" s="80" t="s">
        <v>396</v>
      </c>
      <c r="M447" s="80" t="s">
        <v>397</v>
      </c>
      <c r="N447" s="80" t="s">
        <v>398</v>
      </c>
      <c r="O447" s="101" t="n">
        <v>46119</v>
      </c>
      <c r="P447" s="84"/>
      <c r="Q447" s="84"/>
      <c r="R447" s="87"/>
      <c r="S447" s="87"/>
    </row>
    <row r="448" s="77" customFormat="true" ht="15" hidden="false" customHeight="false" outlineLevel="1" collapsed="false">
      <c r="B448" s="78"/>
      <c r="C448" s="80" t="n">
        <v>436</v>
      </c>
      <c r="D448" s="80" t="s">
        <v>399</v>
      </c>
      <c r="E448" s="81" t="s">
        <v>1227</v>
      </c>
      <c r="F448" s="78" t="s">
        <v>400</v>
      </c>
      <c r="G448" s="88" t="n">
        <v>1</v>
      </c>
      <c r="H448" s="84" t="s">
        <v>152</v>
      </c>
      <c r="I448" s="80" t="s">
        <v>401</v>
      </c>
      <c r="J448" s="80" t="s">
        <v>402</v>
      </c>
      <c r="K448" s="80" t="s">
        <v>403</v>
      </c>
      <c r="L448" s="80" t="s">
        <v>404</v>
      </c>
      <c r="M448" s="80" t="s">
        <v>791</v>
      </c>
      <c r="N448" s="80" t="s">
        <v>406</v>
      </c>
      <c r="O448" s="101" t="n">
        <v>46119</v>
      </c>
      <c r="P448" s="84"/>
      <c r="Q448" s="84"/>
      <c r="R448" s="87"/>
      <c r="S448" s="87"/>
    </row>
    <row r="449" s="77" customFormat="true" ht="54" hidden="false" customHeight="true" outlineLevel="1" collapsed="false">
      <c r="B449" s="78"/>
      <c r="C449" s="80" t="s">
        <v>1251</v>
      </c>
      <c r="D449" s="80" t="s">
        <v>892</v>
      </c>
      <c r="E449" s="81" t="s">
        <v>1227</v>
      </c>
      <c r="F449" s="78" t="s">
        <v>893</v>
      </c>
      <c r="G449" s="88" t="n">
        <v>3</v>
      </c>
      <c r="H449" s="84" t="s">
        <v>61</v>
      </c>
      <c r="I449" s="80" t="s">
        <v>1252</v>
      </c>
      <c r="J449" s="80" t="s">
        <v>1253</v>
      </c>
      <c r="K449" s="80" t="s">
        <v>1254</v>
      </c>
      <c r="L449" s="80" t="s">
        <v>989</v>
      </c>
      <c r="M449" s="80" t="s">
        <v>1255</v>
      </c>
      <c r="N449" s="80" t="s">
        <v>898</v>
      </c>
      <c r="O449" s="101" t="n">
        <v>46119</v>
      </c>
      <c r="P449" s="84"/>
      <c r="Q449" s="84"/>
      <c r="R449" s="87"/>
      <c r="S449" s="87"/>
    </row>
    <row r="450" s="77" customFormat="true" ht="15" hidden="false" customHeight="false" outlineLevel="1" collapsed="false">
      <c r="B450" s="78"/>
      <c r="C450" s="80" t="n">
        <v>438</v>
      </c>
      <c r="D450" s="80" t="s">
        <v>415</v>
      </c>
      <c r="E450" s="81" t="s">
        <v>1227</v>
      </c>
      <c r="F450" s="78" t="s">
        <v>416</v>
      </c>
      <c r="G450" s="88" t="n">
        <v>4</v>
      </c>
      <c r="H450" s="84" t="s">
        <v>417</v>
      </c>
      <c r="I450" s="80" t="s">
        <v>418</v>
      </c>
      <c r="J450" s="80" t="s">
        <v>419</v>
      </c>
      <c r="K450" s="80" t="s">
        <v>420</v>
      </c>
      <c r="L450" s="80" t="s">
        <v>421</v>
      </c>
      <c r="M450" s="80" t="s">
        <v>422</v>
      </c>
      <c r="N450" s="80" t="s">
        <v>423</v>
      </c>
      <c r="O450" s="101" t="n">
        <v>46119</v>
      </c>
      <c r="P450" s="84"/>
      <c r="Q450" s="84"/>
      <c r="R450" s="87"/>
      <c r="S450" s="87"/>
    </row>
    <row r="451" s="77" customFormat="true" ht="15" hidden="false" customHeight="false" outlineLevel="1" collapsed="false">
      <c r="B451" s="78"/>
      <c r="C451" s="80" t="n">
        <v>439</v>
      </c>
      <c r="D451" s="80" t="s">
        <v>424</v>
      </c>
      <c r="E451" s="81" t="s">
        <v>1227</v>
      </c>
      <c r="F451" s="78" t="s">
        <v>425</v>
      </c>
      <c r="G451" s="88" t="n">
        <v>2</v>
      </c>
      <c r="H451" s="84" t="s">
        <v>111</v>
      </c>
      <c r="I451" s="80" t="s">
        <v>426</v>
      </c>
      <c r="J451" s="80" t="s">
        <v>427</v>
      </c>
      <c r="K451" s="80" t="s">
        <v>428</v>
      </c>
      <c r="L451" s="80" t="s">
        <v>429</v>
      </c>
      <c r="M451" s="80" t="s">
        <v>429</v>
      </c>
      <c r="N451" s="80" t="s">
        <v>430</v>
      </c>
      <c r="O451" s="101" t="n">
        <v>46119</v>
      </c>
      <c r="P451" s="84"/>
      <c r="Q451" s="84"/>
      <c r="R451" s="87"/>
      <c r="S451" s="87"/>
    </row>
    <row r="452" s="77" customFormat="true" ht="30" hidden="false" customHeight="true" outlineLevel="1" collapsed="false">
      <c r="B452" s="78"/>
      <c r="C452" s="80" t="s">
        <v>1230</v>
      </c>
      <c r="D452" s="80" t="s">
        <v>431</v>
      </c>
      <c r="E452" s="81" t="s">
        <v>1227</v>
      </c>
      <c r="F452" s="78" t="s">
        <v>432</v>
      </c>
      <c r="G452" s="88" t="n">
        <v>7</v>
      </c>
      <c r="H452" s="84" t="s">
        <v>152</v>
      </c>
      <c r="I452" s="80" t="s">
        <v>1095</v>
      </c>
      <c r="J452" s="80" t="s">
        <v>1096</v>
      </c>
      <c r="K452" s="80" t="s">
        <v>1097</v>
      </c>
      <c r="L452" s="80" t="s">
        <v>436</v>
      </c>
      <c r="M452" s="80" t="s">
        <v>1231</v>
      </c>
      <c r="N452" s="80" t="s">
        <v>438</v>
      </c>
      <c r="O452" s="101" t="n">
        <v>46119</v>
      </c>
      <c r="P452" s="84"/>
      <c r="Q452" s="84"/>
      <c r="R452" s="87"/>
      <c r="S452" s="87"/>
    </row>
    <row r="453" s="77" customFormat="true" ht="15" hidden="false" customHeight="false" outlineLevel="1" collapsed="false">
      <c r="B453" s="78"/>
      <c r="C453" s="80" t="n">
        <v>441</v>
      </c>
      <c r="D453" s="80" t="s">
        <v>544</v>
      </c>
      <c r="E453" s="81" t="s">
        <v>1227</v>
      </c>
      <c r="F453" s="78" t="s">
        <v>545</v>
      </c>
      <c r="G453" s="88" t="n">
        <v>5</v>
      </c>
      <c r="H453" s="84" t="s">
        <v>24</v>
      </c>
      <c r="I453" s="80" t="s">
        <v>546</v>
      </c>
      <c r="J453" s="80" t="s">
        <v>547</v>
      </c>
      <c r="K453" s="80" t="s">
        <v>548</v>
      </c>
      <c r="L453" s="80" t="s">
        <v>549</v>
      </c>
      <c r="M453" s="80" t="s">
        <v>436</v>
      </c>
      <c r="N453" s="80" t="s">
        <v>551</v>
      </c>
      <c r="O453" s="101" t="n">
        <v>46119</v>
      </c>
      <c r="P453" s="84"/>
      <c r="Q453" s="84"/>
      <c r="R453" s="87"/>
      <c r="S453" s="87"/>
    </row>
    <row r="454" s="77" customFormat="true" ht="15" hidden="false" customHeight="false" outlineLevel="1" collapsed="false">
      <c r="B454" s="78"/>
      <c r="C454" s="80" t="n">
        <v>442</v>
      </c>
      <c r="D454" s="80" t="s">
        <v>447</v>
      </c>
      <c r="E454" s="81" t="s">
        <v>1227</v>
      </c>
      <c r="F454" s="78" t="s">
        <v>448</v>
      </c>
      <c r="G454" s="88" t="n">
        <v>1</v>
      </c>
      <c r="H454" s="84" t="s">
        <v>24</v>
      </c>
      <c r="I454" s="80" t="s">
        <v>449</v>
      </c>
      <c r="J454" s="80" t="s">
        <v>450</v>
      </c>
      <c r="K454" s="80" t="s">
        <v>451</v>
      </c>
      <c r="L454" s="80" t="s">
        <v>452</v>
      </c>
      <c r="M454" s="80" t="s">
        <v>437</v>
      </c>
      <c r="N454" s="80" t="s">
        <v>454</v>
      </c>
      <c r="O454" s="101" t="n">
        <v>46119</v>
      </c>
      <c r="P454" s="84"/>
      <c r="Q454" s="84"/>
      <c r="R454" s="87"/>
      <c r="S454" s="87"/>
    </row>
    <row r="455" s="77" customFormat="true" ht="15" hidden="false" customHeight="false" outlineLevel="1" collapsed="false">
      <c r="B455" s="78"/>
      <c r="C455" s="80" t="n">
        <v>443</v>
      </c>
      <c r="D455" s="80" t="s">
        <v>571</v>
      </c>
      <c r="E455" s="81" t="s">
        <v>1227</v>
      </c>
      <c r="F455" s="78" t="s">
        <v>572</v>
      </c>
      <c r="G455" s="88" t="n">
        <v>2</v>
      </c>
      <c r="H455" s="84" t="s">
        <v>573</v>
      </c>
      <c r="I455" s="80" t="s">
        <v>574</v>
      </c>
      <c r="J455" s="80" t="s">
        <v>575</v>
      </c>
      <c r="K455" s="80" t="s">
        <v>576</v>
      </c>
      <c r="L455" s="80" t="s">
        <v>577</v>
      </c>
      <c r="M455" s="80" t="s">
        <v>436</v>
      </c>
      <c r="N455" s="80" t="s">
        <v>579</v>
      </c>
      <c r="O455" s="101" t="n">
        <v>46119</v>
      </c>
      <c r="P455" s="84"/>
      <c r="Q455" s="84"/>
      <c r="R455" s="87"/>
      <c r="S455" s="87"/>
    </row>
    <row r="456" s="77" customFormat="true" ht="15" hidden="false" customHeight="false" outlineLevel="1" collapsed="false">
      <c r="B456" s="78"/>
      <c r="C456" s="80" t="n">
        <v>444</v>
      </c>
      <c r="D456" s="80" t="s">
        <v>455</v>
      </c>
      <c r="E456" s="81" t="s">
        <v>1227</v>
      </c>
      <c r="F456" s="78" t="s">
        <v>456</v>
      </c>
      <c r="G456" s="88" t="n">
        <v>1</v>
      </c>
      <c r="H456" s="84" t="s">
        <v>111</v>
      </c>
      <c r="I456" s="80" t="s">
        <v>457</v>
      </c>
      <c r="J456" s="80" t="s">
        <v>458</v>
      </c>
      <c r="K456" s="80" t="s">
        <v>459</v>
      </c>
      <c r="L456" s="80" t="s">
        <v>460</v>
      </c>
      <c r="M456" s="80" t="s">
        <v>331</v>
      </c>
      <c r="N456" s="80" t="s">
        <v>462</v>
      </c>
      <c r="O456" s="101" t="n">
        <v>46119</v>
      </c>
      <c r="P456" s="84"/>
      <c r="Q456" s="84"/>
      <c r="R456" s="87"/>
      <c r="S456" s="87"/>
    </row>
    <row r="457" s="77" customFormat="true" ht="15" hidden="false" customHeight="false" outlineLevel="1" collapsed="false">
      <c r="B457" s="78"/>
      <c r="C457" s="80" t="n">
        <v>445</v>
      </c>
      <c r="D457" s="80" t="s">
        <v>463</v>
      </c>
      <c r="E457" s="81" t="s">
        <v>1229</v>
      </c>
      <c r="F457" s="78" t="s">
        <v>464</v>
      </c>
      <c r="G457" s="88" t="n">
        <v>3</v>
      </c>
      <c r="H457" s="84" t="s">
        <v>152</v>
      </c>
      <c r="I457" s="80" t="s">
        <v>465</v>
      </c>
      <c r="J457" s="80" t="s">
        <v>466</v>
      </c>
      <c r="K457" s="80" t="s">
        <v>467</v>
      </c>
      <c r="L457" s="80" t="s">
        <v>468</v>
      </c>
      <c r="M457" s="80" t="s">
        <v>469</v>
      </c>
      <c r="N457" s="80" t="s">
        <v>470</v>
      </c>
      <c r="O457" s="101" t="n">
        <v>46119</v>
      </c>
      <c r="P457" s="84"/>
      <c r="Q457" s="84"/>
      <c r="R457" s="87"/>
      <c r="S457" s="87"/>
    </row>
    <row r="458" s="77" customFormat="true" ht="36" hidden="false" customHeight="true" outlineLevel="1" collapsed="false">
      <c r="B458" s="78"/>
      <c r="C458" s="80" t="s">
        <v>1226</v>
      </c>
      <c r="D458" s="80" t="s">
        <v>760</v>
      </c>
      <c r="E458" s="81" t="s">
        <v>1227</v>
      </c>
      <c r="F458" s="78" t="s">
        <v>761</v>
      </c>
      <c r="G458" s="88" t="n">
        <v>8</v>
      </c>
      <c r="H458" s="84" t="s">
        <v>61</v>
      </c>
      <c r="I458" s="80" t="s">
        <v>762</v>
      </c>
      <c r="J458" s="80" t="s">
        <v>763</v>
      </c>
      <c r="K458" s="80" t="s">
        <v>764</v>
      </c>
      <c r="L458" s="80" t="s">
        <v>765</v>
      </c>
      <c r="M458" s="80" t="s">
        <v>1228</v>
      </c>
      <c r="N458" s="80" t="s">
        <v>766</v>
      </c>
      <c r="O458" s="101" t="n">
        <v>46119</v>
      </c>
      <c r="P458" s="84"/>
      <c r="Q458" s="84"/>
      <c r="R458" s="87"/>
      <c r="S458" s="87"/>
    </row>
    <row r="459" s="77" customFormat="true" ht="15" hidden="false" customHeight="false" outlineLevel="1" collapsed="false">
      <c r="B459" s="78"/>
      <c r="C459" s="80" t="n">
        <v>447</v>
      </c>
      <c r="D459" s="80" t="s">
        <v>659</v>
      </c>
      <c r="E459" s="81" t="s">
        <v>1227</v>
      </c>
      <c r="F459" s="78" t="s">
        <v>660</v>
      </c>
      <c r="G459" s="88" t="n">
        <v>1</v>
      </c>
      <c r="H459" s="84" t="s">
        <v>152</v>
      </c>
      <c r="I459" s="80" t="s">
        <v>661</v>
      </c>
      <c r="J459" s="80" t="s">
        <v>662</v>
      </c>
      <c r="K459" s="80" t="s">
        <v>663</v>
      </c>
      <c r="L459" s="80" t="s">
        <v>664</v>
      </c>
      <c r="M459" s="80" t="s">
        <v>665</v>
      </c>
      <c r="N459" s="80" t="s">
        <v>666</v>
      </c>
      <c r="O459" s="101" t="n">
        <v>46119</v>
      </c>
      <c r="P459" s="84"/>
      <c r="Q459" s="84"/>
      <c r="R459" s="87"/>
      <c r="S459" s="87"/>
    </row>
    <row r="460" s="77" customFormat="true" ht="15" hidden="false" customHeight="false" outlineLevel="1" collapsed="false">
      <c r="B460" s="78"/>
      <c r="C460" s="80" t="n">
        <v>448</v>
      </c>
      <c r="D460" s="80" t="s">
        <v>471</v>
      </c>
      <c r="E460" s="81" t="s">
        <v>1227</v>
      </c>
      <c r="F460" s="78" t="s">
        <v>472</v>
      </c>
      <c r="G460" s="88" t="n">
        <v>3</v>
      </c>
      <c r="H460" s="84" t="s">
        <v>111</v>
      </c>
      <c r="I460" s="80" t="s">
        <v>473</v>
      </c>
      <c r="J460" s="80" t="s">
        <v>474</v>
      </c>
      <c r="K460" s="80" t="s">
        <v>475</v>
      </c>
      <c r="L460" s="80" t="s">
        <v>476</v>
      </c>
      <c r="M460" s="80" t="s">
        <v>476</v>
      </c>
      <c r="N460" s="80" t="s">
        <v>477</v>
      </c>
      <c r="O460" s="101" t="n">
        <v>46119</v>
      </c>
      <c r="P460" s="84"/>
      <c r="Q460" s="84"/>
      <c r="R460" s="87"/>
      <c r="S460" s="87"/>
    </row>
    <row r="461" s="77" customFormat="true" ht="15" hidden="false" customHeight="false" outlineLevel="1" collapsed="false">
      <c r="B461" s="78"/>
      <c r="C461" s="80" t="n">
        <v>449</v>
      </c>
      <c r="D461" s="80" t="s">
        <v>588</v>
      </c>
      <c r="E461" s="81" t="s">
        <v>1227</v>
      </c>
      <c r="F461" s="78" t="s">
        <v>589</v>
      </c>
      <c r="G461" s="88" t="n">
        <v>1</v>
      </c>
      <c r="H461" s="84" t="s">
        <v>24</v>
      </c>
      <c r="I461" s="80" t="s">
        <v>590</v>
      </c>
      <c r="J461" s="80" t="s">
        <v>591</v>
      </c>
      <c r="K461" s="80" t="s">
        <v>592</v>
      </c>
      <c r="L461" s="80" t="s">
        <v>593</v>
      </c>
      <c r="M461" s="80" t="s">
        <v>594</v>
      </c>
      <c r="N461" s="80" t="s">
        <v>595</v>
      </c>
      <c r="O461" s="101" t="n">
        <v>46119</v>
      </c>
      <c r="P461" s="84"/>
      <c r="Q461" s="84"/>
      <c r="R461" s="87"/>
      <c r="S461" s="87"/>
    </row>
    <row r="462" s="77" customFormat="true" ht="30" hidden="false" customHeight="true" outlineLevel="1" collapsed="false">
      <c r="B462" s="78"/>
      <c r="C462" s="80" t="n">
        <v>450</v>
      </c>
      <c r="D462" s="80" t="s">
        <v>478</v>
      </c>
      <c r="E462" s="81" t="s">
        <v>1227</v>
      </c>
      <c r="F462" s="78" t="s">
        <v>479</v>
      </c>
      <c r="G462" s="88" t="n">
        <v>1</v>
      </c>
      <c r="H462" s="84" t="s">
        <v>111</v>
      </c>
      <c r="I462" s="80" t="s">
        <v>480</v>
      </c>
      <c r="J462" s="80" t="s">
        <v>481</v>
      </c>
      <c r="K462" s="80" t="s">
        <v>482</v>
      </c>
      <c r="L462" s="80" t="s">
        <v>483</v>
      </c>
      <c r="M462" s="80" t="s">
        <v>634</v>
      </c>
      <c r="N462" s="80" t="s">
        <v>485</v>
      </c>
      <c r="O462" s="101" t="n">
        <v>46119</v>
      </c>
      <c r="P462" s="84"/>
      <c r="Q462" s="84"/>
      <c r="R462" s="87"/>
      <c r="S462" s="87"/>
    </row>
    <row r="463" s="77" customFormat="true" ht="15" hidden="false" customHeight="false" outlineLevel="1" collapsed="false">
      <c r="B463" s="78"/>
      <c r="C463" s="80" t="n">
        <v>451</v>
      </c>
      <c r="D463" s="80" t="s">
        <v>494</v>
      </c>
      <c r="E463" s="81" t="s">
        <v>1227</v>
      </c>
      <c r="F463" s="78" t="s">
        <v>495</v>
      </c>
      <c r="G463" s="88" t="n">
        <v>2</v>
      </c>
      <c r="H463" s="84" t="s">
        <v>61</v>
      </c>
      <c r="I463" s="80" t="s">
        <v>496</v>
      </c>
      <c r="J463" s="80" t="s">
        <v>497</v>
      </c>
      <c r="K463" s="80" t="s">
        <v>498</v>
      </c>
      <c r="L463" s="80" t="s">
        <v>499</v>
      </c>
      <c r="M463" s="80" t="s">
        <v>500</v>
      </c>
      <c r="N463" s="80" t="s">
        <v>501</v>
      </c>
      <c r="O463" s="101" t="n">
        <v>46119</v>
      </c>
      <c r="P463" s="84"/>
      <c r="Q463" s="84"/>
      <c r="R463" s="87"/>
      <c r="S463" s="87"/>
    </row>
    <row r="464" s="77" customFormat="true" ht="15" hidden="false" customHeight="false" outlineLevel="1" collapsed="false">
      <c r="B464" s="78"/>
      <c r="C464" s="80" t="n">
        <v>452</v>
      </c>
      <c r="D464" s="80" t="s">
        <v>502</v>
      </c>
      <c r="E464" s="81" t="s">
        <v>1227</v>
      </c>
      <c r="F464" s="78" t="s">
        <v>503</v>
      </c>
      <c r="G464" s="88" t="n">
        <v>1</v>
      </c>
      <c r="H464" s="84" t="s">
        <v>61</v>
      </c>
      <c r="I464" s="80" t="s">
        <v>504</v>
      </c>
      <c r="J464" s="80" t="s">
        <v>505</v>
      </c>
      <c r="K464" s="80" t="s">
        <v>506</v>
      </c>
      <c r="L464" s="80" t="s">
        <v>283</v>
      </c>
      <c r="M464" s="80" t="s">
        <v>284</v>
      </c>
      <c r="N464" s="80" t="s">
        <v>507</v>
      </c>
      <c r="O464" s="101" t="n">
        <v>46119</v>
      </c>
      <c r="P464" s="84"/>
      <c r="Q464" s="84"/>
      <c r="R464" s="87"/>
      <c r="S464" s="87"/>
    </row>
    <row r="465" s="77" customFormat="true" ht="15" hidden="false" customHeight="false" outlineLevel="1" collapsed="false">
      <c r="B465" s="78"/>
      <c r="C465" s="80" t="n">
        <v>453</v>
      </c>
      <c r="D465" s="80" t="s">
        <v>508</v>
      </c>
      <c r="E465" s="81" t="s">
        <v>1227</v>
      </c>
      <c r="F465" s="78" t="s">
        <v>509</v>
      </c>
      <c r="G465" s="88" t="n">
        <v>1</v>
      </c>
      <c r="H465" s="84" t="s">
        <v>61</v>
      </c>
      <c r="I465" s="80" t="s">
        <v>510</v>
      </c>
      <c r="J465" s="80" t="s">
        <v>511</v>
      </c>
      <c r="K465" s="80" t="s">
        <v>512</v>
      </c>
      <c r="L465" s="80" t="s">
        <v>513</v>
      </c>
      <c r="M465" s="80" t="s">
        <v>514</v>
      </c>
      <c r="N465" s="80" t="s">
        <v>515</v>
      </c>
      <c r="O465" s="101" t="n">
        <v>46119</v>
      </c>
      <c r="P465" s="84"/>
      <c r="Q465" s="84"/>
      <c r="R465" s="87"/>
      <c r="S465" s="87"/>
    </row>
    <row r="466" s="77" customFormat="true" ht="15" hidden="false" customHeight="false" outlineLevel="1" collapsed="false">
      <c r="B466" s="78"/>
      <c r="C466" s="80" t="n">
        <v>454</v>
      </c>
      <c r="D466" s="80" t="s">
        <v>516</v>
      </c>
      <c r="E466" s="81" t="s">
        <v>1227</v>
      </c>
      <c r="F466" s="92" t="s">
        <v>517</v>
      </c>
      <c r="G466" s="88" t="n">
        <v>1</v>
      </c>
      <c r="H466" s="84" t="s">
        <v>61</v>
      </c>
      <c r="I466" s="80" t="s">
        <v>518</v>
      </c>
      <c r="J466" s="80" t="s">
        <v>519</v>
      </c>
      <c r="K466" s="80" t="s">
        <v>520</v>
      </c>
      <c r="L466" s="80" t="s">
        <v>521</v>
      </c>
      <c r="M466" s="80" t="s">
        <v>522</v>
      </c>
      <c r="N466" s="80" t="s">
        <v>523</v>
      </c>
      <c r="O466" s="101" t="n">
        <v>46119</v>
      </c>
      <c r="P466" s="84"/>
      <c r="Q466" s="84"/>
      <c r="R466" s="87"/>
      <c r="S466" s="87"/>
    </row>
    <row r="467" s="77" customFormat="true" ht="15" hidden="false" customHeight="false" outlineLevel="1" collapsed="false">
      <c r="B467" s="78"/>
      <c r="C467" s="80" t="n">
        <v>455</v>
      </c>
      <c r="D467" s="80" t="s">
        <v>644</v>
      </c>
      <c r="E467" s="81" t="s">
        <v>1227</v>
      </c>
      <c r="F467" s="78" t="s">
        <v>645</v>
      </c>
      <c r="G467" s="88" t="n">
        <v>2</v>
      </c>
      <c r="H467" s="84" t="s">
        <v>61</v>
      </c>
      <c r="I467" s="80" t="s">
        <v>646</v>
      </c>
      <c r="J467" s="80" t="s">
        <v>647</v>
      </c>
      <c r="K467" s="80" t="s">
        <v>648</v>
      </c>
      <c r="L467" s="80" t="s">
        <v>649</v>
      </c>
      <c r="M467" s="80" t="s">
        <v>650</v>
      </c>
      <c r="N467" s="80"/>
      <c r="O467" s="101" t="n">
        <v>46119</v>
      </c>
      <c r="P467" s="84"/>
      <c r="Q467" s="84"/>
      <c r="R467" s="87"/>
      <c r="S467" s="87"/>
    </row>
    <row r="468" s="68" customFormat="true" ht="15" hidden="false" customHeight="false" outlineLevel="0" collapsed="false">
      <c r="B468" s="69"/>
      <c r="C468" s="69"/>
      <c r="D468" s="69"/>
      <c r="E468" s="72" t="s">
        <v>1474</v>
      </c>
      <c r="F468" s="72"/>
      <c r="G468" s="119" t="n">
        <f aca="false">SUM(G469:G518)</f>
        <v>86</v>
      </c>
      <c r="H468" s="89"/>
      <c r="I468" s="123"/>
      <c r="J468" s="124"/>
      <c r="K468" s="125"/>
      <c r="L468" s="69"/>
      <c r="M468" s="69"/>
      <c r="N468" s="90"/>
      <c r="O468" s="89"/>
      <c r="P468" s="76"/>
      <c r="Q468" s="76"/>
      <c r="R468" s="90"/>
      <c r="S468" s="74"/>
    </row>
    <row r="469" s="77" customFormat="true" ht="15" hidden="false" customHeight="false" outlineLevel="1" collapsed="false">
      <c r="B469" s="78"/>
      <c r="C469" s="80" t="n">
        <v>456</v>
      </c>
      <c r="D469" s="80" t="s">
        <v>811</v>
      </c>
      <c r="E469" s="81" t="s">
        <v>1474</v>
      </c>
      <c r="F469" s="78" t="s">
        <v>812</v>
      </c>
      <c r="G469" s="88" t="n">
        <v>6</v>
      </c>
      <c r="H469" s="84" t="s">
        <v>813</v>
      </c>
      <c r="I469" s="80" t="s">
        <v>814</v>
      </c>
      <c r="J469" s="80" t="s">
        <v>815</v>
      </c>
      <c r="K469" s="80" t="s">
        <v>816</v>
      </c>
      <c r="L469" s="80" t="s">
        <v>817</v>
      </c>
      <c r="M469" s="80" t="s">
        <v>1149</v>
      </c>
      <c r="N469" s="80" t="s">
        <v>819</v>
      </c>
      <c r="O469" s="85" t="n">
        <v>46153</v>
      </c>
      <c r="P469" s="84"/>
      <c r="Q469" s="84"/>
      <c r="R469" s="87"/>
      <c r="S469" s="87"/>
    </row>
    <row r="470" s="77" customFormat="true" ht="15" hidden="false" customHeight="false" outlineLevel="1" collapsed="false">
      <c r="B470" s="78"/>
      <c r="C470" s="80" t="n">
        <v>457</v>
      </c>
      <c r="D470" s="80" t="s">
        <v>34</v>
      </c>
      <c r="E470" s="81" t="s">
        <v>1474</v>
      </c>
      <c r="F470" s="78" t="s">
        <v>35</v>
      </c>
      <c r="G470" s="88" t="n">
        <v>1</v>
      </c>
      <c r="H470" s="84" t="s">
        <v>36</v>
      </c>
      <c r="I470" s="80" t="s">
        <v>37</v>
      </c>
      <c r="J470" s="80" t="s">
        <v>38</v>
      </c>
      <c r="K470" s="80" t="s">
        <v>39</v>
      </c>
      <c r="L470" s="80" t="s">
        <v>40</v>
      </c>
      <c r="M470" s="80" t="s">
        <v>858</v>
      </c>
      <c r="N470" s="80" t="s">
        <v>42</v>
      </c>
      <c r="O470" s="85" t="n">
        <v>46153</v>
      </c>
      <c r="P470" s="84"/>
      <c r="Q470" s="84"/>
      <c r="R470" s="87"/>
      <c r="S470" s="87"/>
    </row>
    <row r="471" s="77" customFormat="true" ht="15" hidden="false" customHeight="false" outlineLevel="1" collapsed="false">
      <c r="B471" s="78"/>
      <c r="C471" s="80" t="n">
        <v>458</v>
      </c>
      <c r="D471" s="80" t="s">
        <v>43</v>
      </c>
      <c r="E471" s="81" t="s">
        <v>1474</v>
      </c>
      <c r="F471" s="78" t="s">
        <v>44</v>
      </c>
      <c r="G471" s="88" t="n">
        <v>3</v>
      </c>
      <c r="H471" s="84" t="s">
        <v>24</v>
      </c>
      <c r="I471" s="80" t="s">
        <v>45</v>
      </c>
      <c r="J471" s="80" t="s">
        <v>46</v>
      </c>
      <c r="K471" s="80" t="s">
        <v>47</v>
      </c>
      <c r="L471" s="80" t="s">
        <v>48</v>
      </c>
      <c r="M471" s="80" t="s">
        <v>49</v>
      </c>
      <c r="N471" s="80" t="s">
        <v>50</v>
      </c>
      <c r="O471" s="85" t="n">
        <v>46153</v>
      </c>
      <c r="P471" s="84"/>
      <c r="Q471" s="84"/>
      <c r="R471" s="87"/>
      <c r="S471" s="87"/>
    </row>
    <row r="472" s="77" customFormat="true" ht="15" hidden="false" customHeight="false" outlineLevel="1" collapsed="false">
      <c r="B472" s="78"/>
      <c r="C472" s="80" t="n">
        <v>459</v>
      </c>
      <c r="D472" s="80" t="s">
        <v>51</v>
      </c>
      <c r="E472" s="81" t="s">
        <v>1474</v>
      </c>
      <c r="F472" s="78" t="s">
        <v>52</v>
      </c>
      <c r="G472" s="88" t="n">
        <v>6</v>
      </c>
      <c r="H472" s="84" t="s">
        <v>24</v>
      </c>
      <c r="I472" s="80" t="s">
        <v>53</v>
      </c>
      <c r="J472" s="80" t="s">
        <v>54</v>
      </c>
      <c r="K472" s="80" t="s">
        <v>55</v>
      </c>
      <c r="L472" s="80" t="s">
        <v>56</v>
      </c>
      <c r="M472" s="80" t="s">
        <v>57</v>
      </c>
      <c r="N472" s="80" t="s">
        <v>58</v>
      </c>
      <c r="O472" s="85" t="n">
        <v>46153</v>
      </c>
      <c r="P472" s="84"/>
      <c r="Q472" s="84"/>
      <c r="R472" s="87"/>
      <c r="S472" s="87"/>
    </row>
    <row r="473" s="77" customFormat="true" ht="15" hidden="false" customHeight="false" outlineLevel="1" collapsed="false">
      <c r="B473" s="78"/>
      <c r="C473" s="80" t="n">
        <v>460</v>
      </c>
      <c r="D473" s="80" t="s">
        <v>782</v>
      </c>
      <c r="E473" s="81" t="s">
        <v>1474</v>
      </c>
      <c r="F473" s="78" t="s">
        <v>783</v>
      </c>
      <c r="G473" s="88" t="n">
        <v>1</v>
      </c>
      <c r="H473" s="84" t="s">
        <v>784</v>
      </c>
      <c r="I473" s="80" t="s">
        <v>785</v>
      </c>
      <c r="J473" s="80" t="s">
        <v>786</v>
      </c>
      <c r="K473" s="80" t="s">
        <v>787</v>
      </c>
      <c r="L473" s="80" t="s">
        <v>788</v>
      </c>
      <c r="M473" s="80" t="s">
        <v>789</v>
      </c>
      <c r="N473" s="80" t="s">
        <v>790</v>
      </c>
      <c r="O473" s="85" t="n">
        <v>46153</v>
      </c>
      <c r="P473" s="84"/>
      <c r="Q473" s="84"/>
      <c r="R473" s="87"/>
      <c r="S473" s="87"/>
    </row>
    <row r="474" s="77" customFormat="true" ht="15" hidden="false" customHeight="false" outlineLevel="1" collapsed="false">
      <c r="B474" s="78"/>
      <c r="C474" s="80" t="n">
        <v>461</v>
      </c>
      <c r="D474" s="80" t="s">
        <v>59</v>
      </c>
      <c r="E474" s="81" t="s">
        <v>1474</v>
      </c>
      <c r="F474" s="78" t="s">
        <v>60</v>
      </c>
      <c r="G474" s="88" t="n">
        <v>2</v>
      </c>
      <c r="H474" s="84" t="s">
        <v>61</v>
      </c>
      <c r="I474" s="80" t="s">
        <v>62</v>
      </c>
      <c r="J474" s="80" t="s">
        <v>63</v>
      </c>
      <c r="K474" s="80" t="s">
        <v>64</v>
      </c>
      <c r="L474" s="80" t="s">
        <v>65</v>
      </c>
      <c r="M474" s="80" t="s">
        <v>66</v>
      </c>
      <c r="N474" s="80" t="s">
        <v>67</v>
      </c>
      <c r="O474" s="85" t="n">
        <v>46153</v>
      </c>
      <c r="P474" s="84"/>
      <c r="Q474" s="84"/>
      <c r="R474" s="87"/>
      <c r="S474" s="87"/>
    </row>
    <row r="475" s="77" customFormat="true" ht="15" hidden="false" customHeight="false" outlineLevel="1" collapsed="false">
      <c r="B475" s="78"/>
      <c r="C475" s="80" t="n">
        <v>462</v>
      </c>
      <c r="D475" s="80" t="s">
        <v>75</v>
      </c>
      <c r="E475" s="81" t="s">
        <v>1474</v>
      </c>
      <c r="F475" s="78" t="s">
        <v>76</v>
      </c>
      <c r="G475" s="88" t="n">
        <v>4</v>
      </c>
      <c r="H475" s="84" t="s">
        <v>77</v>
      </c>
      <c r="I475" s="80" t="s">
        <v>78</v>
      </c>
      <c r="J475" s="80" t="s">
        <v>79</v>
      </c>
      <c r="K475" s="80" t="s">
        <v>80</v>
      </c>
      <c r="L475" s="80" t="s">
        <v>81</v>
      </c>
      <c r="M475" s="80" t="s">
        <v>82</v>
      </c>
      <c r="N475" s="80" t="s">
        <v>83</v>
      </c>
      <c r="O475" s="85" t="n">
        <v>46153</v>
      </c>
      <c r="P475" s="84"/>
      <c r="Q475" s="84"/>
      <c r="R475" s="87"/>
      <c r="S475" s="87"/>
    </row>
    <row r="476" s="77" customFormat="true" ht="36" hidden="false" customHeight="true" outlineLevel="1" collapsed="false">
      <c r="B476" s="78"/>
      <c r="C476" s="80" t="n">
        <v>463</v>
      </c>
      <c r="D476" s="80" t="s">
        <v>899</v>
      </c>
      <c r="E476" s="81" t="s">
        <v>1474</v>
      </c>
      <c r="F476" s="78" t="s">
        <v>900</v>
      </c>
      <c r="G476" s="88" t="n">
        <v>1</v>
      </c>
      <c r="H476" s="84" t="s">
        <v>901</v>
      </c>
      <c r="I476" s="80" t="s">
        <v>902</v>
      </c>
      <c r="J476" s="80" t="s">
        <v>903</v>
      </c>
      <c r="K476" s="80" t="s">
        <v>904</v>
      </c>
      <c r="L476" s="80" t="s">
        <v>905</v>
      </c>
      <c r="M476" s="80" t="s">
        <v>906</v>
      </c>
      <c r="N476" s="80" t="s">
        <v>907</v>
      </c>
      <c r="O476" s="85" t="n">
        <v>46153</v>
      </c>
      <c r="P476" s="84"/>
      <c r="Q476" s="84"/>
      <c r="R476" s="87"/>
      <c r="S476" s="87"/>
    </row>
    <row r="477" s="77" customFormat="true" ht="15" hidden="false" customHeight="false" outlineLevel="1" collapsed="false">
      <c r="B477" s="78"/>
      <c r="C477" s="80" t="n">
        <v>464</v>
      </c>
      <c r="D477" s="80" t="s">
        <v>117</v>
      </c>
      <c r="E477" s="81" t="s">
        <v>1474</v>
      </c>
      <c r="F477" s="78" t="s">
        <v>118</v>
      </c>
      <c r="G477" s="88" t="n">
        <v>1</v>
      </c>
      <c r="H477" s="84" t="s">
        <v>24</v>
      </c>
      <c r="I477" s="80" t="s">
        <v>119</v>
      </c>
      <c r="J477" s="80" t="s">
        <v>120</v>
      </c>
      <c r="K477" s="80" t="s">
        <v>121</v>
      </c>
      <c r="L477" s="80" t="s">
        <v>122</v>
      </c>
      <c r="M477" s="80" t="s">
        <v>123</v>
      </c>
      <c r="N477" s="80" t="s">
        <v>124</v>
      </c>
      <c r="O477" s="85" t="n">
        <v>46153</v>
      </c>
      <c r="P477" s="84"/>
      <c r="Q477" s="84"/>
      <c r="R477" s="87"/>
      <c r="S477" s="87"/>
    </row>
    <row r="478" s="77" customFormat="true" ht="15" hidden="false" customHeight="false" outlineLevel="1" collapsed="false">
      <c r="B478" s="78"/>
      <c r="C478" s="80" t="n">
        <v>465</v>
      </c>
      <c r="D478" s="80" t="s">
        <v>125</v>
      </c>
      <c r="E478" s="81" t="s">
        <v>1474</v>
      </c>
      <c r="F478" s="78" t="s">
        <v>126</v>
      </c>
      <c r="G478" s="88" t="n">
        <v>1</v>
      </c>
      <c r="H478" s="84" t="s">
        <v>127</v>
      </c>
      <c r="I478" s="80" t="s">
        <v>128</v>
      </c>
      <c r="J478" s="80" t="s">
        <v>129</v>
      </c>
      <c r="K478" s="80" t="s">
        <v>130</v>
      </c>
      <c r="L478" s="80" t="s">
        <v>131</v>
      </c>
      <c r="M478" s="80" t="s">
        <v>132</v>
      </c>
      <c r="N478" s="80" t="s">
        <v>133</v>
      </c>
      <c r="O478" s="85" t="n">
        <v>46153</v>
      </c>
      <c r="P478" s="84"/>
      <c r="Q478" s="84"/>
      <c r="R478" s="87"/>
      <c r="S478" s="87"/>
    </row>
    <row r="479" s="77" customFormat="true" ht="15" hidden="false" customHeight="false" outlineLevel="1" collapsed="false">
      <c r="B479" s="78"/>
      <c r="C479" s="80" t="n">
        <v>466</v>
      </c>
      <c r="D479" s="80" t="s">
        <v>134</v>
      </c>
      <c r="E479" s="81" t="s">
        <v>1474</v>
      </c>
      <c r="F479" s="78" t="s">
        <v>135</v>
      </c>
      <c r="G479" s="88" t="n">
        <v>2</v>
      </c>
      <c r="H479" s="84" t="s">
        <v>24</v>
      </c>
      <c r="I479" s="80" t="s">
        <v>136</v>
      </c>
      <c r="J479" s="80" t="s">
        <v>137</v>
      </c>
      <c r="K479" s="80" t="s">
        <v>138</v>
      </c>
      <c r="L479" s="80" t="s">
        <v>139</v>
      </c>
      <c r="M479" s="80" t="s">
        <v>140</v>
      </c>
      <c r="N479" s="80" t="s">
        <v>141</v>
      </c>
      <c r="O479" s="85" t="n">
        <v>46153</v>
      </c>
      <c r="P479" s="84"/>
      <c r="Q479" s="84"/>
      <c r="R479" s="87"/>
      <c r="S479" s="87"/>
    </row>
    <row r="480" s="77" customFormat="true" ht="15" hidden="false" customHeight="false" outlineLevel="1" collapsed="false">
      <c r="B480" s="78"/>
      <c r="C480" s="80" t="n">
        <v>467</v>
      </c>
      <c r="D480" s="80" t="s">
        <v>554</v>
      </c>
      <c r="E480" s="81" t="s">
        <v>1474</v>
      </c>
      <c r="F480" s="78" t="s">
        <v>555</v>
      </c>
      <c r="G480" s="88" t="n">
        <v>1</v>
      </c>
      <c r="H480" s="84" t="s">
        <v>61</v>
      </c>
      <c r="I480" s="80" t="s">
        <v>556</v>
      </c>
      <c r="J480" s="80" t="s">
        <v>557</v>
      </c>
      <c r="K480" s="80" t="s">
        <v>558</v>
      </c>
      <c r="L480" s="80" t="s">
        <v>559</v>
      </c>
      <c r="M480" s="80" t="s">
        <v>560</v>
      </c>
      <c r="N480" s="80" t="s">
        <v>561</v>
      </c>
      <c r="O480" s="85" t="n">
        <v>46153</v>
      </c>
      <c r="P480" s="84"/>
      <c r="Q480" s="84"/>
      <c r="R480" s="87"/>
      <c r="S480" s="87"/>
    </row>
    <row r="481" s="77" customFormat="true" ht="15" hidden="false" customHeight="false" outlineLevel="1" collapsed="false">
      <c r="B481" s="78"/>
      <c r="C481" s="80" t="n">
        <v>468</v>
      </c>
      <c r="D481" s="80" t="s">
        <v>159</v>
      </c>
      <c r="E481" s="81" t="s">
        <v>1474</v>
      </c>
      <c r="F481" s="78" t="s">
        <v>160</v>
      </c>
      <c r="G481" s="88" t="n">
        <v>2</v>
      </c>
      <c r="H481" s="84" t="s">
        <v>61</v>
      </c>
      <c r="I481" s="80" t="s">
        <v>161</v>
      </c>
      <c r="J481" s="80" t="s">
        <v>162</v>
      </c>
      <c r="K481" s="80" t="s">
        <v>163</v>
      </c>
      <c r="L481" s="80" t="s">
        <v>164</v>
      </c>
      <c r="M481" s="80" t="s">
        <v>164</v>
      </c>
      <c r="N481" s="80" t="s">
        <v>165</v>
      </c>
      <c r="O481" s="85" t="n">
        <v>46153</v>
      </c>
      <c r="P481" s="84"/>
      <c r="Q481" s="84"/>
      <c r="R481" s="87"/>
      <c r="S481" s="87"/>
    </row>
    <row r="482" s="77" customFormat="true" ht="15" hidden="false" customHeight="false" outlineLevel="1" collapsed="false">
      <c r="B482" s="78"/>
      <c r="C482" s="80" t="n">
        <v>469</v>
      </c>
      <c r="D482" s="80" t="s">
        <v>166</v>
      </c>
      <c r="E482" s="81" t="s">
        <v>1474</v>
      </c>
      <c r="F482" s="78" t="s">
        <v>167</v>
      </c>
      <c r="G482" s="88" t="n">
        <v>3</v>
      </c>
      <c r="H482" s="84" t="s">
        <v>61</v>
      </c>
      <c r="I482" s="80" t="s">
        <v>168</v>
      </c>
      <c r="J482" s="80" t="s">
        <v>169</v>
      </c>
      <c r="K482" s="80" t="s">
        <v>170</v>
      </c>
      <c r="L482" s="80" t="s">
        <v>171</v>
      </c>
      <c r="M482" s="80" t="s">
        <v>172</v>
      </c>
      <c r="N482" s="80" t="s">
        <v>173</v>
      </c>
      <c r="O482" s="85" t="n">
        <v>46153</v>
      </c>
      <c r="P482" s="84"/>
      <c r="Q482" s="84"/>
      <c r="R482" s="87"/>
      <c r="S482" s="87"/>
    </row>
    <row r="483" s="77" customFormat="true" ht="15" hidden="false" customHeight="false" outlineLevel="1" collapsed="false">
      <c r="B483" s="78"/>
      <c r="C483" s="80" t="n">
        <v>470</v>
      </c>
      <c r="D483" s="80" t="s">
        <v>174</v>
      </c>
      <c r="E483" s="81" t="s">
        <v>1474</v>
      </c>
      <c r="F483" s="78" t="s">
        <v>175</v>
      </c>
      <c r="G483" s="88" t="n">
        <v>2</v>
      </c>
      <c r="H483" s="84" t="s">
        <v>152</v>
      </c>
      <c r="I483" s="80" t="s">
        <v>176</v>
      </c>
      <c r="J483" s="80" t="s">
        <v>177</v>
      </c>
      <c r="K483" s="80" t="s">
        <v>178</v>
      </c>
      <c r="L483" s="80" t="s">
        <v>179</v>
      </c>
      <c r="M483" s="80" t="s">
        <v>180</v>
      </c>
      <c r="N483" s="80" t="s">
        <v>181</v>
      </c>
      <c r="O483" s="85" t="n">
        <v>46153</v>
      </c>
      <c r="P483" s="84"/>
      <c r="Q483" s="84"/>
      <c r="R483" s="87"/>
      <c r="S483" s="87"/>
    </row>
    <row r="484" s="77" customFormat="true" ht="15" hidden="false" customHeight="false" outlineLevel="1" collapsed="false">
      <c r="B484" s="78"/>
      <c r="C484" s="80" t="n">
        <v>471</v>
      </c>
      <c r="D484" s="80" t="s">
        <v>667</v>
      </c>
      <c r="E484" s="81" t="s">
        <v>1474</v>
      </c>
      <c r="F484" s="78" t="s">
        <v>668</v>
      </c>
      <c r="G484" s="88" t="n">
        <v>2</v>
      </c>
      <c r="H484" s="84" t="s">
        <v>61</v>
      </c>
      <c r="I484" s="80" t="s">
        <v>669</v>
      </c>
      <c r="J484" s="80" t="s">
        <v>670</v>
      </c>
      <c r="K484" s="93" t="s">
        <v>671</v>
      </c>
      <c r="L484" s="80" t="s">
        <v>672</v>
      </c>
      <c r="M484" s="80" t="s">
        <v>672</v>
      </c>
      <c r="N484" s="80" t="s">
        <v>673</v>
      </c>
      <c r="O484" s="85" t="n">
        <v>46153</v>
      </c>
      <c r="P484" s="84"/>
      <c r="Q484" s="84"/>
      <c r="R484" s="87"/>
      <c r="S484" s="87"/>
    </row>
    <row r="485" s="77" customFormat="true" ht="15" hidden="false" customHeight="false" outlineLevel="1" collapsed="false">
      <c r="B485" s="78"/>
      <c r="C485" s="80" t="n">
        <v>472</v>
      </c>
      <c r="D485" s="80" t="s">
        <v>190</v>
      </c>
      <c r="E485" s="81" t="s">
        <v>1474</v>
      </c>
      <c r="F485" s="78" t="s">
        <v>191</v>
      </c>
      <c r="G485" s="88" t="n">
        <v>1</v>
      </c>
      <c r="H485" s="84" t="s">
        <v>24</v>
      </c>
      <c r="I485" s="80" t="s">
        <v>1475</v>
      </c>
      <c r="J485" s="80" t="s">
        <v>1476</v>
      </c>
      <c r="K485" s="93" t="s">
        <v>1477</v>
      </c>
      <c r="L485" s="80" t="s">
        <v>195</v>
      </c>
      <c r="M485" s="80" t="s">
        <v>140</v>
      </c>
      <c r="N485" s="80" t="s">
        <v>197</v>
      </c>
      <c r="O485" s="85" t="n">
        <v>46153</v>
      </c>
      <c r="P485" s="84"/>
      <c r="Q485" s="84"/>
      <c r="R485" s="87"/>
      <c r="S485" s="87"/>
    </row>
    <row r="486" s="77" customFormat="true" ht="15" hidden="false" customHeight="false" outlineLevel="1" collapsed="false">
      <c r="B486" s="78"/>
      <c r="C486" s="80" t="n">
        <v>473</v>
      </c>
      <c r="D486" s="80" t="s">
        <v>198</v>
      </c>
      <c r="E486" s="81" t="s">
        <v>1474</v>
      </c>
      <c r="F486" s="78" t="s">
        <v>199</v>
      </c>
      <c r="G486" s="88" t="n">
        <v>1</v>
      </c>
      <c r="H486" s="84" t="s">
        <v>200</v>
      </c>
      <c r="I486" s="80" t="s">
        <v>201</v>
      </c>
      <c r="J486" s="80" t="s">
        <v>202</v>
      </c>
      <c r="K486" s="80" t="s">
        <v>203</v>
      </c>
      <c r="L486" s="80" t="s">
        <v>204</v>
      </c>
      <c r="M486" s="80" t="s">
        <v>205</v>
      </c>
      <c r="N486" s="80" t="s">
        <v>206</v>
      </c>
      <c r="O486" s="85" t="n">
        <v>46153</v>
      </c>
      <c r="P486" s="84"/>
      <c r="Q486" s="84"/>
      <c r="R486" s="87"/>
      <c r="S486" s="87"/>
    </row>
    <row r="487" s="77" customFormat="true" ht="15" hidden="false" customHeight="false" outlineLevel="1" collapsed="false">
      <c r="B487" s="78"/>
      <c r="C487" s="80" t="n">
        <v>474</v>
      </c>
      <c r="D487" s="80" t="s">
        <v>223</v>
      </c>
      <c r="E487" s="81" t="s">
        <v>1474</v>
      </c>
      <c r="F487" s="78" t="s">
        <v>224</v>
      </c>
      <c r="G487" s="88" t="n">
        <v>1</v>
      </c>
      <c r="H487" s="84" t="s">
        <v>61</v>
      </c>
      <c r="I487" s="80" t="s">
        <v>225</v>
      </c>
      <c r="J487" s="80" t="s">
        <v>226</v>
      </c>
      <c r="K487" s="80" t="s">
        <v>227</v>
      </c>
      <c r="L487" s="80" t="s">
        <v>228</v>
      </c>
      <c r="M487" s="80" t="s">
        <v>229</v>
      </c>
      <c r="N487" s="80" t="s">
        <v>230</v>
      </c>
      <c r="O487" s="85" t="n">
        <v>46153</v>
      </c>
      <c r="P487" s="84"/>
      <c r="Q487" s="84"/>
      <c r="R487" s="87"/>
      <c r="S487" s="87"/>
    </row>
    <row r="488" s="77" customFormat="true" ht="36" hidden="false" customHeight="true" outlineLevel="1" collapsed="false">
      <c r="B488" s="78"/>
      <c r="C488" s="80" t="s">
        <v>1478</v>
      </c>
      <c r="D488" s="80" t="s">
        <v>231</v>
      </c>
      <c r="E488" s="81" t="s">
        <v>1474</v>
      </c>
      <c r="F488" s="78" t="s">
        <v>232</v>
      </c>
      <c r="G488" s="88" t="n">
        <v>4</v>
      </c>
      <c r="H488" s="84" t="s">
        <v>61</v>
      </c>
      <c r="I488" s="80" t="s">
        <v>702</v>
      </c>
      <c r="J488" s="80" t="s">
        <v>703</v>
      </c>
      <c r="K488" s="80" t="s">
        <v>704</v>
      </c>
      <c r="L488" s="80" t="s">
        <v>236</v>
      </c>
      <c r="M488" s="80" t="s">
        <v>1479</v>
      </c>
      <c r="N488" s="80" t="s">
        <v>238</v>
      </c>
      <c r="O488" s="85" t="n">
        <v>46153</v>
      </c>
      <c r="P488" s="84"/>
      <c r="Q488" s="84"/>
      <c r="R488" s="87"/>
      <c r="S488" s="87"/>
    </row>
    <row r="489" s="77" customFormat="true" ht="15" hidden="false" customHeight="false" outlineLevel="1" collapsed="false">
      <c r="B489" s="78"/>
      <c r="C489" s="80" t="n">
        <v>476</v>
      </c>
      <c r="D489" s="80" t="s">
        <v>239</v>
      </c>
      <c r="E489" s="81" t="s">
        <v>1474</v>
      </c>
      <c r="F489" s="78" t="s">
        <v>240</v>
      </c>
      <c r="G489" s="88" t="n">
        <v>1</v>
      </c>
      <c r="H489" s="84" t="s">
        <v>24</v>
      </c>
      <c r="I489" s="80" t="s">
        <v>241</v>
      </c>
      <c r="J489" s="80" t="s">
        <v>242</v>
      </c>
      <c r="K489" s="80" t="s">
        <v>243</v>
      </c>
      <c r="L489" s="80" t="s">
        <v>244</v>
      </c>
      <c r="M489" s="80" t="s">
        <v>245</v>
      </c>
      <c r="N489" s="80" t="s">
        <v>246</v>
      </c>
      <c r="O489" s="85" t="n">
        <v>46153</v>
      </c>
      <c r="P489" s="84"/>
      <c r="Q489" s="84"/>
      <c r="R489" s="87"/>
      <c r="S489" s="87"/>
    </row>
    <row r="490" s="77" customFormat="true" ht="30" hidden="false" customHeight="true" outlineLevel="1" collapsed="false">
      <c r="B490" s="78"/>
      <c r="C490" s="80" t="n">
        <v>477</v>
      </c>
      <c r="D490" s="80" t="s">
        <v>247</v>
      </c>
      <c r="E490" s="81" t="s">
        <v>1474</v>
      </c>
      <c r="F490" s="78" t="s">
        <v>248</v>
      </c>
      <c r="G490" s="88" t="n">
        <v>1</v>
      </c>
      <c r="H490" s="84" t="s">
        <v>61</v>
      </c>
      <c r="I490" s="80" t="s">
        <v>528</v>
      </c>
      <c r="J490" s="80" t="s">
        <v>1066</v>
      </c>
      <c r="K490" s="126" t="s">
        <v>530</v>
      </c>
      <c r="L490" s="80" t="s">
        <v>252</v>
      </c>
      <c r="M490" s="80" t="s">
        <v>531</v>
      </c>
      <c r="N490" s="80" t="s">
        <v>254</v>
      </c>
      <c r="O490" s="85" t="n">
        <v>46153</v>
      </c>
      <c r="P490" s="84"/>
      <c r="Q490" s="84"/>
      <c r="R490" s="87"/>
      <c r="S490" s="87"/>
    </row>
    <row r="491" s="77" customFormat="true" ht="30" hidden="false" customHeight="true" outlineLevel="1" collapsed="false">
      <c r="B491" s="78"/>
      <c r="C491" s="80" t="n">
        <v>478</v>
      </c>
      <c r="D491" s="80" t="s">
        <v>255</v>
      </c>
      <c r="E491" s="81" t="s">
        <v>1474</v>
      </c>
      <c r="F491" s="78" t="s">
        <v>256</v>
      </c>
      <c r="G491" s="88" t="n">
        <v>1</v>
      </c>
      <c r="H491" s="84" t="s">
        <v>61</v>
      </c>
      <c r="I491" s="80" t="s">
        <v>257</v>
      </c>
      <c r="J491" s="80" t="s">
        <v>258</v>
      </c>
      <c r="K491" s="80" t="s">
        <v>259</v>
      </c>
      <c r="L491" s="80" t="s">
        <v>260</v>
      </c>
      <c r="M491" s="80" t="s">
        <v>261</v>
      </c>
      <c r="N491" s="80" t="s">
        <v>262</v>
      </c>
      <c r="O491" s="85" t="n">
        <v>46153</v>
      </c>
      <c r="P491" s="84"/>
      <c r="Q491" s="84"/>
      <c r="R491" s="87"/>
      <c r="S491" s="87"/>
    </row>
    <row r="492" s="77" customFormat="true" ht="15" hidden="false" customHeight="false" outlineLevel="1" collapsed="false">
      <c r="B492" s="78"/>
      <c r="C492" s="80" t="n">
        <v>479</v>
      </c>
      <c r="D492" s="80" t="s">
        <v>263</v>
      </c>
      <c r="E492" s="81" t="s">
        <v>1474</v>
      </c>
      <c r="F492" s="78" t="s">
        <v>264</v>
      </c>
      <c r="G492" s="88" t="n">
        <v>2</v>
      </c>
      <c r="H492" s="84" t="s">
        <v>61</v>
      </c>
      <c r="I492" s="80" t="s">
        <v>265</v>
      </c>
      <c r="J492" s="80" t="s">
        <v>266</v>
      </c>
      <c r="K492" s="80" t="s">
        <v>267</v>
      </c>
      <c r="L492" s="80" t="s">
        <v>252</v>
      </c>
      <c r="M492" s="80" t="s">
        <v>268</v>
      </c>
      <c r="N492" s="80" t="s">
        <v>269</v>
      </c>
      <c r="O492" s="85" t="n">
        <v>46153</v>
      </c>
      <c r="P492" s="84"/>
      <c r="Q492" s="84"/>
      <c r="R492" s="87"/>
      <c r="S492" s="87"/>
    </row>
    <row r="493" s="77" customFormat="true" ht="15" hidden="false" customHeight="false" outlineLevel="1" collapsed="false">
      <c r="B493" s="78"/>
      <c r="C493" s="80" t="n">
        <v>480</v>
      </c>
      <c r="D493" s="80" t="s">
        <v>651</v>
      </c>
      <c r="E493" s="81" t="s">
        <v>1474</v>
      </c>
      <c r="F493" s="78" t="s">
        <v>652</v>
      </c>
      <c r="G493" s="88" t="n">
        <v>1</v>
      </c>
      <c r="H493" s="84" t="s">
        <v>111</v>
      </c>
      <c r="I493" s="80" t="s">
        <v>653</v>
      </c>
      <c r="J493" s="80" t="s">
        <v>654</v>
      </c>
      <c r="K493" s="80" t="s">
        <v>655</v>
      </c>
      <c r="L493" s="80" t="s">
        <v>656</v>
      </c>
      <c r="M493" s="80" t="s">
        <v>657</v>
      </c>
      <c r="N493" s="80" t="s">
        <v>658</v>
      </c>
      <c r="O493" s="85" t="n">
        <v>46153</v>
      </c>
      <c r="P493" s="84"/>
      <c r="Q493" s="84"/>
      <c r="R493" s="87"/>
      <c r="S493" s="87"/>
    </row>
    <row r="494" s="77" customFormat="true" ht="15" hidden="false" customHeight="false" outlineLevel="1" collapsed="false">
      <c r="B494" s="78"/>
      <c r="C494" s="80" t="n">
        <v>481</v>
      </c>
      <c r="D494" s="80" t="s">
        <v>270</v>
      </c>
      <c r="E494" s="81" t="s">
        <v>1474</v>
      </c>
      <c r="F494" s="78" t="s">
        <v>271</v>
      </c>
      <c r="G494" s="88" t="n">
        <v>1</v>
      </c>
      <c r="H494" s="84" t="s">
        <v>61</v>
      </c>
      <c r="I494" s="80" t="s">
        <v>272</v>
      </c>
      <c r="J494" s="80" t="s">
        <v>273</v>
      </c>
      <c r="K494" s="80" t="s">
        <v>274</v>
      </c>
      <c r="L494" s="80" t="s">
        <v>792</v>
      </c>
      <c r="M494" s="80" t="s">
        <v>792</v>
      </c>
      <c r="N494" s="80" t="s">
        <v>277</v>
      </c>
      <c r="O494" s="85" t="n">
        <v>46153</v>
      </c>
      <c r="P494" s="84"/>
      <c r="Q494" s="84"/>
      <c r="R494" s="87"/>
      <c r="S494" s="87"/>
    </row>
    <row r="495" s="77" customFormat="true" ht="15" hidden="false" customHeight="false" outlineLevel="1" collapsed="false">
      <c r="B495" s="78"/>
      <c r="C495" s="80" t="n">
        <v>482</v>
      </c>
      <c r="D495" s="80" t="s">
        <v>743</v>
      </c>
      <c r="E495" s="81" t="s">
        <v>1474</v>
      </c>
      <c r="F495" s="78" t="s">
        <v>744</v>
      </c>
      <c r="G495" s="88" t="n">
        <v>1</v>
      </c>
      <c r="H495" s="84" t="s">
        <v>745</v>
      </c>
      <c r="I495" s="80" t="s">
        <v>746</v>
      </c>
      <c r="J495" s="80" t="s">
        <v>747</v>
      </c>
      <c r="K495" s="80" t="s">
        <v>748</v>
      </c>
      <c r="L495" s="80" t="s">
        <v>749</v>
      </c>
      <c r="M495" s="80" t="s">
        <v>750</v>
      </c>
      <c r="N495" s="80" t="s">
        <v>751</v>
      </c>
      <c r="O495" s="85" t="n">
        <v>46153</v>
      </c>
      <c r="P495" s="84"/>
      <c r="Q495" s="84"/>
      <c r="R495" s="87"/>
      <c r="S495" s="87"/>
    </row>
    <row r="496" s="77" customFormat="true" ht="15" hidden="false" customHeight="false" outlineLevel="1" collapsed="false">
      <c r="B496" s="78"/>
      <c r="C496" s="80" t="n">
        <v>483</v>
      </c>
      <c r="D496" s="80" t="s">
        <v>294</v>
      </c>
      <c r="E496" s="81" t="s">
        <v>1474</v>
      </c>
      <c r="F496" s="78" t="s">
        <v>295</v>
      </c>
      <c r="G496" s="88" t="n">
        <v>1</v>
      </c>
      <c r="H496" s="84" t="s">
        <v>61</v>
      </c>
      <c r="I496" s="80" t="s">
        <v>908</v>
      </c>
      <c r="J496" s="80" t="s">
        <v>909</v>
      </c>
      <c r="K496" s="80" t="s">
        <v>910</v>
      </c>
      <c r="L496" s="80" t="s">
        <v>299</v>
      </c>
      <c r="M496" s="80" t="s">
        <v>300</v>
      </c>
      <c r="N496" s="80" t="s">
        <v>301</v>
      </c>
      <c r="O496" s="85" t="n">
        <v>46153</v>
      </c>
      <c r="P496" s="84"/>
      <c r="Q496" s="84"/>
      <c r="R496" s="87"/>
      <c r="S496" s="87"/>
    </row>
    <row r="497" s="77" customFormat="true" ht="36" hidden="false" customHeight="true" outlineLevel="1" collapsed="false">
      <c r="B497" s="78"/>
      <c r="C497" s="80" t="s">
        <v>1480</v>
      </c>
      <c r="D497" s="80" t="s">
        <v>302</v>
      </c>
      <c r="E497" s="81" t="s">
        <v>1474</v>
      </c>
      <c r="F497" s="78" t="s">
        <v>303</v>
      </c>
      <c r="G497" s="88" t="n">
        <v>1</v>
      </c>
      <c r="H497" s="84" t="s">
        <v>61</v>
      </c>
      <c r="I497" s="80" t="s">
        <v>304</v>
      </c>
      <c r="J497" s="80" t="s">
        <v>305</v>
      </c>
      <c r="K497" s="80" t="s">
        <v>306</v>
      </c>
      <c r="L497" s="80" t="s">
        <v>307</v>
      </c>
      <c r="M497" s="80" t="s">
        <v>526</v>
      </c>
      <c r="N497" s="80" t="s">
        <v>309</v>
      </c>
      <c r="O497" s="85" t="n">
        <v>46153</v>
      </c>
      <c r="P497" s="84"/>
      <c r="Q497" s="84"/>
      <c r="R497" s="87"/>
      <c r="S497" s="87"/>
    </row>
    <row r="498" s="77" customFormat="true" ht="15" hidden="false" customHeight="false" outlineLevel="1" collapsed="false">
      <c r="B498" s="78"/>
      <c r="C498" s="80" t="n">
        <v>485</v>
      </c>
      <c r="D498" s="80" t="s">
        <v>310</v>
      </c>
      <c r="E498" s="81" t="s">
        <v>1474</v>
      </c>
      <c r="F498" s="78" t="s">
        <v>311</v>
      </c>
      <c r="G498" s="88" t="n">
        <v>1</v>
      </c>
      <c r="H498" s="84" t="s">
        <v>152</v>
      </c>
      <c r="I498" s="80" t="s">
        <v>312</v>
      </c>
      <c r="J498" s="80" t="s">
        <v>313</v>
      </c>
      <c r="K498" s="80" t="s">
        <v>314</v>
      </c>
      <c r="L498" s="80" t="s">
        <v>315</v>
      </c>
      <c r="M498" s="80" t="s">
        <v>316</v>
      </c>
      <c r="N498" s="80" t="s">
        <v>317</v>
      </c>
      <c r="O498" s="85" t="n">
        <v>46153</v>
      </c>
      <c r="P498" s="84"/>
      <c r="Q498" s="84"/>
      <c r="R498" s="87"/>
      <c r="S498" s="87"/>
    </row>
    <row r="499" s="77" customFormat="true" ht="15" hidden="false" customHeight="false" outlineLevel="1" collapsed="false">
      <c r="B499" s="78"/>
      <c r="C499" s="80" t="n">
        <v>486</v>
      </c>
      <c r="D499" s="80" t="s">
        <v>318</v>
      </c>
      <c r="E499" s="81" t="s">
        <v>1474</v>
      </c>
      <c r="F499" s="78" t="s">
        <v>319</v>
      </c>
      <c r="G499" s="88" t="n">
        <v>1</v>
      </c>
      <c r="H499" s="84" t="s">
        <v>111</v>
      </c>
      <c r="I499" s="80" t="s">
        <v>320</v>
      </c>
      <c r="J499" s="80" t="s">
        <v>321</v>
      </c>
      <c r="K499" s="80" t="s">
        <v>322</v>
      </c>
      <c r="L499" s="80" t="s">
        <v>323</v>
      </c>
      <c r="M499" s="80" t="s">
        <v>324</v>
      </c>
      <c r="N499" s="80" t="s">
        <v>325</v>
      </c>
      <c r="O499" s="85" t="n">
        <v>46153</v>
      </c>
      <c r="P499" s="84"/>
      <c r="Q499" s="84"/>
      <c r="R499" s="87"/>
      <c r="S499" s="87"/>
    </row>
    <row r="500" s="77" customFormat="true" ht="15" hidden="false" customHeight="false" outlineLevel="1" collapsed="false">
      <c r="B500" s="78"/>
      <c r="C500" s="80" t="n">
        <v>487</v>
      </c>
      <c r="D500" s="80" t="s">
        <v>326</v>
      </c>
      <c r="E500" s="81" t="s">
        <v>1474</v>
      </c>
      <c r="F500" s="78" t="s">
        <v>327</v>
      </c>
      <c r="G500" s="88" t="n">
        <v>1</v>
      </c>
      <c r="H500" s="84" t="s">
        <v>152</v>
      </c>
      <c r="I500" s="80" t="s">
        <v>328</v>
      </c>
      <c r="J500" s="80" t="s">
        <v>329</v>
      </c>
      <c r="K500" s="80" t="s">
        <v>330</v>
      </c>
      <c r="L500" s="80" t="s">
        <v>331</v>
      </c>
      <c r="M500" s="80" t="s">
        <v>332</v>
      </c>
      <c r="N500" s="80" t="s">
        <v>333</v>
      </c>
      <c r="O500" s="85" t="n">
        <v>46153</v>
      </c>
      <c r="P500" s="84"/>
      <c r="Q500" s="84"/>
      <c r="R500" s="87"/>
      <c r="S500" s="87"/>
    </row>
    <row r="501" s="77" customFormat="true" ht="36" hidden="false" customHeight="true" outlineLevel="1" collapsed="false">
      <c r="B501" s="78"/>
      <c r="C501" s="80" t="s">
        <v>1481</v>
      </c>
      <c r="D501" s="80" t="s">
        <v>342</v>
      </c>
      <c r="E501" s="81" t="s">
        <v>1474</v>
      </c>
      <c r="F501" s="78" t="s">
        <v>343</v>
      </c>
      <c r="G501" s="88" t="n">
        <v>1</v>
      </c>
      <c r="H501" s="84" t="s">
        <v>24</v>
      </c>
      <c r="I501" s="80" t="s">
        <v>344</v>
      </c>
      <c r="J501" s="80" t="s">
        <v>345</v>
      </c>
      <c r="K501" s="80" t="s">
        <v>346</v>
      </c>
      <c r="L501" s="80" t="s">
        <v>348</v>
      </c>
      <c r="M501" s="80" t="s">
        <v>348</v>
      </c>
      <c r="N501" s="80" t="s">
        <v>349</v>
      </c>
      <c r="O501" s="85" t="n">
        <v>46153</v>
      </c>
      <c r="P501" s="84"/>
      <c r="Q501" s="84"/>
      <c r="R501" s="87"/>
      <c r="S501" s="87"/>
    </row>
    <row r="502" s="77" customFormat="true" ht="15" hidden="false" customHeight="false" outlineLevel="1" collapsed="false">
      <c r="B502" s="78"/>
      <c r="C502" s="80" t="n">
        <v>489</v>
      </c>
      <c r="D502" s="80" t="s">
        <v>350</v>
      </c>
      <c r="E502" s="81" t="s">
        <v>1474</v>
      </c>
      <c r="F502" s="78" t="s">
        <v>351</v>
      </c>
      <c r="G502" s="88" t="n">
        <v>1</v>
      </c>
      <c r="H502" s="84" t="s">
        <v>152</v>
      </c>
      <c r="I502" s="80" t="s">
        <v>352</v>
      </c>
      <c r="J502" s="80" t="s">
        <v>353</v>
      </c>
      <c r="K502" s="80" t="s">
        <v>354</v>
      </c>
      <c r="L502" s="80" t="s">
        <v>355</v>
      </c>
      <c r="M502" s="80" t="s">
        <v>355</v>
      </c>
      <c r="N502" s="80" t="s">
        <v>356</v>
      </c>
      <c r="O502" s="85" t="n">
        <v>46153</v>
      </c>
      <c r="P502" s="84"/>
      <c r="Q502" s="84"/>
      <c r="R502" s="87"/>
      <c r="S502" s="87"/>
    </row>
    <row r="503" s="77" customFormat="true" ht="36" hidden="false" customHeight="true" outlineLevel="1" collapsed="false">
      <c r="B503" s="78"/>
      <c r="C503" s="80" t="s">
        <v>1131</v>
      </c>
      <c r="D503" s="80" t="s">
        <v>802</v>
      </c>
      <c r="E503" s="81" t="s">
        <v>1474</v>
      </c>
      <c r="F503" s="78" t="s">
        <v>803</v>
      </c>
      <c r="G503" s="88" t="n">
        <v>3</v>
      </c>
      <c r="H503" s="84" t="s">
        <v>804</v>
      </c>
      <c r="I503" s="80" t="s">
        <v>874</v>
      </c>
      <c r="J503" s="80" t="s">
        <v>875</v>
      </c>
      <c r="K503" s="80" t="s">
        <v>876</v>
      </c>
      <c r="L503" s="80" t="s">
        <v>808</v>
      </c>
      <c r="M503" s="80" t="s">
        <v>1233</v>
      </c>
      <c r="N503" s="80" t="s">
        <v>810</v>
      </c>
      <c r="O503" s="85" t="n">
        <v>46153</v>
      </c>
      <c r="P503" s="84"/>
      <c r="Q503" s="84"/>
      <c r="R503" s="87"/>
      <c r="S503" s="87"/>
    </row>
    <row r="504" s="77" customFormat="true" ht="15" hidden="false" customHeight="false" outlineLevel="1" collapsed="false">
      <c r="B504" s="78"/>
      <c r="C504" s="80" t="n">
        <v>491</v>
      </c>
      <c r="D504" s="80" t="s">
        <v>961</v>
      </c>
      <c r="E504" s="81" t="s">
        <v>1474</v>
      </c>
      <c r="F504" s="78" t="s">
        <v>915</v>
      </c>
      <c r="G504" s="88" t="n">
        <v>1</v>
      </c>
      <c r="H504" s="84" t="s">
        <v>152</v>
      </c>
      <c r="I504" s="80" t="s">
        <v>962</v>
      </c>
      <c r="J504" s="80" t="s">
        <v>963</v>
      </c>
      <c r="K504" s="80" t="s">
        <v>964</v>
      </c>
      <c r="L504" s="80" t="s">
        <v>965</v>
      </c>
      <c r="M504" s="80" t="s">
        <v>983</v>
      </c>
      <c r="N504" s="80" t="s">
        <v>967</v>
      </c>
      <c r="O504" s="85" t="n">
        <v>46153</v>
      </c>
      <c r="P504" s="84"/>
      <c r="Q504" s="84"/>
      <c r="R504" s="87"/>
      <c r="S504" s="87"/>
    </row>
    <row r="505" s="77" customFormat="true" ht="15" hidden="false" customHeight="false" outlineLevel="1" collapsed="false">
      <c r="B505" s="78"/>
      <c r="C505" s="80" t="n">
        <v>492</v>
      </c>
      <c r="D505" s="80" t="s">
        <v>366</v>
      </c>
      <c r="E505" s="81" t="s">
        <v>1474</v>
      </c>
      <c r="F505" s="78" t="s">
        <v>367</v>
      </c>
      <c r="G505" s="88" t="n">
        <v>1</v>
      </c>
      <c r="H505" s="84" t="s">
        <v>368</v>
      </c>
      <c r="I505" s="80" t="s">
        <v>369</v>
      </c>
      <c r="J505" s="80" t="s">
        <v>370</v>
      </c>
      <c r="K505" s="80" t="s">
        <v>371</v>
      </c>
      <c r="L505" s="80" t="s">
        <v>372</v>
      </c>
      <c r="M505" s="80" t="s">
        <v>373</v>
      </c>
      <c r="N505" s="80" t="s">
        <v>374</v>
      </c>
      <c r="O505" s="85" t="n">
        <v>46153</v>
      </c>
      <c r="P505" s="84"/>
      <c r="Q505" s="84"/>
      <c r="R505" s="87"/>
      <c r="S505" s="87"/>
    </row>
    <row r="506" s="77" customFormat="true" ht="15" hidden="false" customHeight="false" outlineLevel="1" collapsed="false">
      <c r="B506" s="78"/>
      <c r="C506" s="80" t="n">
        <v>493</v>
      </c>
      <c r="D506" s="80" t="s">
        <v>604</v>
      </c>
      <c r="E506" s="81" t="s">
        <v>1474</v>
      </c>
      <c r="F506" s="78" t="s">
        <v>605</v>
      </c>
      <c r="G506" s="88" t="n">
        <v>1</v>
      </c>
      <c r="H506" s="84" t="s">
        <v>61</v>
      </c>
      <c r="I506" s="80" t="s">
        <v>606</v>
      </c>
      <c r="J506" s="80" t="s">
        <v>607</v>
      </c>
      <c r="K506" s="80" t="s">
        <v>608</v>
      </c>
      <c r="L506" s="80" t="s">
        <v>252</v>
      </c>
      <c r="M506" s="80" t="s">
        <v>609</v>
      </c>
      <c r="N506" s="80" t="s">
        <v>610</v>
      </c>
      <c r="O506" s="85" t="n">
        <v>46153</v>
      </c>
      <c r="P506" s="84"/>
      <c r="Q506" s="84"/>
      <c r="R506" s="87"/>
      <c r="S506" s="87"/>
    </row>
    <row r="507" s="77" customFormat="true" ht="15" hidden="false" customHeight="false" outlineLevel="1" collapsed="false">
      <c r="B507" s="78"/>
      <c r="C507" s="80" t="n">
        <v>494</v>
      </c>
      <c r="D507" s="80" t="s">
        <v>375</v>
      </c>
      <c r="E507" s="81" t="s">
        <v>1474</v>
      </c>
      <c r="F507" s="78" t="s">
        <v>376</v>
      </c>
      <c r="G507" s="88" t="n">
        <v>2</v>
      </c>
      <c r="H507" s="84" t="s">
        <v>111</v>
      </c>
      <c r="I507" s="80" t="s">
        <v>377</v>
      </c>
      <c r="J507" s="80" t="s">
        <v>378</v>
      </c>
      <c r="K507" s="80" t="s">
        <v>379</v>
      </c>
      <c r="L507" s="80" t="s">
        <v>380</v>
      </c>
      <c r="M507" s="80" t="s">
        <v>381</v>
      </c>
      <c r="N507" s="80" t="s">
        <v>382</v>
      </c>
      <c r="O507" s="85" t="n">
        <v>46153</v>
      </c>
      <c r="P507" s="84"/>
      <c r="Q507" s="84"/>
      <c r="R507" s="87"/>
      <c r="S507" s="87"/>
    </row>
    <row r="508" s="77" customFormat="true" ht="15" hidden="false" customHeight="false" outlineLevel="1" collapsed="false">
      <c r="B508" s="78"/>
      <c r="C508" s="80" t="n">
        <v>495</v>
      </c>
      <c r="D508" s="80" t="s">
        <v>383</v>
      </c>
      <c r="E508" s="81" t="s">
        <v>1474</v>
      </c>
      <c r="F508" s="78" t="s">
        <v>384</v>
      </c>
      <c r="G508" s="88" t="n">
        <v>1</v>
      </c>
      <c r="H508" s="84" t="s">
        <v>61</v>
      </c>
      <c r="I508" s="80" t="s">
        <v>385</v>
      </c>
      <c r="J508" s="80" t="s">
        <v>386</v>
      </c>
      <c r="K508" s="80" t="s">
        <v>387</v>
      </c>
      <c r="L508" s="80" t="s">
        <v>388</v>
      </c>
      <c r="M508" s="80" t="s">
        <v>389</v>
      </c>
      <c r="N508" s="80" t="s">
        <v>390</v>
      </c>
      <c r="O508" s="85" t="n">
        <v>46153</v>
      </c>
      <c r="P508" s="84"/>
      <c r="Q508" s="84"/>
      <c r="R508" s="87"/>
      <c r="S508" s="87"/>
    </row>
    <row r="509" s="77" customFormat="true" ht="15" hidden="false" customHeight="false" outlineLevel="1" collapsed="false">
      <c r="B509" s="78"/>
      <c r="C509" s="79" t="n">
        <v>496</v>
      </c>
      <c r="D509" s="80" t="s">
        <v>892</v>
      </c>
      <c r="E509" s="81" t="s">
        <v>1474</v>
      </c>
      <c r="F509" s="82" t="s">
        <v>893</v>
      </c>
      <c r="G509" s="88" t="n">
        <v>1</v>
      </c>
      <c r="H509" s="84" t="s">
        <v>61</v>
      </c>
      <c r="I509" s="80" t="s">
        <v>894</v>
      </c>
      <c r="J509" s="80" t="s">
        <v>895</v>
      </c>
      <c r="K509" s="97" t="s">
        <v>896</v>
      </c>
      <c r="L509" s="79" t="s">
        <v>897</v>
      </c>
      <c r="M509" s="79" t="s">
        <v>897</v>
      </c>
      <c r="N509" s="80" t="s">
        <v>898</v>
      </c>
      <c r="O509" s="85" t="n">
        <v>46153</v>
      </c>
      <c r="P509" s="84"/>
      <c r="Q509" s="84"/>
      <c r="R509" s="87"/>
      <c r="S509" s="87"/>
    </row>
    <row r="510" s="77" customFormat="true" ht="15" hidden="false" customHeight="false" outlineLevel="1" collapsed="false">
      <c r="B510" s="78"/>
      <c r="C510" s="80" t="n">
        <v>497</v>
      </c>
      <c r="D510" s="80" t="s">
        <v>431</v>
      </c>
      <c r="E510" s="81" t="s">
        <v>1474</v>
      </c>
      <c r="F510" s="78" t="s">
        <v>432</v>
      </c>
      <c r="G510" s="88" t="n">
        <v>2</v>
      </c>
      <c r="H510" s="84" t="s">
        <v>152</v>
      </c>
      <c r="I510" s="80" t="s">
        <v>868</v>
      </c>
      <c r="J510" s="80" t="s">
        <v>869</v>
      </c>
      <c r="K510" s="80" t="s">
        <v>870</v>
      </c>
      <c r="L510" s="80" t="s">
        <v>436</v>
      </c>
      <c r="M510" s="80" t="s">
        <v>436</v>
      </c>
      <c r="N510" s="80" t="s">
        <v>438</v>
      </c>
      <c r="O510" s="85" t="n">
        <v>46153</v>
      </c>
      <c r="P510" s="84"/>
      <c r="Q510" s="84"/>
      <c r="R510" s="87"/>
      <c r="S510" s="87"/>
    </row>
    <row r="511" s="77" customFormat="true" ht="15" hidden="false" customHeight="false" outlineLevel="1" collapsed="false">
      <c r="B511" s="78"/>
      <c r="C511" s="80" t="n">
        <v>498</v>
      </c>
      <c r="D511" s="80" t="s">
        <v>447</v>
      </c>
      <c r="E511" s="81" t="s">
        <v>1474</v>
      </c>
      <c r="F511" s="78" t="s">
        <v>448</v>
      </c>
      <c r="G511" s="88" t="n">
        <v>1</v>
      </c>
      <c r="H511" s="84" t="s">
        <v>24</v>
      </c>
      <c r="I511" s="80" t="s">
        <v>449</v>
      </c>
      <c r="J511" s="80" t="s">
        <v>450</v>
      </c>
      <c r="K511" s="80" t="s">
        <v>451</v>
      </c>
      <c r="L511" s="80" t="s">
        <v>452</v>
      </c>
      <c r="M511" s="80" t="s">
        <v>453</v>
      </c>
      <c r="N511" s="80" t="s">
        <v>454</v>
      </c>
      <c r="O511" s="85" t="n">
        <v>46153</v>
      </c>
      <c r="P511" s="84"/>
      <c r="Q511" s="84"/>
      <c r="R511" s="87"/>
      <c r="S511" s="87"/>
    </row>
    <row r="512" s="77" customFormat="true" ht="36" hidden="false" customHeight="true" outlineLevel="1" collapsed="false">
      <c r="B512" s="78"/>
      <c r="C512" s="80" t="n">
        <v>499</v>
      </c>
      <c r="D512" s="80" t="s">
        <v>596</v>
      </c>
      <c r="E512" s="81" t="s">
        <v>1474</v>
      </c>
      <c r="F512" s="78" t="s">
        <v>597</v>
      </c>
      <c r="G512" s="88" t="n">
        <v>1</v>
      </c>
      <c r="H512" s="84" t="s">
        <v>61</v>
      </c>
      <c r="I512" s="80" t="s">
        <v>598</v>
      </c>
      <c r="J512" s="80" t="s">
        <v>599</v>
      </c>
      <c r="K512" s="80" t="s">
        <v>600</v>
      </c>
      <c r="L512" s="80" t="s">
        <v>601</v>
      </c>
      <c r="M512" s="80" t="s">
        <v>781</v>
      </c>
      <c r="N512" s="80" t="s">
        <v>603</v>
      </c>
      <c r="O512" s="85" t="n">
        <v>46153</v>
      </c>
      <c r="P512" s="84"/>
      <c r="Q512" s="84"/>
      <c r="R512" s="87"/>
      <c r="S512" s="87"/>
    </row>
    <row r="513" s="77" customFormat="true" ht="15" hidden="false" customHeight="false" outlineLevel="1" collapsed="false">
      <c r="B513" s="78"/>
      <c r="C513" s="80" t="n">
        <v>500</v>
      </c>
      <c r="D513" s="80" t="s">
        <v>463</v>
      </c>
      <c r="E513" s="81" t="s">
        <v>1474</v>
      </c>
      <c r="F513" s="78" t="s">
        <v>464</v>
      </c>
      <c r="G513" s="88" t="n">
        <v>1</v>
      </c>
      <c r="H513" s="84" t="s">
        <v>152</v>
      </c>
      <c r="I513" s="80" t="s">
        <v>465</v>
      </c>
      <c r="J513" s="80" t="s">
        <v>466</v>
      </c>
      <c r="K513" s="80" t="s">
        <v>467</v>
      </c>
      <c r="L513" s="80" t="s">
        <v>468</v>
      </c>
      <c r="M513" s="80" t="s">
        <v>469</v>
      </c>
      <c r="N513" s="80" t="s">
        <v>470</v>
      </c>
      <c r="O513" s="85" t="n">
        <v>46153</v>
      </c>
      <c r="P513" s="84"/>
      <c r="Q513" s="84"/>
      <c r="R513" s="87"/>
      <c r="S513" s="87"/>
    </row>
    <row r="514" s="77" customFormat="true" ht="36" hidden="false" customHeight="true" outlineLevel="1" collapsed="false">
      <c r="B514" s="78"/>
      <c r="C514" s="80" t="s">
        <v>1482</v>
      </c>
      <c r="D514" s="80" t="s">
        <v>760</v>
      </c>
      <c r="E514" s="81" t="s">
        <v>1474</v>
      </c>
      <c r="F514" s="78" t="s">
        <v>761</v>
      </c>
      <c r="G514" s="88" t="n">
        <v>6</v>
      </c>
      <c r="H514" s="84" t="s">
        <v>61</v>
      </c>
      <c r="I514" s="80" t="s">
        <v>762</v>
      </c>
      <c r="J514" s="80" t="s">
        <v>763</v>
      </c>
      <c r="K514" s="80" t="s">
        <v>764</v>
      </c>
      <c r="L514" s="80" t="s">
        <v>765</v>
      </c>
      <c r="M514" s="80" t="s">
        <v>1483</v>
      </c>
      <c r="N514" s="80" t="s">
        <v>766</v>
      </c>
      <c r="O514" s="85" t="n">
        <v>46153</v>
      </c>
      <c r="P514" s="84"/>
      <c r="Q514" s="84"/>
      <c r="R514" s="87"/>
      <c r="S514" s="87"/>
    </row>
    <row r="515" s="77" customFormat="true" ht="30" hidden="false" customHeight="true" outlineLevel="1" collapsed="false">
      <c r="B515" s="78"/>
      <c r="C515" s="80" t="n">
        <v>502</v>
      </c>
      <c r="D515" s="80" t="s">
        <v>478</v>
      </c>
      <c r="E515" s="81" t="s">
        <v>1474</v>
      </c>
      <c r="F515" s="78" t="s">
        <v>479</v>
      </c>
      <c r="G515" s="88" t="n">
        <v>1</v>
      </c>
      <c r="H515" s="84" t="s">
        <v>111</v>
      </c>
      <c r="I515" s="80" t="s">
        <v>480</v>
      </c>
      <c r="J515" s="80" t="s">
        <v>481</v>
      </c>
      <c r="K515" s="80" t="s">
        <v>482</v>
      </c>
      <c r="L515" s="80" t="s">
        <v>483</v>
      </c>
      <c r="M515" s="80" t="s">
        <v>634</v>
      </c>
      <c r="N515" s="80" t="s">
        <v>485</v>
      </c>
      <c r="O515" s="85" t="n">
        <v>46153</v>
      </c>
      <c r="P515" s="84"/>
      <c r="Q515" s="84"/>
      <c r="R515" s="87"/>
      <c r="S515" s="87"/>
    </row>
    <row r="516" s="77" customFormat="true" ht="15" hidden="false" customHeight="false" outlineLevel="1" collapsed="false">
      <c r="B516" s="78"/>
      <c r="C516" s="80" t="n">
        <v>503</v>
      </c>
      <c r="D516" s="80" t="s">
        <v>486</v>
      </c>
      <c r="E516" s="81" t="s">
        <v>1474</v>
      </c>
      <c r="F516" s="78" t="s">
        <v>487</v>
      </c>
      <c r="G516" s="88" t="n">
        <v>1</v>
      </c>
      <c r="H516" s="84" t="s">
        <v>152</v>
      </c>
      <c r="I516" s="80" t="s">
        <v>488</v>
      </c>
      <c r="J516" s="80" t="s">
        <v>489</v>
      </c>
      <c r="K516" s="80" t="s">
        <v>490</v>
      </c>
      <c r="L516" s="80" t="s">
        <v>491</v>
      </c>
      <c r="M516" s="80" t="s">
        <v>492</v>
      </c>
      <c r="N516" s="80" t="s">
        <v>493</v>
      </c>
      <c r="O516" s="85" t="n">
        <v>46153</v>
      </c>
      <c r="P516" s="84"/>
      <c r="Q516" s="84"/>
      <c r="R516" s="87"/>
      <c r="S516" s="87"/>
    </row>
    <row r="517" s="77" customFormat="true" ht="15" hidden="false" customHeight="false" outlineLevel="1" collapsed="false">
      <c r="B517" s="78"/>
      <c r="C517" s="80" t="n">
        <v>504</v>
      </c>
      <c r="D517" s="80" t="s">
        <v>494</v>
      </c>
      <c r="E517" s="81" t="s">
        <v>1474</v>
      </c>
      <c r="F517" s="78" t="s">
        <v>495</v>
      </c>
      <c r="G517" s="88" t="n">
        <v>1</v>
      </c>
      <c r="H517" s="84" t="s">
        <v>61</v>
      </c>
      <c r="I517" s="80" t="s">
        <v>496</v>
      </c>
      <c r="J517" s="80" t="s">
        <v>497</v>
      </c>
      <c r="K517" s="80" t="s">
        <v>498</v>
      </c>
      <c r="L517" s="80" t="s">
        <v>499</v>
      </c>
      <c r="M517" s="80" t="s">
        <v>500</v>
      </c>
      <c r="N517" s="80" t="s">
        <v>501</v>
      </c>
      <c r="O517" s="85" t="n">
        <v>46153</v>
      </c>
      <c r="P517" s="84"/>
      <c r="Q517" s="84"/>
      <c r="R517" s="87"/>
      <c r="S517" s="87"/>
    </row>
    <row r="518" s="77" customFormat="true" ht="15" hidden="false" customHeight="false" outlineLevel="1" collapsed="false">
      <c r="B518" s="78"/>
      <c r="C518" s="80" t="n">
        <v>505</v>
      </c>
      <c r="D518" s="80" t="s">
        <v>644</v>
      </c>
      <c r="E518" s="81" t="s">
        <v>1474</v>
      </c>
      <c r="F518" s="78" t="s">
        <v>645</v>
      </c>
      <c r="G518" s="88" t="n">
        <v>2</v>
      </c>
      <c r="H518" s="84" t="s">
        <v>61</v>
      </c>
      <c r="I518" s="80" t="s">
        <v>646</v>
      </c>
      <c r="J518" s="80" t="s">
        <v>647</v>
      </c>
      <c r="K518" s="80" t="s">
        <v>648</v>
      </c>
      <c r="L518" s="80" t="s">
        <v>649</v>
      </c>
      <c r="M518" s="80" t="s">
        <v>650</v>
      </c>
      <c r="N518" s="80"/>
      <c r="O518" s="85" t="n">
        <v>46153</v>
      </c>
      <c r="P518" s="84"/>
      <c r="Q518" s="84"/>
      <c r="R518" s="87"/>
      <c r="S518" s="87"/>
    </row>
    <row r="519" s="68" customFormat="true" ht="30" hidden="false" customHeight="true" outlineLevel="0" collapsed="false">
      <c r="B519" s="69"/>
      <c r="C519" s="69"/>
      <c r="D519" s="69"/>
      <c r="E519" s="72" t="s">
        <v>1259</v>
      </c>
      <c r="F519" s="72"/>
      <c r="G519" s="119" t="n">
        <f aca="false">SUM(G520:G559)</f>
        <v>57</v>
      </c>
      <c r="H519" s="89"/>
      <c r="I519" s="123"/>
      <c r="J519" s="124"/>
      <c r="K519" s="125"/>
      <c r="L519" s="69"/>
      <c r="M519" s="69"/>
      <c r="N519" s="90"/>
      <c r="O519" s="89"/>
      <c r="P519" s="76"/>
      <c r="Q519" s="76"/>
      <c r="R519" s="90"/>
      <c r="S519" s="74"/>
    </row>
    <row r="520" s="77" customFormat="true" ht="25.5" hidden="false" customHeight="true" outlineLevel="1" collapsed="false">
      <c r="B520" s="78"/>
      <c r="C520" s="80" t="n">
        <v>506</v>
      </c>
      <c r="D520" s="80" t="s">
        <v>43</v>
      </c>
      <c r="E520" s="81" t="s">
        <v>1259</v>
      </c>
      <c r="F520" s="78" t="s">
        <v>44</v>
      </c>
      <c r="G520" s="88" t="n">
        <v>2</v>
      </c>
      <c r="H520" s="84" t="s">
        <v>24</v>
      </c>
      <c r="I520" s="80" t="s">
        <v>45</v>
      </c>
      <c r="J520" s="80" t="s">
        <v>46</v>
      </c>
      <c r="K520" s="80" t="s">
        <v>47</v>
      </c>
      <c r="L520" s="80" t="s">
        <v>48</v>
      </c>
      <c r="M520" s="80" t="s">
        <v>49</v>
      </c>
      <c r="N520" s="80" t="s">
        <v>50</v>
      </c>
      <c r="O520" s="101" t="n">
        <v>46125</v>
      </c>
      <c r="P520" s="84"/>
      <c r="Q520" s="84"/>
      <c r="R520" s="87"/>
      <c r="S520" s="87"/>
    </row>
    <row r="521" s="77" customFormat="true" ht="25.5" hidden="false" customHeight="true" outlineLevel="1" collapsed="false">
      <c r="B521" s="78"/>
      <c r="C521" s="80" t="n">
        <v>507</v>
      </c>
      <c r="D521" s="80" t="s">
        <v>782</v>
      </c>
      <c r="E521" s="81" t="s">
        <v>1259</v>
      </c>
      <c r="F521" s="78" t="s">
        <v>783</v>
      </c>
      <c r="G521" s="88" t="n">
        <v>1</v>
      </c>
      <c r="H521" s="84" t="s">
        <v>784</v>
      </c>
      <c r="I521" s="80" t="s">
        <v>785</v>
      </c>
      <c r="J521" s="80" t="s">
        <v>786</v>
      </c>
      <c r="K521" s="80" t="s">
        <v>787</v>
      </c>
      <c r="L521" s="80" t="s">
        <v>788</v>
      </c>
      <c r="M521" s="80" t="s">
        <v>789</v>
      </c>
      <c r="N521" s="80" t="s">
        <v>790</v>
      </c>
      <c r="O521" s="101" t="n">
        <v>46125</v>
      </c>
      <c r="P521" s="84"/>
      <c r="Q521" s="84"/>
      <c r="R521" s="87"/>
      <c r="S521" s="87"/>
    </row>
    <row r="522" s="77" customFormat="true" ht="25.5" hidden="false" customHeight="true" outlineLevel="1" collapsed="false">
      <c r="B522" s="78"/>
      <c r="C522" s="80" t="n">
        <v>508</v>
      </c>
      <c r="D522" s="80" t="s">
        <v>59</v>
      </c>
      <c r="E522" s="81" t="s">
        <v>1259</v>
      </c>
      <c r="F522" s="78" t="s">
        <v>60</v>
      </c>
      <c r="G522" s="88" t="n">
        <v>8</v>
      </c>
      <c r="H522" s="84" t="s">
        <v>61</v>
      </c>
      <c r="I522" s="80" t="s">
        <v>62</v>
      </c>
      <c r="J522" s="80" t="s">
        <v>63</v>
      </c>
      <c r="K522" s="80" t="s">
        <v>64</v>
      </c>
      <c r="L522" s="80" t="s">
        <v>65</v>
      </c>
      <c r="M522" s="80" t="s">
        <v>66</v>
      </c>
      <c r="N522" s="80" t="s">
        <v>67</v>
      </c>
      <c r="O522" s="101" t="n">
        <v>46125</v>
      </c>
      <c r="P522" s="84"/>
      <c r="Q522" s="84"/>
      <c r="R522" s="87"/>
      <c r="S522" s="87"/>
    </row>
    <row r="523" s="77" customFormat="true" ht="25.5" hidden="false" customHeight="true" outlineLevel="1" collapsed="false">
      <c r="B523" s="78"/>
      <c r="C523" s="80" t="n">
        <v>509</v>
      </c>
      <c r="D523" s="80" t="s">
        <v>109</v>
      </c>
      <c r="E523" s="81" t="s">
        <v>1259</v>
      </c>
      <c r="F523" s="78" t="s">
        <v>110</v>
      </c>
      <c r="G523" s="88" t="n">
        <v>1</v>
      </c>
      <c r="H523" s="84" t="s">
        <v>111</v>
      </c>
      <c r="I523" s="80" t="s">
        <v>112</v>
      </c>
      <c r="J523" s="80" t="s">
        <v>113</v>
      </c>
      <c r="K523" s="80" t="s">
        <v>114</v>
      </c>
      <c r="L523" s="80" t="s">
        <v>115</v>
      </c>
      <c r="M523" s="80" t="s">
        <v>115</v>
      </c>
      <c r="N523" s="80" t="s">
        <v>116</v>
      </c>
      <c r="O523" s="101" t="n">
        <v>46125</v>
      </c>
      <c r="P523" s="84"/>
      <c r="Q523" s="84"/>
      <c r="R523" s="87"/>
      <c r="S523" s="87"/>
    </row>
    <row r="524" s="77" customFormat="true" ht="25.5" hidden="false" customHeight="true" outlineLevel="1" collapsed="false">
      <c r="B524" s="78"/>
      <c r="C524" s="80" t="n">
        <v>510</v>
      </c>
      <c r="D524" s="80" t="s">
        <v>125</v>
      </c>
      <c r="E524" s="81" t="s">
        <v>1259</v>
      </c>
      <c r="F524" s="78" t="s">
        <v>126</v>
      </c>
      <c r="G524" s="88" t="n">
        <v>1</v>
      </c>
      <c r="H524" s="84" t="s">
        <v>127</v>
      </c>
      <c r="I524" s="80" t="s">
        <v>128</v>
      </c>
      <c r="J524" s="80" t="s">
        <v>129</v>
      </c>
      <c r="K524" s="80" t="s">
        <v>130</v>
      </c>
      <c r="L524" s="80" t="s">
        <v>131</v>
      </c>
      <c r="M524" s="80" t="s">
        <v>132</v>
      </c>
      <c r="N524" s="80" t="s">
        <v>133</v>
      </c>
      <c r="O524" s="101" t="n">
        <v>46125</v>
      </c>
      <c r="P524" s="84"/>
      <c r="Q524" s="84"/>
      <c r="R524" s="87"/>
      <c r="S524" s="87"/>
    </row>
    <row r="525" s="77" customFormat="true" ht="25.5" hidden="false" customHeight="true" outlineLevel="1" collapsed="false">
      <c r="B525" s="78"/>
      <c r="C525" s="80" t="n">
        <v>511</v>
      </c>
      <c r="D525" s="80" t="s">
        <v>134</v>
      </c>
      <c r="E525" s="81" t="s">
        <v>1259</v>
      </c>
      <c r="F525" s="78" t="s">
        <v>135</v>
      </c>
      <c r="G525" s="88" t="n">
        <v>1</v>
      </c>
      <c r="H525" s="84" t="s">
        <v>24</v>
      </c>
      <c r="I525" s="80" t="s">
        <v>136</v>
      </c>
      <c r="J525" s="80" t="s">
        <v>137</v>
      </c>
      <c r="K525" s="80" t="s">
        <v>138</v>
      </c>
      <c r="L525" s="80" t="s">
        <v>139</v>
      </c>
      <c r="M525" s="80" t="s">
        <v>140</v>
      </c>
      <c r="N525" s="80" t="s">
        <v>141</v>
      </c>
      <c r="O525" s="101" t="n">
        <v>46125</v>
      </c>
      <c r="P525" s="84"/>
      <c r="Q525" s="84"/>
      <c r="R525" s="87"/>
      <c r="S525" s="87"/>
    </row>
    <row r="526" s="77" customFormat="true" ht="25.5" hidden="false" customHeight="true" outlineLevel="1" collapsed="false">
      <c r="B526" s="78"/>
      <c r="C526" s="80" t="n">
        <v>512</v>
      </c>
      <c r="D526" s="80" t="s">
        <v>554</v>
      </c>
      <c r="E526" s="81" t="s">
        <v>1259</v>
      </c>
      <c r="F526" s="78" t="s">
        <v>555</v>
      </c>
      <c r="G526" s="88" t="n">
        <v>1</v>
      </c>
      <c r="H526" s="84" t="s">
        <v>61</v>
      </c>
      <c r="I526" s="80" t="s">
        <v>556</v>
      </c>
      <c r="J526" s="80" t="s">
        <v>557</v>
      </c>
      <c r="K526" s="80" t="s">
        <v>558</v>
      </c>
      <c r="L526" s="80" t="s">
        <v>559</v>
      </c>
      <c r="M526" s="80" t="s">
        <v>560</v>
      </c>
      <c r="N526" s="80" t="s">
        <v>561</v>
      </c>
      <c r="O526" s="101" t="n">
        <v>46125</v>
      </c>
      <c r="P526" s="84"/>
      <c r="Q526" s="84"/>
      <c r="R526" s="87"/>
      <c r="S526" s="87"/>
    </row>
    <row r="527" s="77" customFormat="true" ht="25.5" hidden="false" customHeight="true" outlineLevel="1" collapsed="false">
      <c r="B527" s="78"/>
      <c r="C527" s="80" t="n">
        <v>513</v>
      </c>
      <c r="D527" s="80" t="s">
        <v>142</v>
      </c>
      <c r="E527" s="81" t="s">
        <v>1259</v>
      </c>
      <c r="F527" s="78" t="s">
        <v>143</v>
      </c>
      <c r="G527" s="88" t="n">
        <v>1</v>
      </c>
      <c r="H527" s="84" t="s">
        <v>61</v>
      </c>
      <c r="I527" s="80" t="s">
        <v>144</v>
      </c>
      <c r="J527" s="80" t="s">
        <v>145</v>
      </c>
      <c r="K527" s="80" t="s">
        <v>146</v>
      </c>
      <c r="L527" s="80" t="s">
        <v>147</v>
      </c>
      <c r="M527" s="80" t="s">
        <v>148</v>
      </c>
      <c r="N527" s="80" t="s">
        <v>149</v>
      </c>
      <c r="O527" s="101" t="n">
        <v>46125</v>
      </c>
      <c r="P527" s="84"/>
      <c r="Q527" s="84"/>
      <c r="R527" s="87"/>
      <c r="S527" s="87"/>
    </row>
    <row r="528" s="77" customFormat="true" ht="25.5" hidden="false" customHeight="true" outlineLevel="1" collapsed="false">
      <c r="B528" s="78"/>
      <c r="C528" s="80" t="n">
        <v>514</v>
      </c>
      <c r="D528" s="80" t="s">
        <v>159</v>
      </c>
      <c r="E528" s="81" t="s">
        <v>1259</v>
      </c>
      <c r="F528" s="78" t="s">
        <v>160</v>
      </c>
      <c r="G528" s="88" t="n">
        <v>1</v>
      </c>
      <c r="H528" s="84" t="s">
        <v>61</v>
      </c>
      <c r="I528" s="80" t="s">
        <v>161</v>
      </c>
      <c r="J528" s="80" t="s">
        <v>162</v>
      </c>
      <c r="K528" s="80" t="s">
        <v>163</v>
      </c>
      <c r="L528" s="80" t="s">
        <v>164</v>
      </c>
      <c r="M528" s="80" t="s">
        <v>164</v>
      </c>
      <c r="N528" s="80" t="s">
        <v>165</v>
      </c>
      <c r="O528" s="101" t="n">
        <v>46125</v>
      </c>
      <c r="P528" s="84"/>
      <c r="Q528" s="84"/>
      <c r="R528" s="87"/>
      <c r="S528" s="87"/>
    </row>
    <row r="529" s="77" customFormat="true" ht="25.5" hidden="false" customHeight="true" outlineLevel="1" collapsed="false">
      <c r="B529" s="78"/>
      <c r="C529" s="80" t="n">
        <v>515</v>
      </c>
      <c r="D529" s="80" t="s">
        <v>166</v>
      </c>
      <c r="E529" s="81" t="s">
        <v>1259</v>
      </c>
      <c r="F529" s="78" t="s">
        <v>167</v>
      </c>
      <c r="G529" s="88" t="n">
        <v>1</v>
      </c>
      <c r="H529" s="84" t="s">
        <v>61</v>
      </c>
      <c r="I529" s="80" t="s">
        <v>168</v>
      </c>
      <c r="J529" s="80" t="s">
        <v>169</v>
      </c>
      <c r="K529" s="80" t="s">
        <v>170</v>
      </c>
      <c r="L529" s="80" t="s">
        <v>171</v>
      </c>
      <c r="M529" s="80" t="s">
        <v>172</v>
      </c>
      <c r="N529" s="80" t="s">
        <v>173</v>
      </c>
      <c r="O529" s="101" t="n">
        <v>46125</v>
      </c>
      <c r="P529" s="84"/>
      <c r="Q529" s="84"/>
      <c r="R529" s="87"/>
      <c r="S529" s="87"/>
    </row>
    <row r="530" s="77" customFormat="true" ht="25.5" hidden="false" customHeight="true" outlineLevel="1" collapsed="false">
      <c r="B530" s="78"/>
      <c r="C530" s="80" t="n">
        <v>516</v>
      </c>
      <c r="D530" s="80" t="s">
        <v>174</v>
      </c>
      <c r="E530" s="81" t="s">
        <v>1259</v>
      </c>
      <c r="F530" s="78" t="s">
        <v>175</v>
      </c>
      <c r="G530" s="88" t="n">
        <v>1</v>
      </c>
      <c r="H530" s="84" t="s">
        <v>152</v>
      </c>
      <c r="I530" s="80" t="s">
        <v>176</v>
      </c>
      <c r="J530" s="80" t="s">
        <v>177</v>
      </c>
      <c r="K530" s="80" t="s">
        <v>178</v>
      </c>
      <c r="L530" s="80" t="s">
        <v>179</v>
      </c>
      <c r="M530" s="80" t="s">
        <v>180</v>
      </c>
      <c r="N530" s="80" t="s">
        <v>181</v>
      </c>
      <c r="O530" s="101" t="n">
        <v>46125</v>
      </c>
      <c r="P530" s="84"/>
      <c r="Q530" s="84"/>
      <c r="R530" s="87"/>
      <c r="S530" s="87"/>
    </row>
    <row r="531" s="77" customFormat="true" ht="25.5" hidden="false" customHeight="true" outlineLevel="1" collapsed="false">
      <c r="B531" s="78"/>
      <c r="C531" s="80" t="n">
        <v>517</v>
      </c>
      <c r="D531" s="80" t="s">
        <v>667</v>
      </c>
      <c r="E531" s="81" t="s">
        <v>1259</v>
      </c>
      <c r="F531" s="78" t="s">
        <v>668</v>
      </c>
      <c r="G531" s="88" t="n">
        <v>2</v>
      </c>
      <c r="H531" s="84" t="s">
        <v>61</v>
      </c>
      <c r="I531" s="80" t="s">
        <v>669</v>
      </c>
      <c r="J531" s="80" t="s">
        <v>670</v>
      </c>
      <c r="K531" s="93" t="s">
        <v>671</v>
      </c>
      <c r="L531" s="80" t="s">
        <v>672</v>
      </c>
      <c r="M531" s="80" t="s">
        <v>672</v>
      </c>
      <c r="N531" s="80" t="s">
        <v>673</v>
      </c>
      <c r="O531" s="101" t="n">
        <v>46125</v>
      </c>
      <c r="P531" s="84"/>
      <c r="Q531" s="84"/>
      <c r="R531" s="87"/>
      <c r="S531" s="87"/>
    </row>
    <row r="532" s="77" customFormat="true" ht="25.5" hidden="false" customHeight="true" outlineLevel="1" collapsed="false">
      <c r="B532" s="78"/>
      <c r="C532" s="80" t="n">
        <v>518</v>
      </c>
      <c r="D532" s="80" t="s">
        <v>182</v>
      </c>
      <c r="E532" s="81" t="s">
        <v>1259</v>
      </c>
      <c r="F532" s="78" t="s">
        <v>183</v>
      </c>
      <c r="G532" s="88" t="n">
        <v>1</v>
      </c>
      <c r="H532" s="84" t="s">
        <v>111</v>
      </c>
      <c r="I532" s="80" t="s">
        <v>184</v>
      </c>
      <c r="J532" s="80" t="s">
        <v>185</v>
      </c>
      <c r="K532" s="80" t="s">
        <v>186</v>
      </c>
      <c r="L532" s="80" t="s">
        <v>187</v>
      </c>
      <c r="M532" s="80" t="s">
        <v>188</v>
      </c>
      <c r="N532" s="80" t="s">
        <v>189</v>
      </c>
      <c r="O532" s="101" t="n">
        <v>46125</v>
      </c>
      <c r="P532" s="84"/>
      <c r="Q532" s="84"/>
      <c r="R532" s="87"/>
      <c r="S532" s="87"/>
    </row>
    <row r="533" s="77" customFormat="true" ht="25.5" hidden="false" customHeight="true" outlineLevel="1" collapsed="false">
      <c r="B533" s="78"/>
      <c r="C533" s="80" t="n">
        <v>519</v>
      </c>
      <c r="D533" s="80" t="s">
        <v>190</v>
      </c>
      <c r="E533" s="81" t="s">
        <v>1259</v>
      </c>
      <c r="F533" s="78" t="s">
        <v>191</v>
      </c>
      <c r="G533" s="88" t="n">
        <v>1</v>
      </c>
      <c r="H533" s="84" t="s">
        <v>24</v>
      </c>
      <c r="I533" s="80" t="s">
        <v>1272</v>
      </c>
      <c r="J533" s="80" t="s">
        <v>1273</v>
      </c>
      <c r="K533" s="80" t="s">
        <v>1274</v>
      </c>
      <c r="L533" s="80" t="s">
        <v>195</v>
      </c>
      <c r="M533" s="80" t="s">
        <v>1275</v>
      </c>
      <c r="N533" s="80" t="s">
        <v>197</v>
      </c>
      <c r="O533" s="101" t="n">
        <v>46125</v>
      </c>
      <c r="P533" s="84"/>
      <c r="Q533" s="84"/>
      <c r="R533" s="87"/>
      <c r="S533" s="87"/>
    </row>
    <row r="534" s="77" customFormat="true" ht="25.5" hidden="false" customHeight="true" outlineLevel="1" collapsed="false">
      <c r="B534" s="78"/>
      <c r="C534" s="80" t="n">
        <v>520</v>
      </c>
      <c r="D534" s="80" t="s">
        <v>198</v>
      </c>
      <c r="E534" s="81" t="s">
        <v>1259</v>
      </c>
      <c r="F534" s="78" t="s">
        <v>199</v>
      </c>
      <c r="G534" s="88" t="n">
        <v>1</v>
      </c>
      <c r="H534" s="84" t="s">
        <v>200</v>
      </c>
      <c r="I534" s="80" t="s">
        <v>201</v>
      </c>
      <c r="J534" s="80" t="s">
        <v>202</v>
      </c>
      <c r="K534" s="80" t="s">
        <v>203</v>
      </c>
      <c r="L534" s="80" t="s">
        <v>204</v>
      </c>
      <c r="M534" s="80" t="s">
        <v>205</v>
      </c>
      <c r="N534" s="80" t="s">
        <v>206</v>
      </c>
      <c r="O534" s="101" t="n">
        <v>46125</v>
      </c>
      <c r="P534" s="84"/>
      <c r="Q534" s="84"/>
      <c r="R534" s="87"/>
      <c r="S534" s="87"/>
    </row>
    <row r="535" s="77" customFormat="true" ht="25.5" hidden="false" customHeight="true" outlineLevel="1" collapsed="false">
      <c r="B535" s="78"/>
      <c r="C535" s="80" t="n">
        <v>521</v>
      </c>
      <c r="D535" s="80" t="s">
        <v>215</v>
      </c>
      <c r="E535" s="81" t="s">
        <v>1259</v>
      </c>
      <c r="F535" s="78" t="s">
        <v>216</v>
      </c>
      <c r="G535" s="88" t="n">
        <v>1</v>
      </c>
      <c r="H535" s="84" t="s">
        <v>24</v>
      </c>
      <c r="I535" s="80" t="s">
        <v>217</v>
      </c>
      <c r="J535" s="80" t="s">
        <v>218</v>
      </c>
      <c r="K535" s="80" t="s">
        <v>219</v>
      </c>
      <c r="L535" s="80" t="s">
        <v>220</v>
      </c>
      <c r="M535" s="80" t="s">
        <v>221</v>
      </c>
      <c r="N535" s="80" t="s">
        <v>222</v>
      </c>
      <c r="O535" s="101" t="n">
        <v>46125</v>
      </c>
      <c r="P535" s="84"/>
      <c r="Q535" s="84"/>
      <c r="R535" s="87"/>
      <c r="S535" s="87"/>
    </row>
    <row r="536" s="77" customFormat="true" ht="25.5" hidden="false" customHeight="true" outlineLevel="1" collapsed="false">
      <c r="B536" s="78"/>
      <c r="C536" s="80" t="n">
        <v>522</v>
      </c>
      <c r="D536" s="80" t="s">
        <v>223</v>
      </c>
      <c r="E536" s="81" t="s">
        <v>1259</v>
      </c>
      <c r="F536" s="78" t="s">
        <v>224</v>
      </c>
      <c r="G536" s="88" t="n">
        <v>1</v>
      </c>
      <c r="H536" s="84" t="s">
        <v>61</v>
      </c>
      <c r="I536" s="80" t="s">
        <v>225</v>
      </c>
      <c r="J536" s="80" t="s">
        <v>226</v>
      </c>
      <c r="K536" s="80" t="s">
        <v>227</v>
      </c>
      <c r="L536" s="80" t="s">
        <v>228</v>
      </c>
      <c r="M536" s="80" t="s">
        <v>229</v>
      </c>
      <c r="N536" s="80" t="s">
        <v>230</v>
      </c>
      <c r="O536" s="101" t="n">
        <v>46125</v>
      </c>
      <c r="P536" s="84"/>
      <c r="Q536" s="84"/>
      <c r="R536" s="87"/>
      <c r="S536" s="87"/>
    </row>
    <row r="537" s="77" customFormat="true" ht="30" hidden="false" customHeight="true" outlineLevel="1" collapsed="false">
      <c r="B537" s="78"/>
      <c r="C537" s="80" t="n">
        <v>523</v>
      </c>
      <c r="D537" s="80" t="s">
        <v>231</v>
      </c>
      <c r="E537" s="81" t="s">
        <v>1259</v>
      </c>
      <c r="F537" s="78" t="s">
        <v>232</v>
      </c>
      <c r="G537" s="88" t="n">
        <v>2</v>
      </c>
      <c r="H537" s="84" t="s">
        <v>61</v>
      </c>
      <c r="I537" s="80" t="s">
        <v>233</v>
      </c>
      <c r="J537" s="80" t="s">
        <v>234</v>
      </c>
      <c r="K537" s="80" t="s">
        <v>235</v>
      </c>
      <c r="L537" s="80" t="s">
        <v>236</v>
      </c>
      <c r="M537" s="80" t="s">
        <v>891</v>
      </c>
      <c r="N537" s="80" t="s">
        <v>238</v>
      </c>
      <c r="O537" s="101" t="n">
        <v>46125</v>
      </c>
      <c r="P537" s="84"/>
      <c r="Q537" s="84"/>
      <c r="R537" s="87"/>
      <c r="S537" s="87"/>
    </row>
    <row r="538" s="77" customFormat="true" ht="30" hidden="false" customHeight="true" outlineLevel="1" collapsed="false">
      <c r="B538" s="78"/>
      <c r="C538" s="80" t="n">
        <v>524</v>
      </c>
      <c r="D538" s="80" t="s">
        <v>247</v>
      </c>
      <c r="E538" s="81" t="s">
        <v>1259</v>
      </c>
      <c r="F538" s="78" t="s">
        <v>248</v>
      </c>
      <c r="G538" s="88" t="n">
        <v>1</v>
      </c>
      <c r="H538" s="84" t="s">
        <v>61</v>
      </c>
      <c r="I538" s="80" t="s">
        <v>528</v>
      </c>
      <c r="J538" s="80" t="s">
        <v>1066</v>
      </c>
      <c r="K538" s="126" t="s">
        <v>530</v>
      </c>
      <c r="L538" s="80" t="s">
        <v>252</v>
      </c>
      <c r="M538" s="80" t="s">
        <v>531</v>
      </c>
      <c r="N538" s="80" t="s">
        <v>254</v>
      </c>
      <c r="O538" s="101" t="n">
        <v>46125</v>
      </c>
      <c r="P538" s="84"/>
      <c r="Q538" s="84"/>
      <c r="R538" s="87"/>
      <c r="S538" s="87"/>
    </row>
    <row r="539" s="77" customFormat="true" ht="25.5" hidden="false" customHeight="true" outlineLevel="1" collapsed="false">
      <c r="B539" s="78"/>
      <c r="C539" s="80" t="n">
        <v>525</v>
      </c>
      <c r="D539" s="80" t="s">
        <v>263</v>
      </c>
      <c r="E539" s="81" t="s">
        <v>1259</v>
      </c>
      <c r="F539" s="78" t="s">
        <v>264</v>
      </c>
      <c r="G539" s="88" t="n">
        <v>1</v>
      </c>
      <c r="H539" s="84" t="s">
        <v>61</v>
      </c>
      <c r="I539" s="80" t="s">
        <v>265</v>
      </c>
      <c r="J539" s="80" t="s">
        <v>266</v>
      </c>
      <c r="K539" s="80" t="s">
        <v>267</v>
      </c>
      <c r="L539" s="80" t="s">
        <v>252</v>
      </c>
      <c r="M539" s="80" t="s">
        <v>268</v>
      </c>
      <c r="N539" s="80" t="s">
        <v>269</v>
      </c>
      <c r="O539" s="101" t="n">
        <v>46125</v>
      </c>
      <c r="P539" s="84"/>
      <c r="Q539" s="84"/>
      <c r="R539" s="87"/>
      <c r="S539" s="87"/>
    </row>
    <row r="540" s="77" customFormat="true" ht="25.5" hidden="false" customHeight="true" outlineLevel="1" collapsed="false">
      <c r="B540" s="78"/>
      <c r="C540" s="80" t="n">
        <v>526</v>
      </c>
      <c r="D540" s="80" t="s">
        <v>270</v>
      </c>
      <c r="E540" s="81" t="s">
        <v>1259</v>
      </c>
      <c r="F540" s="78" t="s">
        <v>271</v>
      </c>
      <c r="G540" s="88" t="n">
        <v>1</v>
      </c>
      <c r="H540" s="84" t="s">
        <v>61</v>
      </c>
      <c r="I540" s="80" t="s">
        <v>272</v>
      </c>
      <c r="J540" s="80" t="s">
        <v>273</v>
      </c>
      <c r="K540" s="80" t="s">
        <v>274</v>
      </c>
      <c r="L540" s="80" t="s">
        <v>792</v>
      </c>
      <c r="M540" s="80" t="s">
        <v>792</v>
      </c>
      <c r="N540" s="80" t="s">
        <v>277</v>
      </c>
      <c r="O540" s="101" t="n">
        <v>46125</v>
      </c>
      <c r="P540" s="84"/>
      <c r="Q540" s="84"/>
      <c r="R540" s="87"/>
      <c r="S540" s="87"/>
    </row>
    <row r="541" s="77" customFormat="true" ht="25.5" hidden="false" customHeight="true" outlineLevel="1" collapsed="false">
      <c r="B541" s="78"/>
      <c r="C541" s="80" t="n">
        <v>527</v>
      </c>
      <c r="D541" s="80" t="s">
        <v>294</v>
      </c>
      <c r="E541" s="81" t="s">
        <v>1259</v>
      </c>
      <c r="F541" s="78" t="s">
        <v>295</v>
      </c>
      <c r="G541" s="88" t="n">
        <v>2</v>
      </c>
      <c r="H541" s="84" t="s">
        <v>61</v>
      </c>
      <c r="I541" s="80" t="s">
        <v>908</v>
      </c>
      <c r="J541" s="80" t="s">
        <v>909</v>
      </c>
      <c r="K541" s="80" t="s">
        <v>910</v>
      </c>
      <c r="L541" s="80" t="s">
        <v>299</v>
      </c>
      <c r="M541" s="80" t="s">
        <v>300</v>
      </c>
      <c r="N541" s="80" t="s">
        <v>301</v>
      </c>
      <c r="O541" s="101" t="n">
        <v>46125</v>
      </c>
      <c r="P541" s="84"/>
      <c r="Q541" s="84"/>
      <c r="R541" s="87"/>
      <c r="S541" s="87"/>
    </row>
    <row r="542" s="77" customFormat="true" ht="25.5" hidden="false" customHeight="true" outlineLevel="1" collapsed="false">
      <c r="B542" s="78"/>
      <c r="C542" s="80" t="n">
        <v>528</v>
      </c>
      <c r="D542" s="80" t="s">
        <v>310</v>
      </c>
      <c r="E542" s="81" t="s">
        <v>1259</v>
      </c>
      <c r="F542" s="78" t="s">
        <v>311</v>
      </c>
      <c r="G542" s="88" t="n">
        <v>1</v>
      </c>
      <c r="H542" s="84" t="s">
        <v>152</v>
      </c>
      <c r="I542" s="80" t="s">
        <v>312</v>
      </c>
      <c r="J542" s="80" t="s">
        <v>313</v>
      </c>
      <c r="K542" s="80" t="s">
        <v>314</v>
      </c>
      <c r="L542" s="80" t="s">
        <v>315</v>
      </c>
      <c r="M542" s="80" t="s">
        <v>316</v>
      </c>
      <c r="N542" s="80" t="s">
        <v>317</v>
      </c>
      <c r="O542" s="101" t="n">
        <v>46125</v>
      </c>
      <c r="P542" s="84"/>
      <c r="Q542" s="84"/>
      <c r="R542" s="87"/>
      <c r="S542" s="87"/>
    </row>
    <row r="543" s="77" customFormat="true" ht="25.5" hidden="false" customHeight="true" outlineLevel="1" collapsed="false">
      <c r="B543" s="78"/>
      <c r="C543" s="80" t="n">
        <v>529</v>
      </c>
      <c r="D543" s="80" t="s">
        <v>326</v>
      </c>
      <c r="E543" s="81" t="s">
        <v>1259</v>
      </c>
      <c r="F543" s="78" t="s">
        <v>327</v>
      </c>
      <c r="G543" s="88" t="n">
        <v>1</v>
      </c>
      <c r="H543" s="84" t="s">
        <v>152</v>
      </c>
      <c r="I543" s="80" t="s">
        <v>328</v>
      </c>
      <c r="J543" s="80" t="s">
        <v>329</v>
      </c>
      <c r="K543" s="80" t="s">
        <v>330</v>
      </c>
      <c r="L543" s="80" t="s">
        <v>331</v>
      </c>
      <c r="M543" s="80" t="s">
        <v>332</v>
      </c>
      <c r="N543" s="80" t="s">
        <v>333</v>
      </c>
      <c r="O543" s="101" t="n">
        <v>46125</v>
      </c>
      <c r="P543" s="84"/>
      <c r="Q543" s="84"/>
      <c r="R543" s="87"/>
      <c r="S543" s="87"/>
    </row>
    <row r="544" s="77" customFormat="true" ht="25.5" hidden="false" customHeight="true" outlineLevel="1" collapsed="false">
      <c r="B544" s="78"/>
      <c r="C544" s="80" t="n">
        <v>530</v>
      </c>
      <c r="D544" s="80" t="s">
        <v>334</v>
      </c>
      <c r="E544" s="81" t="s">
        <v>1259</v>
      </c>
      <c r="F544" s="78" t="s">
        <v>335</v>
      </c>
      <c r="G544" s="88" t="n">
        <v>2</v>
      </c>
      <c r="H544" s="84" t="s">
        <v>61</v>
      </c>
      <c r="I544" s="80" t="s">
        <v>336</v>
      </c>
      <c r="J544" s="80" t="s">
        <v>337</v>
      </c>
      <c r="K544" s="80" t="s">
        <v>338</v>
      </c>
      <c r="L544" s="80" t="s">
        <v>339</v>
      </c>
      <c r="M544" s="80" t="s">
        <v>543</v>
      </c>
      <c r="N544" s="80" t="s">
        <v>341</v>
      </c>
      <c r="O544" s="101" t="n">
        <v>46125</v>
      </c>
      <c r="P544" s="84"/>
      <c r="Q544" s="84"/>
      <c r="R544" s="87"/>
      <c r="S544" s="87"/>
    </row>
    <row r="545" s="77" customFormat="true" ht="25.5" hidden="false" customHeight="true" outlineLevel="1" collapsed="false">
      <c r="B545" s="78"/>
      <c r="C545" s="80" t="n">
        <v>531</v>
      </c>
      <c r="D545" s="80" t="s">
        <v>350</v>
      </c>
      <c r="E545" s="81" t="s">
        <v>1259</v>
      </c>
      <c r="F545" s="78" t="s">
        <v>351</v>
      </c>
      <c r="G545" s="88" t="n">
        <v>1</v>
      </c>
      <c r="H545" s="84" t="s">
        <v>152</v>
      </c>
      <c r="I545" s="80" t="s">
        <v>352</v>
      </c>
      <c r="J545" s="80" t="s">
        <v>353</v>
      </c>
      <c r="K545" s="80" t="s">
        <v>354</v>
      </c>
      <c r="L545" s="80" t="s">
        <v>355</v>
      </c>
      <c r="M545" s="80" t="s">
        <v>355</v>
      </c>
      <c r="N545" s="80" t="s">
        <v>356</v>
      </c>
      <c r="O545" s="101" t="n">
        <v>46125</v>
      </c>
      <c r="P545" s="84"/>
      <c r="Q545" s="84"/>
      <c r="R545" s="87"/>
      <c r="S545" s="87"/>
    </row>
    <row r="546" s="77" customFormat="true" ht="25.5" hidden="false" customHeight="true" outlineLevel="1" collapsed="false">
      <c r="B546" s="78"/>
      <c r="C546" s="80" t="n">
        <v>532</v>
      </c>
      <c r="D546" s="80" t="s">
        <v>802</v>
      </c>
      <c r="E546" s="81" t="s">
        <v>1259</v>
      </c>
      <c r="F546" s="78" t="s">
        <v>803</v>
      </c>
      <c r="G546" s="88" t="n">
        <v>2</v>
      </c>
      <c r="H546" s="84" t="s">
        <v>804</v>
      </c>
      <c r="I546" s="80" t="s">
        <v>805</v>
      </c>
      <c r="J546" s="80" t="s">
        <v>806</v>
      </c>
      <c r="K546" s="80" t="s">
        <v>807</v>
      </c>
      <c r="L546" s="80" t="s">
        <v>808</v>
      </c>
      <c r="M546" s="80" t="s">
        <v>809</v>
      </c>
      <c r="N546" s="80" t="s">
        <v>810</v>
      </c>
      <c r="O546" s="101" t="n">
        <v>46125</v>
      </c>
      <c r="P546" s="84"/>
      <c r="Q546" s="84"/>
      <c r="R546" s="87"/>
      <c r="S546" s="87"/>
    </row>
    <row r="547" s="77" customFormat="true" ht="25.5" hidden="false" customHeight="true" outlineLevel="1" collapsed="false">
      <c r="B547" s="78"/>
      <c r="C547" s="80" t="n">
        <v>533</v>
      </c>
      <c r="D547" s="80" t="s">
        <v>366</v>
      </c>
      <c r="E547" s="81" t="s">
        <v>1259</v>
      </c>
      <c r="F547" s="78" t="s">
        <v>367</v>
      </c>
      <c r="G547" s="88" t="n">
        <v>2</v>
      </c>
      <c r="H547" s="84" t="s">
        <v>368</v>
      </c>
      <c r="I547" s="80" t="s">
        <v>369</v>
      </c>
      <c r="J547" s="80" t="s">
        <v>370</v>
      </c>
      <c r="K547" s="80" t="s">
        <v>371</v>
      </c>
      <c r="L547" s="80" t="s">
        <v>372</v>
      </c>
      <c r="M547" s="80" t="s">
        <v>373</v>
      </c>
      <c r="N547" s="80" t="s">
        <v>374</v>
      </c>
      <c r="O547" s="101" t="n">
        <v>46125</v>
      </c>
      <c r="P547" s="84"/>
      <c r="Q547" s="84"/>
      <c r="R547" s="87"/>
      <c r="S547" s="87"/>
    </row>
    <row r="548" s="77" customFormat="true" ht="25.5" hidden="false" customHeight="true" outlineLevel="1" collapsed="false">
      <c r="B548" s="78"/>
      <c r="C548" s="80" t="n">
        <v>534</v>
      </c>
      <c r="D548" s="80" t="s">
        <v>604</v>
      </c>
      <c r="E548" s="81" t="s">
        <v>1259</v>
      </c>
      <c r="F548" s="78" t="s">
        <v>605</v>
      </c>
      <c r="G548" s="88" t="n">
        <v>1</v>
      </c>
      <c r="H548" s="84" t="s">
        <v>61</v>
      </c>
      <c r="I548" s="80" t="s">
        <v>606</v>
      </c>
      <c r="J548" s="80" t="s">
        <v>607</v>
      </c>
      <c r="K548" s="80" t="s">
        <v>608</v>
      </c>
      <c r="L548" s="80" t="s">
        <v>252</v>
      </c>
      <c r="M548" s="80" t="s">
        <v>609</v>
      </c>
      <c r="N548" s="80" t="s">
        <v>610</v>
      </c>
      <c r="O548" s="101" t="n">
        <v>46125</v>
      </c>
      <c r="P548" s="84"/>
      <c r="Q548" s="84"/>
      <c r="R548" s="87"/>
      <c r="S548" s="87"/>
    </row>
    <row r="549" s="77" customFormat="true" ht="15" hidden="false" customHeight="false" outlineLevel="1" collapsed="false">
      <c r="B549" s="78"/>
      <c r="C549" s="80" t="n">
        <v>535</v>
      </c>
      <c r="D549" s="80" t="s">
        <v>375</v>
      </c>
      <c r="E549" s="78" t="s">
        <v>1259</v>
      </c>
      <c r="F549" s="78" t="s">
        <v>376</v>
      </c>
      <c r="G549" s="88" t="n">
        <v>1</v>
      </c>
      <c r="H549" s="84" t="s">
        <v>111</v>
      </c>
      <c r="I549" s="80" t="s">
        <v>377</v>
      </c>
      <c r="J549" s="80" t="s">
        <v>378</v>
      </c>
      <c r="K549" s="80" t="s">
        <v>379</v>
      </c>
      <c r="L549" s="80" t="s">
        <v>380</v>
      </c>
      <c r="M549" s="80" t="s">
        <v>381</v>
      </c>
      <c r="N549" s="80" t="s">
        <v>382</v>
      </c>
      <c r="O549" s="101" t="n">
        <v>46125</v>
      </c>
      <c r="P549" s="84"/>
      <c r="Q549" s="84"/>
      <c r="R549" s="87"/>
      <c r="S549" s="87"/>
    </row>
    <row r="550" s="77" customFormat="true" ht="25.5" hidden="false" customHeight="true" outlineLevel="1" collapsed="false">
      <c r="B550" s="78"/>
      <c r="C550" s="80" t="n">
        <v>536</v>
      </c>
      <c r="D550" s="80" t="s">
        <v>383</v>
      </c>
      <c r="E550" s="81" t="s">
        <v>1259</v>
      </c>
      <c r="F550" s="78" t="s">
        <v>384</v>
      </c>
      <c r="G550" s="88" t="n">
        <v>3</v>
      </c>
      <c r="H550" s="84" t="s">
        <v>61</v>
      </c>
      <c r="I550" s="80" t="s">
        <v>385</v>
      </c>
      <c r="J550" s="80" t="s">
        <v>386</v>
      </c>
      <c r="K550" s="80" t="s">
        <v>387</v>
      </c>
      <c r="L550" s="80" t="s">
        <v>388</v>
      </c>
      <c r="M550" s="80" t="s">
        <v>389</v>
      </c>
      <c r="N550" s="80" t="s">
        <v>390</v>
      </c>
      <c r="O550" s="101" t="n">
        <v>46125</v>
      </c>
      <c r="P550" s="84"/>
      <c r="Q550" s="84"/>
      <c r="R550" s="87"/>
      <c r="S550" s="87"/>
    </row>
    <row r="551" s="77" customFormat="true" ht="25.5" hidden="false" customHeight="true" outlineLevel="1" collapsed="false">
      <c r="B551" s="78"/>
      <c r="C551" s="80" t="n">
        <v>537</v>
      </c>
      <c r="D551" s="80" t="s">
        <v>399</v>
      </c>
      <c r="E551" s="81" t="s">
        <v>1259</v>
      </c>
      <c r="F551" s="78" t="s">
        <v>400</v>
      </c>
      <c r="G551" s="88" t="n">
        <v>1</v>
      </c>
      <c r="H551" s="84" t="s">
        <v>152</v>
      </c>
      <c r="I551" s="80" t="s">
        <v>401</v>
      </c>
      <c r="J551" s="80" t="s">
        <v>402</v>
      </c>
      <c r="K551" s="80" t="s">
        <v>403</v>
      </c>
      <c r="L551" s="80" t="s">
        <v>404</v>
      </c>
      <c r="M551" s="80" t="s">
        <v>791</v>
      </c>
      <c r="N551" s="80" t="s">
        <v>406</v>
      </c>
      <c r="O551" s="101" t="n">
        <v>46125</v>
      </c>
      <c r="P551" s="84"/>
      <c r="Q551" s="84"/>
      <c r="R551" s="87"/>
      <c r="S551" s="87"/>
    </row>
    <row r="552" s="77" customFormat="true" ht="25.5" hidden="false" customHeight="true" outlineLevel="1" collapsed="false">
      <c r="B552" s="78"/>
      <c r="C552" s="80" t="n">
        <v>538</v>
      </c>
      <c r="D552" s="80" t="s">
        <v>431</v>
      </c>
      <c r="E552" s="81" t="s">
        <v>1259</v>
      </c>
      <c r="F552" s="78" t="s">
        <v>432</v>
      </c>
      <c r="G552" s="88" t="n">
        <v>1</v>
      </c>
      <c r="H552" s="84" t="s">
        <v>152</v>
      </c>
      <c r="I552" s="80" t="s">
        <v>433</v>
      </c>
      <c r="J552" s="80" t="s">
        <v>434</v>
      </c>
      <c r="K552" s="80" t="s">
        <v>435</v>
      </c>
      <c r="L552" s="80" t="s">
        <v>436</v>
      </c>
      <c r="M552" s="80" t="s">
        <v>437</v>
      </c>
      <c r="N552" s="80" t="s">
        <v>438</v>
      </c>
      <c r="O552" s="101" t="n">
        <v>46125</v>
      </c>
      <c r="P552" s="84"/>
      <c r="Q552" s="84"/>
      <c r="R552" s="87"/>
      <c r="S552" s="87"/>
    </row>
    <row r="553" s="77" customFormat="true" ht="30" hidden="false" customHeight="true" outlineLevel="1" collapsed="false">
      <c r="B553" s="78"/>
      <c r="C553" s="80" t="n">
        <v>539</v>
      </c>
      <c r="D553" s="80" t="s">
        <v>439</v>
      </c>
      <c r="E553" s="81" t="s">
        <v>1259</v>
      </c>
      <c r="F553" s="78" t="s">
        <v>440</v>
      </c>
      <c r="G553" s="88" t="n">
        <v>1</v>
      </c>
      <c r="H553" s="84" t="s">
        <v>152</v>
      </c>
      <c r="I553" s="80" t="s">
        <v>441</v>
      </c>
      <c r="J553" s="80" t="s">
        <v>442</v>
      </c>
      <c r="K553" s="80" t="s">
        <v>443</v>
      </c>
      <c r="L553" s="80" t="s">
        <v>444</v>
      </c>
      <c r="M553" s="80" t="s">
        <v>570</v>
      </c>
      <c r="N553" s="80" t="s">
        <v>446</v>
      </c>
      <c r="O553" s="101" t="n">
        <v>46125</v>
      </c>
      <c r="P553" s="84"/>
      <c r="Q553" s="84"/>
      <c r="R553" s="87"/>
      <c r="S553" s="87"/>
    </row>
    <row r="554" s="77" customFormat="true" ht="25.5" hidden="false" customHeight="true" outlineLevel="1" collapsed="false">
      <c r="B554" s="78"/>
      <c r="C554" s="80" t="n">
        <v>540</v>
      </c>
      <c r="D554" s="80" t="s">
        <v>571</v>
      </c>
      <c r="E554" s="81" t="s">
        <v>1259</v>
      </c>
      <c r="F554" s="78" t="s">
        <v>572</v>
      </c>
      <c r="G554" s="88" t="n">
        <v>2</v>
      </c>
      <c r="H554" s="84" t="s">
        <v>573</v>
      </c>
      <c r="I554" s="80" t="s">
        <v>574</v>
      </c>
      <c r="J554" s="80" t="s">
        <v>575</v>
      </c>
      <c r="K554" s="80" t="s">
        <v>576</v>
      </c>
      <c r="L554" s="80" t="s">
        <v>577</v>
      </c>
      <c r="M554" s="80" t="s">
        <v>578</v>
      </c>
      <c r="N554" s="80" t="s">
        <v>579</v>
      </c>
      <c r="O554" s="101" t="n">
        <v>46125</v>
      </c>
      <c r="P554" s="84"/>
      <c r="Q554" s="84"/>
      <c r="R554" s="87"/>
      <c r="S554" s="87"/>
    </row>
    <row r="555" s="77" customFormat="true" ht="25.5" hidden="false" customHeight="true" outlineLevel="1" collapsed="false">
      <c r="B555" s="78"/>
      <c r="C555" s="80" t="n">
        <v>541</v>
      </c>
      <c r="D555" s="80" t="s">
        <v>588</v>
      </c>
      <c r="E555" s="81" t="s">
        <v>1259</v>
      </c>
      <c r="F555" s="78" t="s">
        <v>589</v>
      </c>
      <c r="G555" s="88" t="n">
        <v>1</v>
      </c>
      <c r="H555" s="84" t="s">
        <v>24</v>
      </c>
      <c r="I555" s="80" t="s">
        <v>590</v>
      </c>
      <c r="J555" s="80" t="s">
        <v>591</v>
      </c>
      <c r="K555" s="80" t="s">
        <v>592</v>
      </c>
      <c r="L555" s="80" t="s">
        <v>593</v>
      </c>
      <c r="M555" s="80" t="s">
        <v>594</v>
      </c>
      <c r="N555" s="80" t="s">
        <v>595</v>
      </c>
      <c r="O555" s="101" t="n">
        <v>46125</v>
      </c>
      <c r="P555" s="84"/>
      <c r="Q555" s="84"/>
      <c r="R555" s="87"/>
      <c r="S555" s="87"/>
    </row>
    <row r="556" s="77" customFormat="true" ht="30" hidden="false" customHeight="true" outlineLevel="1" collapsed="false">
      <c r="B556" s="78"/>
      <c r="C556" s="80" t="n">
        <v>542</v>
      </c>
      <c r="D556" s="80" t="s">
        <v>478</v>
      </c>
      <c r="E556" s="81" t="s">
        <v>1259</v>
      </c>
      <c r="F556" s="78" t="s">
        <v>479</v>
      </c>
      <c r="G556" s="88" t="n">
        <v>1</v>
      </c>
      <c r="H556" s="84" t="s">
        <v>111</v>
      </c>
      <c r="I556" s="80" t="s">
        <v>480</v>
      </c>
      <c r="J556" s="80" t="s">
        <v>481</v>
      </c>
      <c r="K556" s="80" t="s">
        <v>482</v>
      </c>
      <c r="L556" s="80" t="s">
        <v>483</v>
      </c>
      <c r="M556" s="80" t="s">
        <v>634</v>
      </c>
      <c r="N556" s="80" t="s">
        <v>485</v>
      </c>
      <c r="O556" s="101" t="n">
        <v>46125</v>
      </c>
      <c r="P556" s="84"/>
      <c r="Q556" s="84"/>
      <c r="R556" s="87"/>
      <c r="S556" s="87"/>
    </row>
    <row r="557" s="77" customFormat="true" ht="25.5" hidden="false" customHeight="true" outlineLevel="1" collapsed="false">
      <c r="B557" s="78"/>
      <c r="C557" s="80" t="n">
        <v>543</v>
      </c>
      <c r="D557" s="80" t="s">
        <v>494</v>
      </c>
      <c r="E557" s="81" t="s">
        <v>1259</v>
      </c>
      <c r="F557" s="78" t="s">
        <v>495</v>
      </c>
      <c r="G557" s="88" t="n">
        <v>1</v>
      </c>
      <c r="H557" s="84" t="s">
        <v>61</v>
      </c>
      <c r="I557" s="80" t="s">
        <v>496</v>
      </c>
      <c r="J557" s="80" t="s">
        <v>497</v>
      </c>
      <c r="K557" s="80" t="s">
        <v>498</v>
      </c>
      <c r="L557" s="80" t="s">
        <v>499</v>
      </c>
      <c r="M557" s="80" t="s">
        <v>500</v>
      </c>
      <c r="N557" s="80" t="s">
        <v>501</v>
      </c>
      <c r="O557" s="101" t="n">
        <v>46125</v>
      </c>
      <c r="P557" s="84"/>
      <c r="Q557" s="84"/>
      <c r="R557" s="87"/>
      <c r="S557" s="87"/>
    </row>
    <row r="558" s="77" customFormat="true" ht="25.5" hidden="false" customHeight="true" outlineLevel="1" collapsed="false">
      <c r="B558" s="78"/>
      <c r="C558" s="80" t="n">
        <v>544</v>
      </c>
      <c r="D558" s="80" t="s">
        <v>502</v>
      </c>
      <c r="E558" s="81" t="s">
        <v>1259</v>
      </c>
      <c r="F558" s="78" t="s">
        <v>503</v>
      </c>
      <c r="G558" s="88" t="n">
        <v>1</v>
      </c>
      <c r="H558" s="84" t="s">
        <v>61</v>
      </c>
      <c r="I558" s="80" t="s">
        <v>504</v>
      </c>
      <c r="J558" s="80" t="s">
        <v>505</v>
      </c>
      <c r="K558" s="80" t="s">
        <v>506</v>
      </c>
      <c r="L558" s="80" t="s">
        <v>283</v>
      </c>
      <c r="M558" s="80" t="s">
        <v>284</v>
      </c>
      <c r="N558" s="80" t="s">
        <v>507</v>
      </c>
      <c r="O558" s="101" t="n">
        <v>46125</v>
      </c>
      <c r="P558" s="84"/>
      <c r="Q558" s="84"/>
      <c r="R558" s="87"/>
      <c r="S558" s="87"/>
    </row>
    <row r="559" s="77" customFormat="true" ht="25.5" hidden="false" customHeight="true" outlineLevel="1" collapsed="false">
      <c r="B559" s="78"/>
      <c r="C559" s="80" t="n">
        <v>545</v>
      </c>
      <c r="D559" s="80" t="s">
        <v>508</v>
      </c>
      <c r="E559" s="81" t="s">
        <v>1259</v>
      </c>
      <c r="F559" s="78" t="s">
        <v>509</v>
      </c>
      <c r="G559" s="88" t="n">
        <v>1</v>
      </c>
      <c r="H559" s="84" t="s">
        <v>61</v>
      </c>
      <c r="I559" s="80" t="s">
        <v>510</v>
      </c>
      <c r="J559" s="80" t="s">
        <v>511</v>
      </c>
      <c r="K559" s="80" t="s">
        <v>512</v>
      </c>
      <c r="L559" s="80" t="s">
        <v>513</v>
      </c>
      <c r="M559" s="80" t="s">
        <v>514</v>
      </c>
      <c r="N559" s="80" t="s">
        <v>515</v>
      </c>
      <c r="O559" s="101" t="n">
        <v>46125</v>
      </c>
      <c r="P559" s="84"/>
      <c r="Q559" s="84"/>
      <c r="R559" s="87"/>
      <c r="S559" s="87"/>
    </row>
    <row r="560" s="68" customFormat="true" ht="15" hidden="false" customHeight="false" outlineLevel="0" collapsed="false">
      <c r="B560" s="69"/>
      <c r="C560" s="69"/>
      <c r="D560" s="69"/>
      <c r="E560" s="72" t="s">
        <v>1225</v>
      </c>
      <c r="F560" s="72"/>
      <c r="G560" s="119" t="n">
        <f aca="false">SUM(G561:G595)</f>
        <v>54</v>
      </c>
      <c r="H560" s="89"/>
      <c r="I560" s="123"/>
      <c r="J560" s="124"/>
      <c r="K560" s="125"/>
      <c r="L560" s="69"/>
      <c r="M560" s="69"/>
      <c r="N560" s="90"/>
      <c r="O560" s="89"/>
      <c r="P560" s="76"/>
      <c r="Q560" s="76"/>
      <c r="R560" s="90"/>
      <c r="S560" s="74"/>
    </row>
    <row r="561" s="77" customFormat="true" ht="15" hidden="false" customHeight="false" outlineLevel="1" collapsed="false">
      <c r="B561" s="78"/>
      <c r="C561" s="80" t="n">
        <v>546</v>
      </c>
      <c r="D561" s="80" t="s">
        <v>811</v>
      </c>
      <c r="E561" s="81" t="s">
        <v>1225</v>
      </c>
      <c r="F561" s="78" t="s">
        <v>812</v>
      </c>
      <c r="G561" s="88" t="n">
        <v>2</v>
      </c>
      <c r="H561" s="84" t="s">
        <v>813</v>
      </c>
      <c r="I561" s="80" t="s">
        <v>814</v>
      </c>
      <c r="J561" s="80" t="s">
        <v>815</v>
      </c>
      <c r="K561" s="80" t="s">
        <v>816</v>
      </c>
      <c r="L561" s="80" t="s">
        <v>817</v>
      </c>
      <c r="M561" s="80" t="s">
        <v>1149</v>
      </c>
      <c r="N561" s="80" t="s">
        <v>819</v>
      </c>
      <c r="O561" s="85" t="n">
        <v>46125</v>
      </c>
      <c r="P561" s="84"/>
      <c r="Q561" s="84"/>
      <c r="R561" s="87"/>
      <c r="S561" s="87"/>
    </row>
    <row r="562" s="77" customFormat="true" ht="15" hidden="false" customHeight="false" outlineLevel="1" collapsed="false">
      <c r="B562" s="78"/>
      <c r="C562" s="80" t="n">
        <v>547</v>
      </c>
      <c r="D562" s="80" t="s">
        <v>43</v>
      </c>
      <c r="E562" s="81" t="s">
        <v>1225</v>
      </c>
      <c r="F562" s="78" t="s">
        <v>44</v>
      </c>
      <c r="G562" s="88" t="n">
        <v>2</v>
      </c>
      <c r="H562" s="84" t="s">
        <v>24</v>
      </c>
      <c r="I562" s="80" t="s">
        <v>45</v>
      </c>
      <c r="J562" s="80" t="s">
        <v>46</v>
      </c>
      <c r="K562" s="80" t="s">
        <v>47</v>
      </c>
      <c r="L562" s="80" t="s">
        <v>48</v>
      </c>
      <c r="M562" s="80" t="s">
        <v>49</v>
      </c>
      <c r="N562" s="80" t="s">
        <v>50</v>
      </c>
      <c r="O562" s="85" t="n">
        <v>46125</v>
      </c>
      <c r="P562" s="84"/>
      <c r="Q562" s="84"/>
      <c r="R562" s="87"/>
      <c r="S562" s="87"/>
    </row>
    <row r="563" s="77" customFormat="true" ht="15" hidden="false" customHeight="false" outlineLevel="1" collapsed="false">
      <c r="B563" s="78"/>
      <c r="C563" s="80" t="n">
        <v>548</v>
      </c>
      <c r="D563" s="80" t="s">
        <v>51</v>
      </c>
      <c r="E563" s="81" t="s">
        <v>1225</v>
      </c>
      <c r="F563" s="78" t="s">
        <v>52</v>
      </c>
      <c r="G563" s="88" t="n">
        <v>6</v>
      </c>
      <c r="H563" s="84" t="s">
        <v>24</v>
      </c>
      <c r="I563" s="80" t="s">
        <v>53</v>
      </c>
      <c r="J563" s="80" t="s">
        <v>54</v>
      </c>
      <c r="K563" s="80" t="s">
        <v>55</v>
      </c>
      <c r="L563" s="80" t="s">
        <v>56</v>
      </c>
      <c r="M563" s="80" t="s">
        <v>57</v>
      </c>
      <c r="N563" s="80" t="s">
        <v>58</v>
      </c>
      <c r="O563" s="85" t="n">
        <v>46125</v>
      </c>
      <c r="P563" s="84"/>
      <c r="Q563" s="84"/>
      <c r="R563" s="87"/>
      <c r="S563" s="87"/>
    </row>
    <row r="564" s="77" customFormat="true" ht="15" hidden="false" customHeight="false" outlineLevel="1" collapsed="false">
      <c r="B564" s="78"/>
      <c r="C564" s="80" t="n">
        <v>549</v>
      </c>
      <c r="D564" s="80" t="s">
        <v>782</v>
      </c>
      <c r="E564" s="81" t="s">
        <v>1225</v>
      </c>
      <c r="F564" s="78" t="s">
        <v>783</v>
      </c>
      <c r="G564" s="88" t="n">
        <v>1</v>
      </c>
      <c r="H564" s="84" t="s">
        <v>784</v>
      </c>
      <c r="I564" s="80" t="s">
        <v>785</v>
      </c>
      <c r="J564" s="80" t="s">
        <v>786</v>
      </c>
      <c r="K564" s="80" t="s">
        <v>787</v>
      </c>
      <c r="L564" s="80" t="s">
        <v>788</v>
      </c>
      <c r="M564" s="80" t="s">
        <v>789</v>
      </c>
      <c r="N564" s="80" t="s">
        <v>790</v>
      </c>
      <c r="O564" s="101" t="n">
        <v>46119</v>
      </c>
      <c r="P564" s="84"/>
      <c r="Q564" s="84"/>
      <c r="R564" s="87"/>
      <c r="S564" s="87"/>
    </row>
    <row r="565" s="77" customFormat="true" ht="15" hidden="false" customHeight="false" outlineLevel="1" collapsed="false">
      <c r="B565" s="78"/>
      <c r="C565" s="80" t="n">
        <v>550</v>
      </c>
      <c r="D565" s="80" t="s">
        <v>59</v>
      </c>
      <c r="E565" s="81" t="s">
        <v>1225</v>
      </c>
      <c r="F565" s="78" t="s">
        <v>60</v>
      </c>
      <c r="G565" s="88" t="n">
        <v>4</v>
      </c>
      <c r="H565" s="84" t="s">
        <v>61</v>
      </c>
      <c r="I565" s="80" t="s">
        <v>62</v>
      </c>
      <c r="J565" s="80" t="s">
        <v>63</v>
      </c>
      <c r="K565" s="80" t="s">
        <v>64</v>
      </c>
      <c r="L565" s="80" t="s">
        <v>65</v>
      </c>
      <c r="M565" s="80" t="s">
        <v>66</v>
      </c>
      <c r="N565" s="80" t="s">
        <v>67</v>
      </c>
      <c r="O565" s="101" t="n">
        <v>46119</v>
      </c>
      <c r="P565" s="84"/>
      <c r="Q565" s="84"/>
      <c r="R565" s="87"/>
      <c r="S565" s="87"/>
    </row>
    <row r="566" s="77" customFormat="true" ht="15" hidden="false" customHeight="false" outlineLevel="1" collapsed="false">
      <c r="B566" s="78"/>
      <c r="C566" s="80" t="n">
        <v>551</v>
      </c>
      <c r="D566" s="80" t="s">
        <v>75</v>
      </c>
      <c r="E566" s="81" t="s">
        <v>1225</v>
      </c>
      <c r="F566" s="78" t="s">
        <v>76</v>
      </c>
      <c r="G566" s="88" t="n">
        <v>1</v>
      </c>
      <c r="H566" s="84" t="s">
        <v>77</v>
      </c>
      <c r="I566" s="80" t="s">
        <v>78</v>
      </c>
      <c r="J566" s="80" t="s">
        <v>79</v>
      </c>
      <c r="K566" s="80" t="s">
        <v>80</v>
      </c>
      <c r="L566" s="80" t="s">
        <v>81</v>
      </c>
      <c r="M566" s="80" t="s">
        <v>82</v>
      </c>
      <c r="N566" s="80" t="s">
        <v>83</v>
      </c>
      <c r="O566" s="101" t="n">
        <v>46119</v>
      </c>
      <c r="P566" s="84"/>
      <c r="Q566" s="84"/>
      <c r="R566" s="87"/>
      <c r="S566" s="87"/>
    </row>
    <row r="567" s="77" customFormat="true" ht="15" hidden="false" customHeight="false" outlineLevel="1" collapsed="false">
      <c r="B567" s="78"/>
      <c r="C567" s="80" t="n">
        <v>552</v>
      </c>
      <c r="D567" s="80" t="s">
        <v>117</v>
      </c>
      <c r="E567" s="81" t="s">
        <v>1225</v>
      </c>
      <c r="F567" s="78" t="s">
        <v>118</v>
      </c>
      <c r="G567" s="88" t="n">
        <v>1</v>
      </c>
      <c r="H567" s="84" t="s">
        <v>24</v>
      </c>
      <c r="I567" s="80" t="s">
        <v>119</v>
      </c>
      <c r="J567" s="80" t="s">
        <v>120</v>
      </c>
      <c r="K567" s="80" t="s">
        <v>121</v>
      </c>
      <c r="L567" s="80" t="s">
        <v>122</v>
      </c>
      <c r="M567" s="80" t="s">
        <v>123</v>
      </c>
      <c r="N567" s="80" t="s">
        <v>124</v>
      </c>
      <c r="O567" s="85" t="n">
        <v>46125</v>
      </c>
      <c r="P567" s="84"/>
      <c r="Q567" s="84"/>
      <c r="R567" s="87"/>
      <c r="S567" s="87"/>
    </row>
    <row r="568" s="77" customFormat="true" ht="15" hidden="false" customHeight="false" outlineLevel="1" collapsed="false">
      <c r="B568" s="78"/>
      <c r="C568" s="80" t="n">
        <v>553</v>
      </c>
      <c r="D568" s="80" t="s">
        <v>125</v>
      </c>
      <c r="E568" s="81" t="s">
        <v>1225</v>
      </c>
      <c r="F568" s="78" t="s">
        <v>126</v>
      </c>
      <c r="G568" s="88" t="n">
        <v>1</v>
      </c>
      <c r="H568" s="84" t="s">
        <v>127</v>
      </c>
      <c r="I568" s="80" t="s">
        <v>128</v>
      </c>
      <c r="J568" s="80" t="s">
        <v>129</v>
      </c>
      <c r="K568" s="80" t="s">
        <v>130</v>
      </c>
      <c r="L568" s="80" t="s">
        <v>131</v>
      </c>
      <c r="M568" s="80" t="s">
        <v>132</v>
      </c>
      <c r="N568" s="80" t="s">
        <v>133</v>
      </c>
      <c r="O568" s="101" t="n">
        <v>46119</v>
      </c>
      <c r="P568" s="84"/>
      <c r="Q568" s="84"/>
      <c r="R568" s="87"/>
      <c r="S568" s="87"/>
    </row>
    <row r="569" s="77" customFormat="true" ht="15" hidden="false" customHeight="false" outlineLevel="1" collapsed="false">
      <c r="B569" s="78"/>
      <c r="C569" s="80" t="n">
        <v>554</v>
      </c>
      <c r="D569" s="80" t="s">
        <v>134</v>
      </c>
      <c r="E569" s="81" t="s">
        <v>1225</v>
      </c>
      <c r="F569" s="78" t="s">
        <v>135</v>
      </c>
      <c r="G569" s="88" t="n">
        <v>1</v>
      </c>
      <c r="H569" s="84" t="s">
        <v>24</v>
      </c>
      <c r="I569" s="80" t="s">
        <v>136</v>
      </c>
      <c r="J569" s="80" t="s">
        <v>137</v>
      </c>
      <c r="K569" s="80" t="s">
        <v>138</v>
      </c>
      <c r="L569" s="80" t="s">
        <v>139</v>
      </c>
      <c r="M569" s="80" t="s">
        <v>140</v>
      </c>
      <c r="N569" s="80" t="s">
        <v>141</v>
      </c>
      <c r="O569" s="85" t="n">
        <v>46125</v>
      </c>
      <c r="P569" s="84"/>
      <c r="Q569" s="84"/>
      <c r="R569" s="87"/>
      <c r="S569" s="87"/>
    </row>
    <row r="570" s="77" customFormat="true" ht="15" hidden="false" customHeight="false" outlineLevel="1" collapsed="false">
      <c r="B570" s="78"/>
      <c r="C570" s="80" t="n">
        <v>555</v>
      </c>
      <c r="D570" s="80" t="s">
        <v>554</v>
      </c>
      <c r="E570" s="81" t="s">
        <v>1225</v>
      </c>
      <c r="F570" s="78" t="s">
        <v>555</v>
      </c>
      <c r="G570" s="88" t="n">
        <v>1</v>
      </c>
      <c r="H570" s="84" t="s">
        <v>61</v>
      </c>
      <c r="I570" s="80" t="s">
        <v>556</v>
      </c>
      <c r="J570" s="80" t="s">
        <v>557</v>
      </c>
      <c r="K570" s="80" t="s">
        <v>558</v>
      </c>
      <c r="L570" s="80" t="s">
        <v>559</v>
      </c>
      <c r="M570" s="80" t="s">
        <v>560</v>
      </c>
      <c r="N570" s="80" t="s">
        <v>561</v>
      </c>
      <c r="O570" s="101" t="n">
        <v>46119</v>
      </c>
      <c r="P570" s="84"/>
      <c r="Q570" s="84"/>
      <c r="R570" s="87"/>
      <c r="S570" s="87"/>
    </row>
    <row r="571" s="77" customFormat="true" ht="15" hidden="false" customHeight="false" outlineLevel="1" collapsed="false">
      <c r="B571" s="78"/>
      <c r="C571" s="80" t="n">
        <v>556</v>
      </c>
      <c r="D571" s="80" t="s">
        <v>142</v>
      </c>
      <c r="E571" s="81" t="s">
        <v>1225</v>
      </c>
      <c r="F571" s="78" t="s">
        <v>143</v>
      </c>
      <c r="G571" s="88" t="n">
        <v>1</v>
      </c>
      <c r="H571" s="84" t="s">
        <v>61</v>
      </c>
      <c r="I571" s="80" t="s">
        <v>144</v>
      </c>
      <c r="J571" s="80" t="s">
        <v>145</v>
      </c>
      <c r="K571" s="80" t="s">
        <v>146</v>
      </c>
      <c r="L571" s="80" t="s">
        <v>147</v>
      </c>
      <c r="M571" s="80" t="s">
        <v>148</v>
      </c>
      <c r="N571" s="80" t="s">
        <v>149</v>
      </c>
      <c r="O571" s="101" t="n">
        <v>46119</v>
      </c>
      <c r="P571" s="84"/>
      <c r="Q571" s="84"/>
      <c r="R571" s="87"/>
      <c r="S571" s="87"/>
    </row>
    <row r="572" s="77" customFormat="true" ht="15" hidden="false" customHeight="false" outlineLevel="1" collapsed="false">
      <c r="B572" s="78"/>
      <c r="C572" s="80" t="n">
        <v>557</v>
      </c>
      <c r="D572" s="80" t="s">
        <v>159</v>
      </c>
      <c r="E572" s="81" t="s">
        <v>1225</v>
      </c>
      <c r="F572" s="78" t="s">
        <v>160</v>
      </c>
      <c r="G572" s="88" t="n">
        <v>1</v>
      </c>
      <c r="H572" s="84" t="s">
        <v>61</v>
      </c>
      <c r="I572" s="80" t="s">
        <v>161</v>
      </c>
      <c r="J572" s="80" t="s">
        <v>162</v>
      </c>
      <c r="K572" s="80" t="s">
        <v>163</v>
      </c>
      <c r="L572" s="80" t="s">
        <v>164</v>
      </c>
      <c r="M572" s="80" t="s">
        <v>164</v>
      </c>
      <c r="N572" s="80" t="s">
        <v>165</v>
      </c>
      <c r="O572" s="101" t="n">
        <v>46119</v>
      </c>
      <c r="P572" s="84"/>
      <c r="Q572" s="84"/>
      <c r="R572" s="87"/>
      <c r="S572" s="87"/>
    </row>
    <row r="573" s="77" customFormat="true" ht="15" hidden="false" customHeight="false" outlineLevel="1" collapsed="false">
      <c r="B573" s="78"/>
      <c r="C573" s="80" t="n">
        <v>558</v>
      </c>
      <c r="D573" s="80" t="s">
        <v>166</v>
      </c>
      <c r="E573" s="81" t="s">
        <v>1225</v>
      </c>
      <c r="F573" s="78" t="s">
        <v>167</v>
      </c>
      <c r="G573" s="88" t="n">
        <v>2</v>
      </c>
      <c r="H573" s="84" t="s">
        <v>61</v>
      </c>
      <c r="I573" s="80" t="s">
        <v>168</v>
      </c>
      <c r="J573" s="80" t="s">
        <v>169</v>
      </c>
      <c r="K573" s="80" t="s">
        <v>170</v>
      </c>
      <c r="L573" s="80" t="s">
        <v>171</v>
      </c>
      <c r="M573" s="80" t="s">
        <v>172</v>
      </c>
      <c r="N573" s="80" t="s">
        <v>173</v>
      </c>
      <c r="O573" s="101" t="n">
        <v>46119</v>
      </c>
      <c r="P573" s="84"/>
      <c r="Q573" s="84"/>
      <c r="R573" s="87"/>
      <c r="S573" s="87"/>
    </row>
    <row r="574" s="77" customFormat="true" ht="15" hidden="false" customHeight="false" outlineLevel="1" collapsed="false">
      <c r="B574" s="78"/>
      <c r="C574" s="80" t="n">
        <v>559</v>
      </c>
      <c r="D574" s="80" t="s">
        <v>174</v>
      </c>
      <c r="E574" s="81" t="s">
        <v>1225</v>
      </c>
      <c r="F574" s="78" t="s">
        <v>175</v>
      </c>
      <c r="G574" s="88" t="n">
        <v>1</v>
      </c>
      <c r="H574" s="84" t="s">
        <v>152</v>
      </c>
      <c r="I574" s="80" t="s">
        <v>176</v>
      </c>
      <c r="J574" s="80" t="s">
        <v>177</v>
      </c>
      <c r="K574" s="80" t="s">
        <v>178</v>
      </c>
      <c r="L574" s="80" t="s">
        <v>179</v>
      </c>
      <c r="M574" s="80" t="s">
        <v>180</v>
      </c>
      <c r="N574" s="80" t="s">
        <v>181</v>
      </c>
      <c r="O574" s="101" t="n">
        <v>46119</v>
      </c>
      <c r="P574" s="84"/>
      <c r="Q574" s="84"/>
      <c r="R574" s="87"/>
      <c r="S574" s="87"/>
    </row>
    <row r="575" s="77" customFormat="true" ht="15" hidden="false" customHeight="false" outlineLevel="1" collapsed="false">
      <c r="B575" s="78"/>
      <c r="C575" s="80" t="n">
        <v>560</v>
      </c>
      <c r="D575" s="80" t="s">
        <v>667</v>
      </c>
      <c r="E575" s="81" t="s">
        <v>1225</v>
      </c>
      <c r="F575" s="78" t="s">
        <v>668</v>
      </c>
      <c r="G575" s="88" t="n">
        <v>2</v>
      </c>
      <c r="H575" s="84" t="s">
        <v>61</v>
      </c>
      <c r="I575" s="80" t="s">
        <v>669</v>
      </c>
      <c r="J575" s="80" t="s">
        <v>670</v>
      </c>
      <c r="K575" s="93" t="s">
        <v>671</v>
      </c>
      <c r="L575" s="80" t="s">
        <v>672</v>
      </c>
      <c r="M575" s="80" t="s">
        <v>672</v>
      </c>
      <c r="N575" s="80" t="s">
        <v>673</v>
      </c>
      <c r="O575" s="101" t="n">
        <v>46119</v>
      </c>
      <c r="P575" s="84"/>
      <c r="Q575" s="84"/>
      <c r="R575" s="87"/>
      <c r="S575" s="87"/>
    </row>
    <row r="576" s="77" customFormat="true" ht="15" hidden="false" customHeight="false" outlineLevel="1" collapsed="false">
      <c r="B576" s="78"/>
      <c r="C576" s="80" t="n">
        <v>561</v>
      </c>
      <c r="D576" s="80" t="s">
        <v>198</v>
      </c>
      <c r="E576" s="81" t="s">
        <v>1225</v>
      </c>
      <c r="F576" s="78" t="s">
        <v>199</v>
      </c>
      <c r="G576" s="88" t="n">
        <v>1</v>
      </c>
      <c r="H576" s="84" t="s">
        <v>200</v>
      </c>
      <c r="I576" s="80" t="s">
        <v>201</v>
      </c>
      <c r="J576" s="80" t="s">
        <v>202</v>
      </c>
      <c r="K576" s="80" t="s">
        <v>203</v>
      </c>
      <c r="L576" s="80" t="s">
        <v>204</v>
      </c>
      <c r="M576" s="80" t="s">
        <v>205</v>
      </c>
      <c r="N576" s="80" t="s">
        <v>206</v>
      </c>
      <c r="O576" s="101" t="n">
        <v>46119</v>
      </c>
      <c r="P576" s="84"/>
      <c r="Q576" s="84"/>
      <c r="R576" s="87"/>
      <c r="S576" s="87"/>
    </row>
    <row r="577" s="77" customFormat="true" ht="15" hidden="false" customHeight="false" outlineLevel="1" collapsed="false">
      <c r="B577" s="78"/>
      <c r="C577" s="80" t="n">
        <v>562</v>
      </c>
      <c r="D577" s="80" t="s">
        <v>223</v>
      </c>
      <c r="E577" s="81" t="s">
        <v>1225</v>
      </c>
      <c r="F577" s="78" t="s">
        <v>224</v>
      </c>
      <c r="G577" s="88" t="n">
        <v>1</v>
      </c>
      <c r="H577" s="84" t="s">
        <v>61</v>
      </c>
      <c r="I577" s="80" t="s">
        <v>225</v>
      </c>
      <c r="J577" s="80" t="s">
        <v>226</v>
      </c>
      <c r="K577" s="80" t="s">
        <v>227</v>
      </c>
      <c r="L577" s="80" t="s">
        <v>228</v>
      </c>
      <c r="M577" s="80" t="s">
        <v>229</v>
      </c>
      <c r="N577" s="80" t="s">
        <v>230</v>
      </c>
      <c r="O577" s="101" t="n">
        <v>46119</v>
      </c>
      <c r="P577" s="84"/>
      <c r="Q577" s="84"/>
      <c r="R577" s="87"/>
      <c r="S577" s="87"/>
    </row>
    <row r="578" s="77" customFormat="true" ht="30" hidden="false" customHeight="true" outlineLevel="1" collapsed="false">
      <c r="B578" s="78"/>
      <c r="C578" s="80" t="n">
        <v>563</v>
      </c>
      <c r="D578" s="80" t="s">
        <v>231</v>
      </c>
      <c r="E578" s="81" t="s">
        <v>1225</v>
      </c>
      <c r="F578" s="78" t="s">
        <v>232</v>
      </c>
      <c r="G578" s="88" t="n">
        <v>2</v>
      </c>
      <c r="H578" s="84" t="s">
        <v>61</v>
      </c>
      <c r="I578" s="80" t="s">
        <v>233</v>
      </c>
      <c r="J578" s="80" t="s">
        <v>234</v>
      </c>
      <c r="K578" s="80" t="s">
        <v>235</v>
      </c>
      <c r="L578" s="80" t="s">
        <v>236</v>
      </c>
      <c r="M578" s="80" t="s">
        <v>891</v>
      </c>
      <c r="N578" s="80" t="s">
        <v>238</v>
      </c>
      <c r="O578" s="101" t="n">
        <v>46119</v>
      </c>
      <c r="P578" s="84"/>
      <c r="Q578" s="84"/>
      <c r="R578" s="87"/>
      <c r="S578" s="87"/>
    </row>
    <row r="579" s="77" customFormat="true" ht="30" hidden="false" customHeight="true" outlineLevel="1" collapsed="false">
      <c r="B579" s="78"/>
      <c r="C579" s="80" t="n">
        <v>564</v>
      </c>
      <c r="D579" s="80" t="s">
        <v>247</v>
      </c>
      <c r="E579" s="81" t="s">
        <v>1225</v>
      </c>
      <c r="F579" s="78" t="s">
        <v>248</v>
      </c>
      <c r="G579" s="88" t="n">
        <v>2</v>
      </c>
      <c r="H579" s="84" t="s">
        <v>61</v>
      </c>
      <c r="I579" s="80" t="s">
        <v>528</v>
      </c>
      <c r="J579" s="80" t="s">
        <v>1066</v>
      </c>
      <c r="K579" s="126" t="s">
        <v>530</v>
      </c>
      <c r="L579" s="80" t="s">
        <v>252</v>
      </c>
      <c r="M579" s="80" t="s">
        <v>531</v>
      </c>
      <c r="N579" s="80" t="s">
        <v>254</v>
      </c>
      <c r="O579" s="101" t="n">
        <v>46119</v>
      </c>
      <c r="P579" s="84"/>
      <c r="Q579" s="84"/>
      <c r="R579" s="87"/>
      <c r="S579" s="87"/>
    </row>
    <row r="580" s="77" customFormat="true" ht="15" hidden="false" customHeight="false" outlineLevel="1" collapsed="false">
      <c r="B580" s="78"/>
      <c r="C580" s="80" t="n">
        <v>565</v>
      </c>
      <c r="D580" s="80" t="s">
        <v>263</v>
      </c>
      <c r="E580" s="81" t="s">
        <v>1225</v>
      </c>
      <c r="F580" s="78" t="s">
        <v>264</v>
      </c>
      <c r="G580" s="88" t="n">
        <v>1</v>
      </c>
      <c r="H580" s="84" t="s">
        <v>61</v>
      </c>
      <c r="I580" s="80" t="s">
        <v>265</v>
      </c>
      <c r="J580" s="80" t="s">
        <v>266</v>
      </c>
      <c r="K580" s="80" t="s">
        <v>267</v>
      </c>
      <c r="L580" s="80" t="s">
        <v>252</v>
      </c>
      <c r="M580" s="80" t="s">
        <v>268</v>
      </c>
      <c r="N580" s="80" t="s">
        <v>269</v>
      </c>
      <c r="O580" s="101" t="n">
        <v>46119</v>
      </c>
      <c r="P580" s="84"/>
      <c r="Q580" s="84"/>
      <c r="R580" s="87"/>
      <c r="S580" s="87"/>
    </row>
    <row r="581" s="77" customFormat="true" ht="15" hidden="false" customHeight="false" outlineLevel="1" collapsed="false">
      <c r="B581" s="78"/>
      <c r="C581" s="80" t="n">
        <v>566</v>
      </c>
      <c r="D581" s="80" t="s">
        <v>651</v>
      </c>
      <c r="E581" s="81" t="s">
        <v>1225</v>
      </c>
      <c r="F581" s="78" t="s">
        <v>652</v>
      </c>
      <c r="G581" s="88" t="n">
        <v>1</v>
      </c>
      <c r="H581" s="84" t="s">
        <v>111</v>
      </c>
      <c r="I581" s="80" t="s">
        <v>653</v>
      </c>
      <c r="J581" s="80" t="s">
        <v>654</v>
      </c>
      <c r="K581" s="80" t="s">
        <v>655</v>
      </c>
      <c r="L581" s="80" t="s">
        <v>656</v>
      </c>
      <c r="M581" s="80" t="s">
        <v>657</v>
      </c>
      <c r="N581" s="80" t="s">
        <v>658</v>
      </c>
      <c r="O581" s="101" t="n">
        <v>46119</v>
      </c>
      <c r="P581" s="84"/>
      <c r="Q581" s="84"/>
      <c r="R581" s="87"/>
      <c r="S581" s="87"/>
    </row>
    <row r="582" s="77" customFormat="true" ht="15" hidden="false" customHeight="false" outlineLevel="1" collapsed="false">
      <c r="B582" s="78"/>
      <c r="C582" s="80" t="n">
        <v>567</v>
      </c>
      <c r="D582" s="80" t="s">
        <v>270</v>
      </c>
      <c r="E582" s="81" t="s">
        <v>1225</v>
      </c>
      <c r="F582" s="78" t="s">
        <v>271</v>
      </c>
      <c r="G582" s="88" t="n">
        <v>1</v>
      </c>
      <c r="H582" s="84" t="s">
        <v>61</v>
      </c>
      <c r="I582" s="80" t="s">
        <v>272</v>
      </c>
      <c r="J582" s="80" t="s">
        <v>273</v>
      </c>
      <c r="K582" s="80" t="s">
        <v>274</v>
      </c>
      <c r="L582" s="80" t="s">
        <v>792</v>
      </c>
      <c r="M582" s="80" t="s">
        <v>792</v>
      </c>
      <c r="N582" s="80" t="s">
        <v>277</v>
      </c>
      <c r="O582" s="101" t="n">
        <v>46119</v>
      </c>
      <c r="P582" s="84"/>
      <c r="Q582" s="84"/>
      <c r="R582" s="87"/>
      <c r="S582" s="87"/>
    </row>
    <row r="583" s="77" customFormat="true" ht="15" hidden="false" customHeight="false" outlineLevel="1" collapsed="false">
      <c r="B583" s="78"/>
      <c r="C583" s="80" t="n">
        <v>568</v>
      </c>
      <c r="D583" s="80" t="s">
        <v>294</v>
      </c>
      <c r="E583" s="81" t="s">
        <v>1225</v>
      </c>
      <c r="F583" s="78" t="s">
        <v>295</v>
      </c>
      <c r="G583" s="88" t="n">
        <v>1</v>
      </c>
      <c r="H583" s="84" t="s">
        <v>61</v>
      </c>
      <c r="I583" s="80" t="s">
        <v>908</v>
      </c>
      <c r="J583" s="80" t="s">
        <v>909</v>
      </c>
      <c r="K583" s="80" t="s">
        <v>910</v>
      </c>
      <c r="L583" s="80" t="s">
        <v>299</v>
      </c>
      <c r="M583" s="80" t="s">
        <v>300</v>
      </c>
      <c r="N583" s="80" t="s">
        <v>301</v>
      </c>
      <c r="O583" s="101" t="n">
        <v>46119</v>
      </c>
      <c r="P583" s="84"/>
      <c r="Q583" s="84"/>
      <c r="R583" s="87"/>
      <c r="S583" s="87"/>
    </row>
    <row r="584" s="77" customFormat="true" ht="30" hidden="false" customHeight="true" outlineLevel="1" collapsed="false">
      <c r="B584" s="78"/>
      <c r="C584" s="80" t="s">
        <v>1484</v>
      </c>
      <c r="D584" s="80" t="s">
        <v>302</v>
      </c>
      <c r="E584" s="81" t="s">
        <v>1225</v>
      </c>
      <c r="F584" s="78" t="s">
        <v>303</v>
      </c>
      <c r="G584" s="88" t="n">
        <v>2</v>
      </c>
      <c r="H584" s="84" t="s">
        <v>61</v>
      </c>
      <c r="I584" s="80" t="s">
        <v>304</v>
      </c>
      <c r="J584" s="80" t="s">
        <v>305</v>
      </c>
      <c r="K584" s="80" t="s">
        <v>306</v>
      </c>
      <c r="L584" s="80" t="s">
        <v>307</v>
      </c>
      <c r="M584" s="80" t="s">
        <v>526</v>
      </c>
      <c r="N584" s="80" t="s">
        <v>309</v>
      </c>
      <c r="O584" s="101" t="n">
        <v>46119</v>
      </c>
      <c r="P584" s="84"/>
      <c r="Q584" s="84"/>
      <c r="R584" s="87"/>
      <c r="S584" s="87"/>
    </row>
    <row r="585" s="77" customFormat="true" ht="15" hidden="false" customHeight="false" outlineLevel="1" collapsed="false">
      <c r="B585" s="78"/>
      <c r="C585" s="80" t="n">
        <v>570</v>
      </c>
      <c r="D585" s="80" t="s">
        <v>310</v>
      </c>
      <c r="E585" s="81" t="s">
        <v>1225</v>
      </c>
      <c r="F585" s="78" t="s">
        <v>311</v>
      </c>
      <c r="G585" s="88" t="n">
        <v>1</v>
      </c>
      <c r="H585" s="84" t="s">
        <v>152</v>
      </c>
      <c r="I585" s="80" t="s">
        <v>312</v>
      </c>
      <c r="J585" s="80" t="s">
        <v>313</v>
      </c>
      <c r="K585" s="80" t="s">
        <v>314</v>
      </c>
      <c r="L585" s="80" t="s">
        <v>315</v>
      </c>
      <c r="M585" s="80" t="s">
        <v>316</v>
      </c>
      <c r="N585" s="80" t="s">
        <v>317</v>
      </c>
      <c r="O585" s="101" t="n">
        <v>46119</v>
      </c>
      <c r="P585" s="84"/>
      <c r="Q585" s="84"/>
      <c r="R585" s="87"/>
      <c r="S585" s="87"/>
    </row>
    <row r="586" s="77" customFormat="true" ht="15" hidden="false" customHeight="false" outlineLevel="1" collapsed="false">
      <c r="B586" s="78"/>
      <c r="C586" s="80" t="n">
        <v>571</v>
      </c>
      <c r="D586" s="80" t="s">
        <v>342</v>
      </c>
      <c r="E586" s="81" t="s">
        <v>1225</v>
      </c>
      <c r="F586" s="78" t="s">
        <v>343</v>
      </c>
      <c r="G586" s="88" t="n">
        <v>1</v>
      </c>
      <c r="H586" s="84" t="s">
        <v>24</v>
      </c>
      <c r="I586" s="80" t="s">
        <v>344</v>
      </c>
      <c r="J586" s="80" t="s">
        <v>345</v>
      </c>
      <c r="K586" s="80" t="s">
        <v>346</v>
      </c>
      <c r="L586" s="80" t="s">
        <v>348</v>
      </c>
      <c r="M586" s="80" t="s">
        <v>348</v>
      </c>
      <c r="N586" s="80" t="s">
        <v>349</v>
      </c>
      <c r="O586" s="85" t="n">
        <v>46125</v>
      </c>
      <c r="P586" s="84"/>
      <c r="Q586" s="84"/>
      <c r="R586" s="87"/>
      <c r="S586" s="87"/>
    </row>
    <row r="587" s="77" customFormat="true" ht="15" hidden="false" customHeight="false" outlineLevel="1" collapsed="false">
      <c r="B587" s="78"/>
      <c r="C587" s="80" t="n">
        <v>572</v>
      </c>
      <c r="D587" s="80" t="s">
        <v>350</v>
      </c>
      <c r="E587" s="81" t="s">
        <v>1225</v>
      </c>
      <c r="F587" s="78" t="s">
        <v>351</v>
      </c>
      <c r="G587" s="88" t="n">
        <v>1</v>
      </c>
      <c r="H587" s="84" t="s">
        <v>152</v>
      </c>
      <c r="I587" s="80" t="s">
        <v>352</v>
      </c>
      <c r="J587" s="80" t="s">
        <v>353</v>
      </c>
      <c r="K587" s="80" t="s">
        <v>354</v>
      </c>
      <c r="L587" s="80" t="s">
        <v>355</v>
      </c>
      <c r="M587" s="80" t="s">
        <v>355</v>
      </c>
      <c r="N587" s="80" t="s">
        <v>356</v>
      </c>
      <c r="O587" s="101" t="n">
        <v>46119</v>
      </c>
      <c r="P587" s="84"/>
      <c r="Q587" s="84"/>
      <c r="R587" s="87"/>
      <c r="S587" s="87"/>
    </row>
    <row r="588" s="77" customFormat="true" ht="30" hidden="false" customHeight="true" outlineLevel="1" collapsed="false">
      <c r="B588" s="78"/>
      <c r="C588" s="80" t="s">
        <v>1232</v>
      </c>
      <c r="D588" s="80" t="s">
        <v>802</v>
      </c>
      <c r="E588" s="81" t="s">
        <v>1225</v>
      </c>
      <c r="F588" s="78" t="s">
        <v>803</v>
      </c>
      <c r="G588" s="88" t="n">
        <v>3</v>
      </c>
      <c r="H588" s="84" t="s">
        <v>804</v>
      </c>
      <c r="I588" s="80" t="s">
        <v>874</v>
      </c>
      <c r="J588" s="80" t="s">
        <v>875</v>
      </c>
      <c r="K588" s="80" t="s">
        <v>876</v>
      </c>
      <c r="L588" s="80" t="s">
        <v>808</v>
      </c>
      <c r="M588" s="80" t="s">
        <v>1233</v>
      </c>
      <c r="N588" s="80" t="s">
        <v>810</v>
      </c>
      <c r="O588" s="101" t="n">
        <v>46119</v>
      </c>
      <c r="P588" s="84"/>
      <c r="Q588" s="84"/>
      <c r="R588" s="87"/>
      <c r="S588" s="87"/>
    </row>
    <row r="589" s="77" customFormat="true" ht="15" hidden="false" customHeight="false" outlineLevel="1" collapsed="false">
      <c r="B589" s="78"/>
      <c r="C589" s="80" t="n">
        <v>574</v>
      </c>
      <c r="D589" s="80" t="s">
        <v>375</v>
      </c>
      <c r="E589" s="81" t="s">
        <v>1225</v>
      </c>
      <c r="F589" s="78" t="s">
        <v>376</v>
      </c>
      <c r="G589" s="88" t="n">
        <v>1</v>
      </c>
      <c r="H589" s="84" t="s">
        <v>111</v>
      </c>
      <c r="I589" s="80" t="s">
        <v>1236</v>
      </c>
      <c r="J589" s="80" t="s">
        <v>1237</v>
      </c>
      <c r="K589" s="80" t="s">
        <v>1238</v>
      </c>
      <c r="L589" s="80" t="s">
        <v>380</v>
      </c>
      <c r="M589" s="80" t="s">
        <v>1239</v>
      </c>
      <c r="N589" s="80" t="s">
        <v>382</v>
      </c>
      <c r="O589" s="101" t="n">
        <v>46119</v>
      </c>
      <c r="P589" s="84"/>
      <c r="Q589" s="84"/>
      <c r="R589" s="87"/>
      <c r="S589" s="87"/>
    </row>
    <row r="590" s="77" customFormat="true" ht="15" hidden="false" customHeight="false" outlineLevel="1" collapsed="false">
      <c r="B590" s="78"/>
      <c r="C590" s="80" t="n">
        <v>575</v>
      </c>
      <c r="D590" s="80" t="s">
        <v>383</v>
      </c>
      <c r="E590" s="81" t="s">
        <v>1225</v>
      </c>
      <c r="F590" s="78" t="s">
        <v>384</v>
      </c>
      <c r="G590" s="88" t="n">
        <v>2</v>
      </c>
      <c r="H590" s="84" t="s">
        <v>61</v>
      </c>
      <c r="I590" s="80" t="s">
        <v>385</v>
      </c>
      <c r="J590" s="80" t="s">
        <v>386</v>
      </c>
      <c r="K590" s="80" t="s">
        <v>387</v>
      </c>
      <c r="L590" s="80" t="s">
        <v>388</v>
      </c>
      <c r="M590" s="80" t="s">
        <v>389</v>
      </c>
      <c r="N590" s="80" t="s">
        <v>390</v>
      </c>
      <c r="O590" s="101" t="n">
        <v>46119</v>
      </c>
      <c r="P590" s="84"/>
      <c r="Q590" s="84"/>
      <c r="R590" s="87"/>
      <c r="S590" s="87"/>
    </row>
    <row r="591" s="77" customFormat="true" ht="15" hidden="false" customHeight="false" outlineLevel="1" collapsed="false">
      <c r="B591" s="78"/>
      <c r="C591" s="80" t="n">
        <v>576</v>
      </c>
      <c r="D591" s="80" t="s">
        <v>431</v>
      </c>
      <c r="E591" s="81" t="s">
        <v>1225</v>
      </c>
      <c r="F591" s="78" t="s">
        <v>432</v>
      </c>
      <c r="G591" s="88" t="n">
        <v>1</v>
      </c>
      <c r="H591" s="84" t="s">
        <v>152</v>
      </c>
      <c r="I591" s="80" t="s">
        <v>868</v>
      </c>
      <c r="J591" s="80" t="s">
        <v>869</v>
      </c>
      <c r="K591" s="80" t="s">
        <v>870</v>
      </c>
      <c r="L591" s="80" t="s">
        <v>436</v>
      </c>
      <c r="M591" s="80" t="s">
        <v>436</v>
      </c>
      <c r="N591" s="80" t="s">
        <v>438</v>
      </c>
      <c r="O591" s="101" t="n">
        <v>46119</v>
      </c>
      <c r="P591" s="84"/>
      <c r="Q591" s="84"/>
      <c r="R591" s="87"/>
      <c r="S591" s="87"/>
    </row>
    <row r="592" s="77" customFormat="true" ht="15" hidden="false" customHeight="false" outlineLevel="1" collapsed="false">
      <c r="B592" s="78"/>
      <c r="C592" s="80" t="n">
        <v>577</v>
      </c>
      <c r="D592" s="80" t="s">
        <v>596</v>
      </c>
      <c r="E592" s="81" t="s">
        <v>1225</v>
      </c>
      <c r="F592" s="78" t="s">
        <v>597</v>
      </c>
      <c r="G592" s="88" t="n">
        <v>1</v>
      </c>
      <c r="H592" s="84" t="s">
        <v>61</v>
      </c>
      <c r="I592" s="80" t="s">
        <v>598</v>
      </c>
      <c r="J592" s="80" t="s">
        <v>599</v>
      </c>
      <c r="K592" s="80" t="s">
        <v>600</v>
      </c>
      <c r="L592" s="80" t="s">
        <v>601</v>
      </c>
      <c r="M592" s="80" t="s">
        <v>602</v>
      </c>
      <c r="N592" s="80" t="s">
        <v>603</v>
      </c>
      <c r="O592" s="101" t="n">
        <v>46119</v>
      </c>
      <c r="P592" s="84"/>
      <c r="Q592" s="84"/>
      <c r="R592" s="87"/>
      <c r="S592" s="87"/>
    </row>
    <row r="593" s="77" customFormat="true" ht="15" hidden="false" customHeight="false" outlineLevel="1" collapsed="false">
      <c r="B593" s="78"/>
      <c r="C593" s="80" t="n">
        <v>578</v>
      </c>
      <c r="D593" s="80" t="s">
        <v>463</v>
      </c>
      <c r="E593" s="81" t="s">
        <v>1225</v>
      </c>
      <c r="F593" s="78" t="s">
        <v>464</v>
      </c>
      <c r="G593" s="88" t="n">
        <v>1</v>
      </c>
      <c r="H593" s="84" t="s">
        <v>152</v>
      </c>
      <c r="I593" s="80" t="s">
        <v>465</v>
      </c>
      <c r="J593" s="80" t="s">
        <v>466</v>
      </c>
      <c r="K593" s="80" t="s">
        <v>467</v>
      </c>
      <c r="L593" s="80" t="s">
        <v>468</v>
      </c>
      <c r="M593" s="80" t="s">
        <v>469</v>
      </c>
      <c r="N593" s="80" t="s">
        <v>470</v>
      </c>
      <c r="O593" s="101" t="n">
        <v>46119</v>
      </c>
      <c r="P593" s="84"/>
      <c r="Q593" s="84"/>
      <c r="R593" s="87"/>
      <c r="S593" s="87"/>
    </row>
    <row r="594" s="77" customFormat="true" ht="30" hidden="false" customHeight="true" outlineLevel="1" collapsed="false">
      <c r="B594" s="78"/>
      <c r="C594" s="80" t="n">
        <v>579</v>
      </c>
      <c r="D594" s="80" t="s">
        <v>478</v>
      </c>
      <c r="E594" s="81" t="s">
        <v>1225</v>
      </c>
      <c r="F594" s="78" t="s">
        <v>479</v>
      </c>
      <c r="G594" s="88" t="n">
        <v>1</v>
      </c>
      <c r="H594" s="84" t="s">
        <v>111</v>
      </c>
      <c r="I594" s="80" t="s">
        <v>480</v>
      </c>
      <c r="J594" s="80" t="s">
        <v>481</v>
      </c>
      <c r="K594" s="80" t="s">
        <v>482</v>
      </c>
      <c r="L594" s="80" t="s">
        <v>483</v>
      </c>
      <c r="M594" s="80" t="s">
        <v>634</v>
      </c>
      <c r="N594" s="80" t="s">
        <v>485</v>
      </c>
      <c r="O594" s="101" t="n">
        <v>46119</v>
      </c>
      <c r="P594" s="84"/>
      <c r="Q594" s="84"/>
      <c r="R594" s="87"/>
      <c r="S594" s="87"/>
    </row>
    <row r="595" s="77" customFormat="true" ht="15" hidden="false" customHeight="false" outlineLevel="1" collapsed="false">
      <c r="B595" s="78"/>
      <c r="C595" s="80" t="n">
        <v>580</v>
      </c>
      <c r="D595" s="80" t="s">
        <v>644</v>
      </c>
      <c r="E595" s="81" t="s">
        <v>1225</v>
      </c>
      <c r="F595" s="78" t="s">
        <v>645</v>
      </c>
      <c r="G595" s="88" t="n">
        <v>2</v>
      </c>
      <c r="H595" s="84" t="s">
        <v>61</v>
      </c>
      <c r="I595" s="80" t="s">
        <v>646</v>
      </c>
      <c r="J595" s="80" t="s">
        <v>647</v>
      </c>
      <c r="K595" s="80" t="s">
        <v>648</v>
      </c>
      <c r="L595" s="80" t="s">
        <v>649</v>
      </c>
      <c r="M595" s="80" t="s">
        <v>650</v>
      </c>
      <c r="N595" s="80"/>
      <c r="O595" s="101" t="n">
        <v>46119</v>
      </c>
      <c r="P595" s="84"/>
      <c r="Q595" s="84"/>
      <c r="R595" s="87"/>
      <c r="S595" s="87"/>
    </row>
    <row r="596" s="68" customFormat="true" ht="15" hidden="false" customHeight="false" outlineLevel="0" collapsed="false">
      <c r="B596" s="69"/>
      <c r="C596" s="69"/>
      <c r="D596" s="69"/>
      <c r="E596" s="72" t="s">
        <v>1485</v>
      </c>
      <c r="F596" s="72"/>
      <c r="G596" s="119" t="n">
        <f aca="false">SUM(G597:G613)</f>
        <v>34</v>
      </c>
      <c r="H596" s="89"/>
      <c r="I596" s="123"/>
      <c r="J596" s="124"/>
      <c r="K596" s="125"/>
      <c r="L596" s="69"/>
      <c r="M596" s="69"/>
      <c r="N596" s="90"/>
      <c r="O596" s="89"/>
      <c r="P596" s="76"/>
      <c r="Q596" s="76"/>
      <c r="R596" s="90"/>
      <c r="S596" s="74"/>
    </row>
    <row r="597" s="77" customFormat="true" ht="15" hidden="false" customHeight="false" outlineLevel="1" collapsed="false">
      <c r="B597" s="78"/>
      <c r="C597" s="80" t="n">
        <v>581</v>
      </c>
      <c r="D597" s="80" t="s">
        <v>59</v>
      </c>
      <c r="E597" s="81" t="s">
        <v>1485</v>
      </c>
      <c r="F597" s="78" t="s">
        <v>60</v>
      </c>
      <c r="G597" s="88" t="n">
        <v>2</v>
      </c>
      <c r="H597" s="84" t="s">
        <v>61</v>
      </c>
      <c r="I597" s="80" t="s">
        <v>62</v>
      </c>
      <c r="J597" s="80" t="s">
        <v>63</v>
      </c>
      <c r="K597" s="80" t="s">
        <v>64</v>
      </c>
      <c r="L597" s="80" t="s">
        <v>65</v>
      </c>
      <c r="M597" s="80" t="s">
        <v>66</v>
      </c>
      <c r="N597" s="80" t="s">
        <v>67</v>
      </c>
      <c r="O597" s="101" t="n">
        <v>46111</v>
      </c>
      <c r="P597" s="84"/>
      <c r="Q597" s="84"/>
      <c r="R597" s="87"/>
      <c r="S597" s="87"/>
    </row>
    <row r="598" s="77" customFormat="true" ht="15" hidden="false" customHeight="false" outlineLevel="1" collapsed="false">
      <c r="B598" s="78"/>
      <c r="C598" s="80" t="n">
        <v>582</v>
      </c>
      <c r="D598" s="80" t="s">
        <v>75</v>
      </c>
      <c r="E598" s="81" t="s">
        <v>1485</v>
      </c>
      <c r="F598" s="78" t="s">
        <v>76</v>
      </c>
      <c r="G598" s="88" t="n">
        <v>10</v>
      </c>
      <c r="H598" s="84" t="s">
        <v>77</v>
      </c>
      <c r="I598" s="80" t="s">
        <v>78</v>
      </c>
      <c r="J598" s="80" t="s">
        <v>79</v>
      </c>
      <c r="K598" s="80" t="s">
        <v>80</v>
      </c>
      <c r="L598" s="80" t="s">
        <v>81</v>
      </c>
      <c r="M598" s="80" t="s">
        <v>82</v>
      </c>
      <c r="N598" s="80" t="s">
        <v>83</v>
      </c>
      <c r="O598" s="101" t="n">
        <v>46111</v>
      </c>
      <c r="P598" s="84"/>
      <c r="Q598" s="84"/>
      <c r="R598" s="87"/>
      <c r="S598" s="87"/>
    </row>
    <row r="599" s="77" customFormat="true" ht="15" hidden="false" customHeight="false" outlineLevel="1" collapsed="false">
      <c r="B599" s="78"/>
      <c r="C599" s="80" t="n">
        <v>583</v>
      </c>
      <c r="D599" s="80" t="s">
        <v>109</v>
      </c>
      <c r="E599" s="81" t="s">
        <v>1485</v>
      </c>
      <c r="F599" s="78" t="s">
        <v>110</v>
      </c>
      <c r="G599" s="88" t="n">
        <v>1</v>
      </c>
      <c r="H599" s="84" t="s">
        <v>111</v>
      </c>
      <c r="I599" s="80" t="s">
        <v>112</v>
      </c>
      <c r="J599" s="80" t="s">
        <v>113</v>
      </c>
      <c r="K599" s="80" t="s">
        <v>114</v>
      </c>
      <c r="L599" s="80" t="s">
        <v>115</v>
      </c>
      <c r="M599" s="80" t="s">
        <v>115</v>
      </c>
      <c r="N599" s="80" t="s">
        <v>116</v>
      </c>
      <c r="O599" s="101" t="n">
        <v>46111</v>
      </c>
      <c r="P599" s="84"/>
      <c r="Q599" s="84"/>
      <c r="R599" s="87"/>
      <c r="S599" s="87"/>
    </row>
    <row r="600" s="77" customFormat="true" ht="15" hidden="false" customHeight="false" outlineLevel="1" collapsed="false">
      <c r="B600" s="78"/>
      <c r="C600" s="80" t="n">
        <v>584</v>
      </c>
      <c r="D600" s="80" t="s">
        <v>166</v>
      </c>
      <c r="E600" s="81" t="s">
        <v>1485</v>
      </c>
      <c r="F600" s="78" t="s">
        <v>167</v>
      </c>
      <c r="G600" s="88" t="n">
        <v>2</v>
      </c>
      <c r="H600" s="84" t="s">
        <v>61</v>
      </c>
      <c r="I600" s="80" t="s">
        <v>168</v>
      </c>
      <c r="J600" s="80" t="s">
        <v>169</v>
      </c>
      <c r="K600" s="80" t="s">
        <v>170</v>
      </c>
      <c r="L600" s="80" t="s">
        <v>171</v>
      </c>
      <c r="M600" s="80" t="s">
        <v>172</v>
      </c>
      <c r="N600" s="80" t="s">
        <v>173</v>
      </c>
      <c r="O600" s="101" t="n">
        <v>46111</v>
      </c>
      <c r="P600" s="84"/>
      <c r="Q600" s="84"/>
      <c r="R600" s="87"/>
      <c r="S600" s="87"/>
    </row>
    <row r="601" s="77" customFormat="true" ht="15" hidden="false" customHeight="false" outlineLevel="1" collapsed="false">
      <c r="B601" s="78"/>
      <c r="C601" s="80" t="n">
        <v>585</v>
      </c>
      <c r="D601" s="80" t="s">
        <v>190</v>
      </c>
      <c r="E601" s="81" t="s">
        <v>1485</v>
      </c>
      <c r="F601" s="78" t="s">
        <v>191</v>
      </c>
      <c r="G601" s="88" t="n">
        <v>1</v>
      </c>
      <c r="H601" s="84" t="s">
        <v>24</v>
      </c>
      <c r="I601" s="80" t="s">
        <v>1272</v>
      </c>
      <c r="J601" s="80" t="s">
        <v>1273</v>
      </c>
      <c r="K601" s="80" t="s">
        <v>1274</v>
      </c>
      <c r="L601" s="80" t="s">
        <v>195</v>
      </c>
      <c r="M601" s="80" t="s">
        <v>1275</v>
      </c>
      <c r="N601" s="80" t="s">
        <v>197</v>
      </c>
      <c r="O601" s="101" t="n">
        <v>46111</v>
      </c>
      <c r="P601" s="84"/>
      <c r="Q601" s="84"/>
      <c r="R601" s="87"/>
      <c r="S601" s="87"/>
    </row>
    <row r="602" s="77" customFormat="true" ht="15" hidden="false" customHeight="false" outlineLevel="1" collapsed="false">
      <c r="B602" s="78"/>
      <c r="C602" s="80" t="n">
        <v>586</v>
      </c>
      <c r="D602" s="80" t="s">
        <v>198</v>
      </c>
      <c r="E602" s="81" t="s">
        <v>1485</v>
      </c>
      <c r="F602" s="78" t="s">
        <v>199</v>
      </c>
      <c r="G602" s="88" t="n">
        <v>3</v>
      </c>
      <c r="H602" s="84" t="s">
        <v>200</v>
      </c>
      <c r="I602" s="80" t="s">
        <v>201</v>
      </c>
      <c r="J602" s="80" t="s">
        <v>202</v>
      </c>
      <c r="K602" s="80" t="s">
        <v>203</v>
      </c>
      <c r="L602" s="80" t="s">
        <v>204</v>
      </c>
      <c r="M602" s="80" t="s">
        <v>205</v>
      </c>
      <c r="N602" s="80" t="s">
        <v>206</v>
      </c>
      <c r="O602" s="101" t="n">
        <v>46111</v>
      </c>
      <c r="P602" s="84"/>
      <c r="Q602" s="84"/>
      <c r="R602" s="87"/>
      <c r="S602" s="87"/>
    </row>
    <row r="603" s="77" customFormat="true" ht="15" hidden="false" customHeight="false" outlineLevel="1" collapsed="false">
      <c r="B603" s="78"/>
      <c r="C603" s="80" t="n">
        <v>587</v>
      </c>
      <c r="D603" s="80" t="s">
        <v>215</v>
      </c>
      <c r="E603" s="81" t="s">
        <v>1485</v>
      </c>
      <c r="F603" s="78" t="s">
        <v>216</v>
      </c>
      <c r="G603" s="88" t="n">
        <v>1</v>
      </c>
      <c r="H603" s="84" t="s">
        <v>24</v>
      </c>
      <c r="I603" s="80" t="s">
        <v>217</v>
      </c>
      <c r="J603" s="80" t="s">
        <v>218</v>
      </c>
      <c r="K603" s="80" t="s">
        <v>219</v>
      </c>
      <c r="L603" s="80" t="s">
        <v>220</v>
      </c>
      <c r="M603" s="80" t="s">
        <v>221</v>
      </c>
      <c r="N603" s="80" t="s">
        <v>222</v>
      </c>
      <c r="O603" s="101" t="n">
        <v>46111</v>
      </c>
      <c r="P603" s="84"/>
      <c r="Q603" s="84"/>
      <c r="R603" s="87"/>
      <c r="S603" s="87"/>
    </row>
    <row r="604" s="77" customFormat="true" ht="15" hidden="false" customHeight="false" outlineLevel="1" collapsed="false">
      <c r="B604" s="78"/>
      <c r="C604" s="80" t="n">
        <v>588</v>
      </c>
      <c r="D604" s="80" t="s">
        <v>263</v>
      </c>
      <c r="E604" s="81" t="s">
        <v>1485</v>
      </c>
      <c r="F604" s="78" t="s">
        <v>264</v>
      </c>
      <c r="G604" s="88" t="n">
        <v>1</v>
      </c>
      <c r="H604" s="84" t="s">
        <v>61</v>
      </c>
      <c r="I604" s="80" t="s">
        <v>265</v>
      </c>
      <c r="J604" s="80" t="s">
        <v>266</v>
      </c>
      <c r="K604" s="80" t="s">
        <v>267</v>
      </c>
      <c r="L604" s="80" t="s">
        <v>252</v>
      </c>
      <c r="M604" s="80" t="s">
        <v>268</v>
      </c>
      <c r="N604" s="80" t="s">
        <v>269</v>
      </c>
      <c r="O604" s="101" t="n">
        <v>46111</v>
      </c>
      <c r="P604" s="84"/>
      <c r="Q604" s="84"/>
      <c r="R604" s="87"/>
      <c r="S604" s="87"/>
    </row>
    <row r="605" s="77" customFormat="true" ht="15" hidden="false" customHeight="false" outlineLevel="1" collapsed="false">
      <c r="B605" s="78"/>
      <c r="C605" s="80" t="n">
        <v>589</v>
      </c>
      <c r="D605" s="80" t="s">
        <v>326</v>
      </c>
      <c r="E605" s="81" t="s">
        <v>1485</v>
      </c>
      <c r="F605" s="78" t="s">
        <v>327</v>
      </c>
      <c r="G605" s="88" t="n">
        <v>1</v>
      </c>
      <c r="H605" s="84" t="s">
        <v>152</v>
      </c>
      <c r="I605" s="80" t="s">
        <v>328</v>
      </c>
      <c r="J605" s="80" t="s">
        <v>329</v>
      </c>
      <c r="K605" s="80" t="s">
        <v>330</v>
      </c>
      <c r="L605" s="80" t="s">
        <v>331</v>
      </c>
      <c r="M605" s="80" t="s">
        <v>332</v>
      </c>
      <c r="N605" s="80" t="s">
        <v>333</v>
      </c>
      <c r="O605" s="101" t="n">
        <v>46111</v>
      </c>
      <c r="P605" s="84"/>
      <c r="Q605" s="84"/>
      <c r="R605" s="87"/>
      <c r="S605" s="87"/>
    </row>
    <row r="606" s="77" customFormat="true" ht="15" hidden="false" customHeight="false" outlineLevel="1" collapsed="false">
      <c r="B606" s="78"/>
      <c r="C606" s="80" t="n">
        <v>590</v>
      </c>
      <c r="D606" s="80" t="s">
        <v>375</v>
      </c>
      <c r="E606" s="81" t="s">
        <v>1485</v>
      </c>
      <c r="F606" s="78" t="s">
        <v>376</v>
      </c>
      <c r="G606" s="88" t="n">
        <v>1</v>
      </c>
      <c r="H606" s="84" t="s">
        <v>111</v>
      </c>
      <c r="I606" s="80" t="s">
        <v>377</v>
      </c>
      <c r="J606" s="80" t="s">
        <v>378</v>
      </c>
      <c r="K606" s="80" t="s">
        <v>379</v>
      </c>
      <c r="L606" s="80" t="s">
        <v>380</v>
      </c>
      <c r="M606" s="80" t="s">
        <v>381</v>
      </c>
      <c r="N606" s="80" t="s">
        <v>382</v>
      </c>
      <c r="O606" s="101" t="n">
        <v>46111</v>
      </c>
      <c r="P606" s="84"/>
      <c r="Q606" s="84"/>
      <c r="R606" s="87"/>
      <c r="S606" s="87"/>
    </row>
    <row r="607" s="77" customFormat="true" ht="15" hidden="false" customHeight="false" outlineLevel="1" collapsed="false">
      <c r="B607" s="78"/>
      <c r="C607" s="80" t="n">
        <v>591</v>
      </c>
      <c r="D607" s="80" t="s">
        <v>383</v>
      </c>
      <c r="E607" s="81" t="s">
        <v>1485</v>
      </c>
      <c r="F607" s="78" t="s">
        <v>384</v>
      </c>
      <c r="G607" s="88" t="n">
        <v>2</v>
      </c>
      <c r="H607" s="84" t="s">
        <v>61</v>
      </c>
      <c r="I607" s="80" t="s">
        <v>385</v>
      </c>
      <c r="J607" s="80" t="s">
        <v>386</v>
      </c>
      <c r="K607" s="80" t="s">
        <v>387</v>
      </c>
      <c r="L607" s="80" t="s">
        <v>388</v>
      </c>
      <c r="M607" s="80" t="s">
        <v>389</v>
      </c>
      <c r="N607" s="80" t="s">
        <v>390</v>
      </c>
      <c r="O607" s="101" t="n">
        <v>46111</v>
      </c>
      <c r="P607" s="84"/>
      <c r="Q607" s="84"/>
      <c r="R607" s="87"/>
      <c r="S607" s="87"/>
    </row>
    <row r="608" s="77" customFormat="true" ht="15" hidden="false" customHeight="false" outlineLevel="1" collapsed="false">
      <c r="B608" s="78"/>
      <c r="C608" s="80" t="n">
        <v>592</v>
      </c>
      <c r="D608" s="80" t="s">
        <v>399</v>
      </c>
      <c r="E608" s="81" t="s">
        <v>1485</v>
      </c>
      <c r="F608" s="78" t="s">
        <v>400</v>
      </c>
      <c r="G608" s="88" t="n">
        <v>1</v>
      </c>
      <c r="H608" s="84" t="s">
        <v>152</v>
      </c>
      <c r="I608" s="80" t="s">
        <v>401</v>
      </c>
      <c r="J608" s="80" t="s">
        <v>402</v>
      </c>
      <c r="K608" s="80" t="s">
        <v>403</v>
      </c>
      <c r="L608" s="80" t="s">
        <v>404</v>
      </c>
      <c r="M608" s="80" t="s">
        <v>791</v>
      </c>
      <c r="N608" s="80" t="s">
        <v>406</v>
      </c>
      <c r="O608" s="101" t="n">
        <v>46111</v>
      </c>
      <c r="P608" s="84"/>
      <c r="Q608" s="84"/>
      <c r="R608" s="87"/>
      <c r="S608" s="87"/>
    </row>
    <row r="609" s="77" customFormat="true" ht="15" hidden="false" customHeight="false" outlineLevel="1" collapsed="false">
      <c r="B609" s="78"/>
      <c r="C609" s="80" t="n">
        <v>593</v>
      </c>
      <c r="D609" s="80" t="s">
        <v>431</v>
      </c>
      <c r="E609" s="81" t="s">
        <v>1485</v>
      </c>
      <c r="F609" s="78" t="s">
        <v>432</v>
      </c>
      <c r="G609" s="88" t="n">
        <v>1</v>
      </c>
      <c r="H609" s="84" t="s">
        <v>152</v>
      </c>
      <c r="I609" s="80" t="s">
        <v>678</v>
      </c>
      <c r="J609" s="80" t="s">
        <v>679</v>
      </c>
      <c r="K609" s="80" t="s">
        <v>680</v>
      </c>
      <c r="L609" s="80" t="s">
        <v>436</v>
      </c>
      <c r="M609" s="80" t="s">
        <v>331</v>
      </c>
      <c r="N609" s="80" t="s">
        <v>438</v>
      </c>
      <c r="O609" s="101" t="n">
        <v>46111</v>
      </c>
      <c r="P609" s="84"/>
      <c r="Q609" s="84"/>
      <c r="R609" s="87"/>
      <c r="S609" s="87"/>
    </row>
    <row r="610" s="77" customFormat="true" ht="15" hidden="false" customHeight="false" outlineLevel="1" collapsed="false">
      <c r="B610" s="78"/>
      <c r="C610" s="80" t="n">
        <v>594</v>
      </c>
      <c r="D610" s="80" t="s">
        <v>571</v>
      </c>
      <c r="E610" s="81" t="s">
        <v>1485</v>
      </c>
      <c r="F610" s="78" t="s">
        <v>572</v>
      </c>
      <c r="G610" s="88" t="n">
        <v>1</v>
      </c>
      <c r="H610" s="84" t="s">
        <v>573</v>
      </c>
      <c r="I610" s="80" t="s">
        <v>574</v>
      </c>
      <c r="J610" s="80" t="s">
        <v>575</v>
      </c>
      <c r="K610" s="80" t="s">
        <v>576</v>
      </c>
      <c r="L610" s="80" t="s">
        <v>577</v>
      </c>
      <c r="M610" s="80" t="s">
        <v>578</v>
      </c>
      <c r="N610" s="80" t="s">
        <v>579</v>
      </c>
      <c r="O610" s="101" t="n">
        <v>46111</v>
      </c>
      <c r="P610" s="84"/>
      <c r="Q610" s="84"/>
      <c r="R610" s="87"/>
      <c r="S610" s="87"/>
    </row>
    <row r="611" s="77" customFormat="true" ht="15" hidden="false" customHeight="false" outlineLevel="1" collapsed="false">
      <c r="B611" s="78"/>
      <c r="C611" s="80" t="n">
        <v>595</v>
      </c>
      <c r="D611" s="80" t="s">
        <v>455</v>
      </c>
      <c r="E611" s="81" t="s">
        <v>1485</v>
      </c>
      <c r="F611" s="78" t="s">
        <v>456</v>
      </c>
      <c r="G611" s="88" t="n">
        <v>4</v>
      </c>
      <c r="H611" s="84" t="s">
        <v>111</v>
      </c>
      <c r="I611" s="80" t="s">
        <v>457</v>
      </c>
      <c r="J611" s="80" t="s">
        <v>458</v>
      </c>
      <c r="K611" s="80" t="s">
        <v>459</v>
      </c>
      <c r="L611" s="80" t="s">
        <v>460</v>
      </c>
      <c r="M611" s="80" t="s">
        <v>461</v>
      </c>
      <c r="N611" s="80" t="s">
        <v>462</v>
      </c>
      <c r="O611" s="101" t="n">
        <v>46111</v>
      </c>
      <c r="P611" s="84"/>
      <c r="Q611" s="84"/>
      <c r="R611" s="87"/>
      <c r="S611" s="87"/>
    </row>
    <row r="612" s="77" customFormat="true" ht="15" hidden="false" customHeight="false" outlineLevel="1" collapsed="false">
      <c r="B612" s="78"/>
      <c r="C612" s="80" t="n">
        <v>596</v>
      </c>
      <c r="D612" s="80" t="s">
        <v>502</v>
      </c>
      <c r="E612" s="81" t="s">
        <v>1485</v>
      </c>
      <c r="F612" s="78" t="s">
        <v>503</v>
      </c>
      <c r="G612" s="88" t="n">
        <v>1</v>
      </c>
      <c r="H612" s="84" t="s">
        <v>61</v>
      </c>
      <c r="I612" s="80" t="s">
        <v>504</v>
      </c>
      <c r="J612" s="80" t="s">
        <v>505</v>
      </c>
      <c r="K612" s="80" t="s">
        <v>506</v>
      </c>
      <c r="L612" s="80" t="s">
        <v>283</v>
      </c>
      <c r="M612" s="80" t="s">
        <v>284</v>
      </c>
      <c r="N612" s="80" t="s">
        <v>507</v>
      </c>
      <c r="O612" s="101" t="n">
        <v>46111</v>
      </c>
      <c r="P612" s="84"/>
      <c r="Q612" s="84"/>
      <c r="R612" s="87"/>
      <c r="S612" s="87"/>
    </row>
    <row r="613" s="77" customFormat="true" ht="15" hidden="false" customHeight="false" outlineLevel="1" collapsed="false">
      <c r="B613" s="78"/>
      <c r="C613" s="80" t="n">
        <v>597</v>
      </c>
      <c r="D613" s="80" t="s">
        <v>508</v>
      </c>
      <c r="E613" s="81" t="s">
        <v>1485</v>
      </c>
      <c r="F613" s="78" t="s">
        <v>509</v>
      </c>
      <c r="G613" s="88" t="n">
        <v>1</v>
      </c>
      <c r="H613" s="84" t="s">
        <v>61</v>
      </c>
      <c r="I613" s="80" t="s">
        <v>510</v>
      </c>
      <c r="J613" s="80" t="s">
        <v>511</v>
      </c>
      <c r="K613" s="80" t="s">
        <v>512</v>
      </c>
      <c r="L613" s="80" t="s">
        <v>513</v>
      </c>
      <c r="M613" s="80" t="s">
        <v>514</v>
      </c>
      <c r="N613" s="80" t="s">
        <v>515</v>
      </c>
      <c r="O613" s="101" t="n">
        <v>46111</v>
      </c>
      <c r="P613" s="84"/>
      <c r="Q613" s="84"/>
      <c r="R613" s="87"/>
      <c r="S613" s="87"/>
    </row>
    <row r="614" s="68" customFormat="true" ht="30" hidden="false" customHeight="true" outlineLevel="0" collapsed="false">
      <c r="B614" s="69"/>
      <c r="C614" s="69"/>
      <c r="D614" s="69"/>
      <c r="E614" s="72" t="s">
        <v>1486</v>
      </c>
      <c r="F614" s="73"/>
      <c r="G614" s="119" t="n">
        <f aca="false">SUM(G615:G649)</f>
        <v>37</v>
      </c>
      <c r="H614" s="89"/>
      <c r="I614" s="123"/>
      <c r="J614" s="124"/>
      <c r="K614" s="125"/>
      <c r="L614" s="69"/>
      <c r="M614" s="69"/>
      <c r="N614" s="90"/>
      <c r="O614" s="89"/>
      <c r="P614" s="76"/>
      <c r="Q614" s="76"/>
      <c r="R614" s="74" t="s">
        <v>932</v>
      </c>
      <c r="S614" s="74"/>
    </row>
    <row r="615" s="77" customFormat="true" ht="25.5" hidden="false" customHeight="true" outlineLevel="1" collapsed="false">
      <c r="B615" s="78"/>
      <c r="C615" s="80" t="n">
        <v>598</v>
      </c>
      <c r="D615" s="80" t="s">
        <v>34</v>
      </c>
      <c r="E615" s="81" t="s">
        <v>1486</v>
      </c>
      <c r="F615" s="82" t="s">
        <v>35</v>
      </c>
      <c r="G615" s="88" t="n">
        <v>1</v>
      </c>
      <c r="H615" s="84" t="s">
        <v>36</v>
      </c>
      <c r="I615" s="80" t="s">
        <v>37</v>
      </c>
      <c r="J615" s="80" t="s">
        <v>38</v>
      </c>
      <c r="K615" s="80" t="s">
        <v>39</v>
      </c>
      <c r="L615" s="80" t="s">
        <v>40</v>
      </c>
      <c r="M615" s="80" t="s">
        <v>553</v>
      </c>
      <c r="N615" s="80" t="s">
        <v>42</v>
      </c>
      <c r="O615" s="101" t="n">
        <v>46111</v>
      </c>
      <c r="P615" s="84"/>
      <c r="Q615" s="84"/>
      <c r="R615" s="87" t="s">
        <v>932</v>
      </c>
      <c r="S615" s="87" t="s">
        <v>31</v>
      </c>
    </row>
    <row r="616" s="77" customFormat="true" ht="25.5" hidden="false" customHeight="true" outlineLevel="1" collapsed="false">
      <c r="B616" s="78"/>
      <c r="C616" s="80" t="n">
        <v>599</v>
      </c>
      <c r="D616" s="80" t="s">
        <v>1077</v>
      </c>
      <c r="E616" s="81" t="s">
        <v>1486</v>
      </c>
      <c r="F616" s="82" t="s">
        <v>916</v>
      </c>
      <c r="G616" s="88" t="n">
        <v>1</v>
      </c>
      <c r="H616" s="84" t="s">
        <v>152</v>
      </c>
      <c r="I616" s="80" t="s">
        <v>1078</v>
      </c>
      <c r="J616" s="80" t="s">
        <v>1079</v>
      </c>
      <c r="K616" s="80" t="s">
        <v>1080</v>
      </c>
      <c r="L616" s="80" t="s">
        <v>1081</v>
      </c>
      <c r="M616" s="80" t="s">
        <v>1082</v>
      </c>
      <c r="N616" s="80" t="s">
        <v>1083</v>
      </c>
      <c r="O616" s="101" t="n">
        <v>46111</v>
      </c>
      <c r="P616" s="84"/>
      <c r="Q616" s="84"/>
      <c r="R616" s="87" t="s">
        <v>932</v>
      </c>
      <c r="S616" s="87" t="s">
        <v>84</v>
      </c>
    </row>
    <row r="617" s="77" customFormat="true" ht="25.5" hidden="false" customHeight="true" outlineLevel="1" collapsed="false">
      <c r="B617" s="78"/>
      <c r="C617" s="80" t="n">
        <v>600</v>
      </c>
      <c r="D617" s="80" t="s">
        <v>59</v>
      </c>
      <c r="E617" s="81" t="s">
        <v>1486</v>
      </c>
      <c r="F617" s="82" t="s">
        <v>60</v>
      </c>
      <c r="G617" s="88" t="n">
        <v>1</v>
      </c>
      <c r="H617" s="84" t="s">
        <v>61</v>
      </c>
      <c r="I617" s="80" t="s">
        <v>62</v>
      </c>
      <c r="J617" s="80" t="s">
        <v>63</v>
      </c>
      <c r="K617" s="80" t="s">
        <v>64</v>
      </c>
      <c r="L617" s="80" t="s">
        <v>65</v>
      </c>
      <c r="M617" s="80" t="s">
        <v>66</v>
      </c>
      <c r="N617" s="80" t="s">
        <v>67</v>
      </c>
      <c r="O617" s="101" t="n">
        <v>46146</v>
      </c>
      <c r="P617" s="84"/>
      <c r="Q617" s="84"/>
      <c r="R617" s="87" t="s">
        <v>932</v>
      </c>
      <c r="S617" s="87" t="s">
        <v>31</v>
      </c>
    </row>
    <row r="618" s="77" customFormat="true" ht="25.5" hidden="false" customHeight="true" outlineLevel="1" collapsed="false">
      <c r="B618" s="78"/>
      <c r="C618" s="80" t="n">
        <v>601</v>
      </c>
      <c r="D618" s="80" t="s">
        <v>75</v>
      </c>
      <c r="E618" s="81" t="s">
        <v>1486</v>
      </c>
      <c r="F618" s="82" t="s">
        <v>76</v>
      </c>
      <c r="G618" s="88" t="n">
        <v>1</v>
      </c>
      <c r="H618" s="84" t="s">
        <v>77</v>
      </c>
      <c r="I618" s="80" t="s">
        <v>78</v>
      </c>
      <c r="J618" s="80" t="s">
        <v>79</v>
      </c>
      <c r="K618" s="80" t="s">
        <v>80</v>
      </c>
      <c r="L618" s="80" t="s">
        <v>81</v>
      </c>
      <c r="M618" s="80" t="s">
        <v>82</v>
      </c>
      <c r="N618" s="80" t="s">
        <v>83</v>
      </c>
      <c r="O618" s="101" t="n">
        <v>46111</v>
      </c>
      <c r="P618" s="84"/>
      <c r="Q618" s="84"/>
      <c r="R618" s="87" t="s">
        <v>932</v>
      </c>
      <c r="S618" s="87" t="s">
        <v>84</v>
      </c>
    </row>
    <row r="619" s="77" customFormat="true" ht="30" hidden="false" customHeight="true" outlineLevel="1" collapsed="false">
      <c r="B619" s="78"/>
      <c r="C619" s="80" t="n">
        <v>602</v>
      </c>
      <c r="D619" s="80" t="s">
        <v>725</v>
      </c>
      <c r="E619" s="81" t="s">
        <v>1486</v>
      </c>
      <c r="F619" s="82" t="s">
        <v>726</v>
      </c>
      <c r="G619" s="88" t="n">
        <v>1</v>
      </c>
      <c r="H619" s="84" t="s">
        <v>727</v>
      </c>
      <c r="I619" s="80" t="s">
        <v>1352</v>
      </c>
      <c r="J619" s="80" t="s">
        <v>729</v>
      </c>
      <c r="K619" s="97" t="s">
        <v>730</v>
      </c>
      <c r="L619" s="80" t="s">
        <v>731</v>
      </c>
      <c r="M619" s="80" t="s">
        <v>732</v>
      </c>
      <c r="N619" s="80" t="s">
        <v>733</v>
      </c>
      <c r="O619" s="101" t="n">
        <v>46146</v>
      </c>
      <c r="P619" s="84"/>
      <c r="Q619" s="84"/>
      <c r="R619" s="87" t="s">
        <v>932</v>
      </c>
      <c r="S619" s="87" t="s">
        <v>31</v>
      </c>
    </row>
    <row r="620" s="77" customFormat="true" ht="25.5" hidden="false" customHeight="true" outlineLevel="1" collapsed="false">
      <c r="B620" s="78"/>
      <c r="C620" s="80" t="n">
        <v>603</v>
      </c>
      <c r="D620" s="80" t="s">
        <v>109</v>
      </c>
      <c r="E620" s="81" t="s">
        <v>1486</v>
      </c>
      <c r="F620" s="82" t="s">
        <v>110</v>
      </c>
      <c r="G620" s="88" t="n">
        <v>1</v>
      </c>
      <c r="H620" s="84" t="s">
        <v>111</v>
      </c>
      <c r="I620" s="80" t="s">
        <v>112</v>
      </c>
      <c r="J620" s="80" t="s">
        <v>113</v>
      </c>
      <c r="K620" s="80" t="s">
        <v>114</v>
      </c>
      <c r="L620" s="80" t="s">
        <v>115</v>
      </c>
      <c r="M620" s="80" t="s">
        <v>115</v>
      </c>
      <c r="N620" s="80" t="s">
        <v>116</v>
      </c>
      <c r="O620" s="101" t="n">
        <v>46111</v>
      </c>
      <c r="P620" s="84"/>
      <c r="Q620" s="84"/>
      <c r="R620" s="87" t="s">
        <v>932</v>
      </c>
      <c r="S620" s="87" t="s">
        <v>84</v>
      </c>
    </row>
    <row r="621" s="77" customFormat="true" ht="25.5" hidden="false" customHeight="true" outlineLevel="1" collapsed="false">
      <c r="B621" s="78"/>
      <c r="C621" s="80" t="n">
        <v>604</v>
      </c>
      <c r="D621" s="80" t="s">
        <v>125</v>
      </c>
      <c r="E621" s="81" t="s">
        <v>1486</v>
      </c>
      <c r="F621" s="82" t="s">
        <v>126</v>
      </c>
      <c r="G621" s="88" t="n">
        <v>1</v>
      </c>
      <c r="H621" s="84" t="s">
        <v>127</v>
      </c>
      <c r="I621" s="80" t="s">
        <v>128</v>
      </c>
      <c r="J621" s="80" t="s">
        <v>129</v>
      </c>
      <c r="K621" s="80" t="s">
        <v>130</v>
      </c>
      <c r="L621" s="80" t="s">
        <v>131</v>
      </c>
      <c r="M621" s="80" t="s">
        <v>132</v>
      </c>
      <c r="N621" s="80" t="s">
        <v>133</v>
      </c>
      <c r="O621" s="101" t="n">
        <v>46111</v>
      </c>
      <c r="P621" s="84"/>
      <c r="Q621" s="84"/>
      <c r="R621" s="87" t="s">
        <v>932</v>
      </c>
      <c r="S621" s="87" t="s">
        <v>84</v>
      </c>
    </row>
    <row r="622" s="77" customFormat="true" ht="25.5" hidden="false" customHeight="true" outlineLevel="1" collapsed="false">
      <c r="B622" s="78"/>
      <c r="C622" s="80" t="n">
        <v>605</v>
      </c>
      <c r="D622" s="80" t="s">
        <v>142</v>
      </c>
      <c r="E622" s="81" t="s">
        <v>1486</v>
      </c>
      <c r="F622" s="82" t="s">
        <v>143</v>
      </c>
      <c r="G622" s="88" t="n">
        <v>1</v>
      </c>
      <c r="H622" s="84" t="s">
        <v>61</v>
      </c>
      <c r="I622" s="80" t="s">
        <v>144</v>
      </c>
      <c r="J622" s="80" t="s">
        <v>145</v>
      </c>
      <c r="K622" s="80" t="s">
        <v>146</v>
      </c>
      <c r="L622" s="80" t="s">
        <v>147</v>
      </c>
      <c r="M622" s="80" t="s">
        <v>148</v>
      </c>
      <c r="N622" s="80" t="s">
        <v>149</v>
      </c>
      <c r="O622" s="101" t="n">
        <v>46146</v>
      </c>
      <c r="P622" s="84"/>
      <c r="Q622" s="84"/>
      <c r="R622" s="87" t="s">
        <v>932</v>
      </c>
      <c r="S622" s="87" t="s">
        <v>84</v>
      </c>
    </row>
    <row r="623" s="77" customFormat="true" ht="25.5" hidden="false" customHeight="true" outlineLevel="1" collapsed="false">
      <c r="B623" s="78"/>
      <c r="C623" s="80" t="n">
        <v>606</v>
      </c>
      <c r="D623" s="80" t="s">
        <v>159</v>
      </c>
      <c r="E623" s="81" t="s">
        <v>1486</v>
      </c>
      <c r="F623" s="82" t="s">
        <v>160</v>
      </c>
      <c r="G623" s="88" t="n">
        <v>1</v>
      </c>
      <c r="H623" s="84" t="s">
        <v>61</v>
      </c>
      <c r="I623" s="80" t="s">
        <v>161</v>
      </c>
      <c r="J623" s="80" t="s">
        <v>162</v>
      </c>
      <c r="K623" s="80" t="s">
        <v>163</v>
      </c>
      <c r="L623" s="80" t="s">
        <v>164</v>
      </c>
      <c r="M623" s="80" t="s">
        <v>164</v>
      </c>
      <c r="N623" s="80" t="s">
        <v>165</v>
      </c>
      <c r="O623" s="101" t="n">
        <v>46146</v>
      </c>
      <c r="P623" s="84"/>
      <c r="Q623" s="84"/>
      <c r="R623" s="87" t="s">
        <v>932</v>
      </c>
      <c r="S623" s="87" t="s">
        <v>31</v>
      </c>
    </row>
    <row r="624" s="77" customFormat="true" ht="25.5" hidden="false" customHeight="true" outlineLevel="1" collapsed="false">
      <c r="B624" s="78"/>
      <c r="C624" s="80" t="n">
        <v>607</v>
      </c>
      <c r="D624" s="80" t="s">
        <v>174</v>
      </c>
      <c r="E624" s="81" t="s">
        <v>1486</v>
      </c>
      <c r="F624" s="82" t="s">
        <v>175</v>
      </c>
      <c r="G624" s="88" t="n">
        <v>1</v>
      </c>
      <c r="H624" s="84" t="s">
        <v>152</v>
      </c>
      <c r="I624" s="80" t="s">
        <v>176</v>
      </c>
      <c r="J624" s="80" t="s">
        <v>177</v>
      </c>
      <c r="K624" s="80" t="s">
        <v>178</v>
      </c>
      <c r="L624" s="80" t="s">
        <v>179</v>
      </c>
      <c r="M624" s="80" t="s">
        <v>180</v>
      </c>
      <c r="N624" s="80" t="s">
        <v>181</v>
      </c>
      <c r="O624" s="101" t="n">
        <v>46111</v>
      </c>
      <c r="P624" s="84"/>
      <c r="Q624" s="84"/>
      <c r="R624" s="87" t="s">
        <v>932</v>
      </c>
      <c r="S624" s="87" t="s">
        <v>84</v>
      </c>
    </row>
    <row r="625" s="77" customFormat="true" ht="25.5" hidden="false" customHeight="true" outlineLevel="1" collapsed="false">
      <c r="B625" s="78"/>
      <c r="C625" s="80" t="n">
        <v>608</v>
      </c>
      <c r="D625" s="80" t="s">
        <v>667</v>
      </c>
      <c r="E625" s="81" t="s">
        <v>1486</v>
      </c>
      <c r="F625" s="82" t="s">
        <v>668</v>
      </c>
      <c r="G625" s="88" t="n">
        <v>1</v>
      </c>
      <c r="H625" s="84" t="s">
        <v>61</v>
      </c>
      <c r="I625" s="80" t="s">
        <v>674</v>
      </c>
      <c r="J625" s="80" t="s">
        <v>675</v>
      </c>
      <c r="K625" s="93" t="s">
        <v>676</v>
      </c>
      <c r="L625" s="80" t="s">
        <v>672</v>
      </c>
      <c r="M625" s="80" t="s">
        <v>677</v>
      </c>
      <c r="N625" s="80" t="s">
        <v>673</v>
      </c>
      <c r="O625" s="101" t="n">
        <v>46146</v>
      </c>
      <c r="P625" s="84"/>
      <c r="Q625" s="84"/>
      <c r="R625" s="87" t="s">
        <v>932</v>
      </c>
      <c r="S625" s="87" t="s">
        <v>84</v>
      </c>
    </row>
    <row r="626" s="77" customFormat="true" ht="25.5" hidden="false" customHeight="true" outlineLevel="1" collapsed="false">
      <c r="B626" s="78"/>
      <c r="C626" s="80" t="n">
        <v>609</v>
      </c>
      <c r="D626" s="80" t="s">
        <v>182</v>
      </c>
      <c r="E626" s="81" t="s">
        <v>1486</v>
      </c>
      <c r="F626" s="82" t="s">
        <v>183</v>
      </c>
      <c r="G626" s="88" t="n">
        <v>1</v>
      </c>
      <c r="H626" s="84" t="s">
        <v>111</v>
      </c>
      <c r="I626" s="80" t="s">
        <v>184</v>
      </c>
      <c r="J626" s="80" t="s">
        <v>185</v>
      </c>
      <c r="K626" s="80" t="s">
        <v>186</v>
      </c>
      <c r="L626" s="80" t="s">
        <v>187</v>
      </c>
      <c r="M626" s="80" t="s">
        <v>188</v>
      </c>
      <c r="N626" s="80" t="s">
        <v>189</v>
      </c>
      <c r="O626" s="101" t="n">
        <v>46111</v>
      </c>
      <c r="P626" s="84"/>
      <c r="Q626" s="84"/>
      <c r="R626" s="87" t="s">
        <v>932</v>
      </c>
      <c r="S626" s="87" t="s">
        <v>84</v>
      </c>
    </row>
    <row r="627" s="77" customFormat="true" ht="25.5" hidden="false" customHeight="true" outlineLevel="1" collapsed="false">
      <c r="B627" s="78"/>
      <c r="C627" s="80" t="n">
        <v>610</v>
      </c>
      <c r="D627" s="80" t="s">
        <v>190</v>
      </c>
      <c r="E627" s="81" t="s">
        <v>1486</v>
      </c>
      <c r="F627" s="82" t="s">
        <v>191</v>
      </c>
      <c r="G627" s="88" t="n">
        <v>1</v>
      </c>
      <c r="H627" s="84" t="s">
        <v>24</v>
      </c>
      <c r="I627" s="80" t="s">
        <v>1475</v>
      </c>
      <c r="J627" s="80" t="s">
        <v>1476</v>
      </c>
      <c r="K627" s="80" t="s">
        <v>1477</v>
      </c>
      <c r="L627" s="80" t="s">
        <v>195</v>
      </c>
      <c r="M627" s="80" t="s">
        <v>140</v>
      </c>
      <c r="N627" s="80" t="s">
        <v>197</v>
      </c>
      <c r="O627" s="101" t="n">
        <v>46111</v>
      </c>
      <c r="P627" s="84"/>
      <c r="Q627" s="84"/>
      <c r="R627" s="87" t="s">
        <v>932</v>
      </c>
      <c r="S627" s="87" t="s">
        <v>31</v>
      </c>
    </row>
    <row r="628" s="77" customFormat="true" ht="25.5" hidden="false" customHeight="true" outlineLevel="1" collapsed="false">
      <c r="B628" s="78"/>
      <c r="C628" s="80" t="n">
        <v>611</v>
      </c>
      <c r="D628" s="80" t="s">
        <v>198</v>
      </c>
      <c r="E628" s="81" t="s">
        <v>1486</v>
      </c>
      <c r="F628" s="82" t="s">
        <v>199</v>
      </c>
      <c r="G628" s="88" t="n">
        <v>1</v>
      </c>
      <c r="H628" s="84" t="s">
        <v>200</v>
      </c>
      <c r="I628" s="80" t="s">
        <v>201</v>
      </c>
      <c r="J628" s="80" t="s">
        <v>202</v>
      </c>
      <c r="K628" s="80" t="s">
        <v>203</v>
      </c>
      <c r="L628" s="80" t="s">
        <v>204</v>
      </c>
      <c r="M628" s="80" t="s">
        <v>205</v>
      </c>
      <c r="N628" s="80" t="s">
        <v>206</v>
      </c>
      <c r="O628" s="101" t="n">
        <v>46111</v>
      </c>
      <c r="P628" s="84"/>
      <c r="Q628" s="84"/>
      <c r="R628" s="87" t="s">
        <v>932</v>
      </c>
      <c r="S628" s="87" t="s">
        <v>84</v>
      </c>
    </row>
    <row r="629" s="77" customFormat="true" ht="25.5" hidden="false" customHeight="true" outlineLevel="1" collapsed="false">
      <c r="B629" s="78"/>
      <c r="C629" s="80" t="n">
        <v>612</v>
      </c>
      <c r="D629" s="80" t="s">
        <v>207</v>
      </c>
      <c r="E629" s="81" t="s">
        <v>1486</v>
      </c>
      <c r="F629" s="82" t="s">
        <v>208</v>
      </c>
      <c r="G629" s="88" t="n">
        <v>1</v>
      </c>
      <c r="H629" s="84" t="s">
        <v>61</v>
      </c>
      <c r="I629" s="80" t="s">
        <v>209</v>
      </c>
      <c r="J629" s="80" t="s">
        <v>210</v>
      </c>
      <c r="K629" s="80" t="s">
        <v>211</v>
      </c>
      <c r="L629" s="80" t="s">
        <v>212</v>
      </c>
      <c r="M629" s="80" t="s">
        <v>213</v>
      </c>
      <c r="N629" s="80" t="s">
        <v>214</v>
      </c>
      <c r="O629" s="101" t="n">
        <v>46146</v>
      </c>
      <c r="P629" s="84"/>
      <c r="Q629" s="84"/>
      <c r="R629" s="87" t="s">
        <v>932</v>
      </c>
      <c r="S629" s="87" t="s">
        <v>31</v>
      </c>
    </row>
    <row r="630" s="77" customFormat="true" ht="30" hidden="false" customHeight="true" outlineLevel="1" collapsed="false">
      <c r="B630" s="78"/>
      <c r="C630" s="80" t="n">
        <v>613</v>
      </c>
      <c r="D630" s="80" t="s">
        <v>231</v>
      </c>
      <c r="E630" s="81" t="s">
        <v>1486</v>
      </c>
      <c r="F630" s="82" t="s">
        <v>232</v>
      </c>
      <c r="G630" s="88" t="n">
        <v>1</v>
      </c>
      <c r="H630" s="84" t="s">
        <v>61</v>
      </c>
      <c r="I630" s="80" t="s">
        <v>233</v>
      </c>
      <c r="J630" s="80" t="s">
        <v>234</v>
      </c>
      <c r="K630" s="80" t="s">
        <v>235</v>
      </c>
      <c r="L630" s="80" t="s">
        <v>236</v>
      </c>
      <c r="M630" s="80" t="s">
        <v>891</v>
      </c>
      <c r="N630" s="80" t="s">
        <v>238</v>
      </c>
      <c r="O630" s="101" t="n">
        <v>46146</v>
      </c>
      <c r="P630" s="84"/>
      <c r="Q630" s="84"/>
      <c r="R630" s="87" t="s">
        <v>932</v>
      </c>
      <c r="S630" s="87" t="s">
        <v>84</v>
      </c>
    </row>
    <row r="631" s="77" customFormat="true" ht="30" hidden="false" customHeight="true" outlineLevel="1" collapsed="false">
      <c r="B631" s="78"/>
      <c r="C631" s="80" t="n">
        <v>614</v>
      </c>
      <c r="D631" s="80" t="s">
        <v>247</v>
      </c>
      <c r="E631" s="81" t="s">
        <v>1486</v>
      </c>
      <c r="F631" s="82" t="s">
        <v>248</v>
      </c>
      <c r="G631" s="88" t="n">
        <v>1</v>
      </c>
      <c r="H631" s="84" t="s">
        <v>61</v>
      </c>
      <c r="I631" s="80" t="s">
        <v>1487</v>
      </c>
      <c r="J631" s="80" t="s">
        <v>250</v>
      </c>
      <c r="K631" s="80" t="s">
        <v>251</v>
      </c>
      <c r="L631" s="80" t="s">
        <v>252</v>
      </c>
      <c r="M631" s="80" t="s">
        <v>535</v>
      </c>
      <c r="N631" s="80" t="s">
        <v>254</v>
      </c>
      <c r="O631" s="101" t="n">
        <v>46146</v>
      </c>
      <c r="P631" s="84"/>
      <c r="Q631" s="84"/>
      <c r="R631" s="87" t="s">
        <v>932</v>
      </c>
      <c r="S631" s="87" t="s">
        <v>84</v>
      </c>
    </row>
    <row r="632" s="77" customFormat="true" ht="25.5" hidden="false" customHeight="true" outlineLevel="1" collapsed="false">
      <c r="B632" s="78"/>
      <c r="C632" s="80" t="n">
        <v>615</v>
      </c>
      <c r="D632" s="80" t="s">
        <v>743</v>
      </c>
      <c r="E632" s="81" t="s">
        <v>1486</v>
      </c>
      <c r="F632" s="82" t="s">
        <v>744</v>
      </c>
      <c r="G632" s="88" t="n">
        <v>1</v>
      </c>
      <c r="H632" s="84" t="s">
        <v>745</v>
      </c>
      <c r="I632" s="80" t="s">
        <v>746</v>
      </c>
      <c r="J632" s="80" t="s">
        <v>747</v>
      </c>
      <c r="K632" s="80" t="s">
        <v>748</v>
      </c>
      <c r="L632" s="80" t="s">
        <v>749</v>
      </c>
      <c r="M632" s="80" t="s">
        <v>750</v>
      </c>
      <c r="N632" s="80" t="s">
        <v>751</v>
      </c>
      <c r="O632" s="101" t="n">
        <v>46111</v>
      </c>
      <c r="P632" s="84"/>
      <c r="Q632" s="84"/>
      <c r="R632" s="87" t="s">
        <v>932</v>
      </c>
      <c r="S632" s="87" t="s">
        <v>84</v>
      </c>
    </row>
    <row r="633" s="77" customFormat="true" ht="25.5" hidden="false" customHeight="true" outlineLevel="1" collapsed="false">
      <c r="B633" s="78"/>
      <c r="C633" s="80" t="n">
        <v>616</v>
      </c>
      <c r="D633" s="80" t="s">
        <v>859</v>
      </c>
      <c r="E633" s="81" t="s">
        <v>1486</v>
      </c>
      <c r="F633" s="82" t="s">
        <v>860</v>
      </c>
      <c r="G633" s="88" t="n">
        <v>1</v>
      </c>
      <c r="H633" s="84" t="s">
        <v>861</v>
      </c>
      <c r="I633" s="80" t="s">
        <v>862</v>
      </c>
      <c r="J633" s="80" t="s">
        <v>863</v>
      </c>
      <c r="K633" s="80" t="s">
        <v>864</v>
      </c>
      <c r="L633" s="80" t="s">
        <v>865</v>
      </c>
      <c r="M633" s="80" t="s">
        <v>866</v>
      </c>
      <c r="N633" s="80" t="s">
        <v>867</v>
      </c>
      <c r="O633" s="101" t="n">
        <v>46111</v>
      </c>
      <c r="P633" s="84"/>
      <c r="Q633" s="84"/>
      <c r="R633" s="87" t="s">
        <v>932</v>
      </c>
      <c r="S633" s="87" t="s">
        <v>31</v>
      </c>
    </row>
    <row r="634" s="77" customFormat="true" ht="25.5" hidden="false" customHeight="true" outlineLevel="1" collapsed="false">
      <c r="B634" s="78"/>
      <c r="C634" s="80" t="n">
        <v>617</v>
      </c>
      <c r="D634" s="80" t="s">
        <v>326</v>
      </c>
      <c r="E634" s="81" t="s">
        <v>1486</v>
      </c>
      <c r="F634" s="82" t="s">
        <v>327</v>
      </c>
      <c r="G634" s="88" t="n">
        <v>1</v>
      </c>
      <c r="H634" s="84" t="s">
        <v>152</v>
      </c>
      <c r="I634" s="80" t="s">
        <v>328</v>
      </c>
      <c r="J634" s="80" t="s">
        <v>329</v>
      </c>
      <c r="K634" s="80" t="s">
        <v>330</v>
      </c>
      <c r="L634" s="80" t="s">
        <v>331</v>
      </c>
      <c r="M634" s="80" t="s">
        <v>332</v>
      </c>
      <c r="N634" s="80" t="s">
        <v>333</v>
      </c>
      <c r="O634" s="101" t="n">
        <v>46111</v>
      </c>
      <c r="P634" s="84"/>
      <c r="Q634" s="84"/>
      <c r="R634" s="87" t="s">
        <v>932</v>
      </c>
      <c r="S634" s="87" t="s">
        <v>31</v>
      </c>
    </row>
    <row r="635" s="77" customFormat="true" ht="25.5" hidden="false" customHeight="true" outlineLevel="1" collapsed="false">
      <c r="B635" s="78"/>
      <c r="C635" s="80" t="n">
        <v>618</v>
      </c>
      <c r="D635" s="80" t="s">
        <v>342</v>
      </c>
      <c r="E635" s="81" t="s">
        <v>1486</v>
      </c>
      <c r="F635" s="82" t="s">
        <v>343</v>
      </c>
      <c r="G635" s="88" t="n">
        <v>1</v>
      </c>
      <c r="H635" s="84" t="s">
        <v>24</v>
      </c>
      <c r="I635" s="80" t="s">
        <v>344</v>
      </c>
      <c r="J635" s="80" t="s">
        <v>345</v>
      </c>
      <c r="K635" s="80" t="s">
        <v>346</v>
      </c>
      <c r="L635" s="80" t="s">
        <v>348</v>
      </c>
      <c r="M635" s="80" t="s">
        <v>348</v>
      </c>
      <c r="N635" s="80" t="s">
        <v>349</v>
      </c>
      <c r="O635" s="101" t="n">
        <v>46111</v>
      </c>
      <c r="P635" s="84"/>
      <c r="Q635" s="84"/>
      <c r="R635" s="87" t="s">
        <v>932</v>
      </c>
      <c r="S635" s="87" t="s">
        <v>31</v>
      </c>
    </row>
    <row r="636" s="77" customFormat="true" ht="25.5" hidden="false" customHeight="true" outlineLevel="1" collapsed="false">
      <c r="B636" s="78"/>
      <c r="C636" s="80" t="n">
        <v>619</v>
      </c>
      <c r="D636" s="80" t="s">
        <v>802</v>
      </c>
      <c r="E636" s="81" t="s">
        <v>1486</v>
      </c>
      <c r="F636" s="82" t="s">
        <v>803</v>
      </c>
      <c r="G636" s="88" t="n">
        <v>1</v>
      </c>
      <c r="H636" s="84" t="s">
        <v>804</v>
      </c>
      <c r="I636" s="80" t="s">
        <v>805</v>
      </c>
      <c r="J636" s="80" t="s">
        <v>806</v>
      </c>
      <c r="K636" s="78" t="s">
        <v>807</v>
      </c>
      <c r="L636" s="80" t="s">
        <v>808</v>
      </c>
      <c r="M636" s="80" t="s">
        <v>809</v>
      </c>
      <c r="N636" s="80" t="s">
        <v>810</v>
      </c>
      <c r="O636" s="101" t="n">
        <v>46111</v>
      </c>
      <c r="P636" s="84"/>
      <c r="Q636" s="84"/>
      <c r="R636" s="87" t="s">
        <v>932</v>
      </c>
      <c r="S636" s="87" t="s">
        <v>84</v>
      </c>
    </row>
    <row r="637" s="77" customFormat="true" ht="25.5" hidden="false" customHeight="true" outlineLevel="1" collapsed="false">
      <c r="B637" s="78"/>
      <c r="C637" s="80" t="n">
        <v>620</v>
      </c>
      <c r="D637" s="80" t="s">
        <v>366</v>
      </c>
      <c r="E637" s="81" t="s">
        <v>1486</v>
      </c>
      <c r="F637" s="82" t="s">
        <v>367</v>
      </c>
      <c r="G637" s="88" t="n">
        <v>1</v>
      </c>
      <c r="H637" s="84" t="s">
        <v>368</v>
      </c>
      <c r="I637" s="80" t="s">
        <v>369</v>
      </c>
      <c r="J637" s="80" t="s">
        <v>370</v>
      </c>
      <c r="K637" s="80" t="s">
        <v>371</v>
      </c>
      <c r="L637" s="80" t="s">
        <v>372</v>
      </c>
      <c r="M637" s="80" t="s">
        <v>373</v>
      </c>
      <c r="N637" s="80" t="s">
        <v>374</v>
      </c>
      <c r="O637" s="101" t="n">
        <v>46111</v>
      </c>
      <c r="P637" s="84"/>
      <c r="Q637" s="84"/>
      <c r="R637" s="87" t="s">
        <v>932</v>
      </c>
      <c r="S637" s="87" t="s">
        <v>84</v>
      </c>
    </row>
    <row r="638" s="77" customFormat="true" ht="15" hidden="false" customHeight="false" outlineLevel="1" collapsed="false">
      <c r="B638" s="78"/>
      <c r="C638" s="80" t="n">
        <v>621</v>
      </c>
      <c r="D638" s="80" t="s">
        <v>375</v>
      </c>
      <c r="E638" s="81" t="s">
        <v>1486</v>
      </c>
      <c r="F638" s="82" t="s">
        <v>376</v>
      </c>
      <c r="G638" s="88" t="n">
        <v>1</v>
      </c>
      <c r="H638" s="84" t="s">
        <v>111</v>
      </c>
      <c r="I638" s="80" t="s">
        <v>377</v>
      </c>
      <c r="J638" s="80" t="s">
        <v>378</v>
      </c>
      <c r="K638" s="80" t="s">
        <v>379</v>
      </c>
      <c r="L638" s="80" t="s">
        <v>380</v>
      </c>
      <c r="M638" s="80" t="s">
        <v>381</v>
      </c>
      <c r="N638" s="80" t="s">
        <v>382</v>
      </c>
      <c r="O638" s="101" t="n">
        <v>46111</v>
      </c>
      <c r="P638" s="84"/>
      <c r="Q638" s="84"/>
      <c r="R638" s="87" t="s">
        <v>932</v>
      </c>
      <c r="S638" s="87" t="s">
        <v>31</v>
      </c>
    </row>
    <row r="639" s="77" customFormat="true" ht="25.5" hidden="false" customHeight="true" outlineLevel="1" collapsed="false">
      <c r="B639" s="78"/>
      <c r="C639" s="80" t="n">
        <v>622</v>
      </c>
      <c r="D639" s="80" t="s">
        <v>383</v>
      </c>
      <c r="E639" s="81" t="s">
        <v>1486</v>
      </c>
      <c r="F639" s="82" t="s">
        <v>384</v>
      </c>
      <c r="G639" s="88" t="n">
        <v>1</v>
      </c>
      <c r="H639" s="84" t="s">
        <v>61</v>
      </c>
      <c r="I639" s="80" t="s">
        <v>385</v>
      </c>
      <c r="J639" s="80" t="s">
        <v>386</v>
      </c>
      <c r="K639" s="80" t="s">
        <v>387</v>
      </c>
      <c r="L639" s="80" t="s">
        <v>388</v>
      </c>
      <c r="M639" s="80" t="s">
        <v>389</v>
      </c>
      <c r="N639" s="80" t="s">
        <v>390</v>
      </c>
      <c r="O639" s="101" t="n">
        <v>46146</v>
      </c>
      <c r="P639" s="84"/>
      <c r="Q639" s="84"/>
      <c r="R639" s="87" t="s">
        <v>932</v>
      </c>
      <c r="S639" s="87" t="s">
        <v>84</v>
      </c>
    </row>
    <row r="640" s="77" customFormat="true" ht="25.5" hidden="false" customHeight="true" outlineLevel="1" collapsed="false">
      <c r="B640" s="78"/>
      <c r="C640" s="80" t="n">
        <v>623</v>
      </c>
      <c r="D640" s="80" t="s">
        <v>399</v>
      </c>
      <c r="E640" s="81" t="s">
        <v>1486</v>
      </c>
      <c r="F640" s="82" t="s">
        <v>400</v>
      </c>
      <c r="G640" s="88" t="n">
        <v>1</v>
      </c>
      <c r="H640" s="84" t="s">
        <v>152</v>
      </c>
      <c r="I640" s="80" t="s">
        <v>401</v>
      </c>
      <c r="J640" s="80" t="s">
        <v>402</v>
      </c>
      <c r="K640" s="80" t="s">
        <v>403</v>
      </c>
      <c r="L640" s="80" t="s">
        <v>404</v>
      </c>
      <c r="M640" s="80" t="s">
        <v>791</v>
      </c>
      <c r="N640" s="80" t="s">
        <v>406</v>
      </c>
      <c r="O640" s="101" t="n">
        <v>46111</v>
      </c>
      <c r="P640" s="84"/>
      <c r="Q640" s="84"/>
      <c r="R640" s="87" t="s">
        <v>932</v>
      </c>
      <c r="S640" s="87" t="s">
        <v>84</v>
      </c>
    </row>
    <row r="641" s="77" customFormat="true" ht="25.5" hidden="false" customHeight="true" outlineLevel="1" collapsed="false">
      <c r="B641" s="78"/>
      <c r="C641" s="80" t="n">
        <v>624</v>
      </c>
      <c r="D641" s="80" t="s">
        <v>431</v>
      </c>
      <c r="E641" s="81" t="s">
        <v>1486</v>
      </c>
      <c r="F641" s="82" t="s">
        <v>432</v>
      </c>
      <c r="G641" s="88" t="n">
        <v>1</v>
      </c>
      <c r="H641" s="84" t="s">
        <v>152</v>
      </c>
      <c r="I641" s="80" t="s">
        <v>1488</v>
      </c>
      <c r="J641" s="80" t="s">
        <v>1489</v>
      </c>
      <c r="K641" s="80" t="s">
        <v>1490</v>
      </c>
      <c r="L641" s="80" t="s">
        <v>436</v>
      </c>
      <c r="M641" s="80" t="s">
        <v>437</v>
      </c>
      <c r="N641" s="80" t="s">
        <v>438</v>
      </c>
      <c r="O641" s="101" t="n">
        <v>46111</v>
      </c>
      <c r="P641" s="84"/>
      <c r="Q641" s="84"/>
      <c r="R641" s="87" t="s">
        <v>932</v>
      </c>
      <c r="S641" s="87" t="s">
        <v>31</v>
      </c>
    </row>
    <row r="642" s="77" customFormat="true" ht="25.5" hidden="false" customHeight="true" outlineLevel="1" collapsed="false">
      <c r="B642" s="78"/>
      <c r="C642" s="80" t="n">
        <v>625</v>
      </c>
      <c r="D642" s="80" t="s">
        <v>571</v>
      </c>
      <c r="E642" s="81" t="s">
        <v>1486</v>
      </c>
      <c r="F642" s="82" t="s">
        <v>572</v>
      </c>
      <c r="G642" s="88" t="n">
        <v>1</v>
      </c>
      <c r="H642" s="84" t="s">
        <v>573</v>
      </c>
      <c r="I642" s="80" t="s">
        <v>574</v>
      </c>
      <c r="J642" s="80" t="s">
        <v>575</v>
      </c>
      <c r="K642" s="80" t="s">
        <v>576</v>
      </c>
      <c r="L642" s="80" t="s">
        <v>577</v>
      </c>
      <c r="M642" s="80" t="s">
        <v>578</v>
      </c>
      <c r="N642" s="80" t="s">
        <v>579</v>
      </c>
      <c r="O642" s="101" t="n">
        <v>46111</v>
      </c>
      <c r="P642" s="84"/>
      <c r="Q642" s="84"/>
      <c r="R642" s="87" t="s">
        <v>932</v>
      </c>
      <c r="S642" s="87" t="s">
        <v>84</v>
      </c>
    </row>
    <row r="643" s="77" customFormat="true" ht="25.5" hidden="false" customHeight="true" outlineLevel="1" collapsed="false">
      <c r="B643" s="78"/>
      <c r="C643" s="80" t="n">
        <v>626</v>
      </c>
      <c r="D643" s="80" t="s">
        <v>760</v>
      </c>
      <c r="E643" s="81" t="s">
        <v>1486</v>
      </c>
      <c r="F643" s="82" t="s">
        <v>761</v>
      </c>
      <c r="G643" s="88" t="n">
        <v>1</v>
      </c>
      <c r="H643" s="84" t="s">
        <v>61</v>
      </c>
      <c r="I643" s="80" t="s">
        <v>762</v>
      </c>
      <c r="J643" s="80" t="s">
        <v>763</v>
      </c>
      <c r="K643" s="80" t="s">
        <v>764</v>
      </c>
      <c r="L643" s="80" t="s">
        <v>765</v>
      </c>
      <c r="M643" s="80" t="s">
        <v>765</v>
      </c>
      <c r="N643" s="80" t="s">
        <v>766</v>
      </c>
      <c r="O643" s="101" t="n">
        <v>46146</v>
      </c>
      <c r="P643" s="84"/>
      <c r="Q643" s="84"/>
      <c r="R643" s="87" t="s">
        <v>932</v>
      </c>
      <c r="S643" s="87" t="s">
        <v>84</v>
      </c>
    </row>
    <row r="644" s="77" customFormat="true" ht="30" hidden="false" customHeight="true" outlineLevel="1" collapsed="false">
      <c r="B644" s="78"/>
      <c r="C644" s="80" t="n">
        <v>627</v>
      </c>
      <c r="D644" s="80" t="s">
        <v>478</v>
      </c>
      <c r="E644" s="81" t="s">
        <v>1486</v>
      </c>
      <c r="F644" s="82" t="s">
        <v>479</v>
      </c>
      <c r="G644" s="88" t="n">
        <v>1</v>
      </c>
      <c r="H644" s="84" t="s">
        <v>111</v>
      </c>
      <c r="I644" s="80" t="s">
        <v>480</v>
      </c>
      <c r="J644" s="80" t="s">
        <v>481</v>
      </c>
      <c r="K644" s="80" t="s">
        <v>482</v>
      </c>
      <c r="L644" s="80" t="s">
        <v>483</v>
      </c>
      <c r="M644" s="80" t="s">
        <v>634</v>
      </c>
      <c r="N644" s="80" t="s">
        <v>485</v>
      </c>
      <c r="O644" s="101" t="n">
        <v>46111</v>
      </c>
      <c r="P644" s="84"/>
      <c r="Q644" s="84"/>
      <c r="R644" s="87" t="s">
        <v>932</v>
      </c>
      <c r="S644" s="87" t="s">
        <v>84</v>
      </c>
    </row>
    <row r="645" s="77" customFormat="true" ht="25.5" hidden="false" customHeight="true" outlineLevel="1" collapsed="false">
      <c r="B645" s="78"/>
      <c r="C645" s="80" t="n">
        <v>628</v>
      </c>
      <c r="D645" s="80" t="s">
        <v>494</v>
      </c>
      <c r="E645" s="81" t="s">
        <v>1486</v>
      </c>
      <c r="F645" s="82" t="s">
        <v>495</v>
      </c>
      <c r="G645" s="88" t="n">
        <v>1</v>
      </c>
      <c r="H645" s="84" t="s">
        <v>61</v>
      </c>
      <c r="I645" s="80" t="s">
        <v>496</v>
      </c>
      <c r="J645" s="80" t="s">
        <v>497</v>
      </c>
      <c r="K645" s="80" t="s">
        <v>498</v>
      </c>
      <c r="L645" s="80" t="s">
        <v>499</v>
      </c>
      <c r="M645" s="80" t="s">
        <v>500</v>
      </c>
      <c r="N645" s="80" t="s">
        <v>501</v>
      </c>
      <c r="O645" s="101" t="n">
        <v>46146</v>
      </c>
      <c r="P645" s="84"/>
      <c r="Q645" s="84"/>
      <c r="R645" s="87" t="s">
        <v>932</v>
      </c>
      <c r="S645" s="87" t="s">
        <v>84</v>
      </c>
    </row>
    <row r="646" s="77" customFormat="true" ht="25.5" hidden="false" customHeight="true" outlineLevel="1" collapsed="false">
      <c r="B646" s="78"/>
      <c r="C646" s="80" t="n">
        <v>629</v>
      </c>
      <c r="D646" s="80" t="s">
        <v>502</v>
      </c>
      <c r="E646" s="81" t="s">
        <v>1486</v>
      </c>
      <c r="F646" s="82" t="s">
        <v>503</v>
      </c>
      <c r="G646" s="88" t="n">
        <v>1</v>
      </c>
      <c r="H646" s="84" t="s">
        <v>61</v>
      </c>
      <c r="I646" s="80" t="s">
        <v>504</v>
      </c>
      <c r="J646" s="80" t="s">
        <v>505</v>
      </c>
      <c r="K646" s="80" t="s">
        <v>506</v>
      </c>
      <c r="L646" s="80" t="s">
        <v>283</v>
      </c>
      <c r="M646" s="80" t="s">
        <v>284</v>
      </c>
      <c r="N646" s="80" t="s">
        <v>507</v>
      </c>
      <c r="O646" s="101" t="n">
        <v>46146</v>
      </c>
      <c r="P646" s="84"/>
      <c r="Q646" s="84"/>
      <c r="R646" s="87" t="s">
        <v>932</v>
      </c>
      <c r="S646" s="87" t="s">
        <v>84</v>
      </c>
    </row>
    <row r="647" s="77" customFormat="true" ht="25.5" hidden="false" customHeight="true" outlineLevel="1" collapsed="false">
      <c r="B647" s="78"/>
      <c r="C647" s="80" t="n">
        <v>630</v>
      </c>
      <c r="D647" s="80" t="s">
        <v>508</v>
      </c>
      <c r="E647" s="81" t="s">
        <v>1486</v>
      </c>
      <c r="F647" s="82" t="s">
        <v>509</v>
      </c>
      <c r="G647" s="88" t="n">
        <v>2</v>
      </c>
      <c r="H647" s="84" t="s">
        <v>61</v>
      </c>
      <c r="I647" s="80" t="s">
        <v>510</v>
      </c>
      <c r="J647" s="80" t="s">
        <v>511</v>
      </c>
      <c r="K647" s="80" t="s">
        <v>512</v>
      </c>
      <c r="L647" s="80" t="s">
        <v>513</v>
      </c>
      <c r="M647" s="80" t="s">
        <v>514</v>
      </c>
      <c r="N647" s="80" t="s">
        <v>515</v>
      </c>
      <c r="O647" s="101" t="n">
        <v>46146</v>
      </c>
      <c r="P647" s="84"/>
      <c r="Q647" s="84"/>
      <c r="R647" s="87" t="s">
        <v>932</v>
      </c>
      <c r="S647" s="87" t="s">
        <v>31</v>
      </c>
    </row>
    <row r="648" s="77" customFormat="true" ht="25.5" hidden="false" customHeight="true" outlineLevel="1" collapsed="false">
      <c r="B648" s="78"/>
      <c r="C648" s="94" t="n">
        <v>631</v>
      </c>
      <c r="D648" s="80" t="s">
        <v>516</v>
      </c>
      <c r="E648" s="81" t="s">
        <v>1486</v>
      </c>
      <c r="F648" s="92" t="s">
        <v>517</v>
      </c>
      <c r="G648" s="88" t="n">
        <v>2</v>
      </c>
      <c r="H648" s="84" t="s">
        <v>61</v>
      </c>
      <c r="I648" s="82" t="s">
        <v>518</v>
      </c>
      <c r="J648" s="82" t="s">
        <v>519</v>
      </c>
      <c r="K648" s="78" t="s">
        <v>520</v>
      </c>
      <c r="L648" s="94" t="s">
        <v>521</v>
      </c>
      <c r="M648" s="94" t="s">
        <v>522</v>
      </c>
      <c r="N648" s="80" t="s">
        <v>523</v>
      </c>
      <c r="O648" s="101" t="n">
        <v>46146</v>
      </c>
      <c r="P648" s="84"/>
      <c r="Q648" s="84"/>
      <c r="R648" s="87" t="s">
        <v>932</v>
      </c>
      <c r="S648" s="87" t="s">
        <v>31</v>
      </c>
    </row>
    <row r="649" s="77" customFormat="true" ht="25.5" hidden="false" customHeight="true" outlineLevel="1" collapsed="false">
      <c r="B649" s="78"/>
      <c r="C649" s="80" t="n">
        <v>632</v>
      </c>
      <c r="D649" s="80" t="s">
        <v>644</v>
      </c>
      <c r="E649" s="81" t="s">
        <v>1486</v>
      </c>
      <c r="F649" s="82" t="s">
        <v>645</v>
      </c>
      <c r="G649" s="88" t="n">
        <v>1</v>
      </c>
      <c r="H649" s="84" t="s">
        <v>61</v>
      </c>
      <c r="I649" s="80" t="s">
        <v>646</v>
      </c>
      <c r="J649" s="80" t="s">
        <v>647</v>
      </c>
      <c r="K649" s="80" t="s">
        <v>648</v>
      </c>
      <c r="L649" s="80" t="s">
        <v>649</v>
      </c>
      <c r="M649" s="80" t="s">
        <v>650</v>
      </c>
      <c r="N649" s="80"/>
      <c r="O649" s="101" t="n">
        <v>46146</v>
      </c>
      <c r="P649" s="84"/>
      <c r="Q649" s="84"/>
      <c r="R649" s="87" t="s">
        <v>932</v>
      </c>
      <c r="S649" s="87" t="s">
        <v>793</v>
      </c>
    </row>
    <row r="650" customFormat="false" ht="15" hidden="false" customHeight="false" outlineLevel="0" collapsed="false">
      <c r="G650" s="59" t="n">
        <f aca="false">SUBTOTAL(9,G156:G649)</f>
        <v>3083</v>
      </c>
    </row>
    <row r="651" customFormat="false" ht="15" hidden="false" customHeight="false" outlineLevel="0" collapsed="false">
      <c r="G651" s="59" t="n">
        <v>2</v>
      </c>
    </row>
    <row r="652" customFormat="false" ht="15" hidden="false" customHeight="false" outlineLevel="0" collapsed="false">
      <c r="G652" s="59" t="n">
        <v>3</v>
      </c>
    </row>
  </sheetData>
  <conditionalFormatting sqref="C1:C1048576">
    <cfRule type="expression" priority="2" aboveAverage="0" equalAverage="0" bottom="0" percent="0" rank="0" text="" dxfId="0">
      <formula>ISNUMBER(SEARCH(CHAR(10),C1))</formula>
    </cfRule>
  </conditionalFormatting>
  <conditionalFormatting sqref="L509:M509">
    <cfRule type="expression" priority="3" aboveAverage="0" equalAverage="0" bottom="0" percent="0" rank="0" text="" dxfId="0">
      <formula>ISNUMBER(SEARCH(CHAR(10),L509))</formula>
    </cfRule>
  </conditionalFormatting>
  <conditionalFormatting sqref="M1:M508 M510:M1048576">
    <cfRule type="expression" priority="4" aboveAverage="0" equalAverage="0" bottom="0" percent="0" rank="0" text="" dxfId="0">
      <formula>ISNUMBER(SEARCH(CHAR(10),M1))</formula>
    </cfRule>
  </conditionalFormatting>
  <hyperlinks>
    <hyperlink ref="K17" r:id="rId1" display="mprahin@arhitekt.hr&#10;"/>
    <hyperlink ref="K77" r:id="rId2" display="nikola.kaniski@vhzk.hr&#10;"/>
    <hyperlink ref="K88" r:id="rId3" display="krunoslav.fuckor@pravo.hr&#10;lada.uzorinac@pravo.hr"/>
    <hyperlink ref="K194" r:id="rId4" display="nikola.kaniski@vhzk.hr&#10;"/>
    <hyperlink ref="K210" r:id="rId5" display="krunoslav.fuckor@pravo.hr&#10;lada.uzorinac@pravo.hr"/>
    <hyperlink ref="K272" r:id="rId6" display="krunoslav.fuckor@pravo.hr&#10;lada.uzorinac@pravo.hr"/>
    <hyperlink ref="K329" r:id="rId7" display="krunoslav.fuckor@pravo.hr&#10;lada.uzorinac@pravo.hr"/>
    <hyperlink ref="K509" r:id="rId8" display="informatika.zagreb@ufzg.hr"/>
    <hyperlink ref="K619" r:id="rId9" display="nikola.kaniski@vhzk.hr"/>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68" activePane="bottomLeft" state="frozen"/>
      <selection pane="topLeft" activeCell="A1" activeCellId="0" sqref="A1"/>
      <selection pane="bottomLeft" activeCell="H86" activeCellId="0" sqref="H86"/>
    </sheetView>
  </sheetViews>
  <sheetFormatPr defaultColWidth="8.8593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16"/>
    <col collapsed="false" customWidth="true" hidden="false" outlineLevel="0" max="4" min="4" style="0" width="10"/>
    <col collapsed="false" customWidth="true" hidden="false" outlineLevel="0" max="5" min="5" style="0" width="16"/>
    <col collapsed="false" customWidth="true" hidden="false" outlineLevel="0" max="6" min="6" style="0" width="36"/>
    <col collapsed="false" customWidth="true" hidden="false" outlineLevel="0" max="7" min="7" style="0" width="24"/>
    <col collapsed="false" customWidth="true" hidden="false" outlineLevel="0" max="8" min="8" style="0" width="18"/>
    <col collapsed="false" customWidth="true" hidden="false" outlineLevel="0" max="9" min="9" style="0" width="28"/>
    <col collapsed="false" customWidth="true" hidden="false" outlineLevel="0" max="10" min="10" style="0" width="24"/>
    <col collapsed="false" customWidth="true" hidden="false" outlineLevel="0" max="11" min="11" style="0" width="30"/>
  </cols>
  <sheetData>
    <row r="1" customFormat="false" ht="45" hidden="false" customHeight="true" outlineLevel="0" collapsed="false">
      <c r="A1" s="127" t="s">
        <v>1491</v>
      </c>
      <c r="B1" s="127" t="s">
        <v>1492</v>
      </c>
      <c r="C1" s="127" t="s">
        <v>1493</v>
      </c>
      <c r="D1" s="127" t="s">
        <v>4</v>
      </c>
      <c r="E1" s="127" t="s">
        <v>14</v>
      </c>
      <c r="F1" s="127" t="s">
        <v>1494</v>
      </c>
      <c r="G1" s="127" t="s">
        <v>1495</v>
      </c>
      <c r="H1" s="127" t="s">
        <v>1496</v>
      </c>
      <c r="I1" s="127" t="s">
        <v>1497</v>
      </c>
      <c r="J1" s="127" t="s">
        <v>1498</v>
      </c>
      <c r="K1" s="127" t="s">
        <v>1499</v>
      </c>
    </row>
    <row r="2" customFormat="false" ht="15" hidden="false" customHeight="false" outlineLevel="0" collapsed="false">
      <c r="G2" s="0" t="s">
        <v>9</v>
      </c>
      <c r="H2" s="0" t="s">
        <v>1500</v>
      </c>
      <c r="I2" s="0" t="s">
        <v>11</v>
      </c>
      <c r="J2" s="0" t="s">
        <v>1501</v>
      </c>
    </row>
    <row r="3" customFormat="false" ht="15" hidden="false" customHeight="false" outlineLevel="0" collapsed="false">
      <c r="A3" s="0" t="s">
        <v>917</v>
      </c>
      <c r="B3" s="0" t="s">
        <v>1018</v>
      </c>
      <c r="C3" s="0" t="s">
        <v>61</v>
      </c>
      <c r="D3" s="0" t="n">
        <v>202</v>
      </c>
      <c r="E3" s="0" t="n">
        <v>76023745044</v>
      </c>
      <c r="F3" s="0" t="s">
        <v>1019</v>
      </c>
      <c r="G3" s="0" t="s">
        <v>1015</v>
      </c>
      <c r="H3" s="0" t="s">
        <v>1016</v>
      </c>
      <c r="I3" s="0" t="s">
        <v>1017</v>
      </c>
      <c r="J3" s="0" t="s">
        <v>917</v>
      </c>
    </row>
    <row r="4" customFormat="false" ht="15" hidden="false" customHeight="false" outlineLevel="0" collapsed="false">
      <c r="A4" s="0" t="s">
        <v>303</v>
      </c>
      <c r="B4" s="0" t="s">
        <v>307</v>
      </c>
      <c r="C4" s="0" t="s">
        <v>61</v>
      </c>
      <c r="D4" s="0" t="n">
        <v>215</v>
      </c>
      <c r="E4" s="0" t="n">
        <v>52097842295</v>
      </c>
      <c r="F4" s="0" t="s">
        <v>307</v>
      </c>
      <c r="G4" s="0" t="s">
        <v>304</v>
      </c>
      <c r="H4" s="0" t="s">
        <v>305</v>
      </c>
      <c r="I4" s="0" t="s">
        <v>306</v>
      </c>
      <c r="J4" s="0" t="s">
        <v>303</v>
      </c>
    </row>
    <row r="5" customFormat="false" ht="15" hidden="false" customHeight="false" outlineLevel="0" collapsed="false">
      <c r="F5" s="0" t="s">
        <v>1502</v>
      </c>
    </row>
    <row r="6" customFormat="false" ht="15" hidden="false" customHeight="false" outlineLevel="0" collapsed="false">
      <c r="A6" s="0" t="s">
        <v>761</v>
      </c>
      <c r="B6" s="0" t="s">
        <v>765</v>
      </c>
      <c r="C6" s="0" t="s">
        <v>61</v>
      </c>
      <c r="D6" s="0" t="n">
        <v>214</v>
      </c>
      <c r="E6" s="0" t="n">
        <v>95847257607</v>
      </c>
      <c r="F6" s="0" t="s">
        <v>765</v>
      </c>
      <c r="G6" s="0" t="s">
        <v>762</v>
      </c>
      <c r="H6" s="0" t="s">
        <v>763</v>
      </c>
      <c r="I6" s="0" t="s">
        <v>764</v>
      </c>
      <c r="J6" s="0" t="s">
        <v>761</v>
      </c>
      <c r="K6" s="0" t="s">
        <v>1503</v>
      </c>
    </row>
    <row r="7" customFormat="false" ht="15" hidden="false" customHeight="false" outlineLevel="0" collapsed="false">
      <c r="F7" s="0" t="s">
        <v>1504</v>
      </c>
    </row>
    <row r="8" customFormat="false" ht="15" hidden="false" customHeight="false" outlineLevel="0" collapsed="false">
      <c r="A8" s="0" t="s">
        <v>319</v>
      </c>
      <c r="B8" s="0" t="s">
        <v>323</v>
      </c>
      <c r="C8" s="0" t="s">
        <v>111</v>
      </c>
      <c r="D8" s="0" t="n">
        <v>1939</v>
      </c>
      <c r="E8" s="0" t="n">
        <v>55704161999</v>
      </c>
      <c r="F8" s="0" t="s">
        <v>324</v>
      </c>
      <c r="G8" s="0" t="s">
        <v>320</v>
      </c>
      <c r="H8" s="0" t="s">
        <v>321</v>
      </c>
      <c r="I8" s="0" t="s">
        <v>322</v>
      </c>
      <c r="J8" s="0" t="s">
        <v>319</v>
      </c>
    </row>
    <row r="9" customFormat="false" ht="15" hidden="false" customHeight="false" outlineLevel="0" collapsed="false">
      <c r="A9" s="0" t="s">
        <v>915</v>
      </c>
      <c r="B9" s="0" t="s">
        <v>965</v>
      </c>
      <c r="C9" s="0" t="s">
        <v>152</v>
      </c>
      <c r="D9" s="0" t="n">
        <v>3927</v>
      </c>
      <c r="E9" s="0" t="n">
        <v>60277424315</v>
      </c>
      <c r="F9" s="0" t="s">
        <v>983</v>
      </c>
      <c r="G9" s="0" t="s">
        <v>962</v>
      </c>
      <c r="H9" s="0" t="s">
        <v>963</v>
      </c>
      <c r="I9" s="0" t="s">
        <v>964</v>
      </c>
      <c r="J9" s="0" t="s">
        <v>303</v>
      </c>
    </row>
    <row r="10" customFormat="false" ht="15" hidden="false" customHeight="false" outlineLevel="0" collapsed="false">
      <c r="F10" s="0" t="s">
        <v>966</v>
      </c>
    </row>
    <row r="11" customFormat="false" ht="15" hidden="false" customHeight="false" outlineLevel="0" collapsed="false">
      <c r="A11" s="0" t="s">
        <v>248</v>
      </c>
      <c r="B11" s="0" t="s">
        <v>252</v>
      </c>
      <c r="C11" s="0" t="s">
        <v>61</v>
      </c>
      <c r="D11" s="0" t="n">
        <v>141</v>
      </c>
      <c r="E11" s="0" t="n">
        <v>42061107444</v>
      </c>
      <c r="F11" s="0" t="s">
        <v>531</v>
      </c>
      <c r="G11" s="0" t="s">
        <v>1065</v>
      </c>
      <c r="H11" s="0" t="n">
        <v>385919845267</v>
      </c>
      <c r="I11" s="0" t="s">
        <v>1067</v>
      </c>
      <c r="J11" s="0" t="s">
        <v>248</v>
      </c>
    </row>
    <row r="12" customFormat="false" ht="15" hidden="false" customHeight="false" outlineLevel="0" collapsed="false">
      <c r="F12" s="0" t="s">
        <v>535</v>
      </c>
      <c r="G12" s="0" t="s">
        <v>532</v>
      </c>
      <c r="H12" s="0" t="n">
        <v>38598302567</v>
      </c>
      <c r="I12" s="0" t="s">
        <v>534</v>
      </c>
    </row>
    <row r="13" customFormat="false" ht="15" hidden="false" customHeight="false" outlineLevel="0" collapsed="false">
      <c r="A13" s="0" t="s">
        <v>208</v>
      </c>
      <c r="B13" s="0" t="s">
        <v>212</v>
      </c>
      <c r="C13" s="0" t="s">
        <v>61</v>
      </c>
      <c r="D13" s="0" t="n">
        <v>3340</v>
      </c>
      <c r="E13" s="0" t="n">
        <v>34967762426</v>
      </c>
      <c r="F13" s="0" t="s">
        <v>213</v>
      </c>
      <c r="G13" s="0" t="s">
        <v>209</v>
      </c>
      <c r="H13" s="0" t="s">
        <v>210</v>
      </c>
      <c r="I13" s="0" t="s">
        <v>211</v>
      </c>
      <c r="J13" s="0" t="s">
        <v>208</v>
      </c>
      <c r="K13" s="0" t="s">
        <v>1505</v>
      </c>
    </row>
    <row r="14" customFormat="false" ht="15" hidden="false" customHeight="false" outlineLevel="0" collapsed="false">
      <c r="A14" s="0" t="s">
        <v>769</v>
      </c>
      <c r="B14" s="0" t="s">
        <v>773</v>
      </c>
      <c r="C14" s="0" t="s">
        <v>61</v>
      </c>
      <c r="D14" s="0" t="n">
        <v>152</v>
      </c>
      <c r="E14" s="0" t="n">
        <v>27208467122</v>
      </c>
      <c r="F14" s="0" t="s">
        <v>774</v>
      </c>
      <c r="G14" s="0" t="s">
        <v>770</v>
      </c>
      <c r="H14" s="0" t="s">
        <v>771</v>
      </c>
      <c r="I14" s="0" t="s">
        <v>772</v>
      </c>
      <c r="J14" s="0" t="s">
        <v>769</v>
      </c>
    </row>
    <row r="15" customFormat="false" ht="15" hidden="false" customHeight="false" outlineLevel="0" collapsed="false">
      <c r="A15" s="0" t="s">
        <v>311</v>
      </c>
      <c r="B15" s="0" t="s">
        <v>315</v>
      </c>
      <c r="C15" s="0" t="s">
        <v>152</v>
      </c>
      <c r="D15" s="0" t="n">
        <v>125</v>
      </c>
      <c r="E15" s="0" t="n">
        <v>52778515544</v>
      </c>
      <c r="F15" s="0" t="s">
        <v>316</v>
      </c>
      <c r="G15" s="0" t="s">
        <v>312</v>
      </c>
      <c r="H15" s="0" t="n">
        <v>385912244189</v>
      </c>
      <c r="I15" s="0" t="s">
        <v>314</v>
      </c>
      <c r="J15" s="0" t="s">
        <v>311</v>
      </c>
    </row>
    <row r="16" customFormat="false" ht="15" hidden="false" customHeight="false" outlineLevel="0" collapsed="false">
      <c r="A16" s="0" t="s">
        <v>448</v>
      </c>
      <c r="B16" s="0" t="s">
        <v>452</v>
      </c>
      <c r="C16" s="0" t="s">
        <v>24</v>
      </c>
      <c r="D16" s="0" t="n">
        <v>316</v>
      </c>
      <c r="E16" s="0" t="n">
        <v>84477684422</v>
      </c>
      <c r="F16" s="0" t="s">
        <v>453</v>
      </c>
      <c r="G16" s="0" t="s">
        <v>449</v>
      </c>
      <c r="H16" s="0" t="s">
        <v>450</v>
      </c>
      <c r="I16" s="0" t="s">
        <v>451</v>
      </c>
      <c r="J16" s="0" t="s">
        <v>448</v>
      </c>
    </row>
    <row r="17" customFormat="false" ht="15" hidden="false" customHeight="false" outlineLevel="0" collapsed="false">
      <c r="A17" s="0" t="s">
        <v>537</v>
      </c>
      <c r="B17" s="0" t="s">
        <v>541</v>
      </c>
      <c r="C17" s="0" t="s">
        <v>111</v>
      </c>
      <c r="D17" s="0" t="n">
        <v>290</v>
      </c>
      <c r="E17" s="0" t="n">
        <v>26093119930</v>
      </c>
      <c r="F17" s="0" t="s">
        <v>541</v>
      </c>
      <c r="G17" s="0" t="s">
        <v>538</v>
      </c>
      <c r="H17" s="0" t="s">
        <v>539</v>
      </c>
      <c r="I17" s="0" t="s">
        <v>540</v>
      </c>
      <c r="J17" s="0" t="s">
        <v>537</v>
      </c>
    </row>
    <row r="18" customFormat="false" ht="15" hidden="false" customHeight="false" outlineLevel="0" collapsed="false">
      <c r="A18" s="0" t="s">
        <v>487</v>
      </c>
      <c r="B18" s="0" t="s">
        <v>491</v>
      </c>
      <c r="C18" s="0" t="s">
        <v>152</v>
      </c>
      <c r="D18" s="0" t="n">
        <v>158</v>
      </c>
      <c r="E18" s="0" t="n">
        <v>98816779821</v>
      </c>
      <c r="F18" s="0" t="s">
        <v>492</v>
      </c>
      <c r="G18" s="0" t="s">
        <v>488</v>
      </c>
      <c r="H18" s="0" t="s">
        <v>489</v>
      </c>
      <c r="I18" s="0" t="s">
        <v>490</v>
      </c>
      <c r="J18" s="0" t="s">
        <v>487</v>
      </c>
    </row>
    <row r="19" customFormat="false" ht="15" hidden="false" customHeight="false" outlineLevel="0" collapsed="false">
      <c r="A19" s="0" t="s">
        <v>335</v>
      </c>
      <c r="B19" s="0" t="s">
        <v>339</v>
      </c>
      <c r="C19" s="0" t="s">
        <v>61</v>
      </c>
      <c r="D19" s="0" t="n">
        <v>138</v>
      </c>
      <c r="E19" s="0" t="n">
        <v>57029260362</v>
      </c>
      <c r="F19" s="0" t="s">
        <v>543</v>
      </c>
      <c r="G19" s="0" t="s">
        <v>336</v>
      </c>
      <c r="H19" s="0" t="s">
        <v>337</v>
      </c>
      <c r="I19" s="0" t="s">
        <v>338</v>
      </c>
      <c r="J19" s="0" t="s">
        <v>335</v>
      </c>
    </row>
    <row r="20" customFormat="false" ht="15" hidden="false" customHeight="false" outlineLevel="0" collapsed="false">
      <c r="F20" s="0" t="s">
        <v>1405</v>
      </c>
    </row>
    <row r="21" customFormat="false" ht="15" hidden="false" customHeight="false" outlineLevel="0" collapsed="false">
      <c r="A21" s="0" t="s">
        <v>464</v>
      </c>
      <c r="B21" s="0" t="s">
        <v>468</v>
      </c>
      <c r="C21" s="0" t="s">
        <v>152</v>
      </c>
      <c r="D21" s="0" t="n">
        <v>199</v>
      </c>
      <c r="E21" s="0" t="n">
        <v>95494259952</v>
      </c>
      <c r="F21" s="0" t="s">
        <v>1133</v>
      </c>
      <c r="G21" s="0" t="s">
        <v>465</v>
      </c>
      <c r="H21" s="0" t="s">
        <v>466</v>
      </c>
      <c r="I21" s="0" t="s">
        <v>467</v>
      </c>
      <c r="J21" s="0" t="s">
        <v>464</v>
      </c>
    </row>
    <row r="22" customFormat="false" ht="15" hidden="false" customHeight="false" outlineLevel="0" collapsed="false">
      <c r="F22" s="0" t="s">
        <v>469</v>
      </c>
    </row>
    <row r="23" customFormat="false" ht="15" hidden="false" customHeight="false" outlineLevel="0" collapsed="false">
      <c r="A23" s="0" t="s">
        <v>22</v>
      </c>
      <c r="B23" s="0" t="s">
        <v>28</v>
      </c>
      <c r="C23" s="0" t="s">
        <v>24</v>
      </c>
      <c r="D23" s="0" t="n">
        <v>133</v>
      </c>
      <c r="E23" s="0" t="n">
        <v>857144221</v>
      </c>
      <c r="F23" s="0" t="s">
        <v>29</v>
      </c>
      <c r="G23" s="0" t="s">
        <v>25</v>
      </c>
      <c r="H23" s="0" t="s">
        <v>26</v>
      </c>
      <c r="I23" s="0" t="s">
        <v>27</v>
      </c>
      <c r="J23" s="0" t="s">
        <v>22</v>
      </c>
    </row>
    <row r="24" customFormat="false" ht="15" hidden="false" customHeight="false" outlineLevel="0" collapsed="false">
      <c r="A24" s="0" t="s">
        <v>160</v>
      </c>
      <c r="B24" s="0" t="s">
        <v>164</v>
      </c>
      <c r="C24" s="0" t="s">
        <v>61</v>
      </c>
      <c r="D24" s="0" t="n">
        <v>205</v>
      </c>
      <c r="E24" s="0" t="n">
        <v>26975482530</v>
      </c>
      <c r="F24" s="0" t="s">
        <v>164</v>
      </c>
      <c r="G24" s="0" t="s">
        <v>161</v>
      </c>
      <c r="H24" s="0" t="n">
        <v>989478881</v>
      </c>
      <c r="I24" s="0" t="s">
        <v>163</v>
      </c>
      <c r="J24" s="0" t="s">
        <v>160</v>
      </c>
    </row>
    <row r="25" customFormat="false" ht="15" hidden="false" customHeight="false" outlineLevel="0" collapsed="false">
      <c r="A25" s="0" t="s">
        <v>545</v>
      </c>
      <c r="B25" s="0" t="s">
        <v>549</v>
      </c>
      <c r="C25" s="0" t="s">
        <v>24</v>
      </c>
      <c r="D25" s="0" t="n">
        <v>163</v>
      </c>
      <c r="E25" s="0" t="n">
        <v>83615500218</v>
      </c>
      <c r="F25" s="0" t="s">
        <v>550</v>
      </c>
      <c r="G25" s="0" t="s">
        <v>546</v>
      </c>
      <c r="H25" s="0" t="s">
        <v>547</v>
      </c>
      <c r="I25" s="0" t="s">
        <v>548</v>
      </c>
      <c r="J25" s="0" t="s">
        <v>545</v>
      </c>
    </row>
    <row r="26" customFormat="false" ht="15" hidden="false" customHeight="false" outlineLevel="0" collapsed="false">
      <c r="A26" s="0" t="s">
        <v>495</v>
      </c>
      <c r="B26" s="0" t="s">
        <v>499</v>
      </c>
      <c r="C26" s="0" t="s">
        <v>61</v>
      </c>
      <c r="D26" s="0" t="n">
        <v>3324</v>
      </c>
      <c r="E26" s="0" t="n">
        <v>99454315441</v>
      </c>
      <c r="F26" s="0" t="s">
        <v>500</v>
      </c>
      <c r="G26" s="0" t="s">
        <v>496</v>
      </c>
      <c r="H26" s="0" t="s">
        <v>497</v>
      </c>
      <c r="I26" s="0" t="s">
        <v>498</v>
      </c>
      <c r="J26" s="0" t="s">
        <v>495</v>
      </c>
    </row>
    <row r="27" customFormat="false" ht="15" hidden="false" customHeight="false" outlineLevel="0" collapsed="false">
      <c r="A27" s="0" t="s">
        <v>408</v>
      </c>
      <c r="B27" s="0" t="s">
        <v>412</v>
      </c>
      <c r="C27" s="0" t="s">
        <v>61</v>
      </c>
      <c r="D27" s="0" t="n">
        <v>184</v>
      </c>
      <c r="E27" s="0" t="n">
        <v>71259740533</v>
      </c>
      <c r="F27" s="0" t="s">
        <v>552</v>
      </c>
      <c r="G27" s="0" t="s">
        <v>409</v>
      </c>
      <c r="H27" s="0" t="s">
        <v>410</v>
      </c>
      <c r="I27" s="0" t="s">
        <v>411</v>
      </c>
      <c r="J27" s="0" t="s">
        <v>408</v>
      </c>
    </row>
    <row r="28" customFormat="false" ht="15" hidden="false" customHeight="false" outlineLevel="0" collapsed="false">
      <c r="F28" s="0" t="s">
        <v>921</v>
      </c>
    </row>
    <row r="29" customFormat="false" ht="15" hidden="false" customHeight="false" outlineLevel="0" collapsed="false">
      <c r="A29" s="0" t="s">
        <v>35</v>
      </c>
      <c r="B29" s="0" t="s">
        <v>40</v>
      </c>
      <c r="C29" s="0" t="s">
        <v>36</v>
      </c>
      <c r="D29" s="0" t="n">
        <v>131</v>
      </c>
      <c r="E29" s="0" t="n">
        <v>2024882310</v>
      </c>
      <c r="F29" s="0" t="s">
        <v>553</v>
      </c>
      <c r="G29" s="0" t="s">
        <v>37</v>
      </c>
      <c r="H29" s="0" t="s">
        <v>38</v>
      </c>
      <c r="I29" s="0" t="s">
        <v>39</v>
      </c>
      <c r="J29" s="0" t="s">
        <v>35</v>
      </c>
      <c r="K29" s="0" t="s">
        <v>1506</v>
      </c>
    </row>
    <row r="30" customFormat="false" ht="15" hidden="false" customHeight="false" outlineLevel="0" collapsed="false">
      <c r="F30" s="0" t="s">
        <v>858</v>
      </c>
    </row>
    <row r="31" customFormat="false" ht="15" hidden="false" customHeight="false" outlineLevel="0" collapsed="false">
      <c r="A31" s="0" t="s">
        <v>167</v>
      </c>
      <c r="B31" s="0" t="s">
        <v>171</v>
      </c>
      <c r="C31" s="0" t="s">
        <v>61</v>
      </c>
      <c r="D31" s="0" t="n">
        <v>130</v>
      </c>
      <c r="E31" s="0" t="n">
        <v>28011548575</v>
      </c>
      <c r="F31" s="0" t="s">
        <v>172</v>
      </c>
      <c r="G31" s="0" t="s">
        <v>168</v>
      </c>
      <c r="H31" s="0" t="s">
        <v>169</v>
      </c>
      <c r="I31" s="0" t="s">
        <v>170</v>
      </c>
      <c r="J31" s="0" t="s">
        <v>167</v>
      </c>
    </row>
    <row r="32" customFormat="false" ht="15" hidden="false" customHeight="false" outlineLevel="0" collapsed="false">
      <c r="A32" s="0" t="s">
        <v>327</v>
      </c>
      <c r="B32" s="0" t="s">
        <v>331</v>
      </c>
      <c r="C32" s="0" t="s">
        <v>152</v>
      </c>
      <c r="D32" s="0" t="n">
        <v>275</v>
      </c>
      <c r="E32" s="0" t="n">
        <v>56597320763</v>
      </c>
      <c r="F32" s="0" t="s">
        <v>332</v>
      </c>
      <c r="G32" s="0" t="s">
        <v>328</v>
      </c>
      <c r="H32" s="0" t="s">
        <v>329</v>
      </c>
      <c r="I32" s="0" t="s">
        <v>330</v>
      </c>
      <c r="J32" s="0" t="s">
        <v>327</v>
      </c>
    </row>
    <row r="33" customFormat="false" ht="15" hidden="false" customHeight="false" outlineLevel="0" collapsed="false">
      <c r="A33" s="0" t="s">
        <v>555</v>
      </c>
      <c r="B33" s="0" t="s">
        <v>559</v>
      </c>
      <c r="C33" s="0" t="s">
        <v>61</v>
      </c>
      <c r="D33" s="0" t="n">
        <v>191</v>
      </c>
      <c r="E33" s="0" t="n">
        <v>25410051374</v>
      </c>
      <c r="F33" s="0" t="s">
        <v>1312</v>
      </c>
      <c r="G33" s="0" t="s">
        <v>1309</v>
      </c>
      <c r="H33" s="0" t="n">
        <v>385992529898</v>
      </c>
      <c r="I33" s="0" t="s">
        <v>1311</v>
      </c>
      <c r="J33" s="0" t="s">
        <v>555</v>
      </c>
    </row>
    <row r="34" customFormat="false" ht="15" hidden="false" customHeight="false" outlineLevel="0" collapsed="false">
      <c r="F34" s="0" t="s">
        <v>560</v>
      </c>
    </row>
    <row r="35" customFormat="false" ht="15" hidden="false" customHeight="false" outlineLevel="0" collapsed="false">
      <c r="F35" s="0" t="s">
        <v>1355</v>
      </c>
    </row>
    <row r="36" customFormat="false" ht="15" hidden="false" customHeight="false" outlineLevel="0" collapsed="false">
      <c r="A36" s="0" t="s">
        <v>918</v>
      </c>
      <c r="B36" s="0" t="s">
        <v>949</v>
      </c>
      <c r="C36" s="0" t="s">
        <v>61</v>
      </c>
      <c r="D36" s="0" t="n">
        <v>180</v>
      </c>
      <c r="E36" s="0" t="n">
        <v>22910368449</v>
      </c>
      <c r="F36" s="0" t="s">
        <v>950</v>
      </c>
      <c r="G36" s="0" t="s">
        <v>946</v>
      </c>
      <c r="H36" s="0" t="s">
        <v>947</v>
      </c>
      <c r="I36" s="0" t="s">
        <v>948</v>
      </c>
      <c r="J36" s="0" t="s">
        <v>918</v>
      </c>
    </row>
    <row r="37" customFormat="false" ht="15" hidden="false" customHeight="false" outlineLevel="0" collapsed="false">
      <c r="F37" s="0" t="s">
        <v>1507</v>
      </c>
    </row>
    <row r="38" customFormat="false" ht="15" hidden="false" customHeight="false" outlineLevel="0" collapsed="false">
      <c r="A38" s="0" t="s">
        <v>563</v>
      </c>
      <c r="B38" s="0" t="s">
        <v>567</v>
      </c>
      <c r="C38" s="0" t="s">
        <v>61</v>
      </c>
      <c r="D38" s="0" t="n">
        <v>153</v>
      </c>
      <c r="E38" s="0" t="n">
        <v>7699719217</v>
      </c>
      <c r="F38" s="0" t="s">
        <v>568</v>
      </c>
      <c r="G38" s="0" t="s">
        <v>564</v>
      </c>
      <c r="H38" s="0" t="s">
        <v>565</v>
      </c>
      <c r="I38" s="0" t="s">
        <v>566</v>
      </c>
      <c r="J38" s="0" t="s">
        <v>563</v>
      </c>
    </row>
    <row r="39" customFormat="false" ht="15" hidden="false" customHeight="false" outlineLevel="0" collapsed="false">
      <c r="A39" s="0" t="s">
        <v>86</v>
      </c>
      <c r="B39" s="0" t="s">
        <v>91</v>
      </c>
      <c r="C39" s="0" t="s">
        <v>87</v>
      </c>
      <c r="D39" s="0" t="n">
        <v>3409</v>
      </c>
      <c r="E39" s="0" t="n">
        <v>11614501047</v>
      </c>
      <c r="F39" s="0" t="s">
        <v>92</v>
      </c>
      <c r="G39" s="0" t="s">
        <v>88</v>
      </c>
      <c r="H39" s="0" t="s">
        <v>89</v>
      </c>
      <c r="I39" s="0" t="s">
        <v>90</v>
      </c>
      <c r="J39" s="0" t="s">
        <v>86</v>
      </c>
    </row>
    <row r="40" customFormat="false" ht="15" hidden="false" customHeight="false" outlineLevel="0" collapsed="false">
      <c r="A40" s="0" t="s">
        <v>440</v>
      </c>
      <c r="B40" s="0" t="s">
        <v>444</v>
      </c>
      <c r="C40" s="0" t="s">
        <v>152</v>
      </c>
      <c r="D40" s="0" t="n">
        <v>5717</v>
      </c>
      <c r="E40" s="0" t="n">
        <v>83830458507</v>
      </c>
      <c r="F40" s="0" t="s">
        <v>570</v>
      </c>
      <c r="G40" s="0" t="s">
        <v>1508</v>
      </c>
      <c r="H40" s="0" t="s">
        <v>1509</v>
      </c>
      <c r="I40" s="0" t="s">
        <v>1510</v>
      </c>
      <c r="J40" s="0" t="s">
        <v>440</v>
      </c>
    </row>
    <row r="41" customFormat="false" ht="15" hidden="false" customHeight="false" outlineLevel="0" collapsed="false">
      <c r="F41" s="0" t="s">
        <v>1029</v>
      </c>
      <c r="G41" s="0" t="s">
        <v>1026</v>
      </c>
      <c r="H41" s="0" t="s">
        <v>1027</v>
      </c>
      <c r="I41" s="0" t="s">
        <v>1028</v>
      </c>
    </row>
    <row r="42" customFormat="false" ht="15" hidden="false" customHeight="false" outlineLevel="0" collapsed="false">
      <c r="F42" s="0" t="s">
        <v>1171</v>
      </c>
      <c r="G42" s="0" t="s">
        <v>1508</v>
      </c>
      <c r="H42" s="0" t="s">
        <v>1509</v>
      </c>
      <c r="I42" s="0" t="s">
        <v>1510</v>
      </c>
    </row>
    <row r="43" customFormat="false" ht="15" hidden="false" customHeight="false" outlineLevel="0" collapsed="false">
      <c r="A43" s="0" t="s">
        <v>572</v>
      </c>
      <c r="B43" s="0" t="s">
        <v>577</v>
      </c>
      <c r="C43" s="0" t="s">
        <v>573</v>
      </c>
      <c r="D43" s="0" t="n">
        <v>174</v>
      </c>
      <c r="E43" s="0" t="n">
        <v>85799845149</v>
      </c>
      <c r="F43" s="0" t="s">
        <v>578</v>
      </c>
      <c r="G43" s="0" t="s">
        <v>574</v>
      </c>
      <c r="H43" s="0" t="s">
        <v>575</v>
      </c>
      <c r="I43" s="0" t="s">
        <v>576</v>
      </c>
      <c r="J43" s="0" t="s">
        <v>572</v>
      </c>
    </row>
    <row r="44" customFormat="false" ht="15" hidden="false" customHeight="false" outlineLevel="0" collapsed="false">
      <c r="A44" s="0" t="s">
        <v>175</v>
      </c>
      <c r="B44" s="0" t="s">
        <v>179</v>
      </c>
      <c r="C44" s="0" t="s">
        <v>152</v>
      </c>
      <c r="D44" s="0" t="n">
        <v>3637</v>
      </c>
      <c r="E44" s="0" t="n">
        <v>28082679513</v>
      </c>
      <c r="F44" s="0" t="s">
        <v>180</v>
      </c>
      <c r="G44" s="0" t="s">
        <v>176</v>
      </c>
      <c r="H44" s="0" t="s">
        <v>177</v>
      </c>
      <c r="I44" s="0" t="s">
        <v>178</v>
      </c>
      <c r="J44" s="0" t="s">
        <v>175</v>
      </c>
    </row>
    <row r="45" customFormat="false" ht="15" hidden="false" customHeight="false" outlineLevel="0" collapsed="false">
      <c r="A45" s="0" t="s">
        <v>110</v>
      </c>
      <c r="B45" s="0" t="s">
        <v>115</v>
      </c>
      <c r="C45" s="0" t="s">
        <v>111</v>
      </c>
      <c r="D45" s="0" t="n">
        <v>4660</v>
      </c>
      <c r="E45" s="0" t="n">
        <v>19213484918</v>
      </c>
      <c r="F45" s="0" t="s">
        <v>115</v>
      </c>
      <c r="G45" s="0" t="s">
        <v>112</v>
      </c>
      <c r="H45" s="0" t="s">
        <v>113</v>
      </c>
      <c r="I45" s="0" t="s">
        <v>114</v>
      </c>
      <c r="J45" s="0" t="s">
        <v>110</v>
      </c>
    </row>
    <row r="46" customFormat="false" ht="15" hidden="false" customHeight="false" outlineLevel="0" collapsed="false">
      <c r="A46" s="0" t="s">
        <v>581</v>
      </c>
      <c r="B46" s="0" t="s">
        <v>585</v>
      </c>
      <c r="C46" s="0" t="s">
        <v>61</v>
      </c>
      <c r="D46" s="0" t="n">
        <v>121</v>
      </c>
      <c r="E46" s="0" t="n">
        <v>14509285435</v>
      </c>
      <c r="F46" s="0" t="s">
        <v>1007</v>
      </c>
      <c r="G46" s="0" t="s">
        <v>582</v>
      </c>
      <c r="H46" s="0" t="n">
        <v>98806500</v>
      </c>
      <c r="I46" s="0" t="s">
        <v>584</v>
      </c>
      <c r="J46" s="0" t="s">
        <v>581</v>
      </c>
    </row>
    <row r="47" customFormat="false" ht="15" hidden="false" customHeight="false" outlineLevel="0" collapsed="false">
      <c r="F47" s="0" t="s">
        <v>586</v>
      </c>
    </row>
    <row r="48" customFormat="false" ht="15" hidden="false" customHeight="false" outlineLevel="0" collapsed="false">
      <c r="F48" s="0" t="s">
        <v>1172</v>
      </c>
    </row>
    <row r="49" customFormat="false" ht="15" hidden="false" customHeight="false" outlineLevel="0" collapsed="false">
      <c r="A49" s="0" t="s">
        <v>351</v>
      </c>
      <c r="B49" s="0" t="s">
        <v>355</v>
      </c>
      <c r="C49" s="0" t="s">
        <v>152</v>
      </c>
      <c r="D49" s="0" t="n">
        <v>181</v>
      </c>
      <c r="E49" s="0" t="n">
        <v>58868871646</v>
      </c>
      <c r="F49" s="0" t="s">
        <v>355</v>
      </c>
      <c r="G49" s="0" t="s">
        <v>352</v>
      </c>
      <c r="H49" s="0" t="s">
        <v>353</v>
      </c>
      <c r="I49" s="0" t="s">
        <v>354</v>
      </c>
      <c r="J49" s="0" t="s">
        <v>351</v>
      </c>
    </row>
    <row r="50" customFormat="false" ht="15" hidden="false" customHeight="false" outlineLevel="0" collapsed="false">
      <c r="A50" s="0" t="s">
        <v>392</v>
      </c>
      <c r="B50" s="0" t="s">
        <v>396</v>
      </c>
      <c r="C50" s="0" t="s">
        <v>111</v>
      </c>
      <c r="D50" s="0" t="n">
        <v>1907</v>
      </c>
      <c r="E50" s="0" t="n">
        <v>70505505759</v>
      </c>
      <c r="F50" s="0" t="s">
        <v>397</v>
      </c>
      <c r="G50" s="0" t="s">
        <v>393</v>
      </c>
      <c r="H50" s="0" t="s">
        <v>394</v>
      </c>
      <c r="I50" s="0" t="s">
        <v>395</v>
      </c>
      <c r="J50" s="0" t="s">
        <v>392</v>
      </c>
    </row>
    <row r="51" customFormat="false" ht="15" hidden="false" customHeight="false" outlineLevel="0" collapsed="false">
      <c r="A51" s="0" t="s">
        <v>589</v>
      </c>
      <c r="B51" s="0" t="s">
        <v>593</v>
      </c>
      <c r="C51" s="0" t="s">
        <v>24</v>
      </c>
      <c r="D51" s="0" t="n">
        <v>5769</v>
      </c>
      <c r="E51" s="0" t="n">
        <v>98004523293</v>
      </c>
      <c r="F51" s="0" t="s">
        <v>594</v>
      </c>
      <c r="G51" s="0" t="s">
        <v>590</v>
      </c>
      <c r="H51" s="0" t="s">
        <v>591</v>
      </c>
      <c r="I51" s="0" t="s">
        <v>592</v>
      </c>
      <c r="J51" s="0" t="s">
        <v>392</v>
      </c>
    </row>
    <row r="52" customFormat="false" ht="15" hidden="false" customHeight="false" outlineLevel="0" collapsed="false">
      <c r="A52" s="0" t="s">
        <v>597</v>
      </c>
      <c r="B52" s="0" t="s">
        <v>601</v>
      </c>
      <c r="C52" s="0" t="s">
        <v>61</v>
      </c>
      <c r="D52" s="0" t="n">
        <v>186</v>
      </c>
      <c r="E52" s="0" t="n">
        <v>90633715804</v>
      </c>
      <c r="F52" s="0" t="s">
        <v>602</v>
      </c>
      <c r="G52" s="0" t="s">
        <v>598</v>
      </c>
      <c r="H52" s="0" t="s">
        <v>599</v>
      </c>
      <c r="I52" s="0" t="s">
        <v>600</v>
      </c>
      <c r="J52" s="0" t="s">
        <v>597</v>
      </c>
    </row>
    <row r="53" customFormat="false" ht="15" hidden="false" customHeight="false" outlineLevel="0" collapsed="false">
      <c r="F53" s="0" t="s">
        <v>1511</v>
      </c>
    </row>
    <row r="54" customFormat="false" ht="15" hidden="false" customHeight="false" outlineLevel="0" collapsed="false">
      <c r="A54" s="0" t="s">
        <v>264</v>
      </c>
      <c r="B54" s="0" t="s">
        <v>252</v>
      </c>
      <c r="C54" s="0" t="s">
        <v>61</v>
      </c>
      <c r="D54" s="0" t="n">
        <v>122</v>
      </c>
      <c r="E54" s="0" t="n">
        <v>43594593297</v>
      </c>
      <c r="F54" s="0" t="s">
        <v>268</v>
      </c>
      <c r="G54" s="0" t="s">
        <v>265</v>
      </c>
      <c r="H54" s="0" t="s">
        <v>266</v>
      </c>
      <c r="I54" s="0" t="s">
        <v>267</v>
      </c>
      <c r="J54" s="0" t="s">
        <v>264</v>
      </c>
    </row>
    <row r="55" customFormat="false" ht="15" hidden="false" customHeight="false" outlineLevel="0" collapsed="false">
      <c r="A55" s="0" t="s">
        <v>95</v>
      </c>
      <c r="B55" s="0" t="s">
        <v>99</v>
      </c>
      <c r="C55" s="0" t="s">
        <v>36</v>
      </c>
      <c r="D55" s="0" t="n">
        <v>198</v>
      </c>
      <c r="E55" s="0" t="n">
        <v>16146181375</v>
      </c>
      <c r="F55" s="0" t="s">
        <v>100</v>
      </c>
      <c r="G55" s="0" t="s">
        <v>96</v>
      </c>
      <c r="H55" s="0" t="s">
        <v>97</v>
      </c>
      <c r="I55" s="0" t="s">
        <v>98</v>
      </c>
      <c r="J55" s="0" t="s">
        <v>95</v>
      </c>
    </row>
    <row r="56" customFormat="false" ht="15" hidden="false" customHeight="false" outlineLevel="0" collapsed="false">
      <c r="A56" s="0" t="s">
        <v>456</v>
      </c>
      <c r="B56" s="0" t="s">
        <v>460</v>
      </c>
      <c r="C56" s="0" t="s">
        <v>111</v>
      </c>
      <c r="D56" s="0" t="n">
        <v>172</v>
      </c>
      <c r="E56" s="0" t="n">
        <v>92037849504</v>
      </c>
      <c r="F56" s="0" t="s">
        <v>461</v>
      </c>
      <c r="G56" s="0" t="s">
        <v>457</v>
      </c>
      <c r="H56" s="0" t="s">
        <v>458</v>
      </c>
      <c r="I56" s="0" t="s">
        <v>459</v>
      </c>
      <c r="J56" s="0" t="s">
        <v>456</v>
      </c>
      <c r="K56" s="0" t="s">
        <v>1512</v>
      </c>
    </row>
    <row r="57" customFormat="false" ht="15" hidden="false" customHeight="false" outlineLevel="0" collapsed="false">
      <c r="A57" s="0" t="s">
        <v>605</v>
      </c>
      <c r="B57" s="0" t="s">
        <v>252</v>
      </c>
      <c r="C57" s="0" t="s">
        <v>61</v>
      </c>
      <c r="D57" s="0" t="n">
        <v>161</v>
      </c>
      <c r="E57" s="0" t="n">
        <v>62924153420</v>
      </c>
      <c r="F57" s="0" t="s">
        <v>609</v>
      </c>
      <c r="G57" s="0" t="s">
        <v>606</v>
      </c>
      <c r="H57" s="0" t="s">
        <v>607</v>
      </c>
      <c r="I57" s="0" t="s">
        <v>608</v>
      </c>
      <c r="J57" s="0" t="s">
        <v>605</v>
      </c>
    </row>
    <row r="58" customFormat="false" ht="15" hidden="false" customHeight="false" outlineLevel="0" collapsed="false">
      <c r="A58" s="0" t="s">
        <v>916</v>
      </c>
      <c r="B58" s="0" t="s">
        <v>1081</v>
      </c>
      <c r="C58" s="0" t="s">
        <v>152</v>
      </c>
      <c r="D58" s="0" t="n">
        <v>5499</v>
      </c>
      <c r="E58" s="0" t="n">
        <v>4150850819</v>
      </c>
      <c r="F58" s="0" t="s">
        <v>1513</v>
      </c>
      <c r="G58" s="0" t="s">
        <v>1078</v>
      </c>
      <c r="H58" s="0" t="n">
        <v>385912240766</v>
      </c>
      <c r="I58" s="0" t="s">
        <v>1080</v>
      </c>
      <c r="J58" s="0" t="s">
        <v>916</v>
      </c>
    </row>
    <row r="59" customFormat="false" ht="15" hidden="false" customHeight="false" outlineLevel="0" collapsed="false">
      <c r="A59" s="0" t="s">
        <v>143</v>
      </c>
      <c r="B59" s="0" t="s">
        <v>147</v>
      </c>
      <c r="C59" s="0" t="s">
        <v>61</v>
      </c>
      <c r="D59" s="0" t="n">
        <v>185</v>
      </c>
      <c r="E59" s="0" t="n">
        <v>25564990903</v>
      </c>
      <c r="F59" s="0" t="s">
        <v>148</v>
      </c>
      <c r="G59" s="0" t="s">
        <v>144</v>
      </c>
      <c r="H59" s="0" t="s">
        <v>145</v>
      </c>
      <c r="I59" s="0" t="s">
        <v>146</v>
      </c>
      <c r="J59" s="0" t="s">
        <v>143</v>
      </c>
    </row>
    <row r="60" customFormat="false" ht="15" hidden="false" customHeight="false" outlineLevel="0" collapsed="false">
      <c r="A60" s="0" t="s">
        <v>60</v>
      </c>
      <c r="B60" s="0" t="s">
        <v>65</v>
      </c>
      <c r="C60" s="0" t="s">
        <v>61</v>
      </c>
      <c r="D60" s="0" t="n">
        <v>3689</v>
      </c>
      <c r="E60" s="0" t="n">
        <v>7730927366</v>
      </c>
      <c r="F60" s="0" t="s">
        <v>66</v>
      </c>
      <c r="G60" s="0" t="s">
        <v>62</v>
      </c>
      <c r="H60" s="0" t="s">
        <v>63</v>
      </c>
      <c r="I60" s="0" t="s">
        <v>64</v>
      </c>
      <c r="J60" s="0" t="s">
        <v>60</v>
      </c>
    </row>
    <row r="61" customFormat="false" ht="15" hidden="false" customHeight="false" outlineLevel="0" collapsed="false">
      <c r="A61" s="0" t="s">
        <v>783</v>
      </c>
      <c r="B61" s="0" t="s">
        <v>788</v>
      </c>
      <c r="C61" s="0" t="s">
        <v>784</v>
      </c>
      <c r="D61" s="0" t="n">
        <v>208</v>
      </c>
      <c r="E61" s="0" t="n">
        <v>5384220316</v>
      </c>
      <c r="F61" s="0" t="s">
        <v>789</v>
      </c>
      <c r="G61" s="0" t="s">
        <v>785</v>
      </c>
      <c r="H61" s="0" t="s">
        <v>786</v>
      </c>
      <c r="I61" s="0" t="s">
        <v>787</v>
      </c>
      <c r="J61" s="0" t="s">
        <v>783</v>
      </c>
    </row>
    <row r="62" customFormat="false" ht="15" hidden="false" customHeight="false" outlineLevel="0" collapsed="false">
      <c r="A62" s="0" t="s">
        <v>216</v>
      </c>
      <c r="B62" s="0" t="s">
        <v>220</v>
      </c>
      <c r="C62" s="0" t="s">
        <v>24</v>
      </c>
      <c r="D62" s="0" t="n">
        <v>267</v>
      </c>
      <c r="E62" s="0" t="n">
        <v>36149548625</v>
      </c>
      <c r="F62" s="0" t="s">
        <v>221</v>
      </c>
      <c r="G62" s="0" t="s">
        <v>217</v>
      </c>
      <c r="H62" s="0" t="s">
        <v>218</v>
      </c>
      <c r="I62" s="0" t="s">
        <v>219</v>
      </c>
      <c r="J62" s="0" t="s">
        <v>216</v>
      </c>
    </row>
    <row r="63" customFormat="false" ht="15" hidden="false" customHeight="false" outlineLevel="0" collapsed="false">
      <c r="A63" s="0" t="s">
        <v>287</v>
      </c>
      <c r="B63" s="0" t="s">
        <v>291</v>
      </c>
      <c r="C63" s="0" t="s">
        <v>61</v>
      </c>
      <c r="D63" s="0" t="n">
        <v>210</v>
      </c>
      <c r="E63" s="0" t="n">
        <v>48987767944</v>
      </c>
      <c r="F63" s="0" t="s">
        <v>292</v>
      </c>
      <c r="G63" s="0" t="s">
        <v>288</v>
      </c>
      <c r="H63" s="0" t="s">
        <v>289</v>
      </c>
      <c r="I63" s="0" t="s">
        <v>290</v>
      </c>
      <c r="J63" s="0" t="s">
        <v>287</v>
      </c>
    </row>
    <row r="64" customFormat="false" ht="15" hidden="false" customHeight="false" outlineLevel="0" collapsed="false">
      <c r="A64" s="0" t="s">
        <v>612</v>
      </c>
      <c r="B64" s="0" t="s">
        <v>616</v>
      </c>
      <c r="C64" s="0" t="s">
        <v>24</v>
      </c>
      <c r="D64" s="0" t="n">
        <v>4917</v>
      </c>
      <c r="E64" s="0" t="n">
        <v>99401575594</v>
      </c>
      <c r="F64" s="0" t="s">
        <v>616</v>
      </c>
      <c r="G64" s="0" t="s">
        <v>613</v>
      </c>
      <c r="H64" s="0" t="s">
        <v>614</v>
      </c>
      <c r="I64" s="0" t="s">
        <v>615</v>
      </c>
      <c r="J64" s="0" t="s">
        <v>612</v>
      </c>
    </row>
    <row r="65" customFormat="false" ht="15" hidden="false" customHeight="false" outlineLevel="0" collapsed="false">
      <c r="A65" s="0" t="s">
        <v>400</v>
      </c>
      <c r="B65" s="0" t="s">
        <v>404</v>
      </c>
      <c r="C65" s="0" t="s">
        <v>152</v>
      </c>
      <c r="D65" s="0" t="n">
        <v>6229</v>
      </c>
      <c r="E65" s="0" t="n">
        <v>70788591483</v>
      </c>
      <c r="F65" s="0" t="s">
        <v>791</v>
      </c>
      <c r="G65" s="0" t="s">
        <v>401</v>
      </c>
      <c r="H65" s="0" t="s">
        <v>402</v>
      </c>
      <c r="I65" s="0" t="s">
        <v>403</v>
      </c>
      <c r="J65" s="0" t="s">
        <v>400</v>
      </c>
    </row>
    <row r="66" customFormat="false" ht="15" hidden="false" customHeight="false" outlineLevel="0" collapsed="false">
      <c r="F66" s="0" t="s">
        <v>1514</v>
      </c>
    </row>
    <row r="67" customFormat="false" ht="15" hidden="false" customHeight="false" outlineLevel="0" collapsed="false">
      <c r="A67" s="0" t="s">
        <v>343</v>
      </c>
      <c r="B67" s="0" t="s">
        <v>347</v>
      </c>
      <c r="C67" s="0" t="s">
        <v>24</v>
      </c>
      <c r="D67" s="0" t="n">
        <v>3430</v>
      </c>
      <c r="E67" s="0" t="n">
        <v>57848936921</v>
      </c>
      <c r="F67" s="0" t="s">
        <v>347</v>
      </c>
      <c r="G67" s="0" t="s">
        <v>344</v>
      </c>
      <c r="H67" s="0" t="s">
        <v>345</v>
      </c>
      <c r="I67" s="0" t="s">
        <v>346</v>
      </c>
      <c r="J67" s="0" t="s">
        <v>343</v>
      </c>
    </row>
    <row r="68" customFormat="false" ht="15" hidden="false" customHeight="false" outlineLevel="0" collapsed="false">
      <c r="F68" s="0" t="s">
        <v>348</v>
      </c>
    </row>
    <row r="69" customFormat="false" ht="15" hidden="false" customHeight="false" outlineLevel="0" collapsed="false">
      <c r="A69" s="0" t="s">
        <v>619</v>
      </c>
      <c r="B69" s="0" t="s">
        <v>623</v>
      </c>
      <c r="C69" s="0" t="s">
        <v>61</v>
      </c>
      <c r="D69" s="0" t="n">
        <v>136</v>
      </c>
      <c r="E69" s="0" t="n">
        <v>25329931628</v>
      </c>
      <c r="F69" s="0" t="s">
        <v>624</v>
      </c>
      <c r="G69" s="0" t="s">
        <v>620</v>
      </c>
      <c r="H69" s="0" t="s">
        <v>621</v>
      </c>
      <c r="I69" s="0" t="s">
        <v>622</v>
      </c>
      <c r="J69" s="0" t="s">
        <v>619</v>
      </c>
    </row>
    <row r="70" customFormat="false" ht="15" hidden="false" customHeight="false" outlineLevel="0" collapsed="false">
      <c r="A70" s="0" t="s">
        <v>627</v>
      </c>
      <c r="B70" s="0" t="s">
        <v>631</v>
      </c>
      <c r="C70" s="0" t="s">
        <v>152</v>
      </c>
      <c r="D70" s="0" t="n">
        <v>137</v>
      </c>
      <c r="E70" s="0" t="n">
        <v>16214165873</v>
      </c>
      <c r="F70" s="0" t="s">
        <v>632</v>
      </c>
      <c r="G70" s="0" t="s">
        <v>628</v>
      </c>
      <c r="H70" s="0" t="n">
        <v>912241440</v>
      </c>
      <c r="I70" s="0" t="s">
        <v>630</v>
      </c>
      <c r="J70" s="0" t="s">
        <v>627</v>
      </c>
    </row>
    <row r="71" customFormat="false" ht="15" hidden="false" customHeight="false" outlineLevel="0" collapsed="false">
      <c r="A71" s="0" t="s">
        <v>479</v>
      </c>
      <c r="B71" s="0" t="s">
        <v>483</v>
      </c>
      <c r="C71" s="0" t="s">
        <v>111</v>
      </c>
      <c r="D71" s="0" t="n">
        <v>147</v>
      </c>
      <c r="E71" s="0" t="n">
        <v>98164324541</v>
      </c>
      <c r="F71" s="0" t="s">
        <v>634</v>
      </c>
      <c r="G71" s="0" t="s">
        <v>1515</v>
      </c>
      <c r="H71" s="0" t="s">
        <v>1516</v>
      </c>
      <c r="I71" s="0" t="s">
        <v>1517</v>
      </c>
      <c r="J71" s="0" t="s">
        <v>479</v>
      </c>
    </row>
    <row r="72" customFormat="false" ht="15" hidden="false" customHeight="false" outlineLevel="0" collapsed="false">
      <c r="F72" s="0" t="s">
        <v>1518</v>
      </c>
    </row>
    <row r="73" customFormat="false" ht="15" hidden="false" customHeight="false" outlineLevel="0" collapsed="false">
      <c r="A73" s="0" t="s">
        <v>44</v>
      </c>
      <c r="B73" s="0" t="s">
        <v>48</v>
      </c>
      <c r="C73" s="0" t="s">
        <v>24</v>
      </c>
      <c r="D73" s="0" t="n">
        <v>149</v>
      </c>
      <c r="E73" s="0" t="n">
        <v>2879747067</v>
      </c>
      <c r="F73" s="0" t="s">
        <v>49</v>
      </c>
      <c r="G73" s="0" t="s">
        <v>45</v>
      </c>
      <c r="H73" s="0" t="s">
        <v>46</v>
      </c>
      <c r="I73" s="0" t="s">
        <v>47</v>
      </c>
      <c r="J73" s="0" t="s">
        <v>44</v>
      </c>
    </row>
    <row r="74" customFormat="false" ht="15" hidden="false" customHeight="false" outlineLevel="0" collapsed="false">
      <c r="A74" s="0" t="s">
        <v>271</v>
      </c>
      <c r="B74" s="0" t="s">
        <v>275</v>
      </c>
      <c r="C74" s="0" t="s">
        <v>61</v>
      </c>
      <c r="D74" s="0" t="n">
        <v>165</v>
      </c>
      <c r="E74" s="0" t="n">
        <v>45001686598</v>
      </c>
      <c r="F74" s="0" t="s">
        <v>275</v>
      </c>
      <c r="G74" s="0" t="s">
        <v>272</v>
      </c>
      <c r="H74" s="0" t="s">
        <v>273</v>
      </c>
      <c r="I74" s="0" t="s">
        <v>274</v>
      </c>
      <c r="J74" s="0" t="s">
        <v>271</v>
      </c>
    </row>
    <row r="75" customFormat="false" ht="15" hidden="false" customHeight="false" outlineLevel="0" collapsed="false">
      <c r="F75" s="0" t="s">
        <v>792</v>
      </c>
    </row>
    <row r="76" customFormat="false" ht="15" hidden="false" customHeight="false" outlineLevel="0" collapsed="false">
      <c r="A76" s="0" t="s">
        <v>636</v>
      </c>
      <c r="B76" s="0" t="s">
        <v>641</v>
      </c>
      <c r="C76" s="0" t="s">
        <v>637</v>
      </c>
      <c r="D76" s="0" t="n">
        <v>3482</v>
      </c>
      <c r="E76" s="0" t="n">
        <v>31444990605</v>
      </c>
      <c r="F76" s="0" t="s">
        <v>642</v>
      </c>
      <c r="G76" s="0" t="s">
        <v>638</v>
      </c>
      <c r="H76" s="0" t="s">
        <v>639</v>
      </c>
      <c r="I76" s="0" t="s">
        <v>640</v>
      </c>
      <c r="J76" s="0" t="s">
        <v>636</v>
      </c>
    </row>
    <row r="77" customFormat="false" ht="15" hidden="false" customHeight="false" outlineLevel="0" collapsed="false">
      <c r="F77" s="0" t="s">
        <v>1337</v>
      </c>
    </row>
    <row r="78" customFormat="false" ht="15" hidden="false" customHeight="false" outlineLevel="0" collapsed="false">
      <c r="A78" s="0" t="s">
        <v>860</v>
      </c>
      <c r="B78" s="0" t="s">
        <v>865</v>
      </c>
      <c r="C78" s="0" t="s">
        <v>861</v>
      </c>
      <c r="D78" s="0" t="n">
        <v>182</v>
      </c>
      <c r="E78" s="0" t="n">
        <v>48006703414</v>
      </c>
      <c r="F78" s="0" t="s">
        <v>866</v>
      </c>
      <c r="G78" s="0" t="s">
        <v>862</v>
      </c>
      <c r="H78" s="0" t="s">
        <v>863</v>
      </c>
      <c r="I78" s="0" t="s">
        <v>864</v>
      </c>
      <c r="J78" s="0" t="s">
        <v>860</v>
      </c>
    </row>
    <row r="79" customFormat="false" ht="15" hidden="false" customHeight="false" outlineLevel="0" collapsed="false">
      <c r="A79" s="0" t="s">
        <v>509</v>
      </c>
      <c r="B79" s="0" t="s">
        <v>513</v>
      </c>
      <c r="C79" s="0" t="s">
        <v>61</v>
      </c>
      <c r="D79" s="0" t="n">
        <v>206</v>
      </c>
      <c r="E79" s="0" t="n">
        <v>36162371878</v>
      </c>
      <c r="F79" s="0" t="s">
        <v>514</v>
      </c>
      <c r="G79" s="0" t="s">
        <v>510</v>
      </c>
      <c r="H79" s="0" t="s">
        <v>511</v>
      </c>
      <c r="I79" s="0" t="s">
        <v>512</v>
      </c>
      <c r="J79" s="0" t="s">
        <v>1519</v>
      </c>
    </row>
    <row r="80" customFormat="false" ht="15" hidden="false" customHeight="false" outlineLevel="0" collapsed="false">
      <c r="A80" s="0" t="s">
        <v>103</v>
      </c>
      <c r="B80" s="0" t="s">
        <v>107</v>
      </c>
      <c r="C80" s="0" t="s">
        <v>61</v>
      </c>
      <c r="D80" s="0" t="n">
        <v>3986</v>
      </c>
      <c r="E80" s="0" t="n">
        <v>18422925218</v>
      </c>
      <c r="F80" s="0" t="s">
        <v>107</v>
      </c>
      <c r="G80" s="0" t="s">
        <v>104</v>
      </c>
      <c r="H80" s="0" t="s">
        <v>105</v>
      </c>
      <c r="I80" s="0" t="s">
        <v>106</v>
      </c>
      <c r="J80" s="0" t="s">
        <v>103</v>
      </c>
    </row>
    <row r="81" customFormat="false" ht="15" hidden="false" customHeight="false" outlineLevel="0" collapsed="false">
      <c r="A81" s="0" t="s">
        <v>645</v>
      </c>
      <c r="B81" s="0" t="s">
        <v>649</v>
      </c>
      <c r="C81" s="0" t="s">
        <v>61</v>
      </c>
      <c r="D81" s="0" t="n">
        <v>188</v>
      </c>
      <c r="F81" s="0" t="s">
        <v>650</v>
      </c>
      <c r="G81" s="0" t="s">
        <v>646</v>
      </c>
      <c r="H81" s="0" t="s">
        <v>647</v>
      </c>
      <c r="I81" s="0" t="s">
        <v>648</v>
      </c>
      <c r="J81" s="0" t="s">
        <v>645</v>
      </c>
    </row>
    <row r="82" customFormat="false" ht="15" hidden="false" customHeight="false" outlineLevel="0" collapsed="false">
      <c r="A82" s="0" t="s">
        <v>425</v>
      </c>
      <c r="B82" s="0" t="s">
        <v>429</v>
      </c>
      <c r="C82" s="0" t="s">
        <v>111</v>
      </c>
      <c r="D82" s="0" t="n">
        <v>169</v>
      </c>
      <c r="E82" s="0" t="n">
        <v>76722145702</v>
      </c>
      <c r="F82" s="0" t="s">
        <v>429</v>
      </c>
      <c r="G82" s="0" t="s">
        <v>426</v>
      </c>
      <c r="H82" s="0" t="s">
        <v>427</v>
      </c>
      <c r="I82" s="0" t="s">
        <v>428</v>
      </c>
      <c r="J82" s="0" t="s">
        <v>425</v>
      </c>
    </row>
    <row r="83" customFormat="false" ht="15" hidden="false" customHeight="false" outlineLevel="0" collapsed="false">
      <c r="A83" s="0" t="s">
        <v>135</v>
      </c>
      <c r="B83" s="0" t="s">
        <v>139</v>
      </c>
      <c r="C83" s="0" t="s">
        <v>24</v>
      </c>
      <c r="D83" s="0" t="n">
        <v>4914</v>
      </c>
      <c r="E83" s="0" t="n">
        <v>24624257529</v>
      </c>
      <c r="F83" s="0" t="s">
        <v>140</v>
      </c>
      <c r="G83" s="0" t="s">
        <v>136</v>
      </c>
      <c r="H83" s="0" t="s">
        <v>137</v>
      </c>
      <c r="I83" s="0" t="s">
        <v>138</v>
      </c>
      <c r="J83" s="0" t="s">
        <v>135</v>
      </c>
    </row>
    <row r="84" customFormat="false" ht="15" hidden="false" customHeight="false" outlineLevel="0" collapsed="false">
      <c r="A84" s="0" t="s">
        <v>151</v>
      </c>
      <c r="B84" s="0" t="s">
        <v>156</v>
      </c>
      <c r="C84" s="0" t="s">
        <v>152</v>
      </c>
      <c r="D84" s="0" t="n">
        <v>168</v>
      </c>
      <c r="E84" s="0" t="n">
        <v>26416570803</v>
      </c>
      <c r="F84" s="0" t="s">
        <v>1113</v>
      </c>
      <c r="G84" s="0" t="s">
        <v>153</v>
      </c>
      <c r="H84" s="0" t="s">
        <v>154</v>
      </c>
      <c r="I84" s="0" t="s">
        <v>155</v>
      </c>
      <c r="J84" s="0" t="s">
        <v>151</v>
      </c>
    </row>
    <row r="85" customFormat="false" ht="15" hidden="false" customHeight="false" outlineLevel="0" collapsed="false">
      <c r="F85" s="0" t="s">
        <v>157</v>
      </c>
    </row>
    <row r="86" customFormat="false" ht="15" hidden="false" customHeight="false" outlineLevel="0" collapsed="false">
      <c r="F86" s="0" t="s">
        <v>1173</v>
      </c>
    </row>
    <row r="87" customFormat="false" ht="15" hidden="false" customHeight="false" outlineLevel="0" collapsed="false">
      <c r="A87" s="0" t="s">
        <v>652</v>
      </c>
      <c r="B87" s="0" t="s">
        <v>656</v>
      </c>
      <c r="C87" s="0" t="s">
        <v>111</v>
      </c>
      <c r="D87" s="0" t="n">
        <v>173</v>
      </c>
      <c r="E87" s="0" t="n">
        <v>43767699965</v>
      </c>
      <c r="F87" s="0" t="s">
        <v>657</v>
      </c>
      <c r="G87" s="0" t="s">
        <v>653</v>
      </c>
      <c r="H87" s="0" t="s">
        <v>654</v>
      </c>
      <c r="I87" s="0" t="s">
        <v>655</v>
      </c>
      <c r="J87" s="0" t="s">
        <v>652</v>
      </c>
    </row>
    <row r="88" customFormat="false" ht="15" hidden="false" customHeight="false" outlineLevel="0" collapsed="false">
      <c r="A88" s="0" t="s">
        <v>52</v>
      </c>
      <c r="B88" s="0" t="s">
        <v>56</v>
      </c>
      <c r="C88" s="0" t="s">
        <v>24</v>
      </c>
      <c r="D88" s="0" t="n">
        <v>132</v>
      </c>
      <c r="E88" s="0" t="n">
        <v>3541568700</v>
      </c>
      <c r="F88" s="0" t="s">
        <v>57</v>
      </c>
      <c r="G88" s="0" t="s">
        <v>53</v>
      </c>
      <c r="H88" s="0" t="s">
        <v>54</v>
      </c>
      <c r="I88" s="0" t="s">
        <v>55</v>
      </c>
      <c r="J88" s="0" t="s">
        <v>52</v>
      </c>
    </row>
    <row r="89" customFormat="false" ht="15" hidden="false" customHeight="false" outlineLevel="0" collapsed="false">
      <c r="A89" s="0" t="s">
        <v>796</v>
      </c>
      <c r="B89" s="0" t="s">
        <v>236</v>
      </c>
      <c r="C89" s="0" t="s">
        <v>61</v>
      </c>
      <c r="D89" s="0" t="n">
        <v>151</v>
      </c>
      <c r="E89" s="0" t="n">
        <v>38583303160</v>
      </c>
      <c r="F89" s="0" t="s">
        <v>1520</v>
      </c>
      <c r="G89" s="0" t="s">
        <v>1174</v>
      </c>
      <c r="H89" s="0" t="s">
        <v>1175</v>
      </c>
      <c r="I89" s="0" t="s">
        <v>1176</v>
      </c>
      <c r="J89" s="0" t="s">
        <v>796</v>
      </c>
    </row>
    <row r="90" customFormat="false" ht="15" hidden="false" customHeight="false" outlineLevel="0" collapsed="false">
      <c r="F90" s="0" t="s">
        <v>1177</v>
      </c>
    </row>
    <row r="91" customFormat="false" ht="15" hidden="false" customHeight="false" outlineLevel="0" collapsed="false">
      <c r="A91" s="0" t="s">
        <v>279</v>
      </c>
      <c r="B91" s="0" t="s">
        <v>283</v>
      </c>
      <c r="C91" s="0" t="s">
        <v>61</v>
      </c>
      <c r="D91" s="0" t="n">
        <v>146</v>
      </c>
      <c r="E91" s="0" t="n">
        <v>47824453867</v>
      </c>
      <c r="F91" s="0" t="s">
        <v>284</v>
      </c>
      <c r="G91" s="0" t="s">
        <v>280</v>
      </c>
      <c r="H91" s="0" t="s">
        <v>281</v>
      </c>
      <c r="I91" s="0" t="s">
        <v>282</v>
      </c>
      <c r="J91" s="0" t="s">
        <v>279</v>
      </c>
    </row>
    <row r="92" customFormat="false" ht="15" hidden="false" customHeight="false" outlineLevel="0" collapsed="false">
      <c r="A92" s="0" t="s">
        <v>660</v>
      </c>
      <c r="B92" s="0" t="s">
        <v>664</v>
      </c>
      <c r="C92" s="0" t="s">
        <v>152</v>
      </c>
      <c r="D92" s="0" t="n">
        <v>170</v>
      </c>
      <c r="E92" s="0" t="n">
        <v>96371000697</v>
      </c>
      <c r="F92" s="0" t="s">
        <v>665</v>
      </c>
      <c r="G92" s="0" t="s">
        <v>661</v>
      </c>
      <c r="H92" s="0" t="s">
        <v>662</v>
      </c>
      <c r="I92" s="0" t="s">
        <v>663</v>
      </c>
      <c r="J92" s="0" t="s">
        <v>660</v>
      </c>
    </row>
    <row r="93" customFormat="false" ht="15" hidden="false" customHeight="false" outlineLevel="0" collapsed="false">
      <c r="A93" s="0" t="s">
        <v>118</v>
      </c>
      <c r="B93" s="0" t="s">
        <v>122</v>
      </c>
      <c r="C93" s="0" t="s">
        <v>24</v>
      </c>
      <c r="D93" s="0" t="n">
        <v>4919</v>
      </c>
      <c r="E93" s="0" t="n">
        <v>20858497843</v>
      </c>
      <c r="F93" s="0" t="s">
        <v>123</v>
      </c>
      <c r="G93" s="0" t="s">
        <v>119</v>
      </c>
      <c r="H93" s="0" t="s">
        <v>120</v>
      </c>
      <c r="I93" s="0" t="s">
        <v>121</v>
      </c>
      <c r="J93" s="0" t="s">
        <v>118</v>
      </c>
    </row>
    <row r="94" customFormat="false" ht="15" hidden="false" customHeight="false" outlineLevel="0" collapsed="false">
      <c r="A94" s="0" t="s">
        <v>668</v>
      </c>
      <c r="B94" s="0" t="s">
        <v>672</v>
      </c>
      <c r="C94" s="0" t="s">
        <v>61</v>
      </c>
      <c r="D94" s="0" t="n">
        <v>469</v>
      </c>
      <c r="E94" s="0" t="n">
        <v>28163265527</v>
      </c>
      <c r="F94" s="0" t="s">
        <v>672</v>
      </c>
      <c r="G94" s="0" t="s">
        <v>669</v>
      </c>
      <c r="H94" s="0" t="s">
        <v>670</v>
      </c>
      <c r="I94" s="0" t="s">
        <v>671</v>
      </c>
      <c r="J94" s="0" t="s">
        <v>668</v>
      </c>
    </row>
    <row r="95" customFormat="false" ht="15" hidden="false" customHeight="false" outlineLevel="0" collapsed="false">
      <c r="F95" s="0" t="s">
        <v>1036</v>
      </c>
      <c r="G95" s="0" t="s">
        <v>1033</v>
      </c>
      <c r="H95" s="0" t="s">
        <v>1034</v>
      </c>
      <c r="I95" s="0" t="s">
        <v>1521</v>
      </c>
    </row>
    <row r="96" customFormat="false" ht="15" hidden="false" customHeight="false" outlineLevel="0" collapsed="false">
      <c r="F96" s="0" t="s">
        <v>1359</v>
      </c>
      <c r="G96" s="0" t="s">
        <v>1522</v>
      </c>
      <c r="H96" s="0" t="s">
        <v>1523</v>
      </c>
      <c r="I96" s="0" t="s">
        <v>1358</v>
      </c>
    </row>
    <row r="97" customFormat="false" ht="15" hidden="false" customHeight="false" outlineLevel="0" collapsed="false">
      <c r="F97" s="0" t="s">
        <v>677</v>
      </c>
      <c r="G97" s="0" t="s">
        <v>674</v>
      </c>
      <c r="H97" s="0" t="s">
        <v>675</v>
      </c>
      <c r="I97" s="0" t="s">
        <v>676</v>
      </c>
    </row>
    <row r="98" customFormat="false" ht="15" hidden="false" customHeight="false" outlineLevel="0" collapsed="false">
      <c r="A98" s="0" t="s">
        <v>503</v>
      </c>
      <c r="B98" s="0" t="s">
        <v>283</v>
      </c>
      <c r="C98" s="0" t="s">
        <v>61</v>
      </c>
      <c r="D98" s="0" t="n">
        <v>203</v>
      </c>
      <c r="E98" s="0" t="n">
        <v>99534693762</v>
      </c>
      <c r="F98" s="0" t="s">
        <v>284</v>
      </c>
      <c r="G98" s="0" t="s">
        <v>504</v>
      </c>
      <c r="H98" s="0" t="s">
        <v>505</v>
      </c>
      <c r="I98" s="0" t="s">
        <v>506</v>
      </c>
      <c r="J98" s="0" t="s">
        <v>503</v>
      </c>
    </row>
    <row r="99" customFormat="false" ht="15" hidden="false" customHeight="false" outlineLevel="0" collapsed="false">
      <c r="A99" s="0" t="s">
        <v>384</v>
      </c>
      <c r="B99" s="0" t="s">
        <v>388</v>
      </c>
      <c r="C99" s="0" t="s">
        <v>61</v>
      </c>
      <c r="D99" s="0" t="n">
        <v>150</v>
      </c>
      <c r="E99" s="0" t="n">
        <v>70221464726</v>
      </c>
      <c r="F99" s="0" t="s">
        <v>389</v>
      </c>
      <c r="G99" s="0" t="s">
        <v>385</v>
      </c>
      <c r="H99" s="0" t="s">
        <v>386</v>
      </c>
      <c r="I99" s="0" t="s">
        <v>387</v>
      </c>
      <c r="J99" s="0" t="s">
        <v>384</v>
      </c>
    </row>
    <row r="100" customFormat="false" ht="15" hidden="false" customHeight="false" outlineLevel="0" collapsed="false">
      <c r="A100" s="0" t="s">
        <v>432</v>
      </c>
      <c r="B100" s="0" t="s">
        <v>436</v>
      </c>
      <c r="C100" s="0" t="s">
        <v>152</v>
      </c>
      <c r="D100" s="0" t="n">
        <v>222</v>
      </c>
      <c r="E100" s="0" t="n">
        <v>78808975734</v>
      </c>
      <c r="F100" s="0" t="s">
        <v>871</v>
      </c>
      <c r="G100" s="0" t="s">
        <v>868</v>
      </c>
      <c r="H100" s="0" t="s">
        <v>869</v>
      </c>
      <c r="I100" s="0" t="s">
        <v>870</v>
      </c>
      <c r="J100" s="0" t="s">
        <v>432</v>
      </c>
      <c r="K100" s="0" t="s">
        <v>1524</v>
      </c>
    </row>
    <row r="101" customFormat="false" ht="15" hidden="false" customHeight="false" outlineLevel="0" collapsed="false">
      <c r="F101" s="0" t="s">
        <v>331</v>
      </c>
      <c r="G101" s="0" t="s">
        <v>678</v>
      </c>
      <c r="H101" s="0" t="s">
        <v>679</v>
      </c>
      <c r="I101" s="0" t="s">
        <v>680</v>
      </c>
    </row>
    <row r="102" customFormat="false" ht="15" hidden="false" customHeight="false" outlineLevel="0" collapsed="false">
      <c r="F102" s="0" t="s">
        <v>437</v>
      </c>
      <c r="G102" s="0" t="s">
        <v>433</v>
      </c>
      <c r="H102" s="0" t="s">
        <v>434</v>
      </c>
      <c r="I102" s="0" t="s">
        <v>435</v>
      </c>
    </row>
    <row r="103" customFormat="false" ht="15" hidden="false" customHeight="false" outlineLevel="0" collapsed="false">
      <c r="A103" s="0" t="s">
        <v>367</v>
      </c>
      <c r="B103" s="0" t="s">
        <v>372</v>
      </c>
      <c r="C103" s="0" t="s">
        <v>368</v>
      </c>
      <c r="D103" s="0" t="n">
        <v>3554</v>
      </c>
      <c r="E103" s="0" t="n">
        <v>61738073226</v>
      </c>
      <c r="F103" s="0" t="s">
        <v>373</v>
      </c>
      <c r="G103" s="0" t="s">
        <v>369</v>
      </c>
      <c r="H103" s="0" t="s">
        <v>370</v>
      </c>
      <c r="I103" s="0" t="s">
        <v>371</v>
      </c>
      <c r="J103" s="0" t="s">
        <v>367</v>
      </c>
    </row>
    <row r="104" customFormat="false" ht="15" hidden="false" customHeight="false" outlineLevel="0" collapsed="false">
      <c r="F104" s="0" t="s">
        <v>1525</v>
      </c>
    </row>
    <row r="105" customFormat="false" ht="15" hidden="false" customHeight="false" outlineLevel="0" collapsed="false">
      <c r="F105" s="0" t="s">
        <v>1526</v>
      </c>
    </row>
    <row r="106" customFormat="false" ht="15" hidden="false" customHeight="false" outlineLevel="0" collapsed="false">
      <c r="F106" s="0" t="s">
        <v>1527</v>
      </c>
    </row>
    <row r="107" customFormat="false" ht="15" hidden="false" customHeight="false" outlineLevel="0" collapsed="false">
      <c r="F107" s="0" t="s">
        <v>1528</v>
      </c>
    </row>
    <row r="108" customFormat="false" ht="15" hidden="false" customHeight="false" outlineLevel="0" collapsed="false">
      <c r="A108" s="0" t="s">
        <v>1529</v>
      </c>
      <c r="B108" s="0" t="s">
        <v>521</v>
      </c>
      <c r="C108" s="0" t="s">
        <v>61</v>
      </c>
      <c r="D108" s="0" t="n">
        <v>4589</v>
      </c>
      <c r="E108" s="0" t="n">
        <v>36752094474</v>
      </c>
      <c r="F108" s="0" t="s">
        <v>522</v>
      </c>
      <c r="G108" s="0" t="s">
        <v>518</v>
      </c>
      <c r="H108" s="0" t="s">
        <v>519</v>
      </c>
      <c r="I108" s="0" t="s">
        <v>520</v>
      </c>
      <c r="J108" s="0" t="s">
        <v>1530</v>
      </c>
    </row>
    <row r="109" customFormat="false" ht="15" hidden="false" customHeight="false" outlineLevel="0" collapsed="false">
      <c r="F109" s="0" t="s">
        <v>1531</v>
      </c>
      <c r="G109" s="0" t="s">
        <v>1532</v>
      </c>
      <c r="H109" s="0" t="s">
        <v>1533</v>
      </c>
      <c r="I109" s="0" t="s">
        <v>1534</v>
      </c>
    </row>
    <row r="110" customFormat="false" ht="15" hidden="false" customHeight="false" outlineLevel="0" collapsed="false">
      <c r="A110" s="0" t="s">
        <v>803</v>
      </c>
      <c r="B110" s="0" t="s">
        <v>808</v>
      </c>
      <c r="C110" s="0" t="s">
        <v>804</v>
      </c>
      <c r="D110" s="0" t="n">
        <v>4497</v>
      </c>
      <c r="E110" s="0" t="n">
        <v>59624928052</v>
      </c>
      <c r="F110" s="0" t="s">
        <v>1535</v>
      </c>
      <c r="G110" s="0" t="s">
        <v>1536</v>
      </c>
      <c r="H110" s="0" t="s">
        <v>1537</v>
      </c>
      <c r="I110" s="0" t="s">
        <v>959</v>
      </c>
      <c r="J110" s="0" t="s">
        <v>803</v>
      </c>
    </row>
    <row r="111" customFormat="false" ht="15" hidden="false" customHeight="false" outlineLevel="0" collapsed="false">
      <c r="F111" s="0" t="s">
        <v>1538</v>
      </c>
      <c r="G111" s="0" t="s">
        <v>805</v>
      </c>
      <c r="H111" s="0" t="s">
        <v>806</v>
      </c>
      <c r="I111" s="0" t="s">
        <v>807</v>
      </c>
    </row>
    <row r="112" customFormat="false" ht="15" hidden="false" customHeight="false" outlineLevel="0" collapsed="false">
      <c r="F112" s="0" t="s">
        <v>1539</v>
      </c>
    </row>
    <row r="113" customFormat="false" ht="15" hidden="false" customHeight="false" outlineLevel="0" collapsed="false">
      <c r="A113" s="0" t="s">
        <v>812</v>
      </c>
      <c r="B113" s="0" t="s">
        <v>817</v>
      </c>
      <c r="C113" s="0" t="s">
        <v>813</v>
      </c>
      <c r="D113" s="0" t="n">
        <v>3990</v>
      </c>
      <c r="E113" s="0" t="n">
        <v>1338491514</v>
      </c>
      <c r="F113" s="0" t="s">
        <v>818</v>
      </c>
      <c r="G113" s="0" t="s">
        <v>814</v>
      </c>
      <c r="H113" s="0" t="s">
        <v>815</v>
      </c>
      <c r="I113" s="0" t="s">
        <v>816</v>
      </c>
      <c r="J113" s="0" t="s">
        <v>812</v>
      </c>
    </row>
    <row r="114" customFormat="false" ht="15" hidden="false" customHeight="false" outlineLevel="0" collapsed="false">
      <c r="F114" s="0" t="s">
        <v>1149</v>
      </c>
    </row>
    <row r="115" customFormat="false" ht="15" hidden="false" customHeight="false" outlineLevel="0" collapsed="false">
      <c r="F115" s="0" t="s">
        <v>1540</v>
      </c>
    </row>
    <row r="116" customFormat="false" ht="15" hidden="false" customHeight="false" outlineLevel="0" collapsed="false">
      <c r="F116" s="0" t="s">
        <v>1541</v>
      </c>
    </row>
    <row r="117" customFormat="false" ht="15" hidden="false" customHeight="false" outlineLevel="0" collapsed="false">
      <c r="A117" s="0" t="s">
        <v>376</v>
      </c>
      <c r="B117" s="0" t="s">
        <v>380</v>
      </c>
      <c r="C117" s="0" t="s">
        <v>111</v>
      </c>
      <c r="D117" s="0" t="n">
        <v>221</v>
      </c>
      <c r="E117" s="0" t="n">
        <v>64218323816</v>
      </c>
      <c r="F117" s="0" t="s">
        <v>1239</v>
      </c>
      <c r="G117" s="0" t="s">
        <v>1236</v>
      </c>
      <c r="I117" s="0" t="s">
        <v>1238</v>
      </c>
      <c r="J117" s="0" t="s">
        <v>376</v>
      </c>
      <c r="K117" s="0" t="s">
        <v>1542</v>
      </c>
    </row>
    <row r="118" customFormat="false" ht="15" hidden="false" customHeight="false" outlineLevel="0" collapsed="false">
      <c r="F118" s="0" t="s">
        <v>1543</v>
      </c>
      <c r="G118" s="0" t="s">
        <v>377</v>
      </c>
      <c r="H118" s="0" t="s">
        <v>378</v>
      </c>
      <c r="I118" s="0" t="s">
        <v>379</v>
      </c>
    </row>
    <row r="119" customFormat="false" ht="15" hidden="false" customHeight="false" outlineLevel="0" collapsed="false">
      <c r="F119" s="0" t="s">
        <v>1544</v>
      </c>
      <c r="G119" s="0" t="s">
        <v>473</v>
      </c>
      <c r="H119" s="0" t="s">
        <v>1545</v>
      </c>
      <c r="I119" s="0" t="s">
        <v>475</v>
      </c>
    </row>
    <row r="120" customFormat="false" ht="15" hidden="false" customHeight="false" outlineLevel="0" collapsed="false">
      <c r="F120" s="0" t="s">
        <v>1546</v>
      </c>
      <c r="G120" s="0" t="s">
        <v>1547</v>
      </c>
      <c r="H120" s="0" t="s">
        <v>1548</v>
      </c>
      <c r="I120" s="0" t="s">
        <v>1549</v>
      </c>
    </row>
    <row r="121" customFormat="false" ht="15" hidden="false" customHeight="false" outlineLevel="0" collapsed="false">
      <c r="F121" s="0" t="s">
        <v>1550</v>
      </c>
      <c r="G121" s="0" t="s">
        <v>1551</v>
      </c>
      <c r="H121" s="0" t="s">
        <v>1552</v>
      </c>
      <c r="I121" s="0" t="s">
        <v>1553</v>
      </c>
    </row>
    <row r="122" customFormat="false" ht="15" hidden="false" customHeight="false" outlineLevel="0" collapsed="false">
      <c r="F122" s="0" t="s">
        <v>1554</v>
      </c>
      <c r="G122" s="0" t="s">
        <v>1555</v>
      </c>
      <c r="H122" s="0" t="s">
        <v>1556</v>
      </c>
      <c r="I122" s="0" t="s">
        <v>1557</v>
      </c>
    </row>
    <row r="123" customFormat="false" ht="15" hidden="false" customHeight="false" outlineLevel="0" collapsed="false">
      <c r="A123" s="0" t="s">
        <v>199</v>
      </c>
      <c r="B123" s="0" t="s">
        <v>204</v>
      </c>
      <c r="C123" s="0" t="s">
        <v>200</v>
      </c>
      <c r="D123" s="0" t="n">
        <v>1972</v>
      </c>
      <c r="E123" s="0" t="n">
        <v>33027834374</v>
      </c>
      <c r="F123" s="0" t="s">
        <v>1558</v>
      </c>
      <c r="G123" s="0" t="s">
        <v>201</v>
      </c>
      <c r="H123" s="0" t="s">
        <v>202</v>
      </c>
      <c r="I123" s="0" t="s">
        <v>203</v>
      </c>
      <c r="J123" s="0" t="s">
        <v>199</v>
      </c>
    </row>
    <row r="124" customFormat="false" ht="15" hidden="false" customHeight="false" outlineLevel="0" collapsed="false">
      <c r="F124" s="0" t="s">
        <v>1559</v>
      </c>
    </row>
    <row r="125" customFormat="false" ht="15" hidden="false" customHeight="false" outlineLevel="0" collapsed="false">
      <c r="F125" s="0" t="s">
        <v>1560</v>
      </c>
    </row>
    <row r="126" customFormat="false" ht="15" hidden="false" customHeight="false" outlineLevel="0" collapsed="false">
      <c r="F126" s="0" t="s">
        <v>1561</v>
      </c>
    </row>
    <row r="127" customFormat="false" ht="15" hidden="false" customHeight="false" outlineLevel="0" collapsed="false">
      <c r="F127" s="0" t="s">
        <v>1562</v>
      </c>
    </row>
    <row r="128" customFormat="false" ht="15" hidden="false" customHeight="false" outlineLevel="0" collapsed="false">
      <c r="F128" s="0" t="s">
        <v>1563</v>
      </c>
    </row>
    <row r="129" customFormat="false" ht="15" hidden="false" customHeight="false" outlineLevel="0" collapsed="false">
      <c r="F129" s="0" t="s">
        <v>1564</v>
      </c>
    </row>
    <row r="130" customFormat="false" ht="15" hidden="false" customHeight="false" outlineLevel="0" collapsed="false">
      <c r="F130" s="0" t="s">
        <v>1565</v>
      </c>
    </row>
    <row r="131" customFormat="false" ht="15" hidden="false" customHeight="false" outlineLevel="0" collapsed="false">
      <c r="F131" s="0" t="s">
        <v>1566</v>
      </c>
    </row>
    <row r="132" customFormat="false" ht="15" hidden="false" customHeight="false" outlineLevel="0" collapsed="false">
      <c r="A132" s="0" t="s">
        <v>191</v>
      </c>
      <c r="B132" s="0" t="s">
        <v>195</v>
      </c>
      <c r="C132" s="0" t="s">
        <v>24</v>
      </c>
      <c r="D132" s="0" t="n">
        <v>5713</v>
      </c>
      <c r="E132" s="0" t="n">
        <v>29845096215</v>
      </c>
      <c r="F132" s="0" t="s">
        <v>696</v>
      </c>
      <c r="G132" s="0" t="s">
        <v>1567</v>
      </c>
      <c r="H132" s="0" t="s">
        <v>1568</v>
      </c>
      <c r="I132" s="0" t="s">
        <v>1569</v>
      </c>
      <c r="J132" s="0" t="s">
        <v>191</v>
      </c>
    </row>
    <row r="133" customFormat="false" ht="15" hidden="false" customHeight="false" outlineLevel="0" collapsed="false">
      <c r="F133" s="0" t="s">
        <v>1570</v>
      </c>
      <c r="G133" s="0" t="s">
        <v>1571</v>
      </c>
      <c r="H133" s="0" t="s">
        <v>1572</v>
      </c>
      <c r="I133" s="0" t="s">
        <v>1573</v>
      </c>
    </row>
    <row r="134" customFormat="false" ht="15" hidden="false" customHeight="false" outlineLevel="0" collapsed="false">
      <c r="F134" s="0" t="s">
        <v>1574</v>
      </c>
      <c r="G134" s="0" t="s">
        <v>1575</v>
      </c>
      <c r="H134" s="0" t="s">
        <v>1576</v>
      </c>
      <c r="I134" s="0" t="s">
        <v>1577</v>
      </c>
    </row>
    <row r="135" customFormat="false" ht="15" hidden="false" customHeight="false" outlineLevel="0" collapsed="false">
      <c r="F135" s="0" t="s">
        <v>140</v>
      </c>
      <c r="G135" s="0" t="s">
        <v>1475</v>
      </c>
      <c r="H135" s="0" t="s">
        <v>1476</v>
      </c>
      <c r="I135" s="0" t="s">
        <v>1477</v>
      </c>
    </row>
    <row r="136" customFormat="false" ht="15" hidden="false" customHeight="false" outlineLevel="0" collapsed="false">
      <c r="F136" s="0" t="s">
        <v>1578</v>
      </c>
      <c r="G136" s="0" t="s">
        <v>1579</v>
      </c>
      <c r="H136" s="0" t="s">
        <v>1579</v>
      </c>
      <c r="I136" s="0" t="s">
        <v>1579</v>
      </c>
      <c r="K136" s="0" t="s">
        <v>1580</v>
      </c>
    </row>
    <row r="137" customFormat="false" ht="15" hidden="false" customHeight="false" outlineLevel="0" collapsed="false">
      <c r="F137" s="0" t="s">
        <v>1581</v>
      </c>
      <c r="G137" s="0" t="s">
        <v>1582</v>
      </c>
      <c r="H137" s="0" t="s">
        <v>1583</v>
      </c>
      <c r="I137" s="0" t="s">
        <v>1584</v>
      </c>
    </row>
    <row r="138" customFormat="false" ht="15" hidden="false" customHeight="false" outlineLevel="0" collapsed="false">
      <c r="F138" s="0" t="s">
        <v>1585</v>
      </c>
      <c r="G138" s="0" t="s">
        <v>1586</v>
      </c>
      <c r="H138" s="0" t="s">
        <v>1587</v>
      </c>
      <c r="I138" s="0" t="s">
        <v>1588</v>
      </c>
    </row>
    <row r="139" customFormat="false" ht="15" hidden="false" customHeight="false" outlineLevel="0" collapsed="false">
      <c r="F139" s="0" t="s">
        <v>1589</v>
      </c>
      <c r="G139" s="0" t="s">
        <v>1590</v>
      </c>
      <c r="H139" s="0" t="s">
        <v>1591</v>
      </c>
      <c r="I139" s="0" t="s">
        <v>1592</v>
      </c>
    </row>
    <row r="140" customFormat="false" ht="15" hidden="false" customHeight="false" outlineLevel="0" collapsed="false">
      <c r="F140" s="0" t="s">
        <v>196</v>
      </c>
      <c r="G140" s="0" t="s">
        <v>192</v>
      </c>
      <c r="H140" s="0" t="s">
        <v>193</v>
      </c>
      <c r="I140" s="0" t="s">
        <v>194</v>
      </c>
    </row>
    <row r="141" customFormat="false" ht="15" hidden="false" customHeight="false" outlineLevel="0" collapsed="false">
      <c r="F141" s="0" t="s">
        <v>1275</v>
      </c>
      <c r="G141" s="0" t="s">
        <v>1272</v>
      </c>
      <c r="H141" s="0" t="s">
        <v>1273</v>
      </c>
      <c r="I141" s="0" t="s">
        <v>1274</v>
      </c>
    </row>
    <row r="142" customFormat="false" ht="15" hidden="false" customHeight="false" outlineLevel="0" collapsed="false">
      <c r="A142" s="0" t="s">
        <v>76</v>
      </c>
      <c r="B142" s="0" t="s">
        <v>81</v>
      </c>
      <c r="C142" s="0" t="s">
        <v>77</v>
      </c>
      <c r="D142" s="0" t="n">
        <v>368</v>
      </c>
      <c r="E142" s="0" t="n">
        <v>10839679016</v>
      </c>
      <c r="F142" s="0" t="s">
        <v>82</v>
      </c>
      <c r="G142" s="0" t="s">
        <v>78</v>
      </c>
      <c r="H142" s="0" t="s">
        <v>79</v>
      </c>
      <c r="I142" s="0" t="s">
        <v>80</v>
      </c>
      <c r="J142" s="0" t="s">
        <v>76</v>
      </c>
    </row>
    <row r="143" customFormat="false" ht="15" hidden="false" customHeight="false" outlineLevel="0" collapsed="false">
      <c r="F143" s="0" t="s">
        <v>1593</v>
      </c>
      <c r="G143" s="0" t="s">
        <v>1594</v>
      </c>
      <c r="H143" s="0" t="s">
        <v>1595</v>
      </c>
      <c r="I143" s="0" t="s">
        <v>1596</v>
      </c>
    </row>
    <row r="144" customFormat="false" ht="15" hidden="false" customHeight="false" outlineLevel="0" collapsed="false">
      <c r="F144" s="0" t="s">
        <v>936</v>
      </c>
      <c r="G144" s="0" t="s">
        <v>933</v>
      </c>
      <c r="H144" s="0" t="s">
        <v>934</v>
      </c>
      <c r="I144" s="0" t="s">
        <v>935</v>
      </c>
    </row>
    <row r="145" customFormat="false" ht="15" hidden="false" customHeight="false" outlineLevel="0" collapsed="false">
      <c r="F145" s="0" t="s">
        <v>944</v>
      </c>
      <c r="G145" s="0" t="s">
        <v>941</v>
      </c>
      <c r="H145" s="0" t="s">
        <v>942</v>
      </c>
      <c r="I145" s="0" t="s">
        <v>943</v>
      </c>
    </row>
    <row r="146" customFormat="false" ht="15" hidden="false" customHeight="false" outlineLevel="0" collapsed="false">
      <c r="F146" s="0" t="s">
        <v>1597</v>
      </c>
      <c r="G146" s="0" t="s">
        <v>78</v>
      </c>
      <c r="H146" s="0" t="s">
        <v>79</v>
      </c>
      <c r="I146" s="0" t="s">
        <v>935</v>
      </c>
    </row>
    <row r="147" customFormat="false" ht="15" hidden="false" customHeight="false" outlineLevel="0" collapsed="false">
      <c r="F147" s="0" t="s">
        <v>1598</v>
      </c>
      <c r="G147" s="0" t="s">
        <v>1594</v>
      </c>
      <c r="H147" s="0" t="s">
        <v>1595</v>
      </c>
      <c r="I147" s="0" t="s">
        <v>1596</v>
      </c>
    </row>
    <row r="148" customFormat="false" ht="15" hidden="false" customHeight="false" outlineLevel="0" collapsed="false">
      <c r="F148" s="0" t="s">
        <v>1599</v>
      </c>
      <c r="G148" s="0" t="s">
        <v>78</v>
      </c>
      <c r="H148" s="0" t="s">
        <v>79</v>
      </c>
      <c r="I148" s="0" t="s">
        <v>80</v>
      </c>
    </row>
    <row r="149" customFormat="false" ht="15" hidden="false" customHeight="false" outlineLevel="0" collapsed="false">
      <c r="F149" s="0" t="s">
        <v>1600</v>
      </c>
      <c r="G149" s="0" t="s">
        <v>1601</v>
      </c>
      <c r="H149" s="0" t="s">
        <v>1602</v>
      </c>
      <c r="I149" s="0" t="s">
        <v>1603</v>
      </c>
    </row>
    <row r="150" customFormat="false" ht="15" hidden="false" customHeight="false" outlineLevel="0" collapsed="false">
      <c r="A150" s="0" t="s">
        <v>232</v>
      </c>
      <c r="B150" s="0" t="s">
        <v>236</v>
      </c>
      <c r="C150" s="0" t="s">
        <v>61</v>
      </c>
      <c r="D150" s="0" t="n">
        <v>219</v>
      </c>
      <c r="E150" s="0" t="n">
        <v>36612267447</v>
      </c>
      <c r="F150" s="0" t="s">
        <v>891</v>
      </c>
      <c r="G150" s="0" t="s">
        <v>1604</v>
      </c>
      <c r="H150" s="0" t="s">
        <v>1605</v>
      </c>
      <c r="I150" s="0" t="s">
        <v>1606</v>
      </c>
      <c r="J150" s="0" t="s">
        <v>232</v>
      </c>
    </row>
    <row r="151" customFormat="false" ht="15" hidden="false" customHeight="false" outlineLevel="0" collapsed="false">
      <c r="F151" s="0" t="s">
        <v>700</v>
      </c>
      <c r="G151" s="4" t="s">
        <v>1607</v>
      </c>
      <c r="H151" s="0" t="s">
        <v>698</v>
      </c>
      <c r="I151" s="0" t="s">
        <v>699</v>
      </c>
    </row>
    <row r="152" customFormat="false" ht="15" hidden="false" customHeight="false" outlineLevel="0" collapsed="false">
      <c r="A152" s="0" t="s">
        <v>707</v>
      </c>
      <c r="B152" s="0" t="s">
        <v>711</v>
      </c>
      <c r="C152" s="0" t="s">
        <v>111</v>
      </c>
      <c r="D152" s="0" t="n">
        <v>154</v>
      </c>
      <c r="E152" s="0" t="n">
        <v>46319717480</v>
      </c>
      <c r="F152" s="0" t="s">
        <v>712</v>
      </c>
      <c r="G152" s="0" t="s">
        <v>708</v>
      </c>
      <c r="H152" s="0" t="s">
        <v>709</v>
      </c>
      <c r="I152" s="0" t="s">
        <v>710</v>
      </c>
      <c r="J152" s="0" t="s">
        <v>707</v>
      </c>
    </row>
    <row r="153" customFormat="false" ht="15" hidden="false" customHeight="false" outlineLevel="0" collapsed="false">
      <c r="A153" s="0" t="s">
        <v>69</v>
      </c>
      <c r="B153" s="0" t="s">
        <v>73</v>
      </c>
      <c r="C153" s="0" t="s">
        <v>61</v>
      </c>
      <c r="D153" s="0" t="n">
        <v>1918</v>
      </c>
      <c r="E153" s="0" t="n">
        <v>8814003451</v>
      </c>
      <c r="F153" s="0" t="s">
        <v>73</v>
      </c>
      <c r="G153" s="0" t="s">
        <v>70</v>
      </c>
      <c r="H153" s="0" t="s">
        <v>71</v>
      </c>
      <c r="I153" s="0" t="s">
        <v>72</v>
      </c>
      <c r="J153" s="0" t="s">
        <v>69</v>
      </c>
    </row>
    <row r="154" customFormat="false" ht="15" hidden="false" customHeight="false" outlineLevel="0" collapsed="false">
      <c r="F154" s="0" t="s">
        <v>1608</v>
      </c>
      <c r="G154" s="0" t="s">
        <v>1609</v>
      </c>
      <c r="H154" s="0" t="s">
        <v>1610</v>
      </c>
      <c r="I154" s="0" t="s">
        <v>1611</v>
      </c>
    </row>
    <row r="155" customFormat="false" ht="15" hidden="false" customHeight="false" outlineLevel="0" collapsed="false">
      <c r="F155" s="0" t="s">
        <v>842</v>
      </c>
      <c r="G155" s="0" t="s">
        <v>1612</v>
      </c>
      <c r="H155" s="0" t="s">
        <v>1613</v>
      </c>
      <c r="I155" s="0" t="s">
        <v>1614</v>
      </c>
    </row>
    <row r="156" customFormat="false" ht="15" hidden="false" customHeight="false" outlineLevel="0" collapsed="false">
      <c r="F156" s="0" t="s">
        <v>846</v>
      </c>
      <c r="G156" s="0" t="s">
        <v>843</v>
      </c>
      <c r="H156" s="0" t="s">
        <v>844</v>
      </c>
      <c r="I156" s="0" t="s">
        <v>1615</v>
      </c>
    </row>
    <row r="157" customFormat="false" ht="15" hidden="false" customHeight="false" outlineLevel="0" collapsed="false">
      <c r="F157" s="0" t="s">
        <v>1616</v>
      </c>
      <c r="G157" s="0" t="s">
        <v>1617</v>
      </c>
      <c r="H157" s="0" t="s">
        <v>1618</v>
      </c>
      <c r="I157" s="0" t="s">
        <v>1619</v>
      </c>
    </row>
    <row r="158" customFormat="false" ht="15" hidden="false" customHeight="false" outlineLevel="0" collapsed="false">
      <c r="A158" s="0" t="s">
        <v>256</v>
      </c>
      <c r="B158" s="0" t="s">
        <v>260</v>
      </c>
      <c r="C158" s="0" t="s">
        <v>61</v>
      </c>
      <c r="D158" s="0" t="n">
        <v>177</v>
      </c>
      <c r="E158" s="0" t="n">
        <v>43097527965</v>
      </c>
      <c r="F158" s="0" t="s">
        <v>847</v>
      </c>
      <c r="G158" s="0" t="s">
        <v>257</v>
      </c>
      <c r="H158" s="0" t="s">
        <v>1620</v>
      </c>
      <c r="I158" s="0" t="s">
        <v>1621</v>
      </c>
      <c r="J158" s="0" t="s">
        <v>256</v>
      </c>
      <c r="K158" s="0" t="s">
        <v>1622</v>
      </c>
    </row>
    <row r="159" customFormat="false" ht="15" hidden="false" customHeight="false" outlineLevel="0" collapsed="false">
      <c r="F159" s="0" t="s">
        <v>1294</v>
      </c>
      <c r="G159" s="0" t="s">
        <v>1291</v>
      </c>
      <c r="H159" s="0" t="s">
        <v>1292</v>
      </c>
      <c r="I159" s="0" t="s">
        <v>1623</v>
      </c>
    </row>
    <row r="160" customFormat="false" ht="15" hidden="false" customHeight="false" outlineLevel="0" collapsed="false">
      <c r="F160" s="0" t="s">
        <v>1624</v>
      </c>
      <c r="G160" s="0" t="s">
        <v>1625</v>
      </c>
      <c r="H160" s="0" t="s">
        <v>1626</v>
      </c>
      <c r="I160" s="0" t="s">
        <v>1627</v>
      </c>
    </row>
    <row r="161" customFormat="false" ht="15" hidden="false" customHeight="false" outlineLevel="0" collapsed="false">
      <c r="A161" s="0" t="s">
        <v>472</v>
      </c>
      <c r="B161" s="0" t="s">
        <v>476</v>
      </c>
      <c r="C161" s="0" t="s">
        <v>111</v>
      </c>
      <c r="D161" s="0" t="n">
        <v>281</v>
      </c>
      <c r="E161" s="0" t="n">
        <v>96996385705</v>
      </c>
      <c r="F161" s="0" t="s">
        <v>476</v>
      </c>
      <c r="G161" s="0" t="s">
        <v>473</v>
      </c>
      <c r="H161" s="0" t="s">
        <v>474</v>
      </c>
      <c r="I161" s="0" t="s">
        <v>475</v>
      </c>
      <c r="J161" s="0" t="s">
        <v>472</v>
      </c>
    </row>
    <row r="162" customFormat="false" ht="15" hidden="false" customHeight="false" outlineLevel="0" collapsed="false">
      <c r="A162" s="0" t="s">
        <v>893</v>
      </c>
      <c r="B162" s="0" t="s">
        <v>989</v>
      </c>
      <c r="C162" s="0" t="s">
        <v>61</v>
      </c>
      <c r="D162" s="0" t="n">
        <v>187</v>
      </c>
      <c r="E162" s="0" t="n">
        <v>72226488129</v>
      </c>
      <c r="F162" s="0" t="s">
        <v>897</v>
      </c>
      <c r="G162" s="0" t="s">
        <v>894</v>
      </c>
      <c r="H162" s="0" t="s">
        <v>895</v>
      </c>
      <c r="I162" s="0" t="s">
        <v>896</v>
      </c>
      <c r="J162" s="0" t="s">
        <v>893</v>
      </c>
    </row>
    <row r="163" customFormat="false" ht="15" hidden="false" customHeight="false" outlineLevel="0" collapsed="false">
      <c r="F163" s="0" t="s">
        <v>1628</v>
      </c>
      <c r="G163" s="0" t="s">
        <v>1629</v>
      </c>
      <c r="H163" s="0" t="s">
        <v>1630</v>
      </c>
      <c r="I163" s="0" t="s">
        <v>1631</v>
      </c>
    </row>
    <row r="164" customFormat="false" ht="15" hidden="false" customHeight="false" outlineLevel="0" collapsed="false">
      <c r="F164" s="0" t="s">
        <v>1632</v>
      </c>
      <c r="G164" s="0" t="s">
        <v>1633</v>
      </c>
      <c r="H164" s="0" t="s">
        <v>1634</v>
      </c>
      <c r="I164" s="0" t="s">
        <v>1635</v>
      </c>
    </row>
    <row r="165" customFormat="false" ht="15" hidden="false" customHeight="false" outlineLevel="0" collapsed="false">
      <c r="A165" s="0" t="s">
        <v>240</v>
      </c>
      <c r="B165" s="0" t="s">
        <v>244</v>
      </c>
      <c r="C165" s="0" t="s">
        <v>24</v>
      </c>
      <c r="D165" s="0" t="n">
        <v>3545</v>
      </c>
      <c r="E165" s="0" t="n">
        <v>38960125358</v>
      </c>
      <c r="F165" s="0" t="s">
        <v>244</v>
      </c>
      <c r="G165" s="0" t="s">
        <v>241</v>
      </c>
      <c r="H165" s="0" t="s">
        <v>242</v>
      </c>
      <c r="I165" s="0" t="s">
        <v>243</v>
      </c>
      <c r="J165" s="0" t="s">
        <v>240</v>
      </c>
    </row>
    <row r="166" customFormat="false" ht="15" hidden="false" customHeight="false" outlineLevel="0" collapsed="false">
      <c r="F166" s="0" t="s">
        <v>714</v>
      </c>
    </row>
    <row r="167" customFormat="false" ht="15" hidden="false" customHeight="false" outlineLevel="0" collapsed="false">
      <c r="F167" s="0" t="s">
        <v>245</v>
      </c>
    </row>
    <row r="168" customFormat="false" ht="15" hidden="false" customHeight="false" outlineLevel="0" collapsed="false">
      <c r="F168" s="0" t="s">
        <v>1636</v>
      </c>
    </row>
    <row r="169" customFormat="false" ht="15" hidden="false" customHeight="false" outlineLevel="0" collapsed="false">
      <c r="A169" s="0" t="s">
        <v>126</v>
      </c>
      <c r="B169" s="0" t="s">
        <v>131</v>
      </c>
      <c r="C169" s="0" t="s">
        <v>127</v>
      </c>
      <c r="D169" s="0" t="n">
        <v>536</v>
      </c>
      <c r="E169" s="0" t="n">
        <v>21720825730</v>
      </c>
      <c r="F169" s="0" t="s">
        <v>132</v>
      </c>
      <c r="G169" s="0" t="s">
        <v>128</v>
      </c>
      <c r="H169" s="0" t="s">
        <v>129</v>
      </c>
      <c r="I169" s="0" t="s">
        <v>130</v>
      </c>
      <c r="J169" s="0" t="s">
        <v>1637</v>
      </c>
    </row>
    <row r="170" customFormat="false" ht="15" hidden="false" customHeight="false" outlineLevel="0" collapsed="false">
      <c r="A170" s="0" t="s">
        <v>900</v>
      </c>
      <c r="B170" s="0" t="s">
        <v>905</v>
      </c>
      <c r="C170" s="0" t="s">
        <v>901</v>
      </c>
      <c r="D170" s="0" t="n">
        <v>530</v>
      </c>
      <c r="E170" s="0" t="n">
        <v>13664089430</v>
      </c>
      <c r="F170" s="0" t="s">
        <v>928</v>
      </c>
      <c r="G170" s="0" t="s">
        <v>902</v>
      </c>
      <c r="H170" s="0" t="s">
        <v>903</v>
      </c>
      <c r="I170" s="0" t="s">
        <v>904</v>
      </c>
      <c r="J170" s="0" t="s">
        <v>1638</v>
      </c>
    </row>
    <row r="171" customFormat="false" ht="15" hidden="false" customHeight="false" outlineLevel="0" collapsed="false">
      <c r="F171" s="0" t="s">
        <v>906</v>
      </c>
    </row>
    <row r="172" customFormat="false" ht="15" hidden="false" customHeight="false" outlineLevel="0" collapsed="false">
      <c r="A172" s="0" t="s">
        <v>716</v>
      </c>
      <c r="B172" s="0" t="s">
        <v>721</v>
      </c>
      <c r="C172" s="0" t="s">
        <v>717</v>
      </c>
      <c r="D172" s="0" t="n">
        <v>1944</v>
      </c>
      <c r="E172" s="0" t="n">
        <v>42552392522</v>
      </c>
      <c r="F172" s="0" t="s">
        <v>722</v>
      </c>
      <c r="G172" s="0" t="s">
        <v>718</v>
      </c>
      <c r="H172" s="0" t="s">
        <v>719</v>
      </c>
      <c r="I172" s="0" t="s">
        <v>720</v>
      </c>
      <c r="J172" s="0" t="s">
        <v>1639</v>
      </c>
    </row>
    <row r="173" customFormat="false" ht="15" hidden="false" customHeight="false" outlineLevel="0" collapsed="false">
      <c r="A173" s="0" t="s">
        <v>726</v>
      </c>
      <c r="B173" s="0" t="s">
        <v>731</v>
      </c>
      <c r="C173" s="0" t="s">
        <v>727</v>
      </c>
      <c r="D173" s="0" t="n">
        <v>3385</v>
      </c>
      <c r="E173" s="0" t="n">
        <v>16465214888</v>
      </c>
      <c r="F173" s="0" t="s">
        <v>732</v>
      </c>
      <c r="G173" s="0" t="s">
        <v>1352</v>
      </c>
      <c r="H173" s="0" t="s">
        <v>729</v>
      </c>
      <c r="I173" s="0" t="s">
        <v>730</v>
      </c>
      <c r="J173" s="0" t="s">
        <v>726</v>
      </c>
    </row>
    <row r="174" customFormat="false" ht="15" hidden="false" customHeight="false" outlineLevel="0" collapsed="false">
      <c r="F174" s="0" t="s">
        <v>851</v>
      </c>
      <c r="G174" s="0" t="s">
        <v>848</v>
      </c>
      <c r="H174" s="0" t="s">
        <v>849</v>
      </c>
      <c r="I174" s="0" t="s">
        <v>850</v>
      </c>
    </row>
    <row r="175" customFormat="false" ht="15" hidden="false" customHeight="false" outlineLevel="0" collapsed="false">
      <c r="A175" s="0" t="s">
        <v>735</v>
      </c>
      <c r="B175" s="0" t="s">
        <v>740</v>
      </c>
      <c r="C175" s="0" t="s">
        <v>736</v>
      </c>
      <c r="D175" s="0" t="n">
        <v>1963</v>
      </c>
      <c r="E175" s="0" t="n">
        <v>62820859976</v>
      </c>
      <c r="F175" s="0" t="s">
        <v>740</v>
      </c>
      <c r="G175" s="0" t="s">
        <v>737</v>
      </c>
      <c r="H175" s="0" t="s">
        <v>738</v>
      </c>
      <c r="I175" s="0" t="s">
        <v>739</v>
      </c>
      <c r="J175" s="0" t="s">
        <v>735</v>
      </c>
    </row>
    <row r="176" customFormat="false" ht="15" hidden="false" customHeight="false" outlineLevel="0" collapsed="false">
      <c r="F176" s="0" t="s">
        <v>741</v>
      </c>
    </row>
    <row r="177" customFormat="false" ht="15" hidden="false" customHeight="false" outlineLevel="0" collapsed="false">
      <c r="A177" s="0" t="s">
        <v>416</v>
      </c>
      <c r="B177" s="0" t="s">
        <v>421</v>
      </c>
      <c r="C177" s="0" t="s">
        <v>417</v>
      </c>
      <c r="D177" s="0" t="n">
        <v>113</v>
      </c>
      <c r="E177" s="0" t="n">
        <v>75480885018</v>
      </c>
      <c r="F177" s="0" t="s">
        <v>422</v>
      </c>
      <c r="G177" s="0" t="s">
        <v>418</v>
      </c>
      <c r="H177" s="0" t="s">
        <v>419</v>
      </c>
      <c r="I177" s="0" t="s">
        <v>420</v>
      </c>
      <c r="J177" s="0" t="s">
        <v>416</v>
      </c>
    </row>
    <row r="178" customFormat="false" ht="15" hidden="false" customHeight="false" outlineLevel="0" collapsed="false">
      <c r="A178" s="0" t="s">
        <v>183</v>
      </c>
      <c r="B178" s="0" t="s">
        <v>187</v>
      </c>
      <c r="C178" s="0" t="s">
        <v>111</v>
      </c>
      <c r="D178" s="0" t="n">
        <v>250</v>
      </c>
      <c r="E178" s="0" t="n">
        <v>29573709870</v>
      </c>
      <c r="F178" s="0" t="s">
        <v>188</v>
      </c>
      <c r="G178" s="0" t="s">
        <v>184</v>
      </c>
      <c r="H178" s="0" t="s">
        <v>185</v>
      </c>
      <c r="I178" s="0" t="s">
        <v>186</v>
      </c>
      <c r="J178" s="0" t="s">
        <v>183</v>
      </c>
    </row>
    <row r="179" customFormat="false" ht="15" hidden="false" customHeight="false" outlineLevel="0" collapsed="false">
      <c r="A179" s="0" t="s">
        <v>358</v>
      </c>
      <c r="B179" s="0" t="s">
        <v>363</v>
      </c>
      <c r="C179" s="0" t="s">
        <v>359</v>
      </c>
      <c r="D179" s="0" t="n">
        <v>232</v>
      </c>
      <c r="E179" s="0" t="n">
        <v>61727512157</v>
      </c>
      <c r="F179" s="0" t="s">
        <v>364</v>
      </c>
      <c r="G179" s="0" t="s">
        <v>360</v>
      </c>
      <c r="H179" s="0" t="n">
        <v>38598845215</v>
      </c>
      <c r="I179" s="0" t="s">
        <v>362</v>
      </c>
      <c r="J179" s="0" t="s">
        <v>358</v>
      </c>
    </row>
    <row r="180" customFormat="false" ht="15" hidden="false" customHeight="false" outlineLevel="0" collapsed="false">
      <c r="A180" s="0" t="s">
        <v>744</v>
      </c>
      <c r="B180" s="0" t="s">
        <v>749</v>
      </c>
      <c r="C180" s="0" t="s">
        <v>745</v>
      </c>
      <c r="D180" s="0" t="n">
        <v>3795</v>
      </c>
      <c r="E180" s="0" t="n">
        <v>46576407858</v>
      </c>
      <c r="F180" s="0" t="s">
        <v>750</v>
      </c>
      <c r="G180" s="0" t="s">
        <v>746</v>
      </c>
      <c r="H180" s="0" t="s">
        <v>747</v>
      </c>
      <c r="I180" s="0" t="s">
        <v>748</v>
      </c>
      <c r="J180" s="0" t="s">
        <v>744</v>
      </c>
    </row>
    <row r="181" customFormat="false" ht="15" hidden="false" customHeight="false" outlineLevel="0" collapsed="false">
      <c r="A181" s="0" t="s">
        <v>224</v>
      </c>
      <c r="B181" s="0" t="s">
        <v>228</v>
      </c>
      <c r="C181" s="0" t="s">
        <v>61</v>
      </c>
      <c r="D181" s="0" t="n">
        <v>140</v>
      </c>
      <c r="E181" s="0" t="n">
        <v>36389528408</v>
      </c>
      <c r="F181" s="0" t="s">
        <v>229</v>
      </c>
      <c r="G181" s="0" t="s">
        <v>225</v>
      </c>
      <c r="H181" s="0" t="s">
        <v>226</v>
      </c>
      <c r="I181" s="0" t="s">
        <v>227</v>
      </c>
      <c r="J181" s="0" t="s">
        <v>224</v>
      </c>
    </row>
    <row r="182" customFormat="false" ht="15" hidden="false" customHeight="false" outlineLevel="0" collapsed="false">
      <c r="A182" s="0" t="s">
        <v>295</v>
      </c>
      <c r="B182" s="0" t="s">
        <v>299</v>
      </c>
      <c r="C182" s="0" t="s">
        <v>61</v>
      </c>
      <c r="D182" s="0" t="n">
        <v>245</v>
      </c>
      <c r="E182" s="0" t="n">
        <v>50952646228</v>
      </c>
      <c r="F182" s="0" t="s">
        <v>300</v>
      </c>
      <c r="G182" s="0" t="s">
        <v>1640</v>
      </c>
      <c r="H182" s="0" t="s">
        <v>1641</v>
      </c>
      <c r="I182" s="0" t="s">
        <v>1642</v>
      </c>
      <c r="J182" s="0" t="s">
        <v>295</v>
      </c>
    </row>
    <row r="183" customFormat="false" ht="15" hidden="false" customHeight="false" outlineLevel="0" collapsed="false">
      <c r="F183" s="0" t="s">
        <v>1643</v>
      </c>
    </row>
    <row r="184" customFormat="false" ht="15" hidden="false" customHeight="false" outlineLevel="0" collapsed="false">
      <c r="F184" s="0" t="s">
        <v>1644</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1" activeCellId="0" sqref="D11"/>
    </sheetView>
  </sheetViews>
  <sheetFormatPr defaultColWidth="8.8593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32"/>
    <col collapsed="false" customWidth="true" hidden="false" outlineLevel="0" max="4" min="4" style="0" width="57.42"/>
    <col collapsed="false" customWidth="true" hidden="false" outlineLevel="0" max="5" min="5" style="0" width="28"/>
    <col collapsed="false" customWidth="true" hidden="false" outlineLevel="0" max="6" min="6" style="0" width="41"/>
    <col collapsed="false" customWidth="true" hidden="false" outlineLevel="0" max="7" min="7" style="0" width="56"/>
    <col collapsed="false" customWidth="true" hidden="false" outlineLevel="0" max="8" min="8" style="0" width="16"/>
    <col collapsed="false" customWidth="true" hidden="false" outlineLevel="0" max="9" min="9" style="0" width="10"/>
    <col collapsed="false" customWidth="true" hidden="false" outlineLevel="0" max="10" min="10" style="0" width="12"/>
  </cols>
  <sheetData>
    <row r="1" customFormat="false" ht="15" hidden="false" customHeight="false" outlineLevel="0" collapsed="false">
      <c r="A1" s="128" t="s">
        <v>1645</v>
      </c>
      <c r="B1" s="128" t="s">
        <v>1646</v>
      </c>
      <c r="C1" s="128" t="s">
        <v>12</v>
      </c>
      <c r="D1" s="128" t="s">
        <v>13</v>
      </c>
      <c r="E1" s="128" t="s">
        <v>9</v>
      </c>
      <c r="F1" s="128" t="s">
        <v>10</v>
      </c>
      <c r="G1" s="128" t="s">
        <v>11</v>
      </c>
      <c r="H1" s="128" t="s">
        <v>14</v>
      </c>
      <c r="I1" s="128" t="s">
        <v>4</v>
      </c>
      <c r="J1" s="128" t="s">
        <v>1647</v>
      </c>
    </row>
    <row r="2" customFormat="false" ht="15" hidden="false" customHeight="false" outlineLevel="0" collapsed="false">
      <c r="A2" s="129" t="s">
        <v>917</v>
      </c>
      <c r="B2" s="129" t="s">
        <v>61</v>
      </c>
      <c r="C2" s="129" t="s">
        <v>1018</v>
      </c>
      <c r="D2" s="129" t="s">
        <v>1019</v>
      </c>
      <c r="E2" s="129" t="s">
        <v>1015</v>
      </c>
      <c r="F2" s="129" t="s">
        <v>1016</v>
      </c>
      <c r="G2" s="129" t="s">
        <v>1017</v>
      </c>
      <c r="H2" s="130" t="s">
        <v>1020</v>
      </c>
      <c r="I2" s="130" t="s">
        <v>1014</v>
      </c>
      <c r="J2" s="129" t="n">
        <v>1</v>
      </c>
    </row>
    <row r="3" customFormat="false" ht="30" hidden="false" customHeight="true" outlineLevel="0" collapsed="false">
      <c r="A3" s="131" t="s">
        <v>303</v>
      </c>
      <c r="B3" s="131" t="s">
        <v>61</v>
      </c>
      <c r="C3" s="131" t="s">
        <v>307</v>
      </c>
      <c r="D3" s="131" t="s">
        <v>756</v>
      </c>
      <c r="E3" s="131" t="s">
        <v>1648</v>
      </c>
      <c r="F3" s="131" t="s">
        <v>1649</v>
      </c>
      <c r="G3" s="131" t="s">
        <v>1650</v>
      </c>
      <c r="H3" s="132" t="s">
        <v>309</v>
      </c>
      <c r="I3" s="132" t="s">
        <v>302</v>
      </c>
      <c r="J3" s="131" t="n">
        <v>2</v>
      </c>
    </row>
    <row r="4" customFormat="false" ht="30" hidden="false" customHeight="true" outlineLevel="0" collapsed="false">
      <c r="A4" s="131" t="s">
        <v>761</v>
      </c>
      <c r="B4" s="131" t="s">
        <v>61</v>
      </c>
      <c r="C4" s="131" t="s">
        <v>765</v>
      </c>
      <c r="D4" s="131" t="s">
        <v>1651</v>
      </c>
      <c r="E4" s="131" t="s">
        <v>1652</v>
      </c>
      <c r="F4" s="131" t="s">
        <v>1653</v>
      </c>
      <c r="G4" s="131" t="s">
        <v>1654</v>
      </c>
      <c r="H4" s="132" t="s">
        <v>766</v>
      </c>
      <c r="I4" s="132" t="s">
        <v>760</v>
      </c>
      <c r="J4" s="131" t="n">
        <v>2</v>
      </c>
    </row>
    <row r="5" customFormat="false" ht="15" hidden="false" customHeight="false" outlineLevel="0" collapsed="false">
      <c r="A5" s="129" t="s">
        <v>319</v>
      </c>
      <c r="B5" s="129" t="s">
        <v>111</v>
      </c>
      <c r="C5" s="129" t="s">
        <v>323</v>
      </c>
      <c r="D5" s="129" t="s">
        <v>324</v>
      </c>
      <c r="E5" s="129" t="s">
        <v>320</v>
      </c>
      <c r="F5" s="129" t="s">
        <v>321</v>
      </c>
      <c r="G5" s="129" t="s">
        <v>322</v>
      </c>
      <c r="H5" s="130" t="s">
        <v>325</v>
      </c>
      <c r="I5" s="130" t="s">
        <v>318</v>
      </c>
      <c r="J5" s="129" t="n">
        <v>1</v>
      </c>
    </row>
    <row r="6" customFormat="false" ht="30" hidden="false" customHeight="true" outlineLevel="0" collapsed="false">
      <c r="A6" s="131" t="s">
        <v>915</v>
      </c>
      <c r="B6" s="131" t="s">
        <v>152</v>
      </c>
      <c r="C6" s="131" t="s">
        <v>965</v>
      </c>
      <c r="D6" s="131" t="s">
        <v>1655</v>
      </c>
      <c r="E6" s="131" t="s">
        <v>1656</v>
      </c>
      <c r="F6" s="131" t="s">
        <v>1657</v>
      </c>
      <c r="G6" s="131" t="s">
        <v>1658</v>
      </c>
      <c r="H6" s="132" t="s">
        <v>967</v>
      </c>
      <c r="I6" s="132" t="s">
        <v>961</v>
      </c>
      <c r="J6" s="131" t="n">
        <v>2</v>
      </c>
    </row>
    <row r="7" customFormat="false" ht="30" hidden="false" customHeight="true" outlineLevel="0" collapsed="false">
      <c r="A7" s="131" t="s">
        <v>248</v>
      </c>
      <c r="B7" s="131" t="s">
        <v>61</v>
      </c>
      <c r="C7" s="131" t="s">
        <v>252</v>
      </c>
      <c r="D7" s="131" t="s">
        <v>1659</v>
      </c>
      <c r="E7" s="131" t="s">
        <v>1487</v>
      </c>
      <c r="F7" s="131" t="s">
        <v>1660</v>
      </c>
      <c r="G7" s="131" t="s">
        <v>1661</v>
      </c>
      <c r="H7" s="132" t="s">
        <v>254</v>
      </c>
      <c r="I7" s="132" t="s">
        <v>247</v>
      </c>
      <c r="J7" s="131" t="n">
        <v>2</v>
      </c>
    </row>
    <row r="8" customFormat="false" ht="15" hidden="false" customHeight="false" outlineLevel="0" collapsed="false">
      <c r="A8" s="129" t="s">
        <v>208</v>
      </c>
      <c r="B8" s="129" t="s">
        <v>61</v>
      </c>
      <c r="C8" s="129" t="s">
        <v>212</v>
      </c>
      <c r="D8" s="129" t="s">
        <v>213</v>
      </c>
      <c r="E8" s="129" t="s">
        <v>209</v>
      </c>
      <c r="F8" s="129" t="s">
        <v>210</v>
      </c>
      <c r="G8" s="129" t="s">
        <v>211</v>
      </c>
      <c r="H8" s="130" t="s">
        <v>214</v>
      </c>
      <c r="I8" s="130" t="s">
        <v>207</v>
      </c>
      <c r="J8" s="129" t="n">
        <v>1</v>
      </c>
    </row>
    <row r="9" customFormat="false" ht="15" hidden="false" customHeight="false" outlineLevel="0" collapsed="false">
      <c r="A9" s="129" t="s">
        <v>769</v>
      </c>
      <c r="B9" s="129" t="s">
        <v>61</v>
      </c>
      <c r="C9" s="129" t="s">
        <v>773</v>
      </c>
      <c r="D9" s="129" t="s">
        <v>774</v>
      </c>
      <c r="E9" s="129" t="s">
        <v>770</v>
      </c>
      <c r="F9" s="129" t="s">
        <v>771</v>
      </c>
      <c r="G9" s="129" t="s">
        <v>772</v>
      </c>
      <c r="H9" s="130" t="s">
        <v>775</v>
      </c>
      <c r="I9" s="130" t="s">
        <v>768</v>
      </c>
      <c r="J9" s="129" t="n">
        <v>1</v>
      </c>
    </row>
    <row r="10" customFormat="false" ht="15" hidden="false" customHeight="false" outlineLevel="0" collapsed="false">
      <c r="A10" s="129" t="s">
        <v>311</v>
      </c>
      <c r="B10" s="129" t="s">
        <v>152</v>
      </c>
      <c r="C10" s="129" t="s">
        <v>315</v>
      </c>
      <c r="D10" s="129" t="s">
        <v>316</v>
      </c>
      <c r="E10" s="129" t="s">
        <v>312</v>
      </c>
      <c r="F10" s="129" t="s">
        <v>313</v>
      </c>
      <c r="G10" s="129" t="s">
        <v>314</v>
      </c>
      <c r="H10" s="130" t="s">
        <v>317</v>
      </c>
      <c r="I10" s="130" t="s">
        <v>310</v>
      </c>
      <c r="J10" s="129" t="n">
        <v>1</v>
      </c>
    </row>
    <row r="11" customFormat="false" ht="15" hidden="false" customHeight="false" outlineLevel="0" collapsed="false">
      <c r="A11" s="129" t="s">
        <v>448</v>
      </c>
      <c r="B11" s="129" t="s">
        <v>24</v>
      </c>
      <c r="C11" s="129" t="s">
        <v>452</v>
      </c>
      <c r="D11" s="129" t="s">
        <v>453</v>
      </c>
      <c r="E11" s="129" t="s">
        <v>449</v>
      </c>
      <c r="F11" s="129" t="s">
        <v>450</v>
      </c>
      <c r="G11" s="129" t="s">
        <v>451</v>
      </c>
      <c r="H11" s="130" t="s">
        <v>454</v>
      </c>
      <c r="I11" s="130" t="s">
        <v>447</v>
      </c>
      <c r="J11" s="129" t="n">
        <v>1</v>
      </c>
    </row>
    <row r="12" customFormat="false" ht="15" hidden="false" customHeight="false" outlineLevel="0" collapsed="false">
      <c r="A12" s="129" t="s">
        <v>537</v>
      </c>
      <c r="B12" s="129" t="s">
        <v>111</v>
      </c>
      <c r="C12" s="129" t="s">
        <v>541</v>
      </c>
      <c r="D12" s="129" t="s">
        <v>541</v>
      </c>
      <c r="E12" s="129" t="s">
        <v>538</v>
      </c>
      <c r="F12" s="129" t="s">
        <v>539</v>
      </c>
      <c r="G12" s="129" t="s">
        <v>540</v>
      </c>
      <c r="H12" s="130" t="s">
        <v>542</v>
      </c>
      <c r="I12" s="130" t="s">
        <v>536</v>
      </c>
      <c r="J12" s="129" t="n">
        <v>1</v>
      </c>
    </row>
    <row r="13" customFormat="false" ht="30" hidden="false" customHeight="true" outlineLevel="0" collapsed="false">
      <c r="A13" s="129" t="s">
        <v>487</v>
      </c>
      <c r="B13" s="129" t="s">
        <v>152</v>
      </c>
      <c r="C13" s="129" t="s">
        <v>491</v>
      </c>
      <c r="D13" s="129" t="s">
        <v>492</v>
      </c>
      <c r="E13" s="129" t="s">
        <v>488</v>
      </c>
      <c r="F13" s="129" t="s">
        <v>489</v>
      </c>
      <c r="G13" s="129" t="s">
        <v>490</v>
      </c>
      <c r="H13" s="130" t="s">
        <v>493</v>
      </c>
      <c r="I13" s="130" t="s">
        <v>486</v>
      </c>
      <c r="J13" s="129" t="n">
        <v>1</v>
      </c>
    </row>
    <row r="14" customFormat="false" ht="30" hidden="false" customHeight="true" outlineLevel="0" collapsed="false">
      <c r="A14" s="131" t="s">
        <v>335</v>
      </c>
      <c r="B14" s="131" t="s">
        <v>61</v>
      </c>
      <c r="C14" s="131" t="s">
        <v>339</v>
      </c>
      <c r="D14" s="131" t="s">
        <v>1662</v>
      </c>
      <c r="E14" s="131" t="s">
        <v>1663</v>
      </c>
      <c r="F14" s="131" t="s">
        <v>1664</v>
      </c>
      <c r="G14" s="131" t="s">
        <v>1665</v>
      </c>
      <c r="H14" s="132" t="s">
        <v>341</v>
      </c>
      <c r="I14" s="132" t="s">
        <v>334</v>
      </c>
      <c r="J14" s="131" t="n">
        <v>2</v>
      </c>
    </row>
    <row r="15" customFormat="false" ht="30" hidden="false" customHeight="true" outlineLevel="0" collapsed="false">
      <c r="A15" s="131" t="s">
        <v>464</v>
      </c>
      <c r="B15" s="131" t="s">
        <v>152</v>
      </c>
      <c r="C15" s="131" t="s">
        <v>468</v>
      </c>
      <c r="D15" s="131" t="s">
        <v>1666</v>
      </c>
      <c r="E15" s="131" t="s">
        <v>1667</v>
      </c>
      <c r="F15" s="131" t="s">
        <v>1668</v>
      </c>
      <c r="G15" s="131" t="s">
        <v>1669</v>
      </c>
      <c r="H15" s="132" t="s">
        <v>470</v>
      </c>
      <c r="I15" s="132" t="s">
        <v>463</v>
      </c>
      <c r="J15" s="131" t="n">
        <v>2</v>
      </c>
    </row>
    <row r="16" customFormat="false" ht="30" hidden="false" customHeight="true" outlineLevel="0" collapsed="false">
      <c r="A16" s="129" t="s">
        <v>22</v>
      </c>
      <c r="B16" s="129" t="s">
        <v>24</v>
      </c>
      <c r="C16" s="129" t="s">
        <v>28</v>
      </c>
      <c r="D16" s="129" t="s">
        <v>29</v>
      </c>
      <c r="E16" s="129" t="s">
        <v>25</v>
      </c>
      <c r="F16" s="129" t="s">
        <v>26</v>
      </c>
      <c r="G16" s="129" t="s">
        <v>27</v>
      </c>
      <c r="H16" s="130" t="s">
        <v>30</v>
      </c>
      <c r="I16" s="130" t="s">
        <v>21</v>
      </c>
      <c r="J16" s="129" t="n">
        <v>1</v>
      </c>
    </row>
    <row r="17" customFormat="false" ht="30" hidden="false" customHeight="true" outlineLevel="0" collapsed="false">
      <c r="A17" s="129" t="s">
        <v>160</v>
      </c>
      <c r="B17" s="129" t="s">
        <v>61</v>
      </c>
      <c r="C17" s="129" t="s">
        <v>164</v>
      </c>
      <c r="D17" s="129" t="s">
        <v>164</v>
      </c>
      <c r="E17" s="129" t="s">
        <v>161</v>
      </c>
      <c r="F17" s="129" t="s">
        <v>162</v>
      </c>
      <c r="G17" s="129" t="s">
        <v>163</v>
      </c>
      <c r="H17" s="130" t="s">
        <v>165</v>
      </c>
      <c r="I17" s="130" t="s">
        <v>159</v>
      </c>
      <c r="J17" s="129" t="n">
        <v>1</v>
      </c>
    </row>
    <row r="18" customFormat="false" ht="30" hidden="false" customHeight="true" outlineLevel="0" collapsed="false">
      <c r="A18" s="129" t="s">
        <v>545</v>
      </c>
      <c r="B18" s="129" t="s">
        <v>24</v>
      </c>
      <c r="C18" s="129" t="s">
        <v>549</v>
      </c>
      <c r="D18" s="129" t="s">
        <v>550</v>
      </c>
      <c r="E18" s="129" t="s">
        <v>546</v>
      </c>
      <c r="F18" s="129" t="s">
        <v>547</v>
      </c>
      <c r="G18" s="129" t="s">
        <v>548</v>
      </c>
      <c r="H18" s="130" t="s">
        <v>551</v>
      </c>
      <c r="I18" s="130" t="s">
        <v>544</v>
      </c>
      <c r="J18" s="129" t="n">
        <v>1</v>
      </c>
    </row>
    <row r="19" customFormat="false" ht="15" hidden="false" customHeight="false" outlineLevel="0" collapsed="false">
      <c r="A19" s="129" t="s">
        <v>495</v>
      </c>
      <c r="B19" s="129" t="s">
        <v>61</v>
      </c>
      <c r="C19" s="129" t="s">
        <v>499</v>
      </c>
      <c r="D19" s="129" t="s">
        <v>500</v>
      </c>
      <c r="E19" s="129" t="s">
        <v>496</v>
      </c>
      <c r="F19" s="129" t="s">
        <v>497</v>
      </c>
      <c r="G19" s="129" t="s">
        <v>498</v>
      </c>
      <c r="H19" s="130" t="s">
        <v>501</v>
      </c>
      <c r="I19" s="130" t="s">
        <v>494</v>
      </c>
      <c r="J19" s="129" t="n">
        <v>1</v>
      </c>
    </row>
    <row r="20" customFormat="false" ht="30" hidden="false" customHeight="true" outlineLevel="0" collapsed="false">
      <c r="A20" s="131" t="s">
        <v>408</v>
      </c>
      <c r="B20" s="131" t="s">
        <v>61</v>
      </c>
      <c r="C20" s="131" t="s">
        <v>412</v>
      </c>
      <c r="D20" s="131" t="s">
        <v>1670</v>
      </c>
      <c r="E20" s="131" t="s">
        <v>1671</v>
      </c>
      <c r="F20" s="131" t="s">
        <v>1672</v>
      </c>
      <c r="G20" s="131" t="s">
        <v>1673</v>
      </c>
      <c r="H20" s="132" t="s">
        <v>414</v>
      </c>
      <c r="I20" s="132" t="s">
        <v>407</v>
      </c>
      <c r="J20" s="131" t="n">
        <v>2</v>
      </c>
    </row>
    <row r="21" customFormat="false" ht="30" hidden="false" customHeight="true" outlineLevel="0" collapsed="false">
      <c r="A21" s="131" t="s">
        <v>35</v>
      </c>
      <c r="B21" s="131" t="s">
        <v>36</v>
      </c>
      <c r="C21" s="131" t="s">
        <v>40</v>
      </c>
      <c r="D21" s="131" t="s">
        <v>41</v>
      </c>
      <c r="E21" s="131" t="s">
        <v>1674</v>
      </c>
      <c r="F21" s="131" t="s">
        <v>1675</v>
      </c>
      <c r="G21" s="131" t="s">
        <v>1676</v>
      </c>
      <c r="H21" s="132" t="s">
        <v>42</v>
      </c>
      <c r="I21" s="132" t="s">
        <v>34</v>
      </c>
      <c r="J21" s="131" t="n">
        <v>2</v>
      </c>
    </row>
    <row r="22" customFormat="false" ht="15" hidden="false" customHeight="false" outlineLevel="0" collapsed="false">
      <c r="A22" s="129" t="s">
        <v>167</v>
      </c>
      <c r="B22" s="129" t="s">
        <v>61</v>
      </c>
      <c r="C22" s="129" t="s">
        <v>171</v>
      </c>
      <c r="D22" s="129" t="s">
        <v>172</v>
      </c>
      <c r="E22" s="129" t="s">
        <v>168</v>
      </c>
      <c r="F22" s="129" t="s">
        <v>169</v>
      </c>
      <c r="G22" s="129" t="s">
        <v>170</v>
      </c>
      <c r="H22" s="130" t="s">
        <v>173</v>
      </c>
      <c r="I22" s="130" t="s">
        <v>166</v>
      </c>
      <c r="J22" s="129" t="n">
        <v>1</v>
      </c>
    </row>
    <row r="23" customFormat="false" ht="30" hidden="false" customHeight="true" outlineLevel="0" collapsed="false">
      <c r="A23" s="129" t="s">
        <v>327</v>
      </c>
      <c r="B23" s="129" t="s">
        <v>152</v>
      </c>
      <c r="C23" s="129" t="s">
        <v>331</v>
      </c>
      <c r="D23" s="129" t="s">
        <v>332</v>
      </c>
      <c r="E23" s="129" t="s">
        <v>328</v>
      </c>
      <c r="F23" s="129" t="s">
        <v>329</v>
      </c>
      <c r="G23" s="129" t="s">
        <v>330</v>
      </c>
      <c r="H23" s="130" t="s">
        <v>333</v>
      </c>
      <c r="I23" s="130" t="s">
        <v>326</v>
      </c>
      <c r="J23" s="129" t="n">
        <v>1</v>
      </c>
    </row>
    <row r="24" customFormat="false" ht="45" hidden="false" customHeight="true" outlineLevel="0" collapsed="false">
      <c r="A24" s="131" t="s">
        <v>555</v>
      </c>
      <c r="B24" s="131" t="s">
        <v>61</v>
      </c>
      <c r="C24" s="131" t="s">
        <v>559</v>
      </c>
      <c r="D24" s="131" t="s">
        <v>1677</v>
      </c>
      <c r="E24" s="131" t="s">
        <v>1678</v>
      </c>
      <c r="F24" s="131" t="s">
        <v>1679</v>
      </c>
      <c r="G24" s="131" t="s">
        <v>1680</v>
      </c>
      <c r="H24" s="132" t="s">
        <v>561</v>
      </c>
      <c r="I24" s="132" t="s">
        <v>554</v>
      </c>
      <c r="J24" s="131" t="n">
        <v>3</v>
      </c>
    </row>
    <row r="25" customFormat="false" ht="30" hidden="false" customHeight="true" outlineLevel="0" collapsed="false">
      <c r="A25" s="131" t="s">
        <v>918</v>
      </c>
      <c r="B25" s="131" t="s">
        <v>61</v>
      </c>
      <c r="C25" s="131" t="s">
        <v>949</v>
      </c>
      <c r="D25" s="131" t="s">
        <v>1681</v>
      </c>
      <c r="E25" s="131" t="s">
        <v>1682</v>
      </c>
      <c r="F25" s="131" t="s">
        <v>1683</v>
      </c>
      <c r="G25" s="131" t="s">
        <v>1684</v>
      </c>
      <c r="H25" s="132" t="s">
        <v>951</v>
      </c>
      <c r="I25" s="132" t="s">
        <v>945</v>
      </c>
      <c r="J25" s="131" t="n">
        <v>2</v>
      </c>
    </row>
    <row r="26" customFormat="false" ht="30" hidden="false" customHeight="true" outlineLevel="0" collapsed="false">
      <c r="A26" s="129" t="s">
        <v>86</v>
      </c>
      <c r="B26" s="129" t="s">
        <v>87</v>
      </c>
      <c r="C26" s="129" t="s">
        <v>91</v>
      </c>
      <c r="D26" s="129" t="s">
        <v>92</v>
      </c>
      <c r="E26" s="129" t="s">
        <v>88</v>
      </c>
      <c r="F26" s="129" t="s">
        <v>89</v>
      </c>
      <c r="G26" s="129" t="s">
        <v>90</v>
      </c>
      <c r="H26" s="130" t="s">
        <v>93</v>
      </c>
      <c r="I26" s="130" t="s">
        <v>85</v>
      </c>
      <c r="J26" s="129" t="n">
        <v>1</v>
      </c>
    </row>
    <row r="27" customFormat="false" ht="45" hidden="false" customHeight="true" outlineLevel="0" collapsed="false">
      <c r="A27" s="131" t="s">
        <v>440</v>
      </c>
      <c r="B27" s="131" t="s">
        <v>152</v>
      </c>
      <c r="C27" s="131" t="s">
        <v>444</v>
      </c>
      <c r="D27" s="131" t="s">
        <v>1685</v>
      </c>
      <c r="E27" s="131" t="s">
        <v>1686</v>
      </c>
      <c r="F27" s="131" t="s">
        <v>1687</v>
      </c>
      <c r="G27" s="131" t="s">
        <v>1688</v>
      </c>
      <c r="H27" s="132" t="s">
        <v>446</v>
      </c>
      <c r="I27" s="132" t="s">
        <v>439</v>
      </c>
      <c r="J27" s="131" t="n">
        <v>3</v>
      </c>
    </row>
    <row r="28" customFormat="false" ht="30" hidden="false" customHeight="true" outlineLevel="0" collapsed="false">
      <c r="A28" s="129" t="s">
        <v>572</v>
      </c>
      <c r="B28" s="129" t="s">
        <v>573</v>
      </c>
      <c r="C28" s="129" t="s">
        <v>577</v>
      </c>
      <c r="D28" s="129" t="s">
        <v>578</v>
      </c>
      <c r="E28" s="129" t="s">
        <v>574</v>
      </c>
      <c r="F28" s="129" t="s">
        <v>575</v>
      </c>
      <c r="G28" s="129" t="s">
        <v>576</v>
      </c>
      <c r="H28" s="130" t="s">
        <v>579</v>
      </c>
      <c r="I28" s="130" t="s">
        <v>571</v>
      </c>
      <c r="J28" s="129" t="n">
        <v>1</v>
      </c>
    </row>
    <row r="29" customFormat="false" ht="30" hidden="false" customHeight="true" outlineLevel="0" collapsed="false">
      <c r="A29" s="129" t="s">
        <v>175</v>
      </c>
      <c r="B29" s="129" t="s">
        <v>152</v>
      </c>
      <c r="C29" s="129" t="s">
        <v>179</v>
      </c>
      <c r="D29" s="129" t="s">
        <v>180</v>
      </c>
      <c r="E29" s="129" t="s">
        <v>176</v>
      </c>
      <c r="F29" s="129" t="s">
        <v>177</v>
      </c>
      <c r="G29" s="129" t="s">
        <v>178</v>
      </c>
      <c r="H29" s="130" t="s">
        <v>181</v>
      </c>
      <c r="I29" s="130" t="s">
        <v>174</v>
      </c>
      <c r="J29" s="129" t="n">
        <v>1</v>
      </c>
    </row>
    <row r="30" customFormat="false" ht="15" hidden="false" customHeight="false" outlineLevel="0" collapsed="false">
      <c r="A30" s="129" t="s">
        <v>110</v>
      </c>
      <c r="B30" s="129" t="s">
        <v>111</v>
      </c>
      <c r="C30" s="129" t="s">
        <v>115</v>
      </c>
      <c r="D30" s="129" t="s">
        <v>115</v>
      </c>
      <c r="E30" s="129" t="s">
        <v>112</v>
      </c>
      <c r="F30" s="129" t="s">
        <v>113</v>
      </c>
      <c r="G30" s="129" t="s">
        <v>114</v>
      </c>
      <c r="H30" s="130" t="s">
        <v>116</v>
      </c>
      <c r="I30" s="130" t="s">
        <v>109</v>
      </c>
      <c r="J30" s="129" t="n">
        <v>1</v>
      </c>
    </row>
    <row r="31" customFormat="false" ht="30" hidden="false" customHeight="true" outlineLevel="0" collapsed="false">
      <c r="A31" s="129" t="s">
        <v>563</v>
      </c>
      <c r="B31" s="129" t="s">
        <v>61</v>
      </c>
      <c r="C31" s="129" t="s">
        <v>567</v>
      </c>
      <c r="D31" s="129" t="s">
        <v>568</v>
      </c>
      <c r="E31" s="129" t="s">
        <v>564</v>
      </c>
      <c r="F31" s="129" t="s">
        <v>565</v>
      </c>
      <c r="G31" s="129" t="s">
        <v>566</v>
      </c>
      <c r="H31" s="130" t="s">
        <v>569</v>
      </c>
      <c r="I31" s="130" t="s">
        <v>562</v>
      </c>
      <c r="J31" s="129" t="n">
        <v>1</v>
      </c>
    </row>
    <row r="32" customFormat="false" ht="45" hidden="false" customHeight="true" outlineLevel="0" collapsed="false">
      <c r="A32" s="131" t="s">
        <v>581</v>
      </c>
      <c r="B32" s="131" t="s">
        <v>61</v>
      </c>
      <c r="C32" s="131" t="s">
        <v>585</v>
      </c>
      <c r="D32" s="131" t="s">
        <v>1689</v>
      </c>
      <c r="E32" s="131" t="s">
        <v>1690</v>
      </c>
      <c r="F32" s="131" t="s">
        <v>1691</v>
      </c>
      <c r="G32" s="131" t="s">
        <v>1692</v>
      </c>
      <c r="H32" s="132" t="s">
        <v>587</v>
      </c>
      <c r="I32" s="132" t="s">
        <v>580</v>
      </c>
      <c r="J32" s="131" t="n">
        <v>3</v>
      </c>
    </row>
    <row r="33" customFormat="false" ht="15" hidden="false" customHeight="false" outlineLevel="0" collapsed="false">
      <c r="A33" s="129" t="s">
        <v>351</v>
      </c>
      <c r="B33" s="129" t="s">
        <v>152</v>
      </c>
      <c r="C33" s="129" t="s">
        <v>355</v>
      </c>
      <c r="D33" s="129" t="s">
        <v>355</v>
      </c>
      <c r="E33" s="129" t="s">
        <v>352</v>
      </c>
      <c r="F33" s="129" t="s">
        <v>353</v>
      </c>
      <c r="G33" s="129" t="s">
        <v>354</v>
      </c>
      <c r="H33" s="130" t="s">
        <v>356</v>
      </c>
      <c r="I33" s="130" t="s">
        <v>350</v>
      </c>
      <c r="J33" s="129" t="n">
        <v>1</v>
      </c>
    </row>
    <row r="34" customFormat="false" ht="15" hidden="false" customHeight="false" outlineLevel="0" collapsed="false">
      <c r="A34" s="129" t="s">
        <v>392</v>
      </c>
      <c r="B34" s="129" t="s">
        <v>111</v>
      </c>
      <c r="C34" s="129" t="s">
        <v>396</v>
      </c>
      <c r="D34" s="129" t="s">
        <v>397</v>
      </c>
      <c r="E34" s="129" t="s">
        <v>393</v>
      </c>
      <c r="F34" s="129" t="s">
        <v>394</v>
      </c>
      <c r="G34" s="129" t="s">
        <v>395</v>
      </c>
      <c r="H34" s="130" t="s">
        <v>398</v>
      </c>
      <c r="I34" s="130" t="s">
        <v>391</v>
      </c>
      <c r="J34" s="129" t="n">
        <v>1</v>
      </c>
    </row>
    <row r="35" customFormat="false" ht="15" hidden="false" customHeight="false" outlineLevel="0" collapsed="false">
      <c r="A35" s="129" t="s">
        <v>589</v>
      </c>
      <c r="B35" s="129" t="s">
        <v>24</v>
      </c>
      <c r="C35" s="129" t="s">
        <v>593</v>
      </c>
      <c r="D35" s="129" t="s">
        <v>594</v>
      </c>
      <c r="E35" s="129" t="s">
        <v>590</v>
      </c>
      <c r="F35" s="129" t="s">
        <v>591</v>
      </c>
      <c r="G35" s="129" t="s">
        <v>592</v>
      </c>
      <c r="H35" s="130" t="s">
        <v>595</v>
      </c>
      <c r="I35" s="130" t="s">
        <v>588</v>
      </c>
      <c r="J35" s="129" t="n">
        <v>1</v>
      </c>
    </row>
    <row r="36" customFormat="false" ht="30" hidden="false" customHeight="true" outlineLevel="0" collapsed="false">
      <c r="A36" s="131" t="s">
        <v>597</v>
      </c>
      <c r="B36" s="131" t="s">
        <v>61</v>
      </c>
      <c r="C36" s="131" t="s">
        <v>601</v>
      </c>
      <c r="D36" s="131" t="s">
        <v>1381</v>
      </c>
      <c r="E36" s="131" t="s">
        <v>1693</v>
      </c>
      <c r="F36" s="131" t="s">
        <v>1694</v>
      </c>
      <c r="G36" s="131" t="s">
        <v>1695</v>
      </c>
      <c r="H36" s="132" t="s">
        <v>603</v>
      </c>
      <c r="I36" s="132" t="s">
        <v>596</v>
      </c>
      <c r="J36" s="131" t="n">
        <v>2</v>
      </c>
    </row>
    <row r="37" customFormat="false" ht="15" hidden="false" customHeight="false" outlineLevel="0" collapsed="false">
      <c r="A37" s="129" t="s">
        <v>264</v>
      </c>
      <c r="B37" s="129" t="s">
        <v>61</v>
      </c>
      <c r="C37" s="129" t="s">
        <v>252</v>
      </c>
      <c r="D37" s="129" t="s">
        <v>268</v>
      </c>
      <c r="E37" s="129" t="s">
        <v>265</v>
      </c>
      <c r="F37" s="129" t="s">
        <v>266</v>
      </c>
      <c r="G37" s="129" t="s">
        <v>267</v>
      </c>
      <c r="H37" s="130" t="s">
        <v>269</v>
      </c>
      <c r="I37" s="130" t="s">
        <v>263</v>
      </c>
      <c r="J37" s="129" t="n">
        <v>1</v>
      </c>
    </row>
    <row r="38" customFormat="false" ht="15" hidden="false" customHeight="false" outlineLevel="0" collapsed="false">
      <c r="A38" s="129" t="s">
        <v>95</v>
      </c>
      <c r="B38" s="129" t="s">
        <v>36</v>
      </c>
      <c r="C38" s="129" t="s">
        <v>99</v>
      </c>
      <c r="D38" s="129" t="s">
        <v>100</v>
      </c>
      <c r="E38" s="129" t="s">
        <v>96</v>
      </c>
      <c r="F38" s="129" t="s">
        <v>97</v>
      </c>
      <c r="G38" s="129" t="s">
        <v>98</v>
      </c>
      <c r="H38" s="130" t="s">
        <v>101</v>
      </c>
      <c r="I38" s="130" t="s">
        <v>94</v>
      </c>
      <c r="J38" s="129" t="n">
        <v>1</v>
      </c>
    </row>
    <row r="39" customFormat="false" ht="15" hidden="false" customHeight="false" outlineLevel="0" collapsed="false">
      <c r="A39" s="129" t="s">
        <v>143</v>
      </c>
      <c r="B39" s="129" t="s">
        <v>61</v>
      </c>
      <c r="C39" s="129" t="s">
        <v>147</v>
      </c>
      <c r="D39" s="129" t="s">
        <v>148</v>
      </c>
      <c r="E39" s="129" t="s">
        <v>144</v>
      </c>
      <c r="F39" s="129" t="s">
        <v>145</v>
      </c>
      <c r="G39" s="129" t="s">
        <v>146</v>
      </c>
      <c r="H39" s="130" t="s">
        <v>149</v>
      </c>
      <c r="I39" s="130" t="s">
        <v>142</v>
      </c>
      <c r="J39" s="129" t="n">
        <v>1</v>
      </c>
    </row>
    <row r="40" customFormat="false" ht="15" hidden="false" customHeight="false" outlineLevel="0" collapsed="false">
      <c r="A40" s="129" t="s">
        <v>456</v>
      </c>
      <c r="B40" s="129" t="s">
        <v>111</v>
      </c>
      <c r="C40" s="129" t="s">
        <v>460</v>
      </c>
      <c r="D40" s="129" t="s">
        <v>461</v>
      </c>
      <c r="E40" s="129" t="s">
        <v>457</v>
      </c>
      <c r="F40" s="129" t="s">
        <v>458</v>
      </c>
      <c r="G40" s="129" t="s">
        <v>459</v>
      </c>
      <c r="H40" s="130" t="s">
        <v>462</v>
      </c>
      <c r="I40" s="130" t="s">
        <v>455</v>
      </c>
      <c r="J40" s="129" t="n">
        <v>1</v>
      </c>
    </row>
    <row r="41" customFormat="false" ht="15" hidden="false" customHeight="false" outlineLevel="0" collapsed="false">
      <c r="A41" s="129" t="s">
        <v>605</v>
      </c>
      <c r="B41" s="129" t="s">
        <v>61</v>
      </c>
      <c r="C41" s="129" t="s">
        <v>252</v>
      </c>
      <c r="D41" s="129" t="s">
        <v>609</v>
      </c>
      <c r="E41" s="129" t="s">
        <v>606</v>
      </c>
      <c r="F41" s="129" t="s">
        <v>607</v>
      </c>
      <c r="G41" s="129" t="s">
        <v>608</v>
      </c>
      <c r="H41" s="130" t="s">
        <v>610</v>
      </c>
      <c r="I41" s="130" t="s">
        <v>604</v>
      </c>
      <c r="J41" s="129" t="n">
        <v>1</v>
      </c>
    </row>
    <row r="42" customFormat="false" ht="30" hidden="false" customHeight="true" outlineLevel="0" collapsed="false">
      <c r="A42" s="129" t="s">
        <v>916</v>
      </c>
      <c r="B42" s="129" t="s">
        <v>152</v>
      </c>
      <c r="C42" s="129" t="s">
        <v>1081</v>
      </c>
      <c r="D42" s="129" t="s">
        <v>1082</v>
      </c>
      <c r="E42" s="129" t="s">
        <v>1078</v>
      </c>
      <c r="F42" s="129" t="s">
        <v>1079</v>
      </c>
      <c r="G42" s="129" t="s">
        <v>1080</v>
      </c>
      <c r="H42" s="130" t="s">
        <v>1083</v>
      </c>
      <c r="I42" s="130" t="s">
        <v>1077</v>
      </c>
      <c r="J42" s="129" t="n">
        <v>1</v>
      </c>
    </row>
    <row r="43" customFormat="false" ht="15" hidden="false" customHeight="false" outlineLevel="0" collapsed="false">
      <c r="A43" s="129" t="s">
        <v>60</v>
      </c>
      <c r="B43" s="129" t="s">
        <v>61</v>
      </c>
      <c r="C43" s="129" t="s">
        <v>65</v>
      </c>
      <c r="D43" s="129" t="s">
        <v>66</v>
      </c>
      <c r="E43" s="129" t="s">
        <v>62</v>
      </c>
      <c r="F43" s="129" t="s">
        <v>63</v>
      </c>
      <c r="G43" s="129" t="s">
        <v>64</v>
      </c>
      <c r="H43" s="130" t="s">
        <v>67</v>
      </c>
      <c r="I43" s="130" t="s">
        <v>59</v>
      </c>
      <c r="J43" s="129" t="n">
        <v>1</v>
      </c>
    </row>
    <row r="44" customFormat="false" ht="30" hidden="false" customHeight="true" outlineLevel="0" collapsed="false">
      <c r="A44" s="129" t="s">
        <v>783</v>
      </c>
      <c r="B44" s="129" t="s">
        <v>784</v>
      </c>
      <c r="C44" s="129" t="s">
        <v>788</v>
      </c>
      <c r="D44" s="129" t="s">
        <v>789</v>
      </c>
      <c r="E44" s="129" t="s">
        <v>785</v>
      </c>
      <c r="F44" s="129" t="s">
        <v>786</v>
      </c>
      <c r="G44" s="129" t="s">
        <v>787</v>
      </c>
      <c r="H44" s="130" t="s">
        <v>790</v>
      </c>
      <c r="I44" s="130" t="s">
        <v>782</v>
      </c>
      <c r="J44" s="129" t="n">
        <v>1</v>
      </c>
    </row>
    <row r="45" customFormat="false" ht="15" hidden="false" customHeight="false" outlineLevel="0" collapsed="false">
      <c r="A45" s="129" t="s">
        <v>216</v>
      </c>
      <c r="B45" s="129" t="s">
        <v>24</v>
      </c>
      <c r="C45" s="129" t="s">
        <v>220</v>
      </c>
      <c r="D45" s="129" t="s">
        <v>221</v>
      </c>
      <c r="E45" s="129" t="s">
        <v>217</v>
      </c>
      <c r="F45" s="129" t="s">
        <v>218</v>
      </c>
      <c r="G45" s="129" t="s">
        <v>219</v>
      </c>
      <c r="H45" s="130" t="s">
        <v>222</v>
      </c>
      <c r="I45" s="130" t="s">
        <v>215</v>
      </c>
      <c r="J45" s="129" t="n">
        <v>1</v>
      </c>
    </row>
    <row r="46" customFormat="false" ht="15" hidden="false" customHeight="false" outlineLevel="0" collapsed="false">
      <c r="A46" s="129" t="s">
        <v>287</v>
      </c>
      <c r="B46" s="129" t="s">
        <v>61</v>
      </c>
      <c r="C46" s="129" t="s">
        <v>291</v>
      </c>
      <c r="D46" s="129" t="s">
        <v>292</v>
      </c>
      <c r="E46" s="129" t="s">
        <v>288</v>
      </c>
      <c r="F46" s="129" t="s">
        <v>289</v>
      </c>
      <c r="G46" s="129" t="s">
        <v>290</v>
      </c>
      <c r="H46" s="130" t="s">
        <v>293</v>
      </c>
      <c r="I46" s="130" t="s">
        <v>286</v>
      </c>
      <c r="J46" s="129" t="n">
        <v>1</v>
      </c>
    </row>
    <row r="47" customFormat="false" ht="15" hidden="false" customHeight="false" outlineLevel="0" collapsed="false">
      <c r="A47" s="129" t="s">
        <v>612</v>
      </c>
      <c r="B47" s="129" t="s">
        <v>24</v>
      </c>
      <c r="C47" s="129" t="s">
        <v>616</v>
      </c>
      <c r="D47" s="129" t="s">
        <v>616</v>
      </c>
      <c r="E47" s="129" t="s">
        <v>613</v>
      </c>
      <c r="F47" s="129" t="s">
        <v>614</v>
      </c>
      <c r="G47" s="129" t="s">
        <v>615</v>
      </c>
      <c r="H47" s="130" t="s">
        <v>617</v>
      </c>
      <c r="I47" s="130" t="s">
        <v>611</v>
      </c>
      <c r="J47" s="129" t="n">
        <v>1</v>
      </c>
    </row>
    <row r="48" customFormat="false" ht="30" hidden="false" customHeight="true" outlineLevel="0" collapsed="false">
      <c r="A48" s="131" t="s">
        <v>400</v>
      </c>
      <c r="B48" s="131" t="s">
        <v>152</v>
      </c>
      <c r="C48" s="131" t="s">
        <v>404</v>
      </c>
      <c r="D48" s="131" t="s">
        <v>1696</v>
      </c>
      <c r="E48" s="131" t="s">
        <v>1697</v>
      </c>
      <c r="F48" s="131" t="s">
        <v>1698</v>
      </c>
      <c r="G48" s="131" t="s">
        <v>1699</v>
      </c>
      <c r="H48" s="132" t="s">
        <v>406</v>
      </c>
      <c r="I48" s="132" t="s">
        <v>399</v>
      </c>
      <c r="J48" s="131" t="n">
        <v>2</v>
      </c>
    </row>
    <row r="49" customFormat="false" ht="30" hidden="false" customHeight="true" outlineLevel="0" collapsed="false">
      <c r="A49" s="131" t="s">
        <v>343</v>
      </c>
      <c r="B49" s="131" t="s">
        <v>24</v>
      </c>
      <c r="C49" s="131" t="s">
        <v>347</v>
      </c>
      <c r="D49" s="131" t="s">
        <v>1407</v>
      </c>
      <c r="E49" s="131" t="s">
        <v>1700</v>
      </c>
      <c r="F49" s="131" t="s">
        <v>1701</v>
      </c>
      <c r="G49" s="131" t="s">
        <v>1702</v>
      </c>
      <c r="H49" s="132" t="s">
        <v>349</v>
      </c>
      <c r="I49" s="132" t="s">
        <v>342</v>
      </c>
      <c r="J49" s="131" t="n">
        <v>2</v>
      </c>
    </row>
    <row r="50" customFormat="false" ht="15" hidden="false" customHeight="false" outlineLevel="0" collapsed="false">
      <c r="A50" s="129" t="s">
        <v>619</v>
      </c>
      <c r="B50" s="129" t="s">
        <v>61</v>
      </c>
      <c r="C50" s="129" t="s">
        <v>623</v>
      </c>
      <c r="D50" s="129" t="s">
        <v>624</v>
      </c>
      <c r="E50" s="129" t="s">
        <v>620</v>
      </c>
      <c r="F50" s="129" t="s">
        <v>621</v>
      </c>
      <c r="G50" s="129" t="s">
        <v>622</v>
      </c>
      <c r="H50" s="130" t="s">
        <v>625</v>
      </c>
      <c r="I50" s="130" t="s">
        <v>618</v>
      </c>
      <c r="J50" s="129" t="n">
        <v>1</v>
      </c>
    </row>
    <row r="51" customFormat="false" ht="15" hidden="false" customHeight="false" outlineLevel="0" collapsed="false">
      <c r="A51" s="129" t="s">
        <v>627</v>
      </c>
      <c r="B51" s="129" t="s">
        <v>152</v>
      </c>
      <c r="C51" s="129" t="s">
        <v>631</v>
      </c>
      <c r="D51" s="129" t="s">
        <v>632</v>
      </c>
      <c r="E51" s="129" t="s">
        <v>628</v>
      </c>
      <c r="F51" s="129" t="s">
        <v>629</v>
      </c>
      <c r="G51" s="129" t="s">
        <v>630</v>
      </c>
      <c r="H51" s="130" t="s">
        <v>633</v>
      </c>
      <c r="I51" s="130" t="s">
        <v>626</v>
      </c>
      <c r="J51" s="129" t="n">
        <v>1</v>
      </c>
    </row>
    <row r="52" customFormat="false" ht="30" hidden="false" customHeight="true" outlineLevel="0" collapsed="false">
      <c r="A52" s="131" t="s">
        <v>479</v>
      </c>
      <c r="B52" s="131" t="s">
        <v>111</v>
      </c>
      <c r="C52" s="131" t="s">
        <v>483</v>
      </c>
      <c r="D52" s="131" t="s">
        <v>1703</v>
      </c>
      <c r="E52" s="131" t="s">
        <v>1704</v>
      </c>
      <c r="F52" s="131" t="s">
        <v>1705</v>
      </c>
      <c r="G52" s="131" t="s">
        <v>1706</v>
      </c>
      <c r="H52" s="132" t="s">
        <v>485</v>
      </c>
      <c r="I52" s="132" t="s">
        <v>478</v>
      </c>
      <c r="J52" s="131" t="n">
        <v>2</v>
      </c>
    </row>
    <row r="53" customFormat="false" ht="15" hidden="false" customHeight="false" outlineLevel="0" collapsed="false">
      <c r="A53" s="129" t="s">
        <v>44</v>
      </c>
      <c r="B53" s="129" t="s">
        <v>24</v>
      </c>
      <c r="C53" s="129" t="s">
        <v>48</v>
      </c>
      <c r="D53" s="129" t="s">
        <v>49</v>
      </c>
      <c r="E53" s="129" t="s">
        <v>45</v>
      </c>
      <c r="F53" s="129" t="s">
        <v>46</v>
      </c>
      <c r="G53" s="129" t="s">
        <v>47</v>
      </c>
      <c r="H53" s="130" t="s">
        <v>50</v>
      </c>
      <c r="I53" s="130" t="s">
        <v>43</v>
      </c>
      <c r="J53" s="129" t="n">
        <v>1</v>
      </c>
    </row>
    <row r="54" customFormat="false" ht="30" hidden="false" customHeight="true" outlineLevel="0" collapsed="false">
      <c r="A54" s="131" t="s">
        <v>271</v>
      </c>
      <c r="B54" s="131" t="s">
        <v>61</v>
      </c>
      <c r="C54" s="131" t="s">
        <v>275</v>
      </c>
      <c r="D54" s="131" t="s">
        <v>1707</v>
      </c>
      <c r="E54" s="131" t="s">
        <v>1708</v>
      </c>
      <c r="F54" s="131" t="s">
        <v>1709</v>
      </c>
      <c r="G54" s="131" t="s">
        <v>1710</v>
      </c>
      <c r="H54" s="132" t="s">
        <v>277</v>
      </c>
      <c r="I54" s="132" t="s">
        <v>270</v>
      </c>
      <c r="J54" s="131" t="n">
        <v>2</v>
      </c>
    </row>
    <row r="55" customFormat="false" ht="15" hidden="false" customHeight="false" outlineLevel="0" collapsed="false">
      <c r="A55" s="129" t="s">
        <v>860</v>
      </c>
      <c r="B55" s="129" t="s">
        <v>861</v>
      </c>
      <c r="C55" s="129" t="s">
        <v>865</v>
      </c>
      <c r="D55" s="129" t="s">
        <v>866</v>
      </c>
      <c r="E55" s="129" t="s">
        <v>862</v>
      </c>
      <c r="F55" s="129" t="s">
        <v>863</v>
      </c>
      <c r="G55" s="129" t="s">
        <v>864</v>
      </c>
      <c r="H55" s="130" t="s">
        <v>867</v>
      </c>
      <c r="I55" s="130" t="s">
        <v>859</v>
      </c>
      <c r="J55" s="129" t="n">
        <v>1</v>
      </c>
    </row>
    <row r="56" customFormat="false" ht="30" hidden="false" customHeight="true" outlineLevel="0" collapsed="false">
      <c r="A56" s="131" t="s">
        <v>636</v>
      </c>
      <c r="B56" s="131" t="s">
        <v>637</v>
      </c>
      <c r="C56" s="131" t="s">
        <v>641</v>
      </c>
      <c r="D56" s="131" t="s">
        <v>1401</v>
      </c>
      <c r="E56" s="131" t="s">
        <v>1711</v>
      </c>
      <c r="F56" s="131" t="s">
        <v>1712</v>
      </c>
      <c r="G56" s="131" t="s">
        <v>1713</v>
      </c>
      <c r="H56" s="132" t="s">
        <v>643</v>
      </c>
      <c r="I56" s="132" t="s">
        <v>635</v>
      </c>
      <c r="J56" s="131" t="n">
        <v>2</v>
      </c>
    </row>
    <row r="57" customFormat="false" ht="45" hidden="false" customHeight="true" outlineLevel="0" collapsed="false">
      <c r="A57" s="129" t="s">
        <v>509</v>
      </c>
      <c r="B57" s="129" t="s">
        <v>61</v>
      </c>
      <c r="C57" s="129" t="s">
        <v>513</v>
      </c>
      <c r="D57" s="129" t="s">
        <v>514</v>
      </c>
      <c r="E57" s="129" t="s">
        <v>510</v>
      </c>
      <c r="F57" s="129" t="s">
        <v>511</v>
      </c>
      <c r="G57" s="129" t="s">
        <v>512</v>
      </c>
      <c r="H57" s="130" t="s">
        <v>515</v>
      </c>
      <c r="I57" s="130" t="s">
        <v>508</v>
      </c>
      <c r="J57" s="129" t="n">
        <v>1</v>
      </c>
    </row>
    <row r="58" customFormat="false" ht="15" hidden="false" customHeight="false" outlineLevel="0" collapsed="false">
      <c r="A58" s="129" t="s">
        <v>103</v>
      </c>
      <c r="B58" s="129" t="s">
        <v>61</v>
      </c>
      <c r="C58" s="129" t="s">
        <v>107</v>
      </c>
      <c r="D58" s="129" t="s">
        <v>107</v>
      </c>
      <c r="E58" s="129" t="s">
        <v>104</v>
      </c>
      <c r="F58" s="129" t="s">
        <v>105</v>
      </c>
      <c r="G58" s="129" t="s">
        <v>106</v>
      </c>
      <c r="H58" s="130" t="s">
        <v>108</v>
      </c>
      <c r="I58" s="130" t="s">
        <v>102</v>
      </c>
      <c r="J58" s="129" t="n">
        <v>1</v>
      </c>
    </row>
    <row r="59" customFormat="false" ht="15" hidden="false" customHeight="false" outlineLevel="0" collapsed="false">
      <c r="A59" s="129" t="s">
        <v>645</v>
      </c>
      <c r="B59" s="129" t="s">
        <v>61</v>
      </c>
      <c r="C59" s="129" t="s">
        <v>649</v>
      </c>
      <c r="D59" s="129" t="s">
        <v>650</v>
      </c>
      <c r="E59" s="129" t="s">
        <v>646</v>
      </c>
      <c r="F59" s="129" t="s">
        <v>647</v>
      </c>
      <c r="G59" s="129" t="s">
        <v>648</v>
      </c>
      <c r="H59" s="130"/>
      <c r="I59" s="130" t="s">
        <v>644</v>
      </c>
      <c r="J59" s="129" t="n">
        <v>1</v>
      </c>
    </row>
    <row r="60" customFormat="false" ht="15" hidden="false" customHeight="false" outlineLevel="0" collapsed="false">
      <c r="A60" s="129" t="s">
        <v>425</v>
      </c>
      <c r="B60" s="129" t="s">
        <v>111</v>
      </c>
      <c r="C60" s="129" t="s">
        <v>429</v>
      </c>
      <c r="D60" s="129" t="s">
        <v>429</v>
      </c>
      <c r="E60" s="129" t="s">
        <v>426</v>
      </c>
      <c r="F60" s="129" t="s">
        <v>427</v>
      </c>
      <c r="G60" s="129" t="s">
        <v>428</v>
      </c>
      <c r="H60" s="130" t="s">
        <v>430</v>
      </c>
      <c r="I60" s="130" t="s">
        <v>424</v>
      </c>
      <c r="J60" s="129" t="n">
        <v>1</v>
      </c>
    </row>
    <row r="61" customFormat="false" ht="15" hidden="false" customHeight="false" outlineLevel="0" collapsed="false">
      <c r="A61" s="129" t="s">
        <v>135</v>
      </c>
      <c r="B61" s="129" t="s">
        <v>24</v>
      </c>
      <c r="C61" s="129" t="s">
        <v>139</v>
      </c>
      <c r="D61" s="129" t="s">
        <v>140</v>
      </c>
      <c r="E61" s="129" t="s">
        <v>136</v>
      </c>
      <c r="F61" s="129" t="s">
        <v>137</v>
      </c>
      <c r="G61" s="129" t="s">
        <v>138</v>
      </c>
      <c r="H61" s="130" t="s">
        <v>141</v>
      </c>
      <c r="I61" s="130" t="s">
        <v>134</v>
      </c>
      <c r="J61" s="129" t="n">
        <v>1</v>
      </c>
    </row>
    <row r="62" customFormat="false" ht="45" hidden="false" customHeight="true" outlineLevel="0" collapsed="false">
      <c r="A62" s="131" t="s">
        <v>151</v>
      </c>
      <c r="B62" s="131" t="s">
        <v>152</v>
      </c>
      <c r="C62" s="131" t="s">
        <v>156</v>
      </c>
      <c r="D62" s="131" t="s">
        <v>1714</v>
      </c>
      <c r="E62" s="131" t="s">
        <v>1715</v>
      </c>
      <c r="F62" s="131" t="s">
        <v>1716</v>
      </c>
      <c r="G62" s="131" t="s">
        <v>1717</v>
      </c>
      <c r="H62" s="132" t="s">
        <v>158</v>
      </c>
      <c r="I62" s="132" t="s">
        <v>150</v>
      </c>
      <c r="J62" s="131" t="n">
        <v>3</v>
      </c>
    </row>
    <row r="63" customFormat="false" ht="15" hidden="false" customHeight="false" outlineLevel="0" collapsed="false">
      <c r="A63" s="129" t="s">
        <v>652</v>
      </c>
      <c r="B63" s="129" t="s">
        <v>111</v>
      </c>
      <c r="C63" s="129" t="s">
        <v>656</v>
      </c>
      <c r="D63" s="129" t="s">
        <v>657</v>
      </c>
      <c r="E63" s="129" t="s">
        <v>653</v>
      </c>
      <c r="F63" s="129" t="s">
        <v>654</v>
      </c>
      <c r="G63" s="129" t="s">
        <v>655</v>
      </c>
      <c r="H63" s="130" t="s">
        <v>658</v>
      </c>
      <c r="I63" s="130" t="s">
        <v>651</v>
      </c>
      <c r="J63" s="129" t="n">
        <v>1</v>
      </c>
    </row>
    <row r="64" customFormat="false" ht="15" hidden="false" customHeight="false" outlineLevel="0" collapsed="false">
      <c r="A64" s="129" t="s">
        <v>52</v>
      </c>
      <c r="B64" s="129" t="s">
        <v>24</v>
      </c>
      <c r="C64" s="129" t="s">
        <v>56</v>
      </c>
      <c r="D64" s="129" t="s">
        <v>57</v>
      </c>
      <c r="E64" s="129" t="s">
        <v>53</v>
      </c>
      <c r="F64" s="129" t="s">
        <v>54</v>
      </c>
      <c r="G64" s="129" t="s">
        <v>55</v>
      </c>
      <c r="H64" s="130" t="s">
        <v>58</v>
      </c>
      <c r="I64" s="130" t="s">
        <v>51</v>
      </c>
      <c r="J64" s="129" t="n">
        <v>1</v>
      </c>
    </row>
    <row r="65" customFormat="false" ht="30" hidden="false" customHeight="true" outlineLevel="0" collapsed="false">
      <c r="A65" s="131" t="s">
        <v>796</v>
      </c>
      <c r="B65" s="131" t="s">
        <v>61</v>
      </c>
      <c r="C65" s="131" t="s">
        <v>236</v>
      </c>
      <c r="D65" s="131" t="s">
        <v>1718</v>
      </c>
      <c r="E65" s="131" t="s">
        <v>1719</v>
      </c>
      <c r="F65" s="131" t="s">
        <v>1720</v>
      </c>
      <c r="G65" s="131" t="s">
        <v>1721</v>
      </c>
      <c r="H65" s="132" t="s">
        <v>801</v>
      </c>
      <c r="I65" s="132" t="s">
        <v>795</v>
      </c>
      <c r="J65" s="131" t="n">
        <v>2</v>
      </c>
    </row>
    <row r="66" customFormat="false" ht="15" hidden="false" customHeight="false" outlineLevel="0" collapsed="false">
      <c r="A66" s="129" t="s">
        <v>279</v>
      </c>
      <c r="B66" s="129" t="s">
        <v>61</v>
      </c>
      <c r="C66" s="129" t="s">
        <v>283</v>
      </c>
      <c r="D66" s="129" t="s">
        <v>284</v>
      </c>
      <c r="E66" s="129" t="s">
        <v>280</v>
      </c>
      <c r="F66" s="129" t="s">
        <v>281</v>
      </c>
      <c r="G66" s="129" t="s">
        <v>282</v>
      </c>
      <c r="H66" s="130" t="s">
        <v>285</v>
      </c>
      <c r="I66" s="130" t="s">
        <v>278</v>
      </c>
      <c r="J66" s="129" t="n">
        <v>1</v>
      </c>
    </row>
    <row r="67" customFormat="false" ht="30" hidden="false" customHeight="true" outlineLevel="0" collapsed="false">
      <c r="A67" s="129" t="s">
        <v>660</v>
      </c>
      <c r="B67" s="129" t="s">
        <v>152</v>
      </c>
      <c r="C67" s="129" t="s">
        <v>664</v>
      </c>
      <c r="D67" s="129" t="s">
        <v>665</v>
      </c>
      <c r="E67" s="129" t="s">
        <v>661</v>
      </c>
      <c r="F67" s="129" t="s">
        <v>662</v>
      </c>
      <c r="G67" s="129" t="s">
        <v>663</v>
      </c>
      <c r="H67" s="130" t="s">
        <v>666</v>
      </c>
      <c r="I67" s="130" t="s">
        <v>659</v>
      </c>
      <c r="J67" s="129" t="n">
        <v>1</v>
      </c>
    </row>
    <row r="68" customFormat="false" ht="30" hidden="false" customHeight="true" outlineLevel="0" collapsed="false">
      <c r="A68" s="129" t="s">
        <v>118</v>
      </c>
      <c r="B68" s="129" t="s">
        <v>24</v>
      </c>
      <c r="C68" s="129" t="s">
        <v>122</v>
      </c>
      <c r="D68" s="129" t="s">
        <v>123</v>
      </c>
      <c r="E68" s="129" t="s">
        <v>119</v>
      </c>
      <c r="F68" s="129" t="s">
        <v>120</v>
      </c>
      <c r="G68" s="129" t="s">
        <v>121</v>
      </c>
      <c r="H68" s="130" t="s">
        <v>124</v>
      </c>
      <c r="I68" s="130" t="s">
        <v>117</v>
      </c>
      <c r="J68" s="129" t="n">
        <v>1</v>
      </c>
    </row>
    <row r="69" customFormat="false" ht="60" hidden="false" customHeight="true" outlineLevel="0" collapsed="false">
      <c r="A69" s="131" t="s">
        <v>668</v>
      </c>
      <c r="B69" s="131" t="s">
        <v>61</v>
      </c>
      <c r="C69" s="131" t="s">
        <v>672</v>
      </c>
      <c r="D69" s="131" t="s">
        <v>1722</v>
      </c>
      <c r="E69" s="131" t="s">
        <v>1723</v>
      </c>
      <c r="F69" s="131" t="s">
        <v>1724</v>
      </c>
      <c r="G69" s="131" t="s">
        <v>1725</v>
      </c>
      <c r="H69" s="132" t="s">
        <v>673</v>
      </c>
      <c r="I69" s="132" t="s">
        <v>667</v>
      </c>
      <c r="J69" s="131" t="n">
        <v>4</v>
      </c>
    </row>
    <row r="70" customFormat="false" ht="15" hidden="false" customHeight="false" outlineLevel="0" collapsed="false">
      <c r="A70" s="129" t="s">
        <v>503</v>
      </c>
      <c r="B70" s="129" t="s">
        <v>61</v>
      </c>
      <c r="C70" s="129" t="s">
        <v>283</v>
      </c>
      <c r="D70" s="129" t="s">
        <v>284</v>
      </c>
      <c r="E70" s="129" t="s">
        <v>504</v>
      </c>
      <c r="F70" s="129" t="s">
        <v>505</v>
      </c>
      <c r="G70" s="129" t="s">
        <v>506</v>
      </c>
      <c r="H70" s="130" t="s">
        <v>507</v>
      </c>
      <c r="I70" s="130" t="s">
        <v>502</v>
      </c>
      <c r="J70" s="129" t="n">
        <v>1</v>
      </c>
    </row>
    <row r="71" customFormat="false" ht="15" hidden="false" customHeight="false" outlineLevel="0" collapsed="false">
      <c r="A71" s="129" t="s">
        <v>384</v>
      </c>
      <c r="B71" s="129" t="s">
        <v>61</v>
      </c>
      <c r="C71" s="129" t="s">
        <v>388</v>
      </c>
      <c r="D71" s="129" t="s">
        <v>389</v>
      </c>
      <c r="E71" s="129" t="s">
        <v>385</v>
      </c>
      <c r="F71" s="129" t="s">
        <v>386</v>
      </c>
      <c r="G71" s="129" t="s">
        <v>387</v>
      </c>
      <c r="H71" s="130" t="s">
        <v>390</v>
      </c>
      <c r="I71" s="130" t="s">
        <v>383</v>
      </c>
      <c r="J71" s="129" t="n">
        <v>1</v>
      </c>
    </row>
    <row r="72" customFormat="false" ht="45" hidden="false" customHeight="true" outlineLevel="0" collapsed="false">
      <c r="A72" s="131" t="s">
        <v>432</v>
      </c>
      <c r="B72" s="131" t="s">
        <v>152</v>
      </c>
      <c r="C72" s="131" t="s">
        <v>436</v>
      </c>
      <c r="D72" s="131" t="s">
        <v>1726</v>
      </c>
      <c r="E72" s="131" t="s">
        <v>1044</v>
      </c>
      <c r="F72" s="131" t="s">
        <v>1045</v>
      </c>
      <c r="G72" s="131" t="s">
        <v>1046</v>
      </c>
      <c r="H72" s="132" t="s">
        <v>438</v>
      </c>
      <c r="I72" s="132" t="s">
        <v>431</v>
      </c>
      <c r="J72" s="131" t="n">
        <v>3</v>
      </c>
    </row>
    <row r="73" customFormat="false" ht="75" hidden="false" customHeight="true" outlineLevel="0" collapsed="false">
      <c r="A73" s="131" t="s">
        <v>367</v>
      </c>
      <c r="B73" s="131" t="s">
        <v>368</v>
      </c>
      <c r="C73" s="131" t="s">
        <v>372</v>
      </c>
      <c r="D73" s="131" t="s">
        <v>1727</v>
      </c>
      <c r="E73" s="131" t="s">
        <v>1728</v>
      </c>
      <c r="F73" s="131" t="s">
        <v>1729</v>
      </c>
      <c r="G73" s="131" t="s">
        <v>1730</v>
      </c>
      <c r="H73" s="132" t="s">
        <v>374</v>
      </c>
      <c r="I73" s="132" t="s">
        <v>366</v>
      </c>
      <c r="J73" s="131" t="n">
        <v>5</v>
      </c>
    </row>
    <row r="74" customFormat="false" ht="60" hidden="false" customHeight="true" outlineLevel="0" collapsed="false">
      <c r="A74" s="131" t="s">
        <v>1529</v>
      </c>
      <c r="B74" s="131" t="s">
        <v>61</v>
      </c>
      <c r="C74" s="131" t="s">
        <v>521</v>
      </c>
      <c r="D74" s="131" t="s">
        <v>1731</v>
      </c>
      <c r="E74" s="131" t="s">
        <v>1732</v>
      </c>
      <c r="F74" s="131" t="s">
        <v>1733</v>
      </c>
      <c r="G74" s="131" t="s">
        <v>1734</v>
      </c>
      <c r="H74" s="132" t="s">
        <v>523</v>
      </c>
      <c r="I74" s="132" t="s">
        <v>516</v>
      </c>
      <c r="J74" s="131" t="n">
        <v>2</v>
      </c>
    </row>
    <row r="75" customFormat="false" ht="45" hidden="false" customHeight="true" outlineLevel="0" collapsed="false">
      <c r="A75" s="131" t="s">
        <v>803</v>
      </c>
      <c r="B75" s="131" t="s">
        <v>804</v>
      </c>
      <c r="C75" s="131" t="s">
        <v>808</v>
      </c>
      <c r="D75" s="131" t="s">
        <v>1735</v>
      </c>
      <c r="E75" s="131" t="s">
        <v>1736</v>
      </c>
      <c r="F75" s="131" t="s">
        <v>1737</v>
      </c>
      <c r="G75" s="131" t="s">
        <v>1738</v>
      </c>
      <c r="H75" s="132" t="s">
        <v>810</v>
      </c>
      <c r="I75" s="132" t="s">
        <v>802</v>
      </c>
      <c r="J75" s="131" t="n">
        <v>3</v>
      </c>
    </row>
    <row r="76" customFormat="false" ht="60" hidden="false" customHeight="true" outlineLevel="0" collapsed="false">
      <c r="A76" s="131" t="s">
        <v>812</v>
      </c>
      <c r="B76" s="131" t="s">
        <v>813</v>
      </c>
      <c r="C76" s="131" t="s">
        <v>817</v>
      </c>
      <c r="D76" s="131" t="s">
        <v>1739</v>
      </c>
      <c r="E76" s="131" t="s">
        <v>1740</v>
      </c>
      <c r="F76" s="131" t="s">
        <v>1741</v>
      </c>
      <c r="G76" s="131" t="s">
        <v>1742</v>
      </c>
      <c r="H76" s="132" t="s">
        <v>819</v>
      </c>
      <c r="I76" s="132" t="s">
        <v>811</v>
      </c>
      <c r="J76" s="131" t="n">
        <v>4</v>
      </c>
    </row>
    <row r="77" customFormat="false" ht="105" hidden="false" customHeight="true" outlineLevel="0" collapsed="false">
      <c r="A77" s="131" t="s">
        <v>376</v>
      </c>
      <c r="B77" s="131" t="s">
        <v>111</v>
      </c>
      <c r="C77" s="131" t="s">
        <v>380</v>
      </c>
      <c r="D77" s="131" t="s">
        <v>1743</v>
      </c>
      <c r="E77" s="131" t="s">
        <v>1744</v>
      </c>
      <c r="F77" s="131" t="s">
        <v>1745</v>
      </c>
      <c r="G77" s="131" t="s">
        <v>1746</v>
      </c>
      <c r="H77" s="132" t="s">
        <v>382</v>
      </c>
      <c r="I77" s="132" t="s">
        <v>375</v>
      </c>
      <c r="J77" s="131" t="n">
        <v>6</v>
      </c>
    </row>
    <row r="78" customFormat="false" ht="135" hidden="false" customHeight="true" outlineLevel="0" collapsed="false">
      <c r="A78" s="131" t="s">
        <v>199</v>
      </c>
      <c r="B78" s="131" t="s">
        <v>200</v>
      </c>
      <c r="C78" s="131" t="s">
        <v>204</v>
      </c>
      <c r="D78" s="131" t="s">
        <v>1747</v>
      </c>
      <c r="E78" s="131" t="s">
        <v>1748</v>
      </c>
      <c r="F78" s="131" t="s">
        <v>1749</v>
      </c>
      <c r="G78" s="131" t="s">
        <v>1750</v>
      </c>
      <c r="H78" s="132" t="s">
        <v>206</v>
      </c>
      <c r="I78" s="132" t="s">
        <v>198</v>
      </c>
      <c r="J78" s="131" t="n">
        <v>9</v>
      </c>
    </row>
    <row r="79" customFormat="false" ht="150" hidden="false" customHeight="true" outlineLevel="0" collapsed="false">
      <c r="A79" s="131" t="s">
        <v>191</v>
      </c>
      <c r="B79" s="131" t="s">
        <v>24</v>
      </c>
      <c r="C79" s="131" t="s">
        <v>195</v>
      </c>
      <c r="D79" s="131" t="s">
        <v>1751</v>
      </c>
      <c r="E79" s="131" t="s">
        <v>1752</v>
      </c>
      <c r="F79" s="131" t="s">
        <v>1753</v>
      </c>
      <c r="G79" s="131" t="s">
        <v>1754</v>
      </c>
      <c r="H79" s="132" t="s">
        <v>197</v>
      </c>
      <c r="I79" s="132" t="s">
        <v>190</v>
      </c>
      <c r="J79" s="131" t="n">
        <v>10</v>
      </c>
    </row>
    <row r="80" customFormat="false" ht="120" hidden="false" customHeight="true" outlineLevel="0" collapsed="false">
      <c r="A80" s="131" t="s">
        <v>76</v>
      </c>
      <c r="B80" s="131" t="s">
        <v>77</v>
      </c>
      <c r="C80" s="131" t="s">
        <v>81</v>
      </c>
      <c r="D80" s="131" t="s">
        <v>1755</v>
      </c>
      <c r="E80" s="131" t="s">
        <v>1756</v>
      </c>
      <c r="F80" s="131" t="s">
        <v>1757</v>
      </c>
      <c r="G80" s="131" t="s">
        <v>1758</v>
      </c>
      <c r="H80" s="132" t="s">
        <v>83</v>
      </c>
      <c r="I80" s="132" t="s">
        <v>75</v>
      </c>
      <c r="J80" s="131" t="n">
        <v>8</v>
      </c>
    </row>
    <row r="81" customFormat="false" ht="30" hidden="false" customHeight="true" outlineLevel="0" collapsed="false">
      <c r="A81" s="131" t="s">
        <v>232</v>
      </c>
      <c r="B81" s="131" t="s">
        <v>61</v>
      </c>
      <c r="C81" s="131" t="s">
        <v>236</v>
      </c>
      <c r="D81" s="131" t="s">
        <v>838</v>
      </c>
      <c r="E81" s="131" t="s">
        <v>702</v>
      </c>
      <c r="F81" s="131" t="s">
        <v>703</v>
      </c>
      <c r="G81" s="131" t="s">
        <v>704</v>
      </c>
      <c r="H81" s="132" t="s">
        <v>238</v>
      </c>
      <c r="I81" s="132" t="s">
        <v>231</v>
      </c>
      <c r="J81" s="131" t="n">
        <v>2</v>
      </c>
    </row>
    <row r="82" customFormat="false" ht="15" hidden="false" customHeight="false" outlineLevel="0" collapsed="false">
      <c r="A82" s="129" t="s">
        <v>707</v>
      </c>
      <c r="B82" s="129" t="s">
        <v>111</v>
      </c>
      <c r="C82" s="129" t="s">
        <v>711</v>
      </c>
      <c r="D82" s="129" t="s">
        <v>712</v>
      </c>
      <c r="E82" s="129" t="s">
        <v>708</v>
      </c>
      <c r="F82" s="129" t="s">
        <v>709</v>
      </c>
      <c r="G82" s="129" t="s">
        <v>710</v>
      </c>
      <c r="H82" s="130" t="s">
        <v>713</v>
      </c>
      <c r="I82" s="130" t="s">
        <v>706</v>
      </c>
      <c r="J82" s="129" t="n">
        <v>1</v>
      </c>
    </row>
    <row r="83" customFormat="false" ht="75" hidden="false" customHeight="true" outlineLevel="0" collapsed="false">
      <c r="A83" s="131" t="s">
        <v>69</v>
      </c>
      <c r="B83" s="131" t="s">
        <v>61</v>
      </c>
      <c r="C83" s="131" t="s">
        <v>73</v>
      </c>
      <c r="D83" s="131" t="s">
        <v>1759</v>
      </c>
      <c r="E83" s="131" t="s">
        <v>1760</v>
      </c>
      <c r="F83" s="131" t="s">
        <v>1761</v>
      </c>
      <c r="G83" s="131" t="s">
        <v>1762</v>
      </c>
      <c r="H83" s="132" t="s">
        <v>74</v>
      </c>
      <c r="I83" s="132" t="s">
        <v>68</v>
      </c>
      <c r="J83" s="131" t="n">
        <v>5</v>
      </c>
    </row>
    <row r="84" customFormat="false" ht="45" hidden="false" customHeight="true" outlineLevel="0" collapsed="false">
      <c r="A84" s="131" t="s">
        <v>256</v>
      </c>
      <c r="B84" s="131" t="s">
        <v>61</v>
      </c>
      <c r="C84" s="131" t="s">
        <v>260</v>
      </c>
      <c r="D84" s="131" t="s">
        <v>1763</v>
      </c>
      <c r="E84" s="131" t="s">
        <v>1764</v>
      </c>
      <c r="F84" s="131" t="s">
        <v>1765</v>
      </c>
      <c r="G84" s="131" t="s">
        <v>1766</v>
      </c>
      <c r="H84" s="132" t="s">
        <v>262</v>
      </c>
      <c r="I84" s="132" t="s">
        <v>255</v>
      </c>
      <c r="J84" s="131" t="n">
        <v>3</v>
      </c>
    </row>
    <row r="85" customFormat="false" ht="60" hidden="false" customHeight="true" outlineLevel="0" collapsed="false">
      <c r="A85" s="131" t="s">
        <v>240</v>
      </c>
      <c r="B85" s="131" t="s">
        <v>24</v>
      </c>
      <c r="C85" s="131" t="s">
        <v>244</v>
      </c>
      <c r="D85" s="131" t="s">
        <v>1767</v>
      </c>
      <c r="E85" s="131" t="s">
        <v>1768</v>
      </c>
      <c r="F85" s="131" t="s">
        <v>1769</v>
      </c>
      <c r="G85" s="131" t="s">
        <v>1770</v>
      </c>
      <c r="H85" s="132" t="s">
        <v>246</v>
      </c>
      <c r="I85" s="132" t="s">
        <v>239</v>
      </c>
      <c r="J85" s="131" t="n">
        <v>4</v>
      </c>
    </row>
    <row r="86" customFormat="false" ht="15" hidden="false" customHeight="false" outlineLevel="0" collapsed="false">
      <c r="A86" s="129" t="s">
        <v>472</v>
      </c>
      <c r="B86" s="129" t="s">
        <v>111</v>
      </c>
      <c r="C86" s="129" t="s">
        <v>476</v>
      </c>
      <c r="D86" s="129" t="s">
        <v>476</v>
      </c>
      <c r="E86" s="129" t="s">
        <v>473</v>
      </c>
      <c r="F86" s="129" t="s">
        <v>474</v>
      </c>
      <c r="G86" s="129" t="s">
        <v>475</v>
      </c>
      <c r="H86" s="130" t="s">
        <v>477</v>
      </c>
      <c r="I86" s="130" t="s">
        <v>471</v>
      </c>
      <c r="J86" s="129" t="n">
        <v>1</v>
      </c>
    </row>
    <row r="87" customFormat="false" ht="45" hidden="false" customHeight="true" outlineLevel="0" collapsed="false">
      <c r="A87" s="131" t="s">
        <v>893</v>
      </c>
      <c r="B87" s="131" t="s">
        <v>61</v>
      </c>
      <c r="C87" s="131" t="s">
        <v>989</v>
      </c>
      <c r="D87" s="131" t="s">
        <v>1771</v>
      </c>
      <c r="E87" s="131" t="s">
        <v>1252</v>
      </c>
      <c r="F87" s="131" t="s">
        <v>1253</v>
      </c>
      <c r="G87" s="131" t="s">
        <v>1254</v>
      </c>
      <c r="H87" s="132" t="s">
        <v>898</v>
      </c>
      <c r="I87" s="132" t="s">
        <v>892</v>
      </c>
      <c r="J87" s="131" t="n">
        <v>3</v>
      </c>
    </row>
    <row r="88" customFormat="false" ht="30" hidden="false" customHeight="true" outlineLevel="0" collapsed="false">
      <c r="A88" s="129" t="s">
        <v>126</v>
      </c>
      <c r="B88" s="129" t="s">
        <v>127</v>
      </c>
      <c r="C88" s="129" t="s">
        <v>131</v>
      </c>
      <c r="D88" s="129" t="s">
        <v>132</v>
      </c>
      <c r="E88" s="129" t="s">
        <v>128</v>
      </c>
      <c r="F88" s="129" t="s">
        <v>129</v>
      </c>
      <c r="G88" s="129" t="s">
        <v>130</v>
      </c>
      <c r="H88" s="130" t="s">
        <v>133</v>
      </c>
      <c r="I88" s="130" t="s">
        <v>125</v>
      </c>
      <c r="J88" s="129" t="n">
        <v>1</v>
      </c>
    </row>
    <row r="89" customFormat="false" ht="30" hidden="false" customHeight="true" outlineLevel="0" collapsed="false">
      <c r="A89" s="131" t="s">
        <v>900</v>
      </c>
      <c r="B89" s="131" t="s">
        <v>901</v>
      </c>
      <c r="C89" s="131" t="s">
        <v>905</v>
      </c>
      <c r="D89" s="131" t="s">
        <v>1772</v>
      </c>
      <c r="E89" s="131" t="s">
        <v>1773</v>
      </c>
      <c r="F89" s="131" t="s">
        <v>1774</v>
      </c>
      <c r="G89" s="131" t="s">
        <v>1775</v>
      </c>
      <c r="H89" s="132" t="s">
        <v>907</v>
      </c>
      <c r="I89" s="132" t="s">
        <v>899</v>
      </c>
      <c r="J89" s="131" t="n">
        <v>2</v>
      </c>
    </row>
    <row r="90" customFormat="false" ht="30" hidden="false" customHeight="true" outlineLevel="0" collapsed="false">
      <c r="A90" s="129" t="s">
        <v>716</v>
      </c>
      <c r="B90" s="129" t="s">
        <v>717</v>
      </c>
      <c r="C90" s="129" t="s">
        <v>721</v>
      </c>
      <c r="D90" s="129" t="s">
        <v>722</v>
      </c>
      <c r="E90" s="129" t="s">
        <v>718</v>
      </c>
      <c r="F90" s="129" t="s">
        <v>719</v>
      </c>
      <c r="G90" s="129" t="s">
        <v>720</v>
      </c>
      <c r="H90" s="130" t="s">
        <v>723</v>
      </c>
      <c r="I90" s="130" t="s">
        <v>715</v>
      </c>
      <c r="J90" s="129" t="n">
        <v>1</v>
      </c>
    </row>
    <row r="91" customFormat="false" ht="30" hidden="false" customHeight="true" outlineLevel="0" collapsed="false">
      <c r="A91" s="131" t="s">
        <v>726</v>
      </c>
      <c r="B91" s="131" t="s">
        <v>727</v>
      </c>
      <c r="C91" s="131" t="s">
        <v>731</v>
      </c>
      <c r="D91" s="131" t="s">
        <v>1160</v>
      </c>
      <c r="E91" s="131" t="s">
        <v>1157</v>
      </c>
      <c r="F91" s="131" t="s">
        <v>1158</v>
      </c>
      <c r="G91" s="131" t="s">
        <v>1159</v>
      </c>
      <c r="H91" s="132" t="s">
        <v>733</v>
      </c>
      <c r="I91" s="132" t="s">
        <v>725</v>
      </c>
      <c r="J91" s="131" t="n">
        <v>2</v>
      </c>
    </row>
    <row r="92" customFormat="false" ht="30" hidden="false" customHeight="true" outlineLevel="0" collapsed="false">
      <c r="A92" s="131" t="s">
        <v>735</v>
      </c>
      <c r="B92" s="131" t="s">
        <v>736</v>
      </c>
      <c r="C92" s="131" t="s">
        <v>740</v>
      </c>
      <c r="D92" s="131" t="s">
        <v>1776</v>
      </c>
      <c r="E92" s="131" t="s">
        <v>1777</v>
      </c>
      <c r="F92" s="131" t="s">
        <v>1778</v>
      </c>
      <c r="G92" s="131" t="s">
        <v>1779</v>
      </c>
      <c r="H92" s="132" t="s">
        <v>742</v>
      </c>
      <c r="I92" s="132" t="s">
        <v>734</v>
      </c>
      <c r="J92" s="131" t="n">
        <v>2</v>
      </c>
    </row>
    <row r="93" customFormat="false" ht="15" hidden="false" customHeight="false" outlineLevel="0" collapsed="false">
      <c r="A93" s="129" t="s">
        <v>416</v>
      </c>
      <c r="B93" s="129" t="s">
        <v>417</v>
      </c>
      <c r="C93" s="129" t="s">
        <v>421</v>
      </c>
      <c r="D93" s="129" t="s">
        <v>422</v>
      </c>
      <c r="E93" s="129" t="s">
        <v>418</v>
      </c>
      <c r="F93" s="129" t="s">
        <v>419</v>
      </c>
      <c r="G93" s="129" t="s">
        <v>420</v>
      </c>
      <c r="H93" s="130" t="s">
        <v>423</v>
      </c>
      <c r="I93" s="130" t="s">
        <v>415</v>
      </c>
      <c r="J93" s="129" t="n">
        <v>1</v>
      </c>
    </row>
    <row r="94" customFormat="false" ht="15" hidden="false" customHeight="false" outlineLevel="0" collapsed="false">
      <c r="A94" s="129" t="s">
        <v>183</v>
      </c>
      <c r="B94" s="129" t="s">
        <v>111</v>
      </c>
      <c r="C94" s="129" t="s">
        <v>187</v>
      </c>
      <c r="D94" s="129" t="s">
        <v>188</v>
      </c>
      <c r="E94" s="129" t="s">
        <v>184</v>
      </c>
      <c r="F94" s="129" t="s">
        <v>185</v>
      </c>
      <c r="G94" s="129" t="s">
        <v>186</v>
      </c>
      <c r="H94" s="130" t="s">
        <v>189</v>
      </c>
      <c r="I94" s="130" t="s">
        <v>182</v>
      </c>
      <c r="J94" s="129" t="n">
        <v>1</v>
      </c>
    </row>
    <row r="95" customFormat="false" ht="15" hidden="false" customHeight="false" outlineLevel="0" collapsed="false">
      <c r="A95" s="129" t="s">
        <v>744</v>
      </c>
      <c r="B95" s="129" t="s">
        <v>745</v>
      </c>
      <c r="C95" s="129" t="s">
        <v>749</v>
      </c>
      <c r="D95" s="129" t="s">
        <v>750</v>
      </c>
      <c r="E95" s="129" t="s">
        <v>746</v>
      </c>
      <c r="F95" s="129" t="s">
        <v>747</v>
      </c>
      <c r="G95" s="129" t="s">
        <v>748</v>
      </c>
      <c r="H95" s="130" t="s">
        <v>751</v>
      </c>
      <c r="I95" s="130" t="s">
        <v>743</v>
      </c>
      <c r="J95" s="129" t="n">
        <v>1</v>
      </c>
    </row>
    <row r="96" customFormat="false" ht="15" hidden="false" customHeight="false" outlineLevel="0" collapsed="false">
      <c r="A96" s="129" t="s">
        <v>358</v>
      </c>
      <c r="B96" s="129" t="s">
        <v>359</v>
      </c>
      <c r="C96" s="129" t="s">
        <v>363</v>
      </c>
      <c r="D96" s="129" t="s">
        <v>364</v>
      </c>
      <c r="E96" s="129" t="s">
        <v>360</v>
      </c>
      <c r="F96" s="129" t="s">
        <v>361</v>
      </c>
      <c r="G96" s="129" t="s">
        <v>362</v>
      </c>
      <c r="H96" s="130" t="s">
        <v>365</v>
      </c>
      <c r="I96" s="130" t="s">
        <v>357</v>
      </c>
      <c r="J96" s="129" t="n">
        <v>1</v>
      </c>
    </row>
    <row r="97" customFormat="false" ht="15" hidden="false" customHeight="false" outlineLevel="0" collapsed="false">
      <c r="A97" s="129" t="s">
        <v>224</v>
      </c>
      <c r="B97" s="129" t="s">
        <v>61</v>
      </c>
      <c r="C97" s="129" t="s">
        <v>228</v>
      </c>
      <c r="D97" s="129" t="s">
        <v>229</v>
      </c>
      <c r="E97" s="129" t="s">
        <v>225</v>
      </c>
      <c r="F97" s="129" t="s">
        <v>226</v>
      </c>
      <c r="G97" s="129" t="s">
        <v>227</v>
      </c>
      <c r="H97" s="130" t="s">
        <v>230</v>
      </c>
      <c r="I97" s="130" t="s">
        <v>223</v>
      </c>
      <c r="J97" s="129" t="n">
        <v>1</v>
      </c>
    </row>
    <row r="98" customFormat="false" ht="45" hidden="false" customHeight="true" outlineLevel="0" collapsed="false">
      <c r="A98" s="131" t="s">
        <v>295</v>
      </c>
      <c r="B98" s="131" t="s">
        <v>61</v>
      </c>
      <c r="C98" s="131" t="s">
        <v>299</v>
      </c>
      <c r="D98" s="131" t="s">
        <v>1780</v>
      </c>
      <c r="E98" s="131" t="s">
        <v>1781</v>
      </c>
      <c r="F98" s="131" t="s">
        <v>1782</v>
      </c>
      <c r="G98" s="131" t="s">
        <v>1783</v>
      </c>
      <c r="H98" s="132" t="s">
        <v>301</v>
      </c>
      <c r="I98" s="132" t="s">
        <v>294</v>
      </c>
      <c r="J98" s="131" t="n">
        <v>3</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2026-02-11T09:38:26Z</dcterms:created>
  <dc:creator>Tina Borojević</dc:creator>
  <dc:description/>
  <dc:language>en-US</dc:language>
  <cp:lastModifiedBy/>
  <cp:lastPrinted>2026-03-23T10:17:39Z</cp:lastPrinted>
  <dcterms:modified xsi:type="dcterms:W3CDTF">2026-04-13T09:38:46Z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3.0</vt:lpwstr>
  </property>
</Properties>
</file>